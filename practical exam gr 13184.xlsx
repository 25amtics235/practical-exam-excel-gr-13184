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rishahiteshkumartandel/Desktop/"/>
    </mc:Choice>
  </mc:AlternateContent>
  <xr:revisionPtr revIDLastSave="0" documentId="8_{9B1F3F2C-C598-F847-87AA-8D40AF44B6EC}" xr6:coauthVersionLast="47" xr6:coauthVersionMax="47" xr10:uidLastSave="{00000000-0000-0000-0000-000000000000}"/>
  <bookViews>
    <workbookView xWindow="0" yWindow="680" windowWidth="34200" windowHeight="21460" activeTab="12" xr2:uid="{00000000-000D-0000-FFFF-FFFF00000000}"/>
  </bookViews>
  <sheets>
    <sheet name="Dashboard" sheetId="2" r:id="rId1"/>
    <sheet name="Report" sheetId="3" r:id="rId2"/>
    <sheet name="Raw Data" sheetId="4" r:id="rId3"/>
    <sheet name="Analysis" sheetId="5" r:id="rId4"/>
    <sheet name="Performance" sheetId="6" r:id="rId5"/>
    <sheet name="Product IDs" sheetId="7" r:id="rId6"/>
    <sheet name="Filter" sheetId="8" r:id="rId7"/>
    <sheet name="Pivots" sheetId="9" r:id="rId8"/>
    <sheet name="Regression Output" sheetId="10" r:id="rId9"/>
    <sheet name="Scenario Summary" sheetId="11" r:id="rId10"/>
    <sheet name="Formula Lab" sheetId="12" r:id="rId11"/>
    <sheet name="Visualizations" sheetId="13" r:id="rId12"/>
    <sheet name="Calc" sheetId="14" r:id="rId13"/>
  </sheets>
  <calcPr calcId="191029"/>
  <pivotCaches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4" l="1"/>
  <c r="B13" i="14"/>
  <c r="B12" i="14"/>
  <c r="B11" i="14"/>
  <c r="B10" i="14"/>
  <c r="B9" i="14"/>
  <c r="E58" i="12"/>
  <c r="E55" i="12"/>
  <c r="E54" i="12"/>
  <c r="E53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16" i="11"/>
  <c r="F8" i="11"/>
  <c r="E8" i="11"/>
  <c r="D8" i="11"/>
  <c r="C8" i="11"/>
  <c r="B8" i="11"/>
  <c r="F7" i="11"/>
  <c r="E7" i="11"/>
  <c r="D7" i="11"/>
  <c r="C7" i="11"/>
  <c r="B7" i="11"/>
  <c r="F6" i="11"/>
  <c r="E6" i="11"/>
  <c r="D6" i="11"/>
  <c r="C6" i="11"/>
  <c r="B6" i="11"/>
  <c r="F87" i="10"/>
  <c r="E87" i="10"/>
  <c r="D87" i="10"/>
  <c r="C87" i="10"/>
  <c r="B87" i="10"/>
  <c r="F86" i="10"/>
  <c r="E86" i="10"/>
  <c r="D86" i="10"/>
  <c r="C86" i="10"/>
  <c r="B86" i="10"/>
  <c r="F85" i="10"/>
  <c r="E85" i="10"/>
  <c r="D85" i="10"/>
  <c r="C85" i="10"/>
  <c r="B85" i="10"/>
  <c r="F84" i="10"/>
  <c r="E84" i="10"/>
  <c r="D84" i="10"/>
  <c r="C84" i="10"/>
  <c r="B84" i="10"/>
  <c r="F83" i="10"/>
  <c r="E83" i="10"/>
  <c r="D83" i="10"/>
  <c r="C83" i="10"/>
  <c r="B83" i="10"/>
  <c r="B45" i="10"/>
  <c r="F103" i="7"/>
  <c r="E103" i="7"/>
  <c r="D103" i="7"/>
  <c r="C103" i="7"/>
  <c r="B103" i="7"/>
  <c r="F102" i="7"/>
  <c r="E102" i="7"/>
  <c r="D102" i="7"/>
  <c r="C102" i="7"/>
  <c r="B102" i="7"/>
  <c r="F101" i="7"/>
  <c r="E101" i="7"/>
  <c r="D101" i="7"/>
  <c r="C101" i="7"/>
  <c r="B101" i="7"/>
  <c r="F100" i="7"/>
  <c r="E100" i="7"/>
  <c r="D100" i="7"/>
  <c r="C100" i="7"/>
  <c r="B100" i="7"/>
  <c r="F99" i="7"/>
  <c r="E99" i="7"/>
  <c r="D99" i="7"/>
  <c r="C99" i="7"/>
  <c r="B99" i="7"/>
  <c r="F98" i="7"/>
  <c r="E98" i="7"/>
  <c r="D98" i="7"/>
  <c r="C98" i="7"/>
  <c r="B98" i="7"/>
  <c r="F97" i="7"/>
  <c r="E97" i="7"/>
  <c r="D97" i="7"/>
  <c r="C97" i="7"/>
  <c r="B97" i="7"/>
  <c r="F96" i="7"/>
  <c r="E96" i="7"/>
  <c r="D96" i="7"/>
  <c r="C96" i="7"/>
  <c r="B96" i="7"/>
  <c r="F95" i="7"/>
  <c r="E95" i="7"/>
  <c r="D95" i="7"/>
  <c r="C95" i="7"/>
  <c r="B95" i="7"/>
  <c r="F94" i="7"/>
  <c r="E94" i="7"/>
  <c r="D94" i="7"/>
  <c r="C94" i="7"/>
  <c r="B94" i="7"/>
  <c r="F93" i="7"/>
  <c r="E93" i="7"/>
  <c r="D93" i="7"/>
  <c r="C93" i="7"/>
  <c r="B93" i="7"/>
  <c r="F92" i="7"/>
  <c r="E92" i="7"/>
  <c r="G92" i="7" s="1"/>
  <c r="D92" i="7"/>
  <c r="C92" i="7"/>
  <c r="B92" i="7"/>
  <c r="F91" i="7"/>
  <c r="E91" i="7"/>
  <c r="D91" i="7"/>
  <c r="C91" i="7"/>
  <c r="B91" i="7"/>
  <c r="F90" i="7"/>
  <c r="E90" i="7"/>
  <c r="D90" i="7"/>
  <c r="C90" i="7"/>
  <c r="B90" i="7"/>
  <c r="F89" i="7"/>
  <c r="E89" i="7"/>
  <c r="D89" i="7"/>
  <c r="C89" i="7"/>
  <c r="B89" i="7"/>
  <c r="F88" i="7"/>
  <c r="E88" i="7"/>
  <c r="D88" i="7"/>
  <c r="C88" i="7"/>
  <c r="B88" i="7"/>
  <c r="F87" i="7"/>
  <c r="E87" i="7"/>
  <c r="G87" i="7" s="1"/>
  <c r="D87" i="7"/>
  <c r="C87" i="7"/>
  <c r="B87" i="7"/>
  <c r="F86" i="7"/>
  <c r="E86" i="7"/>
  <c r="G86" i="7" s="1"/>
  <c r="D86" i="7"/>
  <c r="C86" i="7"/>
  <c r="B86" i="7"/>
  <c r="F85" i="7"/>
  <c r="E85" i="7"/>
  <c r="D85" i="7"/>
  <c r="C85" i="7"/>
  <c r="B85" i="7"/>
  <c r="F84" i="7"/>
  <c r="E84" i="7"/>
  <c r="D84" i="7"/>
  <c r="C84" i="7"/>
  <c r="B84" i="7"/>
  <c r="F83" i="7"/>
  <c r="E83" i="7"/>
  <c r="D83" i="7"/>
  <c r="C83" i="7"/>
  <c r="B83" i="7"/>
  <c r="F82" i="7"/>
  <c r="E82" i="7"/>
  <c r="G82" i="7" s="1"/>
  <c r="D82" i="7"/>
  <c r="C82" i="7"/>
  <c r="B82" i="7"/>
  <c r="F81" i="7"/>
  <c r="E81" i="7"/>
  <c r="D81" i="7"/>
  <c r="C81" i="7"/>
  <c r="B81" i="7"/>
  <c r="F80" i="7"/>
  <c r="H80" i="7" s="1"/>
  <c r="E80" i="7"/>
  <c r="D80" i="7"/>
  <c r="C80" i="7"/>
  <c r="B80" i="7"/>
  <c r="F79" i="7"/>
  <c r="H79" i="7" s="1"/>
  <c r="E79" i="7"/>
  <c r="D79" i="7"/>
  <c r="C79" i="7"/>
  <c r="B79" i="7"/>
  <c r="F78" i="7"/>
  <c r="E78" i="7"/>
  <c r="D78" i="7"/>
  <c r="C78" i="7"/>
  <c r="B78" i="7"/>
  <c r="F77" i="7"/>
  <c r="E77" i="7"/>
  <c r="G77" i="7" s="1"/>
  <c r="D77" i="7"/>
  <c r="C77" i="7"/>
  <c r="B77" i="7"/>
  <c r="F76" i="7"/>
  <c r="E76" i="7"/>
  <c r="G76" i="7" s="1"/>
  <c r="D76" i="7"/>
  <c r="C76" i="7"/>
  <c r="B76" i="7"/>
  <c r="F75" i="7"/>
  <c r="E75" i="7"/>
  <c r="D75" i="7"/>
  <c r="C75" i="7"/>
  <c r="B75" i="7"/>
  <c r="F74" i="7"/>
  <c r="E74" i="7"/>
  <c r="D74" i="7"/>
  <c r="C74" i="7"/>
  <c r="B74" i="7"/>
  <c r="F73" i="7"/>
  <c r="E73" i="7"/>
  <c r="D73" i="7"/>
  <c r="C73" i="7"/>
  <c r="B73" i="7"/>
  <c r="F72" i="7"/>
  <c r="E72" i="7"/>
  <c r="D72" i="7"/>
  <c r="C72" i="7"/>
  <c r="B72" i="7"/>
  <c r="F71" i="7"/>
  <c r="H71" i="7" s="1"/>
  <c r="E71" i="7"/>
  <c r="G71" i="7" s="1"/>
  <c r="D71" i="7"/>
  <c r="C71" i="7"/>
  <c r="B71" i="7"/>
  <c r="F70" i="7"/>
  <c r="E70" i="7"/>
  <c r="D70" i="7"/>
  <c r="C70" i="7"/>
  <c r="B70" i="7"/>
  <c r="F69" i="7"/>
  <c r="E69" i="7"/>
  <c r="D69" i="7"/>
  <c r="C69" i="7"/>
  <c r="B69" i="7"/>
  <c r="F68" i="7"/>
  <c r="E68" i="7"/>
  <c r="D68" i="7"/>
  <c r="C68" i="7"/>
  <c r="B68" i="7"/>
  <c r="F67" i="7"/>
  <c r="H67" i="7" s="1"/>
  <c r="E67" i="7"/>
  <c r="D67" i="7"/>
  <c r="C67" i="7"/>
  <c r="B67" i="7"/>
  <c r="F66" i="7"/>
  <c r="E66" i="7"/>
  <c r="D66" i="7"/>
  <c r="C66" i="7"/>
  <c r="B66" i="7"/>
  <c r="F65" i="7"/>
  <c r="E65" i="7"/>
  <c r="D65" i="7"/>
  <c r="C65" i="7"/>
  <c r="B65" i="7"/>
  <c r="F64" i="7"/>
  <c r="E64" i="7"/>
  <c r="D64" i="7"/>
  <c r="C64" i="7"/>
  <c r="B64" i="7"/>
  <c r="F63" i="7"/>
  <c r="E63" i="7"/>
  <c r="D63" i="7"/>
  <c r="C63" i="7"/>
  <c r="B63" i="7"/>
  <c r="F62" i="7"/>
  <c r="E62" i="7"/>
  <c r="D62" i="7"/>
  <c r="C62" i="7"/>
  <c r="B62" i="7"/>
  <c r="F61" i="7"/>
  <c r="E61" i="7"/>
  <c r="D61" i="7"/>
  <c r="C61" i="7"/>
  <c r="B61" i="7"/>
  <c r="F60" i="7"/>
  <c r="E60" i="7"/>
  <c r="D60" i="7"/>
  <c r="C60" i="7"/>
  <c r="B60" i="7"/>
  <c r="F59" i="7"/>
  <c r="E59" i="7"/>
  <c r="D59" i="7"/>
  <c r="C59" i="7"/>
  <c r="B59" i="7"/>
  <c r="F58" i="7"/>
  <c r="E58" i="7"/>
  <c r="D58" i="7"/>
  <c r="C58" i="7"/>
  <c r="B58" i="7"/>
  <c r="F57" i="7"/>
  <c r="E57" i="7"/>
  <c r="D57" i="7"/>
  <c r="C57" i="7"/>
  <c r="B57" i="7"/>
  <c r="F56" i="7"/>
  <c r="E56" i="7"/>
  <c r="D56" i="7"/>
  <c r="C56" i="7"/>
  <c r="B56" i="7"/>
  <c r="F55" i="7"/>
  <c r="E55" i="7"/>
  <c r="D55" i="7"/>
  <c r="C55" i="7"/>
  <c r="B55" i="7"/>
  <c r="F54" i="7"/>
  <c r="E54" i="7"/>
  <c r="D54" i="7"/>
  <c r="C54" i="7"/>
  <c r="B54" i="7"/>
  <c r="F53" i="7"/>
  <c r="E53" i="7"/>
  <c r="D53" i="7"/>
  <c r="C53" i="7"/>
  <c r="B53" i="7"/>
  <c r="F52" i="7"/>
  <c r="E52" i="7"/>
  <c r="D52" i="7"/>
  <c r="C52" i="7"/>
  <c r="B52" i="7"/>
  <c r="F51" i="7"/>
  <c r="E51" i="7"/>
  <c r="D51" i="7"/>
  <c r="C51" i="7"/>
  <c r="B51" i="7"/>
  <c r="F50" i="7"/>
  <c r="E50" i="7"/>
  <c r="D50" i="7"/>
  <c r="C50" i="7"/>
  <c r="B50" i="7"/>
  <c r="F49" i="7"/>
  <c r="E49" i="7"/>
  <c r="G49" i="7" s="1"/>
  <c r="D49" i="7"/>
  <c r="C49" i="7"/>
  <c r="B49" i="7"/>
  <c r="F48" i="7"/>
  <c r="E48" i="7"/>
  <c r="D48" i="7"/>
  <c r="C48" i="7"/>
  <c r="B48" i="7"/>
  <c r="F47" i="7"/>
  <c r="E47" i="7"/>
  <c r="D47" i="7"/>
  <c r="C47" i="7"/>
  <c r="B47" i="7"/>
  <c r="F46" i="7"/>
  <c r="H46" i="7" s="1"/>
  <c r="E46" i="7"/>
  <c r="D46" i="7"/>
  <c r="C46" i="7"/>
  <c r="B46" i="7"/>
  <c r="F45" i="7"/>
  <c r="E45" i="7"/>
  <c r="D45" i="7"/>
  <c r="C45" i="7"/>
  <c r="B45" i="7"/>
  <c r="F44" i="7"/>
  <c r="H44" i="7" s="1"/>
  <c r="E44" i="7"/>
  <c r="D44" i="7"/>
  <c r="C44" i="7"/>
  <c r="B44" i="7"/>
  <c r="F43" i="7"/>
  <c r="E43" i="7"/>
  <c r="D43" i="7"/>
  <c r="C43" i="7"/>
  <c r="B43" i="7"/>
  <c r="F42" i="7"/>
  <c r="E42" i="7"/>
  <c r="D42" i="7"/>
  <c r="C42" i="7"/>
  <c r="B42" i="7"/>
  <c r="F41" i="7"/>
  <c r="E41" i="7"/>
  <c r="G41" i="7" s="1"/>
  <c r="D41" i="7"/>
  <c r="C41" i="7"/>
  <c r="B41" i="7"/>
  <c r="F40" i="7"/>
  <c r="E40" i="7"/>
  <c r="D40" i="7"/>
  <c r="C40" i="7"/>
  <c r="B40" i="7"/>
  <c r="F39" i="7"/>
  <c r="E39" i="7"/>
  <c r="D39" i="7"/>
  <c r="C39" i="7"/>
  <c r="B39" i="7"/>
  <c r="F38" i="7"/>
  <c r="E38" i="7"/>
  <c r="D38" i="7"/>
  <c r="C38" i="7"/>
  <c r="B38" i="7"/>
  <c r="F37" i="7"/>
  <c r="E37" i="7"/>
  <c r="D37" i="7"/>
  <c r="C37" i="7"/>
  <c r="B37" i="7"/>
  <c r="F36" i="7"/>
  <c r="E36" i="7"/>
  <c r="D36" i="7"/>
  <c r="C36" i="7"/>
  <c r="B36" i="7"/>
  <c r="F35" i="7"/>
  <c r="H35" i="7" s="1"/>
  <c r="E35" i="7"/>
  <c r="D35" i="7"/>
  <c r="C35" i="7"/>
  <c r="B35" i="7"/>
  <c r="F34" i="7"/>
  <c r="H34" i="7" s="1"/>
  <c r="E34" i="7"/>
  <c r="D34" i="7"/>
  <c r="C34" i="7"/>
  <c r="B34" i="7"/>
  <c r="F33" i="7"/>
  <c r="E33" i="7"/>
  <c r="D33" i="7"/>
  <c r="C33" i="7"/>
  <c r="B33" i="7"/>
  <c r="F32" i="7"/>
  <c r="E32" i="7"/>
  <c r="D32" i="7"/>
  <c r="C32" i="7"/>
  <c r="B32" i="7"/>
  <c r="F31" i="7"/>
  <c r="E31" i="7"/>
  <c r="D31" i="7"/>
  <c r="C31" i="7"/>
  <c r="B31" i="7"/>
  <c r="F30" i="7"/>
  <c r="E30" i="7"/>
  <c r="D30" i="7"/>
  <c r="C30" i="7"/>
  <c r="B30" i="7"/>
  <c r="F29" i="7"/>
  <c r="H29" i="7" s="1"/>
  <c r="E29" i="7"/>
  <c r="D29" i="7"/>
  <c r="C29" i="7"/>
  <c r="B29" i="7"/>
  <c r="F28" i="7"/>
  <c r="E28" i="7"/>
  <c r="D28" i="7"/>
  <c r="C28" i="7"/>
  <c r="B28" i="7"/>
  <c r="F27" i="7"/>
  <c r="E27" i="7"/>
  <c r="D27" i="7"/>
  <c r="C27" i="7"/>
  <c r="B27" i="7"/>
  <c r="F26" i="7"/>
  <c r="E26" i="7"/>
  <c r="D26" i="7"/>
  <c r="C26" i="7"/>
  <c r="B26" i="7"/>
  <c r="F25" i="7"/>
  <c r="E25" i="7"/>
  <c r="D25" i="7"/>
  <c r="C25" i="7"/>
  <c r="B25" i="7"/>
  <c r="F24" i="7"/>
  <c r="E24" i="7"/>
  <c r="D24" i="7"/>
  <c r="C24" i="7"/>
  <c r="B24" i="7"/>
  <c r="F23" i="7"/>
  <c r="E23" i="7"/>
  <c r="D23" i="7"/>
  <c r="C23" i="7"/>
  <c r="B23" i="7"/>
  <c r="F22" i="7"/>
  <c r="E22" i="7"/>
  <c r="D22" i="7"/>
  <c r="C22" i="7"/>
  <c r="B22" i="7"/>
  <c r="F21" i="7"/>
  <c r="E21" i="7"/>
  <c r="D21" i="7"/>
  <c r="C21" i="7"/>
  <c r="B21" i="7"/>
  <c r="F20" i="7"/>
  <c r="E20" i="7"/>
  <c r="D20" i="7"/>
  <c r="C20" i="7"/>
  <c r="B20" i="7"/>
  <c r="F19" i="7"/>
  <c r="E19" i="7"/>
  <c r="D19" i="7"/>
  <c r="C19" i="7"/>
  <c r="B19" i="7"/>
  <c r="F18" i="7"/>
  <c r="E18" i="7"/>
  <c r="D18" i="7"/>
  <c r="C18" i="7"/>
  <c r="B18" i="7"/>
  <c r="F17" i="7"/>
  <c r="E17" i="7"/>
  <c r="D17" i="7"/>
  <c r="C17" i="7"/>
  <c r="B17" i="7"/>
  <c r="F16" i="7"/>
  <c r="E16" i="7"/>
  <c r="D16" i="7"/>
  <c r="C16" i="7"/>
  <c r="B16" i="7"/>
  <c r="F15" i="7"/>
  <c r="E15" i="7"/>
  <c r="D15" i="7"/>
  <c r="C15" i="7"/>
  <c r="B15" i="7"/>
  <c r="F14" i="7"/>
  <c r="E14" i="7"/>
  <c r="D14" i="7"/>
  <c r="C14" i="7"/>
  <c r="B14" i="7"/>
  <c r="F13" i="7"/>
  <c r="E13" i="7"/>
  <c r="G13" i="7" s="1"/>
  <c r="D13" i="7"/>
  <c r="C13" i="7"/>
  <c r="B13" i="7"/>
  <c r="F12" i="7"/>
  <c r="E12" i="7"/>
  <c r="G12" i="7" s="1"/>
  <c r="D12" i="7"/>
  <c r="C12" i="7"/>
  <c r="B12" i="7"/>
  <c r="F11" i="7"/>
  <c r="E11" i="7"/>
  <c r="D11" i="7"/>
  <c r="C11" i="7"/>
  <c r="B11" i="7"/>
  <c r="F10" i="7"/>
  <c r="E10" i="7"/>
  <c r="G10" i="7" s="1"/>
  <c r="D10" i="7"/>
  <c r="C10" i="7"/>
  <c r="B10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F6" i="7"/>
  <c r="E6" i="7"/>
  <c r="D6" i="7"/>
  <c r="C6" i="7"/>
  <c r="B6" i="7"/>
  <c r="F5" i="7"/>
  <c r="E5" i="7"/>
  <c r="D5" i="7"/>
  <c r="C5" i="7"/>
  <c r="B5" i="7"/>
  <c r="P4" i="7"/>
  <c r="F4" i="7"/>
  <c r="H4" i="7" s="1"/>
  <c r="E4" i="7"/>
  <c r="G4" i="7" s="1"/>
  <c r="D4" i="7"/>
  <c r="C4" i="7"/>
  <c r="B4" i="7"/>
  <c r="E23" i="6"/>
  <c r="F23" i="6" s="1"/>
  <c r="D23" i="6"/>
  <c r="E22" i="6"/>
  <c r="F22" i="6" s="1"/>
  <c r="D22" i="6"/>
  <c r="E21" i="6"/>
  <c r="F21" i="6" s="1"/>
  <c r="D21" i="6"/>
  <c r="E20" i="6"/>
  <c r="F20" i="6" s="1"/>
  <c r="D20" i="6"/>
  <c r="E19" i="6"/>
  <c r="F19" i="6" s="1"/>
  <c r="D19" i="6"/>
  <c r="E18" i="6"/>
  <c r="F18" i="6" s="1"/>
  <c r="D18" i="6"/>
  <c r="E17" i="6"/>
  <c r="F17" i="6" s="1"/>
  <c r="D17" i="6"/>
  <c r="E16" i="6"/>
  <c r="F16" i="6" s="1"/>
  <c r="D16" i="6"/>
  <c r="E15" i="6"/>
  <c r="F15" i="6" s="1"/>
  <c r="D15" i="6"/>
  <c r="E14" i="6"/>
  <c r="F14" i="6" s="1"/>
  <c r="D14" i="6"/>
  <c r="E13" i="6"/>
  <c r="F13" i="6" s="1"/>
  <c r="D13" i="6"/>
  <c r="E12" i="6"/>
  <c r="F12" i="6" s="1"/>
  <c r="D12" i="6"/>
  <c r="E11" i="6"/>
  <c r="F11" i="6" s="1"/>
  <c r="D11" i="6"/>
  <c r="E10" i="6"/>
  <c r="F10" i="6" s="1"/>
  <c r="D10" i="6"/>
  <c r="E9" i="6"/>
  <c r="F9" i="6" s="1"/>
  <c r="D9" i="6"/>
  <c r="E8" i="6"/>
  <c r="F8" i="6" s="1"/>
  <c r="D8" i="6"/>
  <c r="E7" i="6"/>
  <c r="F7" i="6" s="1"/>
  <c r="D7" i="6"/>
  <c r="E6" i="6"/>
  <c r="F6" i="6" s="1"/>
  <c r="D6" i="6"/>
  <c r="E5" i="6"/>
  <c r="F5" i="6" s="1"/>
  <c r="D5" i="6"/>
  <c r="E4" i="6"/>
  <c r="F4" i="6" s="1"/>
  <c r="D4" i="6"/>
  <c r="B205" i="5"/>
  <c r="B204" i="5"/>
  <c r="B203" i="5"/>
  <c r="B201" i="5"/>
  <c r="B200" i="5"/>
  <c r="B199" i="5"/>
  <c r="B197" i="5"/>
  <c r="B198" i="5" s="1"/>
  <c r="B196" i="5"/>
  <c r="B194" i="5"/>
  <c r="B195" i="5" s="1"/>
  <c r="B193" i="5"/>
  <c r="B192" i="5"/>
  <c r="B191" i="5"/>
  <c r="B202" i="5" s="1"/>
  <c r="B5" i="3" s="1"/>
  <c r="B190" i="5"/>
  <c r="B189" i="5"/>
  <c r="C168" i="5"/>
  <c r="A167" i="5"/>
  <c r="F157" i="5"/>
  <c r="E157" i="5"/>
  <c r="D157" i="5"/>
  <c r="C157" i="5"/>
  <c r="B157" i="5"/>
  <c r="F156" i="5"/>
  <c r="E156" i="5"/>
  <c r="D156" i="5"/>
  <c r="C156" i="5"/>
  <c r="B156" i="5"/>
  <c r="F155" i="5"/>
  <c r="E155" i="5"/>
  <c r="D155" i="5"/>
  <c r="C155" i="5"/>
  <c r="E52" i="12" s="1"/>
  <c r="B155" i="5"/>
  <c r="F154" i="5"/>
  <c r="F158" i="5" s="1"/>
  <c r="E154" i="5"/>
  <c r="E158" i="5" s="1"/>
  <c r="D154" i="5"/>
  <c r="D158" i="5" s="1"/>
  <c r="C154" i="5"/>
  <c r="C158" i="5" s="1"/>
  <c r="B154" i="5"/>
  <c r="G105" i="5"/>
  <c r="F105" i="5"/>
  <c r="C105" i="5"/>
  <c r="B105" i="5"/>
  <c r="E105" i="5" s="1"/>
  <c r="G104" i="5"/>
  <c r="F104" i="5"/>
  <c r="C104" i="5"/>
  <c r="B104" i="5"/>
  <c r="E104" i="5" s="1"/>
  <c r="G103" i="5"/>
  <c r="F103" i="5"/>
  <c r="F106" i="5" s="1"/>
  <c r="C103" i="5"/>
  <c r="B103" i="5"/>
  <c r="G96" i="5"/>
  <c r="F96" i="5"/>
  <c r="C96" i="5"/>
  <c r="B96" i="5"/>
  <c r="E96" i="5" s="1"/>
  <c r="G95" i="5"/>
  <c r="F95" i="5"/>
  <c r="F97" i="5" s="1"/>
  <c r="C95" i="5"/>
  <c r="B95" i="5"/>
  <c r="G88" i="5"/>
  <c r="F88" i="5"/>
  <c r="C88" i="5"/>
  <c r="B88" i="5"/>
  <c r="E88" i="5" s="1"/>
  <c r="G87" i="5"/>
  <c r="F87" i="5"/>
  <c r="F89" i="5" s="1"/>
  <c r="C87" i="5"/>
  <c r="B87" i="5"/>
  <c r="G80" i="5"/>
  <c r="F80" i="5"/>
  <c r="C80" i="5"/>
  <c r="B80" i="5"/>
  <c r="E80" i="5" s="1"/>
  <c r="G79" i="5"/>
  <c r="F79" i="5"/>
  <c r="C79" i="5"/>
  <c r="B79" i="5"/>
  <c r="E79" i="5" s="1"/>
  <c r="G78" i="5"/>
  <c r="F78" i="5"/>
  <c r="C78" i="5"/>
  <c r="B78" i="5"/>
  <c r="E78" i="5" s="1"/>
  <c r="G77" i="5"/>
  <c r="F77" i="5"/>
  <c r="C77" i="5"/>
  <c r="B77" i="5"/>
  <c r="E77" i="5" s="1"/>
  <c r="G76" i="5"/>
  <c r="F76" i="5"/>
  <c r="F81" i="5" s="1"/>
  <c r="C76" i="5"/>
  <c r="B76" i="5"/>
  <c r="G69" i="5"/>
  <c r="F69" i="5"/>
  <c r="C69" i="5"/>
  <c r="B69" i="5"/>
  <c r="E69" i="5" s="1"/>
  <c r="G68" i="5"/>
  <c r="F68" i="5"/>
  <c r="C68" i="5"/>
  <c r="B68" i="5"/>
  <c r="E68" i="5" s="1"/>
  <c r="G67" i="5"/>
  <c r="F67" i="5"/>
  <c r="C67" i="5"/>
  <c r="B67" i="5"/>
  <c r="E67" i="5" s="1"/>
  <c r="G66" i="5"/>
  <c r="F66" i="5"/>
  <c r="F70" i="5" s="1"/>
  <c r="C66" i="5"/>
  <c r="B66" i="5"/>
  <c r="G59" i="5"/>
  <c r="F59" i="5"/>
  <c r="C59" i="5"/>
  <c r="B59" i="5"/>
  <c r="E59" i="5" s="1"/>
  <c r="G58" i="5"/>
  <c r="F58" i="5"/>
  <c r="C58" i="5"/>
  <c r="B58" i="5"/>
  <c r="E58" i="5" s="1"/>
  <c r="G57" i="5"/>
  <c r="F57" i="5"/>
  <c r="C57" i="5"/>
  <c r="B57" i="5"/>
  <c r="E57" i="5" s="1"/>
  <c r="G56" i="5"/>
  <c r="F56" i="5"/>
  <c r="F60" i="5" s="1"/>
  <c r="C56" i="5"/>
  <c r="B56" i="5"/>
  <c r="B40" i="5"/>
  <c r="B39" i="5"/>
  <c r="B38" i="5"/>
  <c r="B37" i="5"/>
  <c r="B36" i="5"/>
  <c r="B35" i="5"/>
  <c r="B31" i="5"/>
  <c r="C31" i="5" s="1"/>
  <c r="B30" i="5"/>
  <c r="C30" i="5" s="1"/>
  <c r="B17" i="5"/>
  <c r="B18" i="5" s="1"/>
  <c r="B13" i="5"/>
  <c r="B12" i="5"/>
  <c r="B11" i="5"/>
  <c r="B10" i="5"/>
  <c r="B9" i="5"/>
  <c r="B8" i="5"/>
  <c r="B5" i="5"/>
  <c r="B4" i="5"/>
  <c r="AL1001" i="4"/>
  <c r="AK1001" i="4"/>
  <c r="AJ1001" i="4"/>
  <c r="AI1001" i="4"/>
  <c r="AH1001" i="4"/>
  <c r="AG1001" i="4"/>
  <c r="AF1001" i="4"/>
  <c r="AE1001" i="4"/>
  <c r="AD1001" i="4"/>
  <c r="AB1001" i="4"/>
  <c r="AA1001" i="4"/>
  <c r="AC1001" i="4" s="1"/>
  <c r="Z1001" i="4"/>
  <c r="Y1001" i="4"/>
  <c r="X1001" i="4"/>
  <c r="W1001" i="4"/>
  <c r="V1001" i="4"/>
  <c r="U1001" i="4"/>
  <c r="Q1001" i="4"/>
  <c r="P1001" i="4"/>
  <c r="O1001" i="4"/>
  <c r="AL1000" i="4"/>
  <c r="AK1000" i="4"/>
  <c r="AJ1000" i="4"/>
  <c r="AI1000" i="4"/>
  <c r="AH1000" i="4"/>
  <c r="AG1000" i="4"/>
  <c r="AF1000" i="4"/>
  <c r="AE1000" i="4"/>
  <c r="AD1000" i="4"/>
  <c r="AB1000" i="4"/>
  <c r="AA1000" i="4"/>
  <c r="AC1000" i="4" s="1"/>
  <c r="Z1000" i="4"/>
  <c r="Y1000" i="4"/>
  <c r="X1000" i="4"/>
  <c r="W1000" i="4"/>
  <c r="V1000" i="4"/>
  <c r="U1000" i="4"/>
  <c r="Q1000" i="4"/>
  <c r="P1000" i="4"/>
  <c r="O1000" i="4"/>
  <c r="AL999" i="4"/>
  <c r="AK999" i="4"/>
  <c r="AJ999" i="4"/>
  <c r="AI999" i="4"/>
  <c r="AH999" i="4"/>
  <c r="AG999" i="4"/>
  <c r="AF999" i="4"/>
  <c r="AE999" i="4"/>
  <c r="AD999" i="4"/>
  <c r="AB999" i="4"/>
  <c r="AA999" i="4"/>
  <c r="AC999" i="4" s="1"/>
  <c r="Z999" i="4"/>
  <c r="Y999" i="4"/>
  <c r="X999" i="4"/>
  <c r="W999" i="4"/>
  <c r="V999" i="4"/>
  <c r="U999" i="4"/>
  <c r="Q999" i="4"/>
  <c r="P999" i="4"/>
  <c r="O999" i="4"/>
  <c r="AL998" i="4"/>
  <c r="AK998" i="4"/>
  <c r="AJ998" i="4"/>
  <c r="AI998" i="4"/>
  <c r="AH998" i="4"/>
  <c r="AG998" i="4"/>
  <c r="AF998" i="4"/>
  <c r="AE998" i="4"/>
  <c r="AD998" i="4"/>
  <c r="AB998" i="4"/>
  <c r="AA998" i="4"/>
  <c r="AC998" i="4" s="1"/>
  <c r="Z998" i="4"/>
  <c r="Y998" i="4"/>
  <c r="X998" i="4"/>
  <c r="W998" i="4"/>
  <c r="V998" i="4"/>
  <c r="U998" i="4"/>
  <c r="Q998" i="4"/>
  <c r="P998" i="4"/>
  <c r="O998" i="4"/>
  <c r="AL997" i="4"/>
  <c r="AK997" i="4"/>
  <c r="AJ997" i="4"/>
  <c r="AI997" i="4"/>
  <c r="AH997" i="4"/>
  <c r="AG997" i="4"/>
  <c r="AF997" i="4"/>
  <c r="AE997" i="4"/>
  <c r="AD997" i="4"/>
  <c r="AB997" i="4"/>
  <c r="AA997" i="4"/>
  <c r="AC997" i="4" s="1"/>
  <c r="Z997" i="4"/>
  <c r="Y997" i="4"/>
  <c r="X997" i="4"/>
  <c r="W997" i="4"/>
  <c r="V997" i="4"/>
  <c r="U997" i="4"/>
  <c r="Q997" i="4"/>
  <c r="P997" i="4"/>
  <c r="O997" i="4"/>
  <c r="AL996" i="4"/>
  <c r="AK996" i="4"/>
  <c r="AJ996" i="4"/>
  <c r="AI996" i="4"/>
  <c r="AG996" i="4"/>
  <c r="AF996" i="4"/>
  <c r="AE996" i="4"/>
  <c r="AD996" i="4"/>
  <c r="AB996" i="4"/>
  <c r="AA996" i="4"/>
  <c r="AC996" i="4" s="1"/>
  <c r="Z996" i="4"/>
  <c r="Y996" i="4"/>
  <c r="X996" i="4"/>
  <c r="W996" i="4"/>
  <c r="V996" i="4"/>
  <c r="U996" i="4"/>
  <c r="Q996" i="4"/>
  <c r="P996" i="4"/>
  <c r="O996" i="4"/>
  <c r="AL995" i="4"/>
  <c r="AK995" i="4"/>
  <c r="AJ995" i="4"/>
  <c r="AI995" i="4"/>
  <c r="AH995" i="4"/>
  <c r="AG995" i="4"/>
  <c r="AF995" i="4"/>
  <c r="AE995" i="4"/>
  <c r="AD995" i="4"/>
  <c r="AB995" i="4"/>
  <c r="AA995" i="4"/>
  <c r="AC995" i="4" s="1"/>
  <c r="Z995" i="4"/>
  <c r="Y995" i="4"/>
  <c r="X995" i="4"/>
  <c r="W995" i="4"/>
  <c r="V995" i="4"/>
  <c r="U995" i="4"/>
  <c r="Q995" i="4"/>
  <c r="P995" i="4"/>
  <c r="O995" i="4"/>
  <c r="AL994" i="4"/>
  <c r="AK994" i="4"/>
  <c r="AJ994" i="4"/>
  <c r="AI994" i="4"/>
  <c r="AH994" i="4"/>
  <c r="AG994" i="4"/>
  <c r="AF994" i="4"/>
  <c r="AE994" i="4"/>
  <c r="AD994" i="4"/>
  <c r="AB994" i="4"/>
  <c r="AA994" i="4"/>
  <c r="AC994" i="4" s="1"/>
  <c r="Z994" i="4"/>
  <c r="Y994" i="4"/>
  <c r="X994" i="4"/>
  <c r="W994" i="4"/>
  <c r="V994" i="4"/>
  <c r="U994" i="4"/>
  <c r="Q994" i="4"/>
  <c r="P994" i="4"/>
  <c r="O994" i="4"/>
  <c r="AL993" i="4"/>
  <c r="AK993" i="4"/>
  <c r="AJ993" i="4"/>
  <c r="AI993" i="4"/>
  <c r="AH993" i="4"/>
  <c r="AG993" i="4"/>
  <c r="AF993" i="4"/>
  <c r="AE993" i="4"/>
  <c r="AD993" i="4"/>
  <c r="AB993" i="4"/>
  <c r="AA993" i="4"/>
  <c r="AC993" i="4" s="1"/>
  <c r="Z993" i="4"/>
  <c r="Y993" i="4"/>
  <c r="X993" i="4"/>
  <c r="W993" i="4"/>
  <c r="V993" i="4"/>
  <c r="U993" i="4"/>
  <c r="Q993" i="4"/>
  <c r="P993" i="4"/>
  <c r="O993" i="4"/>
  <c r="AL992" i="4"/>
  <c r="AK992" i="4"/>
  <c r="AJ992" i="4"/>
  <c r="AI992" i="4"/>
  <c r="AH992" i="4"/>
  <c r="AG992" i="4"/>
  <c r="AF992" i="4"/>
  <c r="AE992" i="4"/>
  <c r="AD992" i="4"/>
  <c r="AB992" i="4"/>
  <c r="AA992" i="4"/>
  <c r="AC992" i="4" s="1"/>
  <c r="Z992" i="4"/>
  <c r="Y992" i="4"/>
  <c r="X992" i="4"/>
  <c r="W992" i="4"/>
  <c r="V992" i="4"/>
  <c r="U992" i="4"/>
  <c r="Q992" i="4"/>
  <c r="P992" i="4"/>
  <c r="O992" i="4"/>
  <c r="AL991" i="4"/>
  <c r="AK991" i="4"/>
  <c r="AJ991" i="4"/>
  <c r="AI991" i="4"/>
  <c r="AG991" i="4"/>
  <c r="AF991" i="4"/>
  <c r="AE991" i="4"/>
  <c r="AD991" i="4"/>
  <c r="AB991" i="4"/>
  <c r="AA991" i="4"/>
  <c r="AC991" i="4" s="1"/>
  <c r="Z991" i="4"/>
  <c r="Y991" i="4"/>
  <c r="X991" i="4"/>
  <c r="W991" i="4"/>
  <c r="V991" i="4"/>
  <c r="U991" i="4"/>
  <c r="Q991" i="4"/>
  <c r="P991" i="4"/>
  <c r="O991" i="4"/>
  <c r="AL990" i="4"/>
  <c r="AK990" i="4"/>
  <c r="AJ990" i="4"/>
  <c r="AI990" i="4"/>
  <c r="AH990" i="4"/>
  <c r="AG990" i="4"/>
  <c r="AF990" i="4"/>
  <c r="AE990" i="4"/>
  <c r="AD990" i="4"/>
  <c r="AB990" i="4"/>
  <c r="AA990" i="4"/>
  <c r="AC990" i="4" s="1"/>
  <c r="Z990" i="4"/>
  <c r="Y990" i="4"/>
  <c r="X990" i="4"/>
  <c r="W990" i="4"/>
  <c r="V990" i="4"/>
  <c r="U990" i="4"/>
  <c r="Q990" i="4"/>
  <c r="P990" i="4"/>
  <c r="O990" i="4"/>
  <c r="AL989" i="4"/>
  <c r="AK989" i="4"/>
  <c r="AJ989" i="4"/>
  <c r="AI989" i="4"/>
  <c r="AH989" i="4"/>
  <c r="AG989" i="4"/>
  <c r="AF989" i="4"/>
  <c r="AE989" i="4"/>
  <c r="AD989" i="4"/>
  <c r="AB989" i="4"/>
  <c r="AA989" i="4"/>
  <c r="AC989" i="4" s="1"/>
  <c r="Z989" i="4"/>
  <c r="Y989" i="4"/>
  <c r="X989" i="4"/>
  <c r="W989" i="4"/>
  <c r="V989" i="4"/>
  <c r="U989" i="4"/>
  <c r="Q989" i="4"/>
  <c r="P989" i="4"/>
  <c r="O989" i="4"/>
  <c r="AL988" i="4"/>
  <c r="AK988" i="4"/>
  <c r="AJ988" i="4"/>
  <c r="AI988" i="4"/>
  <c r="AH988" i="4"/>
  <c r="AG988" i="4"/>
  <c r="AF988" i="4"/>
  <c r="AE988" i="4"/>
  <c r="AD988" i="4"/>
  <c r="AB988" i="4"/>
  <c r="AA988" i="4"/>
  <c r="AC988" i="4" s="1"/>
  <c r="Z988" i="4"/>
  <c r="Y988" i="4"/>
  <c r="X988" i="4"/>
  <c r="W988" i="4"/>
  <c r="V988" i="4"/>
  <c r="U988" i="4"/>
  <c r="Q988" i="4"/>
  <c r="P988" i="4"/>
  <c r="O988" i="4"/>
  <c r="AL987" i="4"/>
  <c r="AK987" i="4"/>
  <c r="AJ987" i="4"/>
  <c r="AI987" i="4"/>
  <c r="AH987" i="4"/>
  <c r="AG987" i="4"/>
  <c r="AF987" i="4"/>
  <c r="AE987" i="4"/>
  <c r="AD987" i="4"/>
  <c r="AB987" i="4"/>
  <c r="AA987" i="4"/>
  <c r="AC987" i="4" s="1"/>
  <c r="Z987" i="4"/>
  <c r="Y987" i="4"/>
  <c r="X987" i="4"/>
  <c r="W987" i="4"/>
  <c r="V987" i="4"/>
  <c r="U987" i="4"/>
  <c r="Q987" i="4"/>
  <c r="P987" i="4"/>
  <c r="O987" i="4"/>
  <c r="AL986" i="4"/>
  <c r="AK986" i="4"/>
  <c r="AJ986" i="4"/>
  <c r="AI986" i="4"/>
  <c r="AH986" i="4"/>
  <c r="AG986" i="4"/>
  <c r="AF986" i="4"/>
  <c r="AE986" i="4"/>
  <c r="AD986" i="4"/>
  <c r="AB986" i="4"/>
  <c r="AA986" i="4"/>
  <c r="AC986" i="4" s="1"/>
  <c r="Z986" i="4"/>
  <c r="Y986" i="4"/>
  <c r="X986" i="4"/>
  <c r="W986" i="4"/>
  <c r="V986" i="4"/>
  <c r="U986" i="4"/>
  <c r="Q986" i="4"/>
  <c r="P986" i="4"/>
  <c r="O986" i="4"/>
  <c r="AL985" i="4"/>
  <c r="AK985" i="4"/>
  <c r="AJ985" i="4"/>
  <c r="AI985" i="4"/>
  <c r="AH985" i="4"/>
  <c r="AG985" i="4"/>
  <c r="AF985" i="4"/>
  <c r="AE985" i="4"/>
  <c r="AD985" i="4"/>
  <c r="AB985" i="4"/>
  <c r="AA985" i="4"/>
  <c r="AC985" i="4" s="1"/>
  <c r="Z985" i="4"/>
  <c r="Y985" i="4"/>
  <c r="X985" i="4"/>
  <c r="W985" i="4"/>
  <c r="V985" i="4"/>
  <c r="U985" i="4"/>
  <c r="Q985" i="4"/>
  <c r="P985" i="4"/>
  <c r="O985" i="4"/>
  <c r="AL984" i="4"/>
  <c r="AK984" i="4"/>
  <c r="AJ984" i="4"/>
  <c r="AI984" i="4"/>
  <c r="AH984" i="4"/>
  <c r="AG984" i="4"/>
  <c r="AF984" i="4"/>
  <c r="AE984" i="4"/>
  <c r="AD984" i="4"/>
  <c r="AB984" i="4"/>
  <c r="AA984" i="4"/>
  <c r="AC984" i="4" s="1"/>
  <c r="Z984" i="4"/>
  <c r="Y984" i="4"/>
  <c r="X984" i="4"/>
  <c r="W984" i="4"/>
  <c r="V984" i="4"/>
  <c r="U984" i="4"/>
  <c r="Q984" i="4"/>
  <c r="P984" i="4"/>
  <c r="O984" i="4"/>
  <c r="AL983" i="4"/>
  <c r="AK983" i="4"/>
  <c r="AJ983" i="4"/>
  <c r="AI983" i="4"/>
  <c r="AH983" i="4"/>
  <c r="AG983" i="4"/>
  <c r="AF983" i="4"/>
  <c r="AE983" i="4"/>
  <c r="AD983" i="4"/>
  <c r="AB983" i="4"/>
  <c r="AA983" i="4"/>
  <c r="AC983" i="4" s="1"/>
  <c r="Z983" i="4"/>
  <c r="Y983" i="4"/>
  <c r="X983" i="4"/>
  <c r="W983" i="4"/>
  <c r="V983" i="4"/>
  <c r="U983" i="4"/>
  <c r="Q983" i="4"/>
  <c r="P983" i="4"/>
  <c r="O983" i="4"/>
  <c r="AL982" i="4"/>
  <c r="AK982" i="4"/>
  <c r="AJ982" i="4"/>
  <c r="AI982" i="4"/>
  <c r="AH982" i="4"/>
  <c r="AG982" i="4"/>
  <c r="AF982" i="4"/>
  <c r="AE982" i="4"/>
  <c r="AD982" i="4"/>
  <c r="AB982" i="4"/>
  <c r="AA982" i="4"/>
  <c r="AC982" i="4" s="1"/>
  <c r="Z982" i="4"/>
  <c r="Y982" i="4"/>
  <c r="X982" i="4"/>
  <c r="W982" i="4"/>
  <c r="V982" i="4"/>
  <c r="U982" i="4"/>
  <c r="Q982" i="4"/>
  <c r="P982" i="4"/>
  <c r="O982" i="4"/>
  <c r="AL981" i="4"/>
  <c r="AK981" i="4"/>
  <c r="AJ981" i="4"/>
  <c r="AI981" i="4"/>
  <c r="AH981" i="4"/>
  <c r="AG981" i="4"/>
  <c r="AF981" i="4"/>
  <c r="AE981" i="4"/>
  <c r="AD981" i="4"/>
  <c r="AB981" i="4"/>
  <c r="AA981" i="4"/>
  <c r="AC981" i="4" s="1"/>
  <c r="Z981" i="4"/>
  <c r="Y981" i="4"/>
  <c r="X981" i="4"/>
  <c r="W981" i="4"/>
  <c r="V981" i="4"/>
  <c r="U981" i="4"/>
  <c r="Q981" i="4"/>
  <c r="P981" i="4"/>
  <c r="O981" i="4"/>
  <c r="AL980" i="4"/>
  <c r="AK980" i="4"/>
  <c r="AJ980" i="4"/>
  <c r="AI980" i="4"/>
  <c r="AH980" i="4"/>
  <c r="AG980" i="4"/>
  <c r="AF980" i="4"/>
  <c r="AE980" i="4"/>
  <c r="AD980" i="4"/>
  <c r="AB980" i="4"/>
  <c r="AA980" i="4"/>
  <c r="AC980" i="4" s="1"/>
  <c r="Z980" i="4"/>
  <c r="Y980" i="4"/>
  <c r="X980" i="4"/>
  <c r="W980" i="4"/>
  <c r="V980" i="4"/>
  <c r="U980" i="4"/>
  <c r="Q980" i="4"/>
  <c r="P980" i="4"/>
  <c r="O980" i="4"/>
  <c r="AL979" i="4"/>
  <c r="AK979" i="4"/>
  <c r="AJ979" i="4"/>
  <c r="AI979" i="4"/>
  <c r="AH979" i="4"/>
  <c r="AG979" i="4"/>
  <c r="AF979" i="4"/>
  <c r="AE979" i="4"/>
  <c r="AD979" i="4"/>
  <c r="AB979" i="4"/>
  <c r="AA979" i="4"/>
  <c r="AC979" i="4" s="1"/>
  <c r="Z979" i="4"/>
  <c r="Y979" i="4"/>
  <c r="X979" i="4"/>
  <c r="W979" i="4"/>
  <c r="V979" i="4"/>
  <c r="U979" i="4"/>
  <c r="Q979" i="4"/>
  <c r="P979" i="4"/>
  <c r="O979" i="4"/>
  <c r="AL978" i="4"/>
  <c r="AK978" i="4"/>
  <c r="AJ978" i="4"/>
  <c r="AI978" i="4"/>
  <c r="AH978" i="4"/>
  <c r="AG978" i="4"/>
  <c r="AF978" i="4"/>
  <c r="AE978" i="4"/>
  <c r="AD978" i="4"/>
  <c r="AB978" i="4"/>
  <c r="AA978" i="4"/>
  <c r="AC978" i="4" s="1"/>
  <c r="Z978" i="4"/>
  <c r="Y978" i="4"/>
  <c r="X978" i="4"/>
  <c r="W978" i="4"/>
  <c r="V978" i="4"/>
  <c r="U978" i="4"/>
  <c r="Q978" i="4"/>
  <c r="P978" i="4"/>
  <c r="O978" i="4"/>
  <c r="AL977" i="4"/>
  <c r="AK977" i="4"/>
  <c r="AJ977" i="4"/>
  <c r="AI977" i="4"/>
  <c r="AH977" i="4"/>
  <c r="AG977" i="4"/>
  <c r="AF977" i="4"/>
  <c r="AE977" i="4"/>
  <c r="AD977" i="4"/>
  <c r="AB977" i="4"/>
  <c r="AA977" i="4"/>
  <c r="AC977" i="4" s="1"/>
  <c r="Z977" i="4"/>
  <c r="Y977" i="4"/>
  <c r="X977" i="4"/>
  <c r="W977" i="4"/>
  <c r="V977" i="4"/>
  <c r="U977" i="4"/>
  <c r="Q977" i="4"/>
  <c r="P977" i="4"/>
  <c r="O977" i="4"/>
  <c r="AL976" i="4"/>
  <c r="AK976" i="4"/>
  <c r="AJ976" i="4"/>
  <c r="AI976" i="4"/>
  <c r="AH976" i="4"/>
  <c r="AG976" i="4"/>
  <c r="AF976" i="4"/>
  <c r="AE976" i="4"/>
  <c r="AD976" i="4"/>
  <c r="AB976" i="4"/>
  <c r="AA976" i="4"/>
  <c r="AC976" i="4" s="1"/>
  <c r="Z976" i="4"/>
  <c r="Y976" i="4"/>
  <c r="X976" i="4"/>
  <c r="W976" i="4"/>
  <c r="V976" i="4"/>
  <c r="U976" i="4"/>
  <c r="Q976" i="4"/>
  <c r="P976" i="4"/>
  <c r="O976" i="4"/>
  <c r="AL975" i="4"/>
  <c r="AK975" i="4"/>
  <c r="AJ975" i="4"/>
  <c r="AI975" i="4"/>
  <c r="AH975" i="4"/>
  <c r="AG975" i="4"/>
  <c r="AF975" i="4"/>
  <c r="AE975" i="4"/>
  <c r="AD975" i="4"/>
  <c r="AB975" i="4"/>
  <c r="AA975" i="4"/>
  <c r="AC975" i="4" s="1"/>
  <c r="Z975" i="4"/>
  <c r="Y975" i="4"/>
  <c r="X975" i="4"/>
  <c r="W975" i="4"/>
  <c r="V975" i="4"/>
  <c r="U975" i="4"/>
  <c r="Q975" i="4"/>
  <c r="P975" i="4"/>
  <c r="O975" i="4"/>
  <c r="AL974" i="4"/>
  <c r="AK974" i="4"/>
  <c r="AJ974" i="4"/>
  <c r="AI974" i="4"/>
  <c r="AH974" i="4"/>
  <c r="AG974" i="4"/>
  <c r="AF974" i="4"/>
  <c r="AE974" i="4"/>
  <c r="AD974" i="4"/>
  <c r="AB974" i="4"/>
  <c r="AA974" i="4"/>
  <c r="AC974" i="4" s="1"/>
  <c r="Z974" i="4"/>
  <c r="Y974" i="4"/>
  <c r="X974" i="4"/>
  <c r="W974" i="4"/>
  <c r="V974" i="4"/>
  <c r="U974" i="4"/>
  <c r="Q974" i="4"/>
  <c r="P974" i="4"/>
  <c r="O974" i="4"/>
  <c r="AL973" i="4"/>
  <c r="AK973" i="4"/>
  <c r="AJ973" i="4"/>
  <c r="AI973" i="4"/>
  <c r="AH973" i="4"/>
  <c r="AG973" i="4"/>
  <c r="AF973" i="4"/>
  <c r="AE973" i="4"/>
  <c r="AD973" i="4"/>
  <c r="AB973" i="4"/>
  <c r="AA973" i="4"/>
  <c r="AC973" i="4" s="1"/>
  <c r="Z973" i="4"/>
  <c r="Y973" i="4"/>
  <c r="X973" i="4"/>
  <c r="W973" i="4"/>
  <c r="V973" i="4"/>
  <c r="U973" i="4"/>
  <c r="Q973" i="4"/>
  <c r="P973" i="4"/>
  <c r="O973" i="4"/>
  <c r="AL972" i="4"/>
  <c r="AK972" i="4"/>
  <c r="AJ972" i="4"/>
  <c r="AI972" i="4"/>
  <c r="AH972" i="4"/>
  <c r="AG972" i="4"/>
  <c r="AF972" i="4"/>
  <c r="AE972" i="4"/>
  <c r="AD972" i="4"/>
  <c r="AB972" i="4"/>
  <c r="AA972" i="4"/>
  <c r="AC972" i="4" s="1"/>
  <c r="Z972" i="4"/>
  <c r="Y972" i="4"/>
  <c r="X972" i="4"/>
  <c r="W972" i="4"/>
  <c r="V972" i="4"/>
  <c r="U972" i="4"/>
  <c r="Q972" i="4"/>
  <c r="P972" i="4"/>
  <c r="O972" i="4"/>
  <c r="AL971" i="4"/>
  <c r="AK971" i="4"/>
  <c r="AJ971" i="4"/>
  <c r="AI971" i="4"/>
  <c r="AH971" i="4"/>
  <c r="AG971" i="4"/>
  <c r="AF971" i="4"/>
  <c r="AE971" i="4"/>
  <c r="AD971" i="4"/>
  <c r="AB971" i="4"/>
  <c r="AA971" i="4"/>
  <c r="AC971" i="4" s="1"/>
  <c r="Z971" i="4"/>
  <c r="Y971" i="4"/>
  <c r="X971" i="4"/>
  <c r="W971" i="4"/>
  <c r="V971" i="4"/>
  <c r="U971" i="4"/>
  <c r="Q971" i="4"/>
  <c r="P971" i="4"/>
  <c r="O971" i="4"/>
  <c r="AL970" i="4"/>
  <c r="AK970" i="4"/>
  <c r="AJ970" i="4"/>
  <c r="AI970" i="4"/>
  <c r="AH970" i="4"/>
  <c r="AG970" i="4"/>
  <c r="AF970" i="4"/>
  <c r="AE970" i="4"/>
  <c r="AD970" i="4"/>
  <c r="AB970" i="4"/>
  <c r="AA970" i="4"/>
  <c r="AC970" i="4" s="1"/>
  <c r="Z970" i="4"/>
  <c r="Y970" i="4"/>
  <c r="X970" i="4"/>
  <c r="W970" i="4"/>
  <c r="V970" i="4"/>
  <c r="U970" i="4"/>
  <c r="Q970" i="4"/>
  <c r="P970" i="4"/>
  <c r="O970" i="4"/>
  <c r="AL969" i="4"/>
  <c r="AK969" i="4"/>
  <c r="AJ969" i="4"/>
  <c r="AI969" i="4"/>
  <c r="AH969" i="4"/>
  <c r="AG969" i="4"/>
  <c r="AF969" i="4"/>
  <c r="AE969" i="4"/>
  <c r="AD969" i="4"/>
  <c r="AB969" i="4"/>
  <c r="AA969" i="4"/>
  <c r="AC969" i="4" s="1"/>
  <c r="Z969" i="4"/>
  <c r="Y969" i="4"/>
  <c r="X969" i="4"/>
  <c r="W969" i="4"/>
  <c r="V969" i="4"/>
  <c r="U969" i="4"/>
  <c r="Q969" i="4"/>
  <c r="P969" i="4"/>
  <c r="O969" i="4"/>
  <c r="AL968" i="4"/>
  <c r="AK968" i="4"/>
  <c r="AJ968" i="4"/>
  <c r="AI968" i="4"/>
  <c r="AH968" i="4"/>
  <c r="AG968" i="4"/>
  <c r="AF968" i="4"/>
  <c r="AE968" i="4"/>
  <c r="AD968" i="4"/>
  <c r="AB968" i="4"/>
  <c r="AA968" i="4"/>
  <c r="AC968" i="4" s="1"/>
  <c r="Z968" i="4"/>
  <c r="Y968" i="4"/>
  <c r="X968" i="4"/>
  <c r="W968" i="4"/>
  <c r="V968" i="4"/>
  <c r="U968" i="4"/>
  <c r="Q968" i="4"/>
  <c r="P968" i="4"/>
  <c r="O968" i="4"/>
  <c r="AL967" i="4"/>
  <c r="AK967" i="4"/>
  <c r="AJ967" i="4"/>
  <c r="AI967" i="4"/>
  <c r="AH967" i="4"/>
  <c r="AG967" i="4"/>
  <c r="AF967" i="4"/>
  <c r="AE967" i="4"/>
  <c r="AD967" i="4"/>
  <c r="AB967" i="4"/>
  <c r="AA967" i="4"/>
  <c r="AC967" i="4" s="1"/>
  <c r="Z967" i="4"/>
  <c r="Y967" i="4"/>
  <c r="X967" i="4"/>
  <c r="W967" i="4"/>
  <c r="V967" i="4"/>
  <c r="U967" i="4"/>
  <c r="Q967" i="4"/>
  <c r="P967" i="4"/>
  <c r="O967" i="4"/>
  <c r="AL966" i="4"/>
  <c r="AK966" i="4"/>
  <c r="AJ966" i="4"/>
  <c r="AI966" i="4"/>
  <c r="AH966" i="4"/>
  <c r="AG966" i="4"/>
  <c r="AF966" i="4"/>
  <c r="AE966" i="4"/>
  <c r="AD966" i="4"/>
  <c r="AB966" i="4"/>
  <c r="AA966" i="4"/>
  <c r="AC966" i="4" s="1"/>
  <c r="Z966" i="4"/>
  <c r="Y966" i="4"/>
  <c r="X966" i="4"/>
  <c r="W966" i="4"/>
  <c r="V966" i="4"/>
  <c r="U966" i="4"/>
  <c r="Q966" i="4"/>
  <c r="P966" i="4"/>
  <c r="O966" i="4"/>
  <c r="AL965" i="4"/>
  <c r="AK965" i="4"/>
  <c r="AJ965" i="4"/>
  <c r="AI965" i="4"/>
  <c r="AH965" i="4"/>
  <c r="AG965" i="4"/>
  <c r="AF965" i="4"/>
  <c r="AE965" i="4"/>
  <c r="AD965" i="4"/>
  <c r="AB965" i="4"/>
  <c r="AA965" i="4"/>
  <c r="AC965" i="4" s="1"/>
  <c r="Z965" i="4"/>
  <c r="Y965" i="4"/>
  <c r="X965" i="4"/>
  <c r="W965" i="4"/>
  <c r="V965" i="4"/>
  <c r="U965" i="4"/>
  <c r="Q965" i="4"/>
  <c r="P965" i="4"/>
  <c r="O965" i="4"/>
  <c r="AL964" i="4"/>
  <c r="AK964" i="4"/>
  <c r="AJ964" i="4"/>
  <c r="AI964" i="4"/>
  <c r="AG964" i="4"/>
  <c r="AF964" i="4"/>
  <c r="AE964" i="4"/>
  <c r="AD964" i="4"/>
  <c r="AB964" i="4"/>
  <c r="AA964" i="4"/>
  <c r="AC964" i="4" s="1"/>
  <c r="Z964" i="4"/>
  <c r="Y964" i="4"/>
  <c r="X964" i="4"/>
  <c r="W964" i="4"/>
  <c r="V964" i="4"/>
  <c r="U964" i="4"/>
  <c r="Q964" i="4"/>
  <c r="P964" i="4"/>
  <c r="O964" i="4"/>
  <c r="AL963" i="4"/>
  <c r="AK963" i="4"/>
  <c r="AJ963" i="4"/>
  <c r="AI963" i="4"/>
  <c r="AG963" i="4"/>
  <c r="AF963" i="4"/>
  <c r="AE963" i="4"/>
  <c r="AD963" i="4"/>
  <c r="AB963" i="4"/>
  <c r="AA963" i="4"/>
  <c r="AC963" i="4" s="1"/>
  <c r="Z963" i="4"/>
  <c r="Y963" i="4"/>
  <c r="X963" i="4"/>
  <c r="W963" i="4"/>
  <c r="V963" i="4"/>
  <c r="U963" i="4"/>
  <c r="Q963" i="4"/>
  <c r="P963" i="4"/>
  <c r="O963" i="4"/>
  <c r="AL962" i="4"/>
  <c r="AK962" i="4"/>
  <c r="AJ962" i="4"/>
  <c r="AI962" i="4"/>
  <c r="AH962" i="4"/>
  <c r="AG962" i="4"/>
  <c r="AF962" i="4"/>
  <c r="AE962" i="4"/>
  <c r="AD962" i="4"/>
  <c r="AB962" i="4"/>
  <c r="AA962" i="4"/>
  <c r="AC962" i="4" s="1"/>
  <c r="Z962" i="4"/>
  <c r="Y962" i="4"/>
  <c r="X962" i="4"/>
  <c r="W962" i="4"/>
  <c r="V962" i="4"/>
  <c r="U962" i="4"/>
  <c r="Q962" i="4"/>
  <c r="P962" i="4"/>
  <c r="O962" i="4"/>
  <c r="AL961" i="4"/>
  <c r="AK961" i="4"/>
  <c r="AJ961" i="4"/>
  <c r="AI961" i="4"/>
  <c r="AH961" i="4"/>
  <c r="AG961" i="4"/>
  <c r="AF961" i="4"/>
  <c r="AE961" i="4"/>
  <c r="AD961" i="4"/>
  <c r="AB961" i="4"/>
  <c r="AA961" i="4"/>
  <c r="AC961" i="4" s="1"/>
  <c r="Z961" i="4"/>
  <c r="Y961" i="4"/>
  <c r="X961" i="4"/>
  <c r="W961" i="4"/>
  <c r="V961" i="4"/>
  <c r="U961" i="4"/>
  <c r="Q961" i="4"/>
  <c r="P961" i="4"/>
  <c r="O961" i="4"/>
  <c r="AL960" i="4"/>
  <c r="AK960" i="4"/>
  <c r="AJ960" i="4"/>
  <c r="AI960" i="4"/>
  <c r="AH960" i="4"/>
  <c r="AG960" i="4"/>
  <c r="AF960" i="4"/>
  <c r="AE960" i="4"/>
  <c r="AD960" i="4"/>
  <c r="AB960" i="4"/>
  <c r="AA960" i="4"/>
  <c r="AC960" i="4" s="1"/>
  <c r="Z960" i="4"/>
  <c r="Y960" i="4"/>
  <c r="X960" i="4"/>
  <c r="W960" i="4"/>
  <c r="V960" i="4"/>
  <c r="U960" i="4"/>
  <c r="Q960" i="4"/>
  <c r="P960" i="4"/>
  <c r="O960" i="4"/>
  <c r="AL959" i="4"/>
  <c r="AK959" i="4"/>
  <c r="AJ959" i="4"/>
  <c r="AI959" i="4"/>
  <c r="AH959" i="4"/>
  <c r="AG959" i="4"/>
  <c r="AF959" i="4"/>
  <c r="AE959" i="4"/>
  <c r="AD959" i="4"/>
  <c r="AB959" i="4"/>
  <c r="AA959" i="4"/>
  <c r="AC959" i="4" s="1"/>
  <c r="Z959" i="4"/>
  <c r="Y959" i="4"/>
  <c r="X959" i="4"/>
  <c r="W959" i="4"/>
  <c r="V959" i="4"/>
  <c r="U959" i="4"/>
  <c r="Q959" i="4"/>
  <c r="P959" i="4"/>
  <c r="O959" i="4"/>
  <c r="AL958" i="4"/>
  <c r="AK958" i="4"/>
  <c r="AJ958" i="4"/>
  <c r="AI958" i="4"/>
  <c r="AH958" i="4"/>
  <c r="AG958" i="4"/>
  <c r="AF958" i="4"/>
  <c r="AE958" i="4"/>
  <c r="AD958" i="4"/>
  <c r="AB958" i="4"/>
  <c r="AA958" i="4"/>
  <c r="AC958" i="4" s="1"/>
  <c r="Z958" i="4"/>
  <c r="Y958" i="4"/>
  <c r="X958" i="4"/>
  <c r="W958" i="4"/>
  <c r="V958" i="4"/>
  <c r="U958" i="4"/>
  <c r="Q958" i="4"/>
  <c r="P958" i="4"/>
  <c r="O958" i="4"/>
  <c r="AL957" i="4"/>
  <c r="AK957" i="4"/>
  <c r="AJ957" i="4"/>
  <c r="AI957" i="4"/>
  <c r="AH957" i="4"/>
  <c r="AG957" i="4"/>
  <c r="AF957" i="4"/>
  <c r="AE957" i="4"/>
  <c r="AD957" i="4"/>
  <c r="AB957" i="4"/>
  <c r="AA957" i="4"/>
  <c r="AC957" i="4" s="1"/>
  <c r="Z957" i="4"/>
  <c r="Y957" i="4"/>
  <c r="X957" i="4"/>
  <c r="W957" i="4"/>
  <c r="V957" i="4"/>
  <c r="U957" i="4"/>
  <c r="Q957" i="4"/>
  <c r="P957" i="4"/>
  <c r="O957" i="4"/>
  <c r="AL956" i="4"/>
  <c r="AK956" i="4"/>
  <c r="AJ956" i="4"/>
  <c r="AI956" i="4"/>
  <c r="AH956" i="4"/>
  <c r="AG956" i="4"/>
  <c r="AF956" i="4"/>
  <c r="AE956" i="4"/>
  <c r="AD956" i="4"/>
  <c r="AB956" i="4"/>
  <c r="AA956" i="4"/>
  <c r="AC956" i="4" s="1"/>
  <c r="Z956" i="4"/>
  <c r="Y956" i="4"/>
  <c r="X956" i="4"/>
  <c r="W956" i="4"/>
  <c r="V956" i="4"/>
  <c r="U956" i="4"/>
  <c r="Q956" i="4"/>
  <c r="P956" i="4"/>
  <c r="O956" i="4"/>
  <c r="AL955" i="4"/>
  <c r="AK955" i="4"/>
  <c r="AJ955" i="4"/>
  <c r="AI955" i="4"/>
  <c r="AH955" i="4"/>
  <c r="AG955" i="4"/>
  <c r="AF955" i="4"/>
  <c r="AE955" i="4"/>
  <c r="AD955" i="4"/>
  <c r="AB955" i="4"/>
  <c r="AA955" i="4"/>
  <c r="AC955" i="4" s="1"/>
  <c r="Z955" i="4"/>
  <c r="Y955" i="4"/>
  <c r="X955" i="4"/>
  <c r="W955" i="4"/>
  <c r="V955" i="4"/>
  <c r="U955" i="4"/>
  <c r="Q955" i="4"/>
  <c r="P955" i="4"/>
  <c r="O955" i="4"/>
  <c r="AL954" i="4"/>
  <c r="AK954" i="4"/>
  <c r="AJ954" i="4"/>
  <c r="AI954" i="4"/>
  <c r="AH954" i="4"/>
  <c r="AG954" i="4"/>
  <c r="AF954" i="4"/>
  <c r="AE954" i="4"/>
  <c r="AD954" i="4"/>
  <c r="AB954" i="4"/>
  <c r="AA954" i="4"/>
  <c r="AC954" i="4" s="1"/>
  <c r="Z954" i="4"/>
  <c r="Y954" i="4"/>
  <c r="X954" i="4"/>
  <c r="W954" i="4"/>
  <c r="V954" i="4"/>
  <c r="U954" i="4"/>
  <c r="Q954" i="4"/>
  <c r="P954" i="4"/>
  <c r="O954" i="4"/>
  <c r="AL953" i="4"/>
  <c r="AK953" i="4"/>
  <c r="AJ953" i="4"/>
  <c r="AI953" i="4"/>
  <c r="AH953" i="4"/>
  <c r="AG953" i="4"/>
  <c r="AF953" i="4"/>
  <c r="AE953" i="4"/>
  <c r="AD953" i="4"/>
  <c r="AB953" i="4"/>
  <c r="AA953" i="4"/>
  <c r="AC953" i="4" s="1"/>
  <c r="Z953" i="4"/>
  <c r="Y953" i="4"/>
  <c r="X953" i="4"/>
  <c r="W953" i="4"/>
  <c r="V953" i="4"/>
  <c r="U953" i="4"/>
  <c r="Q953" i="4"/>
  <c r="P953" i="4"/>
  <c r="O953" i="4"/>
  <c r="AL952" i="4"/>
  <c r="AK952" i="4"/>
  <c r="AJ952" i="4"/>
  <c r="AI952" i="4"/>
  <c r="AH952" i="4"/>
  <c r="AG952" i="4"/>
  <c r="AF952" i="4"/>
  <c r="AE952" i="4"/>
  <c r="AD952" i="4"/>
  <c r="AB952" i="4"/>
  <c r="AA952" i="4"/>
  <c r="AC952" i="4" s="1"/>
  <c r="Z952" i="4"/>
  <c r="Y952" i="4"/>
  <c r="X952" i="4"/>
  <c r="W952" i="4"/>
  <c r="V952" i="4"/>
  <c r="U952" i="4"/>
  <c r="Q952" i="4"/>
  <c r="P952" i="4"/>
  <c r="O952" i="4"/>
  <c r="AL951" i="4"/>
  <c r="AK951" i="4"/>
  <c r="AJ951" i="4"/>
  <c r="AI951" i="4"/>
  <c r="AH951" i="4"/>
  <c r="AG951" i="4"/>
  <c r="AF951" i="4"/>
  <c r="AE951" i="4"/>
  <c r="AD951" i="4"/>
  <c r="AB951" i="4"/>
  <c r="AA951" i="4"/>
  <c r="AC951" i="4" s="1"/>
  <c r="Z951" i="4"/>
  <c r="Y951" i="4"/>
  <c r="X951" i="4"/>
  <c r="W951" i="4"/>
  <c r="V951" i="4"/>
  <c r="U951" i="4"/>
  <c r="Q951" i="4"/>
  <c r="P951" i="4"/>
  <c r="O951" i="4"/>
  <c r="AL950" i="4"/>
  <c r="AK950" i="4"/>
  <c r="AJ950" i="4"/>
  <c r="AI950" i="4"/>
  <c r="AH950" i="4"/>
  <c r="AG950" i="4"/>
  <c r="AF950" i="4"/>
  <c r="AE950" i="4"/>
  <c r="AD950" i="4"/>
  <c r="AB950" i="4"/>
  <c r="AA950" i="4"/>
  <c r="AC950" i="4" s="1"/>
  <c r="Z950" i="4"/>
  <c r="Y950" i="4"/>
  <c r="X950" i="4"/>
  <c r="W950" i="4"/>
  <c r="V950" i="4"/>
  <c r="U950" i="4"/>
  <c r="Q950" i="4"/>
  <c r="P950" i="4"/>
  <c r="O950" i="4"/>
  <c r="AL949" i="4"/>
  <c r="AK949" i="4"/>
  <c r="AJ949" i="4"/>
  <c r="AI949" i="4"/>
  <c r="AH949" i="4"/>
  <c r="AG949" i="4"/>
  <c r="AF949" i="4"/>
  <c r="AE949" i="4"/>
  <c r="AD949" i="4"/>
  <c r="AB949" i="4"/>
  <c r="AA949" i="4"/>
  <c r="AC949" i="4" s="1"/>
  <c r="Z949" i="4"/>
  <c r="Y949" i="4"/>
  <c r="X949" i="4"/>
  <c r="W949" i="4"/>
  <c r="V949" i="4"/>
  <c r="U949" i="4"/>
  <c r="Q949" i="4"/>
  <c r="P949" i="4"/>
  <c r="O949" i="4"/>
  <c r="AL948" i="4"/>
  <c r="AK948" i="4"/>
  <c r="AJ948" i="4"/>
  <c r="AI948" i="4"/>
  <c r="AH948" i="4"/>
  <c r="AG948" i="4"/>
  <c r="AF948" i="4"/>
  <c r="AE948" i="4"/>
  <c r="AD948" i="4"/>
  <c r="AB948" i="4"/>
  <c r="AA948" i="4"/>
  <c r="AC948" i="4" s="1"/>
  <c r="Z948" i="4"/>
  <c r="Y948" i="4"/>
  <c r="X948" i="4"/>
  <c r="W948" i="4"/>
  <c r="V948" i="4"/>
  <c r="U948" i="4"/>
  <c r="Q948" i="4"/>
  <c r="P948" i="4"/>
  <c r="O948" i="4"/>
  <c r="AL947" i="4"/>
  <c r="AK947" i="4"/>
  <c r="AJ947" i="4"/>
  <c r="AI947" i="4"/>
  <c r="AH947" i="4"/>
  <c r="AG947" i="4"/>
  <c r="AF947" i="4"/>
  <c r="AE947" i="4"/>
  <c r="AD947" i="4"/>
  <c r="AB947" i="4"/>
  <c r="AA947" i="4"/>
  <c r="AC947" i="4" s="1"/>
  <c r="Z947" i="4"/>
  <c r="Y947" i="4"/>
  <c r="X947" i="4"/>
  <c r="W947" i="4"/>
  <c r="V947" i="4"/>
  <c r="U947" i="4"/>
  <c r="Q947" i="4"/>
  <c r="P947" i="4"/>
  <c r="O947" i="4"/>
  <c r="AL946" i="4"/>
  <c r="AK946" i="4"/>
  <c r="AJ946" i="4"/>
  <c r="AI946" i="4"/>
  <c r="AH946" i="4"/>
  <c r="AG946" i="4"/>
  <c r="AF946" i="4"/>
  <c r="AE946" i="4"/>
  <c r="AD946" i="4"/>
  <c r="AB946" i="4"/>
  <c r="AA946" i="4"/>
  <c r="AC946" i="4" s="1"/>
  <c r="Z946" i="4"/>
  <c r="Y946" i="4"/>
  <c r="X946" i="4"/>
  <c r="W946" i="4"/>
  <c r="V946" i="4"/>
  <c r="U946" i="4"/>
  <c r="Q946" i="4"/>
  <c r="P946" i="4"/>
  <c r="O946" i="4"/>
  <c r="AL945" i="4"/>
  <c r="AK945" i="4"/>
  <c r="AJ945" i="4"/>
  <c r="AI945" i="4"/>
  <c r="AG945" i="4"/>
  <c r="AF945" i="4"/>
  <c r="AE945" i="4"/>
  <c r="AD945" i="4"/>
  <c r="AB945" i="4"/>
  <c r="AA945" i="4"/>
  <c r="AC945" i="4" s="1"/>
  <c r="Z945" i="4"/>
  <c r="Y945" i="4"/>
  <c r="X945" i="4"/>
  <c r="W945" i="4"/>
  <c r="V945" i="4"/>
  <c r="U945" i="4"/>
  <c r="Q945" i="4"/>
  <c r="P945" i="4"/>
  <c r="O945" i="4"/>
  <c r="AL944" i="4"/>
  <c r="AK944" i="4"/>
  <c r="AJ944" i="4"/>
  <c r="AI944" i="4"/>
  <c r="AH944" i="4"/>
  <c r="AG944" i="4"/>
  <c r="AF944" i="4"/>
  <c r="AE944" i="4"/>
  <c r="AD944" i="4"/>
  <c r="AB944" i="4"/>
  <c r="AA944" i="4"/>
  <c r="AC944" i="4" s="1"/>
  <c r="Z944" i="4"/>
  <c r="Y944" i="4"/>
  <c r="X944" i="4"/>
  <c r="W944" i="4"/>
  <c r="V944" i="4"/>
  <c r="U944" i="4"/>
  <c r="Q944" i="4"/>
  <c r="P944" i="4"/>
  <c r="O944" i="4"/>
  <c r="AL943" i="4"/>
  <c r="AK943" i="4"/>
  <c r="AJ943" i="4"/>
  <c r="AI943" i="4"/>
  <c r="AH943" i="4"/>
  <c r="AG943" i="4"/>
  <c r="AF943" i="4"/>
  <c r="AE943" i="4"/>
  <c r="AD943" i="4"/>
  <c r="AB943" i="4"/>
  <c r="AA943" i="4"/>
  <c r="AC943" i="4" s="1"/>
  <c r="Z943" i="4"/>
  <c r="Y943" i="4"/>
  <c r="X943" i="4"/>
  <c r="W943" i="4"/>
  <c r="V943" i="4"/>
  <c r="U943" i="4"/>
  <c r="Q943" i="4"/>
  <c r="P943" i="4"/>
  <c r="O943" i="4"/>
  <c r="AL942" i="4"/>
  <c r="AK942" i="4"/>
  <c r="AJ942" i="4"/>
  <c r="AI942" i="4"/>
  <c r="AH942" i="4"/>
  <c r="AG942" i="4"/>
  <c r="AF942" i="4"/>
  <c r="AE942" i="4"/>
  <c r="AD942" i="4"/>
  <c r="AB942" i="4"/>
  <c r="AA942" i="4"/>
  <c r="AC942" i="4" s="1"/>
  <c r="Z942" i="4"/>
  <c r="Y942" i="4"/>
  <c r="X942" i="4"/>
  <c r="W942" i="4"/>
  <c r="V942" i="4"/>
  <c r="U942" i="4"/>
  <c r="Q942" i="4"/>
  <c r="P942" i="4"/>
  <c r="O942" i="4"/>
  <c r="AL941" i="4"/>
  <c r="AK941" i="4"/>
  <c r="AJ941" i="4"/>
  <c r="AI941" i="4"/>
  <c r="AH941" i="4"/>
  <c r="AG941" i="4"/>
  <c r="AF941" i="4"/>
  <c r="AE941" i="4"/>
  <c r="AD941" i="4"/>
  <c r="AB941" i="4"/>
  <c r="AA941" i="4"/>
  <c r="AC941" i="4" s="1"/>
  <c r="Z941" i="4"/>
  <c r="Y941" i="4"/>
  <c r="X941" i="4"/>
  <c r="W941" i="4"/>
  <c r="V941" i="4"/>
  <c r="U941" i="4"/>
  <c r="Q941" i="4"/>
  <c r="P941" i="4"/>
  <c r="O941" i="4"/>
  <c r="AL940" i="4"/>
  <c r="AK940" i="4"/>
  <c r="AJ940" i="4"/>
  <c r="AI940" i="4"/>
  <c r="AH940" i="4"/>
  <c r="AG940" i="4"/>
  <c r="AF940" i="4"/>
  <c r="AE940" i="4"/>
  <c r="AD940" i="4"/>
  <c r="AB940" i="4"/>
  <c r="AA940" i="4"/>
  <c r="AC940" i="4" s="1"/>
  <c r="Z940" i="4"/>
  <c r="Y940" i="4"/>
  <c r="X940" i="4"/>
  <c r="W940" i="4"/>
  <c r="V940" i="4"/>
  <c r="U940" i="4"/>
  <c r="Q940" i="4"/>
  <c r="P940" i="4"/>
  <c r="O940" i="4"/>
  <c r="AL939" i="4"/>
  <c r="AK939" i="4"/>
  <c r="AJ939" i="4"/>
  <c r="AI939" i="4"/>
  <c r="AH939" i="4"/>
  <c r="AG939" i="4"/>
  <c r="AF939" i="4"/>
  <c r="AE939" i="4"/>
  <c r="AD939" i="4"/>
  <c r="AB939" i="4"/>
  <c r="AA939" i="4"/>
  <c r="AC939" i="4" s="1"/>
  <c r="Z939" i="4"/>
  <c r="Y939" i="4"/>
  <c r="X939" i="4"/>
  <c r="W939" i="4"/>
  <c r="V939" i="4"/>
  <c r="U939" i="4"/>
  <c r="Q939" i="4"/>
  <c r="P939" i="4"/>
  <c r="O939" i="4"/>
  <c r="AL938" i="4"/>
  <c r="AK938" i="4"/>
  <c r="AJ938" i="4"/>
  <c r="AI938" i="4"/>
  <c r="AH938" i="4"/>
  <c r="AG938" i="4"/>
  <c r="AF938" i="4"/>
  <c r="AE938" i="4"/>
  <c r="AD938" i="4"/>
  <c r="AB938" i="4"/>
  <c r="AA938" i="4"/>
  <c r="AC938" i="4" s="1"/>
  <c r="Z938" i="4"/>
  <c r="Y938" i="4"/>
  <c r="X938" i="4"/>
  <c r="W938" i="4"/>
  <c r="V938" i="4"/>
  <c r="U938" i="4"/>
  <c r="Q938" i="4"/>
  <c r="P938" i="4"/>
  <c r="O938" i="4"/>
  <c r="AL937" i="4"/>
  <c r="AK937" i="4"/>
  <c r="AJ937" i="4"/>
  <c r="AI937" i="4"/>
  <c r="AH937" i="4"/>
  <c r="AG937" i="4"/>
  <c r="AF937" i="4"/>
  <c r="AE937" i="4"/>
  <c r="AD937" i="4"/>
  <c r="AB937" i="4"/>
  <c r="AA937" i="4"/>
  <c r="AC937" i="4" s="1"/>
  <c r="Z937" i="4"/>
  <c r="Y937" i="4"/>
  <c r="X937" i="4"/>
  <c r="W937" i="4"/>
  <c r="V937" i="4"/>
  <c r="U937" i="4"/>
  <c r="Q937" i="4"/>
  <c r="P937" i="4"/>
  <c r="O937" i="4"/>
  <c r="AL936" i="4"/>
  <c r="AK936" i="4"/>
  <c r="AJ936" i="4"/>
  <c r="AI936" i="4"/>
  <c r="AH936" i="4"/>
  <c r="AG936" i="4"/>
  <c r="AF936" i="4"/>
  <c r="AE936" i="4"/>
  <c r="AD936" i="4"/>
  <c r="AB936" i="4"/>
  <c r="AA936" i="4"/>
  <c r="AC936" i="4" s="1"/>
  <c r="Z936" i="4"/>
  <c r="Y936" i="4"/>
  <c r="X936" i="4"/>
  <c r="W936" i="4"/>
  <c r="V936" i="4"/>
  <c r="U936" i="4"/>
  <c r="Q936" i="4"/>
  <c r="P936" i="4"/>
  <c r="O936" i="4"/>
  <c r="AL935" i="4"/>
  <c r="AK935" i="4"/>
  <c r="AJ935" i="4"/>
  <c r="AI935" i="4"/>
  <c r="AH935" i="4"/>
  <c r="AG935" i="4"/>
  <c r="AF935" i="4"/>
  <c r="AE935" i="4"/>
  <c r="AD935" i="4"/>
  <c r="AB935" i="4"/>
  <c r="AA935" i="4"/>
  <c r="AC935" i="4" s="1"/>
  <c r="Z935" i="4"/>
  <c r="Y935" i="4"/>
  <c r="X935" i="4"/>
  <c r="W935" i="4"/>
  <c r="V935" i="4"/>
  <c r="U935" i="4"/>
  <c r="Q935" i="4"/>
  <c r="P935" i="4"/>
  <c r="O935" i="4"/>
  <c r="AL934" i="4"/>
  <c r="AK934" i="4"/>
  <c r="AJ934" i="4"/>
  <c r="AI934" i="4"/>
  <c r="AH934" i="4"/>
  <c r="AG934" i="4"/>
  <c r="AF934" i="4"/>
  <c r="AE934" i="4"/>
  <c r="AD934" i="4"/>
  <c r="AB934" i="4"/>
  <c r="AA934" i="4"/>
  <c r="AC934" i="4" s="1"/>
  <c r="Z934" i="4"/>
  <c r="Y934" i="4"/>
  <c r="X934" i="4"/>
  <c r="W934" i="4"/>
  <c r="V934" i="4"/>
  <c r="U934" i="4"/>
  <c r="Q934" i="4"/>
  <c r="P934" i="4"/>
  <c r="O934" i="4"/>
  <c r="AL933" i="4"/>
  <c r="AK933" i="4"/>
  <c r="AJ933" i="4"/>
  <c r="AI933" i="4"/>
  <c r="AH933" i="4"/>
  <c r="AG933" i="4"/>
  <c r="AF933" i="4"/>
  <c r="AE933" i="4"/>
  <c r="AD933" i="4"/>
  <c r="AB933" i="4"/>
  <c r="AA933" i="4"/>
  <c r="AC933" i="4" s="1"/>
  <c r="Z933" i="4"/>
  <c r="Y933" i="4"/>
  <c r="X933" i="4"/>
  <c r="W933" i="4"/>
  <c r="V933" i="4"/>
  <c r="U933" i="4"/>
  <c r="Q933" i="4"/>
  <c r="P933" i="4"/>
  <c r="O933" i="4"/>
  <c r="AL932" i="4"/>
  <c r="AK932" i="4"/>
  <c r="AJ932" i="4"/>
  <c r="AI932" i="4"/>
  <c r="AH932" i="4"/>
  <c r="AG932" i="4"/>
  <c r="AF932" i="4"/>
  <c r="AE932" i="4"/>
  <c r="AD932" i="4"/>
  <c r="AB932" i="4"/>
  <c r="AA932" i="4"/>
  <c r="AC932" i="4" s="1"/>
  <c r="Z932" i="4"/>
  <c r="Y932" i="4"/>
  <c r="X932" i="4"/>
  <c r="W932" i="4"/>
  <c r="V932" i="4"/>
  <c r="U932" i="4"/>
  <c r="Q932" i="4"/>
  <c r="P932" i="4"/>
  <c r="O932" i="4"/>
  <c r="AL931" i="4"/>
  <c r="AK931" i="4"/>
  <c r="AJ931" i="4"/>
  <c r="AI931" i="4"/>
  <c r="AH931" i="4"/>
  <c r="AG931" i="4"/>
  <c r="AF931" i="4"/>
  <c r="AE931" i="4"/>
  <c r="AD931" i="4"/>
  <c r="AB931" i="4"/>
  <c r="AA931" i="4"/>
  <c r="AC931" i="4" s="1"/>
  <c r="Z931" i="4"/>
  <c r="Y931" i="4"/>
  <c r="X931" i="4"/>
  <c r="W931" i="4"/>
  <c r="V931" i="4"/>
  <c r="U931" i="4"/>
  <c r="Q931" i="4"/>
  <c r="P931" i="4"/>
  <c r="O931" i="4"/>
  <c r="AL930" i="4"/>
  <c r="AK930" i="4"/>
  <c r="AJ930" i="4"/>
  <c r="AI930" i="4"/>
  <c r="AH930" i="4"/>
  <c r="AG930" i="4"/>
  <c r="AF930" i="4"/>
  <c r="AE930" i="4"/>
  <c r="AD930" i="4"/>
  <c r="AB930" i="4"/>
  <c r="AA930" i="4"/>
  <c r="AC930" i="4" s="1"/>
  <c r="Z930" i="4"/>
  <c r="Y930" i="4"/>
  <c r="X930" i="4"/>
  <c r="W930" i="4"/>
  <c r="V930" i="4"/>
  <c r="U930" i="4"/>
  <c r="Q930" i="4"/>
  <c r="P930" i="4"/>
  <c r="O930" i="4"/>
  <c r="AL929" i="4"/>
  <c r="AK929" i="4"/>
  <c r="AJ929" i="4"/>
  <c r="AI929" i="4"/>
  <c r="AH929" i="4"/>
  <c r="AG929" i="4"/>
  <c r="AF929" i="4"/>
  <c r="AE929" i="4"/>
  <c r="AD929" i="4"/>
  <c r="AB929" i="4"/>
  <c r="AA929" i="4"/>
  <c r="AC929" i="4" s="1"/>
  <c r="Z929" i="4"/>
  <c r="Y929" i="4"/>
  <c r="X929" i="4"/>
  <c r="W929" i="4"/>
  <c r="V929" i="4"/>
  <c r="U929" i="4"/>
  <c r="Q929" i="4"/>
  <c r="P929" i="4"/>
  <c r="O929" i="4"/>
  <c r="AL928" i="4"/>
  <c r="AK928" i="4"/>
  <c r="AJ928" i="4"/>
  <c r="AI928" i="4"/>
  <c r="AG928" i="4"/>
  <c r="AF928" i="4"/>
  <c r="AE928" i="4"/>
  <c r="AD928" i="4"/>
  <c r="AB928" i="4"/>
  <c r="AA928" i="4"/>
  <c r="AC928" i="4" s="1"/>
  <c r="Z928" i="4"/>
  <c r="Y928" i="4"/>
  <c r="X928" i="4"/>
  <c r="W928" i="4"/>
  <c r="V928" i="4"/>
  <c r="U928" i="4"/>
  <c r="Q928" i="4"/>
  <c r="P928" i="4"/>
  <c r="O928" i="4"/>
  <c r="AL927" i="4"/>
  <c r="AK927" i="4"/>
  <c r="AJ927" i="4"/>
  <c r="AI927" i="4"/>
  <c r="AH927" i="4"/>
  <c r="AG927" i="4"/>
  <c r="AF927" i="4"/>
  <c r="AE927" i="4"/>
  <c r="AD927" i="4"/>
  <c r="AB927" i="4"/>
  <c r="AA927" i="4"/>
  <c r="AC927" i="4" s="1"/>
  <c r="Z927" i="4"/>
  <c r="Y927" i="4"/>
  <c r="X927" i="4"/>
  <c r="W927" i="4"/>
  <c r="V927" i="4"/>
  <c r="U927" i="4"/>
  <c r="Q927" i="4"/>
  <c r="P927" i="4"/>
  <c r="O927" i="4"/>
  <c r="AL926" i="4"/>
  <c r="AK926" i="4"/>
  <c r="AJ926" i="4"/>
  <c r="AI926" i="4"/>
  <c r="AH926" i="4"/>
  <c r="AG926" i="4"/>
  <c r="AF926" i="4"/>
  <c r="AE926" i="4"/>
  <c r="AD926" i="4"/>
  <c r="AB926" i="4"/>
  <c r="AA926" i="4"/>
  <c r="AC926" i="4" s="1"/>
  <c r="Z926" i="4"/>
  <c r="Y926" i="4"/>
  <c r="X926" i="4"/>
  <c r="W926" i="4"/>
  <c r="V926" i="4"/>
  <c r="U926" i="4"/>
  <c r="Q926" i="4"/>
  <c r="P926" i="4"/>
  <c r="O926" i="4"/>
  <c r="AL925" i="4"/>
  <c r="AK925" i="4"/>
  <c r="AJ925" i="4"/>
  <c r="AI925" i="4"/>
  <c r="AH925" i="4"/>
  <c r="AG925" i="4"/>
  <c r="AF925" i="4"/>
  <c r="AE925" i="4"/>
  <c r="AD925" i="4"/>
  <c r="AB925" i="4"/>
  <c r="AA925" i="4"/>
  <c r="AC925" i="4" s="1"/>
  <c r="Z925" i="4"/>
  <c r="Y925" i="4"/>
  <c r="X925" i="4"/>
  <c r="W925" i="4"/>
  <c r="V925" i="4"/>
  <c r="U925" i="4"/>
  <c r="Q925" i="4"/>
  <c r="P925" i="4"/>
  <c r="O925" i="4"/>
  <c r="AL924" i="4"/>
  <c r="AK924" i="4"/>
  <c r="AJ924" i="4"/>
  <c r="AI924" i="4"/>
  <c r="AH924" i="4"/>
  <c r="AG924" i="4"/>
  <c r="AF924" i="4"/>
  <c r="AE924" i="4"/>
  <c r="AD924" i="4"/>
  <c r="AB924" i="4"/>
  <c r="AA924" i="4"/>
  <c r="AC924" i="4" s="1"/>
  <c r="Z924" i="4"/>
  <c r="Y924" i="4"/>
  <c r="X924" i="4"/>
  <c r="W924" i="4"/>
  <c r="V924" i="4"/>
  <c r="U924" i="4"/>
  <c r="Q924" i="4"/>
  <c r="P924" i="4"/>
  <c r="O924" i="4"/>
  <c r="AL923" i="4"/>
  <c r="AK923" i="4"/>
  <c r="AJ923" i="4"/>
  <c r="AI923" i="4"/>
  <c r="AH923" i="4"/>
  <c r="AG923" i="4"/>
  <c r="AF923" i="4"/>
  <c r="AE923" i="4"/>
  <c r="AD923" i="4"/>
  <c r="AB923" i="4"/>
  <c r="AA923" i="4"/>
  <c r="AC923" i="4" s="1"/>
  <c r="Z923" i="4"/>
  <c r="Y923" i="4"/>
  <c r="X923" i="4"/>
  <c r="W923" i="4"/>
  <c r="V923" i="4"/>
  <c r="U923" i="4"/>
  <c r="Q923" i="4"/>
  <c r="P923" i="4"/>
  <c r="O923" i="4"/>
  <c r="AL922" i="4"/>
  <c r="AK922" i="4"/>
  <c r="AJ922" i="4"/>
  <c r="AI922" i="4"/>
  <c r="AH922" i="4"/>
  <c r="AG922" i="4"/>
  <c r="AF922" i="4"/>
  <c r="AE922" i="4"/>
  <c r="AD922" i="4"/>
  <c r="AB922" i="4"/>
  <c r="AA922" i="4"/>
  <c r="AC922" i="4" s="1"/>
  <c r="Z922" i="4"/>
  <c r="Y922" i="4"/>
  <c r="X922" i="4"/>
  <c r="W922" i="4"/>
  <c r="V922" i="4"/>
  <c r="U922" i="4"/>
  <c r="Q922" i="4"/>
  <c r="P922" i="4"/>
  <c r="O922" i="4"/>
  <c r="AL921" i="4"/>
  <c r="AK921" i="4"/>
  <c r="AJ921" i="4"/>
  <c r="AI921" i="4"/>
  <c r="AH921" i="4"/>
  <c r="AG921" i="4"/>
  <c r="AF921" i="4"/>
  <c r="AE921" i="4"/>
  <c r="AD921" i="4"/>
  <c r="AB921" i="4"/>
  <c r="AA921" i="4"/>
  <c r="AC921" i="4" s="1"/>
  <c r="Z921" i="4"/>
  <c r="Y921" i="4"/>
  <c r="X921" i="4"/>
  <c r="W921" i="4"/>
  <c r="V921" i="4"/>
  <c r="U921" i="4"/>
  <c r="Q921" i="4"/>
  <c r="P921" i="4"/>
  <c r="O921" i="4"/>
  <c r="AL920" i="4"/>
  <c r="AK920" i="4"/>
  <c r="AJ920" i="4"/>
  <c r="AI920" i="4"/>
  <c r="AH920" i="4"/>
  <c r="AG920" i="4"/>
  <c r="AF920" i="4"/>
  <c r="AE920" i="4"/>
  <c r="AD920" i="4"/>
  <c r="AB920" i="4"/>
  <c r="AA920" i="4"/>
  <c r="AC920" i="4" s="1"/>
  <c r="Z920" i="4"/>
  <c r="Y920" i="4"/>
  <c r="X920" i="4"/>
  <c r="W920" i="4"/>
  <c r="V920" i="4"/>
  <c r="U920" i="4"/>
  <c r="Q920" i="4"/>
  <c r="P920" i="4"/>
  <c r="O920" i="4"/>
  <c r="AL919" i="4"/>
  <c r="AK919" i="4"/>
  <c r="AJ919" i="4"/>
  <c r="AI919" i="4"/>
  <c r="AH919" i="4"/>
  <c r="AG919" i="4"/>
  <c r="AF919" i="4"/>
  <c r="AE919" i="4"/>
  <c r="AD919" i="4"/>
  <c r="AB919" i="4"/>
  <c r="AA919" i="4"/>
  <c r="AC919" i="4" s="1"/>
  <c r="Z919" i="4"/>
  <c r="Y919" i="4"/>
  <c r="X919" i="4"/>
  <c r="W919" i="4"/>
  <c r="V919" i="4"/>
  <c r="U919" i="4"/>
  <c r="Q919" i="4"/>
  <c r="P919" i="4"/>
  <c r="O919" i="4"/>
  <c r="AL918" i="4"/>
  <c r="AK918" i="4"/>
  <c r="AJ918" i="4"/>
  <c r="AI918" i="4"/>
  <c r="AH918" i="4"/>
  <c r="AG918" i="4"/>
  <c r="AF918" i="4"/>
  <c r="AE918" i="4"/>
  <c r="AD918" i="4"/>
  <c r="AB918" i="4"/>
  <c r="AA918" i="4"/>
  <c r="AC918" i="4" s="1"/>
  <c r="Z918" i="4"/>
  <c r="Y918" i="4"/>
  <c r="X918" i="4"/>
  <c r="W918" i="4"/>
  <c r="V918" i="4"/>
  <c r="U918" i="4"/>
  <c r="Q918" i="4"/>
  <c r="P918" i="4"/>
  <c r="O918" i="4"/>
  <c r="AL917" i="4"/>
  <c r="AK917" i="4"/>
  <c r="AJ917" i="4"/>
  <c r="AI917" i="4"/>
  <c r="AH917" i="4"/>
  <c r="AG917" i="4"/>
  <c r="AF917" i="4"/>
  <c r="AE917" i="4"/>
  <c r="AD917" i="4"/>
  <c r="AB917" i="4"/>
  <c r="AA917" i="4"/>
  <c r="AC917" i="4" s="1"/>
  <c r="Z917" i="4"/>
  <c r="Y917" i="4"/>
  <c r="X917" i="4"/>
  <c r="W917" i="4"/>
  <c r="V917" i="4"/>
  <c r="U917" i="4"/>
  <c r="Q917" i="4"/>
  <c r="P917" i="4"/>
  <c r="O917" i="4"/>
  <c r="AL916" i="4"/>
  <c r="AK916" i="4"/>
  <c r="AJ916" i="4"/>
  <c r="AI916" i="4"/>
  <c r="AH916" i="4"/>
  <c r="AG916" i="4"/>
  <c r="AF916" i="4"/>
  <c r="AE916" i="4"/>
  <c r="AD916" i="4"/>
  <c r="AB916" i="4"/>
  <c r="AA916" i="4"/>
  <c r="AC916" i="4" s="1"/>
  <c r="Z916" i="4"/>
  <c r="Y916" i="4"/>
  <c r="X916" i="4"/>
  <c r="W916" i="4"/>
  <c r="V916" i="4"/>
  <c r="U916" i="4"/>
  <c r="Q916" i="4"/>
  <c r="P916" i="4"/>
  <c r="O916" i="4"/>
  <c r="AL915" i="4"/>
  <c r="AK915" i="4"/>
  <c r="AJ915" i="4"/>
  <c r="AI915" i="4"/>
  <c r="AH915" i="4"/>
  <c r="AG915" i="4"/>
  <c r="AF915" i="4"/>
  <c r="AE915" i="4"/>
  <c r="AD915" i="4"/>
  <c r="AB915" i="4"/>
  <c r="AA915" i="4"/>
  <c r="AC915" i="4" s="1"/>
  <c r="Z915" i="4"/>
  <c r="Y915" i="4"/>
  <c r="X915" i="4"/>
  <c r="W915" i="4"/>
  <c r="V915" i="4"/>
  <c r="U915" i="4"/>
  <c r="Q915" i="4"/>
  <c r="P915" i="4"/>
  <c r="O915" i="4"/>
  <c r="AL914" i="4"/>
  <c r="AK914" i="4"/>
  <c r="AJ914" i="4"/>
  <c r="AI914" i="4"/>
  <c r="AH914" i="4"/>
  <c r="AG914" i="4"/>
  <c r="AF914" i="4"/>
  <c r="AE914" i="4"/>
  <c r="AD914" i="4"/>
  <c r="AB914" i="4"/>
  <c r="AA914" i="4"/>
  <c r="AC914" i="4" s="1"/>
  <c r="Z914" i="4"/>
  <c r="Y914" i="4"/>
  <c r="X914" i="4"/>
  <c r="W914" i="4"/>
  <c r="V914" i="4"/>
  <c r="U914" i="4"/>
  <c r="Q914" i="4"/>
  <c r="P914" i="4"/>
  <c r="O914" i="4"/>
  <c r="AL913" i="4"/>
  <c r="AK913" i="4"/>
  <c r="AJ913" i="4"/>
  <c r="AI913" i="4"/>
  <c r="AH913" i="4"/>
  <c r="AG913" i="4"/>
  <c r="AF913" i="4"/>
  <c r="AE913" i="4"/>
  <c r="AD913" i="4"/>
  <c r="AB913" i="4"/>
  <c r="AA913" i="4"/>
  <c r="AC913" i="4" s="1"/>
  <c r="Z913" i="4"/>
  <c r="Y913" i="4"/>
  <c r="X913" i="4"/>
  <c r="W913" i="4"/>
  <c r="V913" i="4"/>
  <c r="U913" i="4"/>
  <c r="Q913" i="4"/>
  <c r="P913" i="4"/>
  <c r="O913" i="4"/>
  <c r="AL912" i="4"/>
  <c r="AK912" i="4"/>
  <c r="AJ912" i="4"/>
  <c r="AI912" i="4"/>
  <c r="AH912" i="4"/>
  <c r="AG912" i="4"/>
  <c r="AF912" i="4"/>
  <c r="AE912" i="4"/>
  <c r="AD912" i="4"/>
  <c r="AB912" i="4"/>
  <c r="AA912" i="4"/>
  <c r="AC912" i="4" s="1"/>
  <c r="Z912" i="4"/>
  <c r="Y912" i="4"/>
  <c r="X912" i="4"/>
  <c r="W912" i="4"/>
  <c r="V912" i="4"/>
  <c r="U912" i="4"/>
  <c r="Q912" i="4"/>
  <c r="P912" i="4"/>
  <c r="O912" i="4"/>
  <c r="AL911" i="4"/>
  <c r="AK911" i="4"/>
  <c r="AJ911" i="4"/>
  <c r="AI911" i="4"/>
  <c r="AH911" i="4"/>
  <c r="AG911" i="4"/>
  <c r="AF911" i="4"/>
  <c r="AE911" i="4"/>
  <c r="AD911" i="4"/>
  <c r="AB911" i="4"/>
  <c r="AA911" i="4"/>
  <c r="AC911" i="4" s="1"/>
  <c r="Z911" i="4"/>
  <c r="Y911" i="4"/>
  <c r="X911" i="4"/>
  <c r="W911" i="4"/>
  <c r="V911" i="4"/>
  <c r="U911" i="4"/>
  <c r="Q911" i="4"/>
  <c r="P911" i="4"/>
  <c r="O911" i="4"/>
  <c r="AL910" i="4"/>
  <c r="AK910" i="4"/>
  <c r="AJ910" i="4"/>
  <c r="AI910" i="4"/>
  <c r="AH910" i="4"/>
  <c r="AG910" i="4"/>
  <c r="AF910" i="4"/>
  <c r="AE910" i="4"/>
  <c r="AD910" i="4"/>
  <c r="AB910" i="4"/>
  <c r="AA910" i="4"/>
  <c r="AC910" i="4" s="1"/>
  <c r="Z910" i="4"/>
  <c r="Y910" i="4"/>
  <c r="X910" i="4"/>
  <c r="W910" i="4"/>
  <c r="V910" i="4"/>
  <c r="U910" i="4"/>
  <c r="Q910" i="4"/>
  <c r="P910" i="4"/>
  <c r="O910" i="4"/>
  <c r="AL909" i="4"/>
  <c r="AK909" i="4"/>
  <c r="AJ909" i="4"/>
  <c r="AI909" i="4"/>
  <c r="AH909" i="4"/>
  <c r="AG909" i="4"/>
  <c r="AF909" i="4"/>
  <c r="AE909" i="4"/>
  <c r="AD909" i="4"/>
  <c r="AB909" i="4"/>
  <c r="AA909" i="4"/>
  <c r="AC909" i="4" s="1"/>
  <c r="Z909" i="4"/>
  <c r="Y909" i="4"/>
  <c r="X909" i="4"/>
  <c r="W909" i="4"/>
  <c r="V909" i="4"/>
  <c r="U909" i="4"/>
  <c r="Q909" i="4"/>
  <c r="P909" i="4"/>
  <c r="O909" i="4"/>
  <c r="AL908" i="4"/>
  <c r="AK908" i="4"/>
  <c r="AJ908" i="4"/>
  <c r="AI908" i="4"/>
  <c r="AH908" i="4"/>
  <c r="AG908" i="4"/>
  <c r="AF908" i="4"/>
  <c r="AE908" i="4"/>
  <c r="AD908" i="4"/>
  <c r="AB908" i="4"/>
  <c r="AA908" i="4"/>
  <c r="AC908" i="4" s="1"/>
  <c r="Z908" i="4"/>
  <c r="Y908" i="4"/>
  <c r="X908" i="4"/>
  <c r="W908" i="4"/>
  <c r="V908" i="4"/>
  <c r="U908" i="4"/>
  <c r="Q908" i="4"/>
  <c r="P908" i="4"/>
  <c r="O908" i="4"/>
  <c r="AL907" i="4"/>
  <c r="AK907" i="4"/>
  <c r="AJ907" i="4"/>
  <c r="AI907" i="4"/>
  <c r="AH907" i="4"/>
  <c r="AG907" i="4"/>
  <c r="AF907" i="4"/>
  <c r="AE907" i="4"/>
  <c r="AD907" i="4"/>
  <c r="AB907" i="4"/>
  <c r="AA907" i="4"/>
  <c r="AC907" i="4" s="1"/>
  <c r="Z907" i="4"/>
  <c r="Y907" i="4"/>
  <c r="X907" i="4"/>
  <c r="W907" i="4"/>
  <c r="V907" i="4"/>
  <c r="U907" i="4"/>
  <c r="Q907" i="4"/>
  <c r="P907" i="4"/>
  <c r="O907" i="4"/>
  <c r="AL906" i="4"/>
  <c r="AK906" i="4"/>
  <c r="AJ906" i="4"/>
  <c r="AI906" i="4"/>
  <c r="AH906" i="4"/>
  <c r="AG906" i="4"/>
  <c r="AF906" i="4"/>
  <c r="AE906" i="4"/>
  <c r="AD906" i="4"/>
  <c r="AB906" i="4"/>
  <c r="AA906" i="4"/>
  <c r="AC906" i="4" s="1"/>
  <c r="Z906" i="4"/>
  <c r="Y906" i="4"/>
  <c r="X906" i="4"/>
  <c r="W906" i="4"/>
  <c r="V906" i="4"/>
  <c r="U906" i="4"/>
  <c r="Q906" i="4"/>
  <c r="P906" i="4"/>
  <c r="O906" i="4"/>
  <c r="AL905" i="4"/>
  <c r="AK905" i="4"/>
  <c r="AJ905" i="4"/>
  <c r="AI905" i="4"/>
  <c r="AH905" i="4"/>
  <c r="AG905" i="4"/>
  <c r="AF905" i="4"/>
  <c r="AE905" i="4"/>
  <c r="AD905" i="4"/>
  <c r="AB905" i="4"/>
  <c r="AA905" i="4"/>
  <c r="AC905" i="4" s="1"/>
  <c r="Z905" i="4"/>
  <c r="Y905" i="4"/>
  <c r="X905" i="4"/>
  <c r="W905" i="4"/>
  <c r="V905" i="4"/>
  <c r="U905" i="4"/>
  <c r="Q905" i="4"/>
  <c r="P905" i="4"/>
  <c r="O905" i="4"/>
  <c r="AL904" i="4"/>
  <c r="AK904" i="4"/>
  <c r="AJ904" i="4"/>
  <c r="AI904" i="4"/>
  <c r="AH904" i="4"/>
  <c r="AG904" i="4"/>
  <c r="AF904" i="4"/>
  <c r="AE904" i="4"/>
  <c r="AD904" i="4"/>
  <c r="AB904" i="4"/>
  <c r="AA904" i="4"/>
  <c r="AC904" i="4" s="1"/>
  <c r="Z904" i="4"/>
  <c r="Y904" i="4"/>
  <c r="X904" i="4"/>
  <c r="W904" i="4"/>
  <c r="V904" i="4"/>
  <c r="U904" i="4"/>
  <c r="Q904" i="4"/>
  <c r="P904" i="4"/>
  <c r="O904" i="4"/>
  <c r="AL903" i="4"/>
  <c r="AK903" i="4"/>
  <c r="AJ903" i="4"/>
  <c r="AI903" i="4"/>
  <c r="AH903" i="4"/>
  <c r="AG903" i="4"/>
  <c r="AF903" i="4"/>
  <c r="AE903" i="4"/>
  <c r="AD903" i="4"/>
  <c r="AB903" i="4"/>
  <c r="AA903" i="4"/>
  <c r="AC903" i="4" s="1"/>
  <c r="Z903" i="4"/>
  <c r="Y903" i="4"/>
  <c r="X903" i="4"/>
  <c r="W903" i="4"/>
  <c r="V903" i="4"/>
  <c r="U903" i="4"/>
  <c r="Q903" i="4"/>
  <c r="P903" i="4"/>
  <c r="O903" i="4"/>
  <c r="AL902" i="4"/>
  <c r="AK902" i="4"/>
  <c r="AJ902" i="4"/>
  <c r="AI902" i="4"/>
  <c r="AH902" i="4"/>
  <c r="AG902" i="4"/>
  <c r="AF902" i="4"/>
  <c r="AE902" i="4"/>
  <c r="AD902" i="4"/>
  <c r="AB902" i="4"/>
  <c r="AA902" i="4"/>
  <c r="AC902" i="4" s="1"/>
  <c r="Z902" i="4"/>
  <c r="Y902" i="4"/>
  <c r="X902" i="4"/>
  <c r="W902" i="4"/>
  <c r="V902" i="4"/>
  <c r="U902" i="4"/>
  <c r="Q902" i="4"/>
  <c r="P902" i="4"/>
  <c r="O902" i="4"/>
  <c r="AL901" i="4"/>
  <c r="AK901" i="4"/>
  <c r="AJ901" i="4"/>
  <c r="AI901" i="4"/>
  <c r="AH901" i="4"/>
  <c r="AG901" i="4"/>
  <c r="AF901" i="4"/>
  <c r="AE901" i="4"/>
  <c r="AD901" i="4"/>
  <c r="AB901" i="4"/>
  <c r="AA901" i="4"/>
  <c r="AC901" i="4" s="1"/>
  <c r="Z901" i="4"/>
  <c r="Y901" i="4"/>
  <c r="X901" i="4"/>
  <c r="W901" i="4"/>
  <c r="V901" i="4"/>
  <c r="U901" i="4"/>
  <c r="Q901" i="4"/>
  <c r="P901" i="4"/>
  <c r="O901" i="4"/>
  <c r="AL900" i="4"/>
  <c r="AK900" i="4"/>
  <c r="AJ900" i="4"/>
  <c r="AI900" i="4"/>
  <c r="AH900" i="4"/>
  <c r="AG900" i="4"/>
  <c r="AF900" i="4"/>
  <c r="AE900" i="4"/>
  <c r="AD900" i="4"/>
  <c r="AB900" i="4"/>
  <c r="AA900" i="4"/>
  <c r="AC900" i="4" s="1"/>
  <c r="Z900" i="4"/>
  <c r="Y900" i="4"/>
  <c r="X900" i="4"/>
  <c r="W900" i="4"/>
  <c r="V900" i="4"/>
  <c r="U900" i="4"/>
  <c r="Q900" i="4"/>
  <c r="P900" i="4"/>
  <c r="O900" i="4"/>
  <c r="AL899" i="4"/>
  <c r="AK899" i="4"/>
  <c r="AJ899" i="4"/>
  <c r="AI899" i="4"/>
  <c r="AH899" i="4"/>
  <c r="AG899" i="4"/>
  <c r="AF899" i="4"/>
  <c r="AE899" i="4"/>
  <c r="AD899" i="4"/>
  <c r="AB899" i="4"/>
  <c r="AA899" i="4"/>
  <c r="AC899" i="4" s="1"/>
  <c r="Z899" i="4"/>
  <c r="Y899" i="4"/>
  <c r="X899" i="4"/>
  <c r="W899" i="4"/>
  <c r="V899" i="4"/>
  <c r="U899" i="4"/>
  <c r="Q899" i="4"/>
  <c r="P899" i="4"/>
  <c r="O899" i="4"/>
  <c r="AL898" i="4"/>
  <c r="AK898" i="4"/>
  <c r="AJ898" i="4"/>
  <c r="AI898" i="4"/>
  <c r="AH898" i="4"/>
  <c r="AG898" i="4"/>
  <c r="AF898" i="4"/>
  <c r="AE898" i="4"/>
  <c r="AD898" i="4"/>
  <c r="AB898" i="4"/>
  <c r="AA898" i="4"/>
  <c r="AC898" i="4" s="1"/>
  <c r="Z898" i="4"/>
  <c r="Y898" i="4"/>
  <c r="X898" i="4"/>
  <c r="W898" i="4"/>
  <c r="V898" i="4"/>
  <c r="U898" i="4"/>
  <c r="Q898" i="4"/>
  <c r="P898" i="4"/>
  <c r="O898" i="4"/>
  <c r="AL897" i="4"/>
  <c r="AK897" i="4"/>
  <c r="AJ897" i="4"/>
  <c r="AI897" i="4"/>
  <c r="AH897" i="4"/>
  <c r="AG897" i="4"/>
  <c r="AF897" i="4"/>
  <c r="AE897" i="4"/>
  <c r="AD897" i="4"/>
  <c r="AB897" i="4"/>
  <c r="AA897" i="4"/>
  <c r="AC897" i="4" s="1"/>
  <c r="Z897" i="4"/>
  <c r="Y897" i="4"/>
  <c r="X897" i="4"/>
  <c r="W897" i="4"/>
  <c r="V897" i="4"/>
  <c r="U897" i="4"/>
  <c r="Q897" i="4"/>
  <c r="P897" i="4"/>
  <c r="O897" i="4"/>
  <c r="AL896" i="4"/>
  <c r="AK896" i="4"/>
  <c r="AJ896" i="4"/>
  <c r="AI896" i="4"/>
  <c r="AH896" i="4"/>
  <c r="AG896" i="4"/>
  <c r="AF896" i="4"/>
  <c r="AE896" i="4"/>
  <c r="AD896" i="4"/>
  <c r="AB896" i="4"/>
  <c r="AA896" i="4"/>
  <c r="AC896" i="4" s="1"/>
  <c r="Z896" i="4"/>
  <c r="Y896" i="4"/>
  <c r="X896" i="4"/>
  <c r="W896" i="4"/>
  <c r="V896" i="4"/>
  <c r="U896" i="4"/>
  <c r="Q896" i="4"/>
  <c r="P896" i="4"/>
  <c r="O896" i="4"/>
  <c r="AL895" i="4"/>
  <c r="AK895" i="4"/>
  <c r="AJ895" i="4"/>
  <c r="AI895" i="4"/>
  <c r="AH895" i="4"/>
  <c r="AG895" i="4"/>
  <c r="AF895" i="4"/>
  <c r="AE895" i="4"/>
  <c r="AD895" i="4"/>
  <c r="AB895" i="4"/>
  <c r="AA895" i="4"/>
  <c r="AC895" i="4" s="1"/>
  <c r="Z895" i="4"/>
  <c r="Y895" i="4"/>
  <c r="X895" i="4"/>
  <c r="W895" i="4"/>
  <c r="V895" i="4"/>
  <c r="U895" i="4"/>
  <c r="Q895" i="4"/>
  <c r="P895" i="4"/>
  <c r="O895" i="4"/>
  <c r="AL894" i="4"/>
  <c r="AK894" i="4"/>
  <c r="AJ894" i="4"/>
  <c r="AI894" i="4"/>
  <c r="AH894" i="4"/>
  <c r="AG894" i="4"/>
  <c r="AF894" i="4"/>
  <c r="AE894" i="4"/>
  <c r="AD894" i="4"/>
  <c r="AB894" i="4"/>
  <c r="AA894" i="4"/>
  <c r="AC894" i="4" s="1"/>
  <c r="Z894" i="4"/>
  <c r="Y894" i="4"/>
  <c r="X894" i="4"/>
  <c r="W894" i="4"/>
  <c r="V894" i="4"/>
  <c r="U894" i="4"/>
  <c r="Q894" i="4"/>
  <c r="P894" i="4"/>
  <c r="O894" i="4"/>
  <c r="AL893" i="4"/>
  <c r="AK893" i="4"/>
  <c r="AJ893" i="4"/>
  <c r="AI893" i="4"/>
  <c r="AH893" i="4"/>
  <c r="AG893" i="4"/>
  <c r="AF893" i="4"/>
  <c r="AE893" i="4"/>
  <c r="AD893" i="4"/>
  <c r="AB893" i="4"/>
  <c r="AA893" i="4"/>
  <c r="AC893" i="4" s="1"/>
  <c r="Z893" i="4"/>
  <c r="Y893" i="4"/>
  <c r="X893" i="4"/>
  <c r="W893" i="4"/>
  <c r="V893" i="4"/>
  <c r="U893" i="4"/>
  <c r="Q893" i="4"/>
  <c r="P893" i="4"/>
  <c r="O893" i="4"/>
  <c r="AL892" i="4"/>
  <c r="AK892" i="4"/>
  <c r="AJ892" i="4"/>
  <c r="AI892" i="4"/>
  <c r="AH892" i="4"/>
  <c r="AG892" i="4"/>
  <c r="AF892" i="4"/>
  <c r="AE892" i="4"/>
  <c r="AD892" i="4"/>
  <c r="AB892" i="4"/>
  <c r="AA892" i="4"/>
  <c r="AC892" i="4" s="1"/>
  <c r="Z892" i="4"/>
  <c r="Y892" i="4"/>
  <c r="X892" i="4"/>
  <c r="W892" i="4"/>
  <c r="V892" i="4"/>
  <c r="U892" i="4"/>
  <c r="Q892" i="4"/>
  <c r="P892" i="4"/>
  <c r="O892" i="4"/>
  <c r="AL891" i="4"/>
  <c r="AK891" i="4"/>
  <c r="AJ891" i="4"/>
  <c r="AI891" i="4"/>
  <c r="AH891" i="4"/>
  <c r="AG891" i="4"/>
  <c r="AF891" i="4"/>
  <c r="AE891" i="4"/>
  <c r="AD891" i="4"/>
  <c r="AB891" i="4"/>
  <c r="AA891" i="4"/>
  <c r="AC891" i="4" s="1"/>
  <c r="Z891" i="4"/>
  <c r="Y891" i="4"/>
  <c r="X891" i="4"/>
  <c r="W891" i="4"/>
  <c r="V891" i="4"/>
  <c r="U891" i="4"/>
  <c r="Q891" i="4"/>
  <c r="P891" i="4"/>
  <c r="O891" i="4"/>
  <c r="AL890" i="4"/>
  <c r="AK890" i="4"/>
  <c r="AJ890" i="4"/>
  <c r="AI890" i="4"/>
  <c r="AH890" i="4"/>
  <c r="AG890" i="4"/>
  <c r="AF890" i="4"/>
  <c r="AE890" i="4"/>
  <c r="AD890" i="4"/>
  <c r="AB890" i="4"/>
  <c r="AA890" i="4"/>
  <c r="AC890" i="4" s="1"/>
  <c r="Z890" i="4"/>
  <c r="Y890" i="4"/>
  <c r="X890" i="4"/>
  <c r="W890" i="4"/>
  <c r="V890" i="4"/>
  <c r="U890" i="4"/>
  <c r="Q890" i="4"/>
  <c r="P890" i="4"/>
  <c r="O890" i="4"/>
  <c r="AL889" i="4"/>
  <c r="AK889" i="4"/>
  <c r="AJ889" i="4"/>
  <c r="AI889" i="4"/>
  <c r="AH889" i="4"/>
  <c r="AG889" i="4"/>
  <c r="AF889" i="4"/>
  <c r="AE889" i="4"/>
  <c r="AD889" i="4"/>
  <c r="AB889" i="4"/>
  <c r="AA889" i="4"/>
  <c r="AC889" i="4" s="1"/>
  <c r="Z889" i="4"/>
  <c r="Y889" i="4"/>
  <c r="X889" i="4"/>
  <c r="W889" i="4"/>
  <c r="V889" i="4"/>
  <c r="U889" i="4"/>
  <c r="Q889" i="4"/>
  <c r="P889" i="4"/>
  <c r="O889" i="4"/>
  <c r="AL888" i="4"/>
  <c r="AK888" i="4"/>
  <c r="AJ888" i="4"/>
  <c r="AI888" i="4"/>
  <c r="AH888" i="4"/>
  <c r="AG888" i="4"/>
  <c r="AF888" i="4"/>
  <c r="AE888" i="4"/>
  <c r="AD888" i="4"/>
  <c r="AB888" i="4"/>
  <c r="AA888" i="4"/>
  <c r="AC888" i="4" s="1"/>
  <c r="Z888" i="4"/>
  <c r="Y888" i="4"/>
  <c r="X888" i="4"/>
  <c r="W888" i="4"/>
  <c r="V888" i="4"/>
  <c r="U888" i="4"/>
  <c r="Q888" i="4"/>
  <c r="P888" i="4"/>
  <c r="O888" i="4"/>
  <c r="AL887" i="4"/>
  <c r="AK887" i="4"/>
  <c r="AJ887" i="4"/>
  <c r="AI887" i="4"/>
  <c r="AH887" i="4"/>
  <c r="AG887" i="4"/>
  <c r="AF887" i="4"/>
  <c r="AE887" i="4"/>
  <c r="AD887" i="4"/>
  <c r="AB887" i="4"/>
  <c r="AA887" i="4"/>
  <c r="AC887" i="4" s="1"/>
  <c r="Z887" i="4"/>
  <c r="Y887" i="4"/>
  <c r="X887" i="4"/>
  <c r="W887" i="4"/>
  <c r="V887" i="4"/>
  <c r="U887" i="4"/>
  <c r="Q887" i="4"/>
  <c r="P887" i="4"/>
  <c r="O887" i="4"/>
  <c r="AL886" i="4"/>
  <c r="AK886" i="4"/>
  <c r="AJ886" i="4"/>
  <c r="AI886" i="4"/>
  <c r="AH886" i="4"/>
  <c r="AG886" i="4"/>
  <c r="AF886" i="4"/>
  <c r="AE886" i="4"/>
  <c r="AD886" i="4"/>
  <c r="AB886" i="4"/>
  <c r="AA886" i="4"/>
  <c r="AC886" i="4" s="1"/>
  <c r="Z886" i="4"/>
  <c r="Y886" i="4"/>
  <c r="X886" i="4"/>
  <c r="W886" i="4"/>
  <c r="V886" i="4"/>
  <c r="U886" i="4"/>
  <c r="Q886" i="4"/>
  <c r="P886" i="4"/>
  <c r="O886" i="4"/>
  <c r="AL885" i="4"/>
  <c r="AK885" i="4"/>
  <c r="AJ885" i="4"/>
  <c r="AI885" i="4"/>
  <c r="AH885" i="4"/>
  <c r="AG885" i="4"/>
  <c r="AF885" i="4"/>
  <c r="AE885" i="4"/>
  <c r="AD885" i="4"/>
  <c r="AB885" i="4"/>
  <c r="AA885" i="4"/>
  <c r="AC885" i="4" s="1"/>
  <c r="Z885" i="4"/>
  <c r="Y885" i="4"/>
  <c r="X885" i="4"/>
  <c r="W885" i="4"/>
  <c r="V885" i="4"/>
  <c r="U885" i="4"/>
  <c r="Q885" i="4"/>
  <c r="P885" i="4"/>
  <c r="O885" i="4"/>
  <c r="AL884" i="4"/>
  <c r="AK884" i="4"/>
  <c r="AJ884" i="4"/>
  <c r="AI884" i="4"/>
  <c r="AH884" i="4"/>
  <c r="AG884" i="4"/>
  <c r="AF884" i="4"/>
  <c r="AE884" i="4"/>
  <c r="AD884" i="4"/>
  <c r="AB884" i="4"/>
  <c r="AA884" i="4"/>
  <c r="AC884" i="4" s="1"/>
  <c r="Z884" i="4"/>
  <c r="Y884" i="4"/>
  <c r="X884" i="4"/>
  <c r="W884" i="4"/>
  <c r="V884" i="4"/>
  <c r="U884" i="4"/>
  <c r="Q884" i="4"/>
  <c r="P884" i="4"/>
  <c r="O884" i="4"/>
  <c r="AL883" i="4"/>
  <c r="AK883" i="4"/>
  <c r="AJ883" i="4"/>
  <c r="AI883" i="4"/>
  <c r="AG883" i="4"/>
  <c r="AF883" i="4"/>
  <c r="AE883" i="4"/>
  <c r="AD883" i="4"/>
  <c r="AB883" i="4"/>
  <c r="AA883" i="4"/>
  <c r="AC883" i="4" s="1"/>
  <c r="Z883" i="4"/>
  <c r="Y883" i="4"/>
  <c r="X883" i="4"/>
  <c r="W883" i="4"/>
  <c r="V883" i="4"/>
  <c r="U883" i="4"/>
  <c r="Q883" i="4"/>
  <c r="P883" i="4"/>
  <c r="O883" i="4"/>
  <c r="AL882" i="4"/>
  <c r="AK882" i="4"/>
  <c r="AJ882" i="4"/>
  <c r="AI882" i="4"/>
  <c r="AH882" i="4"/>
  <c r="AG882" i="4"/>
  <c r="AF882" i="4"/>
  <c r="AE882" i="4"/>
  <c r="AD882" i="4"/>
  <c r="AB882" i="4"/>
  <c r="AA882" i="4"/>
  <c r="AC882" i="4" s="1"/>
  <c r="Z882" i="4"/>
  <c r="Y882" i="4"/>
  <c r="X882" i="4"/>
  <c r="W882" i="4"/>
  <c r="V882" i="4"/>
  <c r="U882" i="4"/>
  <c r="Q882" i="4"/>
  <c r="P882" i="4"/>
  <c r="O882" i="4"/>
  <c r="AL881" i="4"/>
  <c r="AK881" i="4"/>
  <c r="AJ881" i="4"/>
  <c r="AI881" i="4"/>
  <c r="AG881" i="4"/>
  <c r="AF881" i="4"/>
  <c r="AE881" i="4"/>
  <c r="AD881" i="4"/>
  <c r="AB881" i="4"/>
  <c r="AA881" i="4"/>
  <c r="AC881" i="4" s="1"/>
  <c r="Z881" i="4"/>
  <c r="Y881" i="4"/>
  <c r="X881" i="4"/>
  <c r="W881" i="4"/>
  <c r="V881" i="4"/>
  <c r="U881" i="4"/>
  <c r="Q881" i="4"/>
  <c r="P881" i="4"/>
  <c r="O881" i="4"/>
  <c r="AL880" i="4"/>
  <c r="AK880" i="4"/>
  <c r="AJ880" i="4"/>
  <c r="AI880" i="4"/>
  <c r="AH880" i="4"/>
  <c r="AG880" i="4"/>
  <c r="AF880" i="4"/>
  <c r="AE880" i="4"/>
  <c r="AD880" i="4"/>
  <c r="AB880" i="4"/>
  <c r="AA880" i="4"/>
  <c r="AC880" i="4" s="1"/>
  <c r="Z880" i="4"/>
  <c r="Y880" i="4"/>
  <c r="X880" i="4"/>
  <c r="W880" i="4"/>
  <c r="V880" i="4"/>
  <c r="U880" i="4"/>
  <c r="Q880" i="4"/>
  <c r="P880" i="4"/>
  <c r="O880" i="4"/>
  <c r="AL879" i="4"/>
  <c r="AK879" i="4"/>
  <c r="AJ879" i="4"/>
  <c r="AI879" i="4"/>
  <c r="AH879" i="4"/>
  <c r="AG879" i="4"/>
  <c r="AF879" i="4"/>
  <c r="AE879" i="4"/>
  <c r="AD879" i="4"/>
  <c r="AB879" i="4"/>
  <c r="AA879" i="4"/>
  <c r="AC879" i="4" s="1"/>
  <c r="Z879" i="4"/>
  <c r="Y879" i="4"/>
  <c r="X879" i="4"/>
  <c r="W879" i="4"/>
  <c r="V879" i="4"/>
  <c r="U879" i="4"/>
  <c r="Q879" i="4"/>
  <c r="P879" i="4"/>
  <c r="O879" i="4"/>
  <c r="AL878" i="4"/>
  <c r="AK878" i="4"/>
  <c r="AJ878" i="4"/>
  <c r="AI878" i="4"/>
  <c r="AH878" i="4"/>
  <c r="AG878" i="4"/>
  <c r="AF878" i="4"/>
  <c r="AE878" i="4"/>
  <c r="AD878" i="4"/>
  <c r="AB878" i="4"/>
  <c r="AA878" i="4"/>
  <c r="AC878" i="4" s="1"/>
  <c r="Z878" i="4"/>
  <c r="Y878" i="4"/>
  <c r="X878" i="4"/>
  <c r="W878" i="4"/>
  <c r="V878" i="4"/>
  <c r="U878" i="4"/>
  <c r="Q878" i="4"/>
  <c r="P878" i="4"/>
  <c r="O878" i="4"/>
  <c r="AL877" i="4"/>
  <c r="AK877" i="4"/>
  <c r="AJ877" i="4"/>
  <c r="AI877" i="4"/>
  <c r="AH877" i="4"/>
  <c r="AG877" i="4"/>
  <c r="AF877" i="4"/>
  <c r="AE877" i="4"/>
  <c r="AD877" i="4"/>
  <c r="AB877" i="4"/>
  <c r="AA877" i="4"/>
  <c r="AC877" i="4" s="1"/>
  <c r="Z877" i="4"/>
  <c r="Y877" i="4"/>
  <c r="X877" i="4"/>
  <c r="W877" i="4"/>
  <c r="V877" i="4"/>
  <c r="U877" i="4"/>
  <c r="Q877" i="4"/>
  <c r="P877" i="4"/>
  <c r="O877" i="4"/>
  <c r="AL876" i="4"/>
  <c r="AK876" i="4"/>
  <c r="AJ876" i="4"/>
  <c r="AI876" i="4"/>
  <c r="AH876" i="4"/>
  <c r="AG876" i="4"/>
  <c r="AF876" i="4"/>
  <c r="AE876" i="4"/>
  <c r="AD876" i="4"/>
  <c r="AB876" i="4"/>
  <c r="AA876" i="4"/>
  <c r="AC876" i="4" s="1"/>
  <c r="Z876" i="4"/>
  <c r="Y876" i="4"/>
  <c r="X876" i="4"/>
  <c r="W876" i="4"/>
  <c r="V876" i="4"/>
  <c r="U876" i="4"/>
  <c r="Q876" i="4"/>
  <c r="P876" i="4"/>
  <c r="O876" i="4"/>
  <c r="AL875" i="4"/>
  <c r="AK875" i="4"/>
  <c r="AJ875" i="4"/>
  <c r="AI875" i="4"/>
  <c r="AH875" i="4"/>
  <c r="AG875" i="4"/>
  <c r="AF875" i="4"/>
  <c r="AE875" i="4"/>
  <c r="AD875" i="4"/>
  <c r="AB875" i="4"/>
  <c r="AA875" i="4"/>
  <c r="AC875" i="4" s="1"/>
  <c r="Z875" i="4"/>
  <c r="Y875" i="4"/>
  <c r="X875" i="4"/>
  <c r="W875" i="4"/>
  <c r="V875" i="4"/>
  <c r="U875" i="4"/>
  <c r="Q875" i="4"/>
  <c r="P875" i="4"/>
  <c r="O875" i="4"/>
  <c r="AL874" i="4"/>
  <c r="AK874" i="4"/>
  <c r="AJ874" i="4"/>
  <c r="AI874" i="4"/>
  <c r="AH874" i="4"/>
  <c r="AG874" i="4"/>
  <c r="AF874" i="4"/>
  <c r="AE874" i="4"/>
  <c r="AD874" i="4"/>
  <c r="AB874" i="4"/>
  <c r="AA874" i="4"/>
  <c r="AC874" i="4" s="1"/>
  <c r="Z874" i="4"/>
  <c r="Y874" i="4"/>
  <c r="X874" i="4"/>
  <c r="W874" i="4"/>
  <c r="V874" i="4"/>
  <c r="U874" i="4"/>
  <c r="Q874" i="4"/>
  <c r="P874" i="4"/>
  <c r="O874" i="4"/>
  <c r="AL873" i="4"/>
  <c r="AK873" i="4"/>
  <c r="AJ873" i="4"/>
  <c r="AI873" i="4"/>
  <c r="AH873" i="4"/>
  <c r="AG873" i="4"/>
  <c r="AF873" i="4"/>
  <c r="AE873" i="4"/>
  <c r="AD873" i="4"/>
  <c r="AB873" i="4"/>
  <c r="AA873" i="4"/>
  <c r="AC873" i="4" s="1"/>
  <c r="Z873" i="4"/>
  <c r="Y873" i="4"/>
  <c r="X873" i="4"/>
  <c r="W873" i="4"/>
  <c r="V873" i="4"/>
  <c r="U873" i="4"/>
  <c r="Q873" i="4"/>
  <c r="P873" i="4"/>
  <c r="O873" i="4"/>
  <c r="AL872" i="4"/>
  <c r="AK872" i="4"/>
  <c r="AJ872" i="4"/>
  <c r="AI872" i="4"/>
  <c r="AH872" i="4"/>
  <c r="AG872" i="4"/>
  <c r="AF872" i="4"/>
  <c r="AE872" i="4"/>
  <c r="AD872" i="4"/>
  <c r="AB872" i="4"/>
  <c r="AA872" i="4"/>
  <c r="AC872" i="4" s="1"/>
  <c r="Z872" i="4"/>
  <c r="Y872" i="4"/>
  <c r="X872" i="4"/>
  <c r="W872" i="4"/>
  <c r="V872" i="4"/>
  <c r="U872" i="4"/>
  <c r="Q872" i="4"/>
  <c r="P872" i="4"/>
  <c r="O872" i="4"/>
  <c r="AL871" i="4"/>
  <c r="AK871" i="4"/>
  <c r="AJ871" i="4"/>
  <c r="AI871" i="4"/>
  <c r="AH871" i="4"/>
  <c r="AG871" i="4"/>
  <c r="AF871" i="4"/>
  <c r="AE871" i="4"/>
  <c r="AD871" i="4"/>
  <c r="AB871" i="4"/>
  <c r="AA871" i="4"/>
  <c r="AC871" i="4" s="1"/>
  <c r="Z871" i="4"/>
  <c r="Y871" i="4"/>
  <c r="X871" i="4"/>
  <c r="W871" i="4"/>
  <c r="V871" i="4"/>
  <c r="U871" i="4"/>
  <c r="Q871" i="4"/>
  <c r="P871" i="4"/>
  <c r="O871" i="4"/>
  <c r="AL870" i="4"/>
  <c r="AK870" i="4"/>
  <c r="AJ870" i="4"/>
  <c r="AI870" i="4"/>
  <c r="AG870" i="4"/>
  <c r="AF870" i="4"/>
  <c r="AE870" i="4"/>
  <c r="AD870" i="4"/>
  <c r="AB870" i="4"/>
  <c r="AA870" i="4"/>
  <c r="AC870" i="4" s="1"/>
  <c r="Z870" i="4"/>
  <c r="Y870" i="4"/>
  <c r="X870" i="4"/>
  <c r="W870" i="4"/>
  <c r="V870" i="4"/>
  <c r="U870" i="4"/>
  <c r="Q870" i="4"/>
  <c r="P870" i="4"/>
  <c r="O870" i="4"/>
  <c r="AL869" i="4"/>
  <c r="AK869" i="4"/>
  <c r="AJ869" i="4"/>
  <c r="AI869" i="4"/>
  <c r="AH869" i="4"/>
  <c r="AG869" i="4"/>
  <c r="AF869" i="4"/>
  <c r="AE869" i="4"/>
  <c r="AD869" i="4"/>
  <c r="AB869" i="4"/>
  <c r="AA869" i="4"/>
  <c r="AC869" i="4" s="1"/>
  <c r="Z869" i="4"/>
  <c r="Y869" i="4"/>
  <c r="X869" i="4"/>
  <c r="W869" i="4"/>
  <c r="V869" i="4"/>
  <c r="U869" i="4"/>
  <c r="Q869" i="4"/>
  <c r="P869" i="4"/>
  <c r="O869" i="4"/>
  <c r="AL868" i="4"/>
  <c r="AK868" i="4"/>
  <c r="AJ868" i="4"/>
  <c r="AI868" i="4"/>
  <c r="AH868" i="4"/>
  <c r="AG868" i="4"/>
  <c r="AF868" i="4"/>
  <c r="AE868" i="4"/>
  <c r="AD868" i="4"/>
  <c r="AB868" i="4"/>
  <c r="AA868" i="4"/>
  <c r="AC868" i="4" s="1"/>
  <c r="Z868" i="4"/>
  <c r="Y868" i="4"/>
  <c r="X868" i="4"/>
  <c r="W868" i="4"/>
  <c r="V868" i="4"/>
  <c r="U868" i="4"/>
  <c r="Q868" i="4"/>
  <c r="P868" i="4"/>
  <c r="O868" i="4"/>
  <c r="AL867" i="4"/>
  <c r="AK867" i="4"/>
  <c r="AJ867" i="4"/>
  <c r="AI867" i="4"/>
  <c r="AG867" i="4"/>
  <c r="AF867" i="4"/>
  <c r="AE867" i="4"/>
  <c r="AD867" i="4"/>
  <c r="AB867" i="4"/>
  <c r="AA867" i="4"/>
  <c r="AC867" i="4" s="1"/>
  <c r="Z867" i="4"/>
  <c r="Y867" i="4"/>
  <c r="X867" i="4"/>
  <c r="W867" i="4"/>
  <c r="V867" i="4"/>
  <c r="U867" i="4"/>
  <c r="Q867" i="4"/>
  <c r="P867" i="4"/>
  <c r="O867" i="4"/>
  <c r="AL866" i="4"/>
  <c r="AK866" i="4"/>
  <c r="AJ866" i="4"/>
  <c r="AI866" i="4"/>
  <c r="AH866" i="4"/>
  <c r="AG866" i="4"/>
  <c r="AF866" i="4"/>
  <c r="AE866" i="4"/>
  <c r="AD866" i="4"/>
  <c r="AB866" i="4"/>
  <c r="AA866" i="4"/>
  <c r="AC866" i="4" s="1"/>
  <c r="Z866" i="4"/>
  <c r="Y866" i="4"/>
  <c r="X866" i="4"/>
  <c r="W866" i="4"/>
  <c r="V866" i="4"/>
  <c r="U866" i="4"/>
  <c r="Q866" i="4"/>
  <c r="P866" i="4"/>
  <c r="O866" i="4"/>
  <c r="AL865" i="4"/>
  <c r="AK865" i="4"/>
  <c r="AJ865" i="4"/>
  <c r="AI865" i="4"/>
  <c r="AH865" i="4"/>
  <c r="AG865" i="4"/>
  <c r="AF865" i="4"/>
  <c r="AE865" i="4"/>
  <c r="AD865" i="4"/>
  <c r="AB865" i="4"/>
  <c r="AA865" i="4"/>
  <c r="AC865" i="4" s="1"/>
  <c r="Z865" i="4"/>
  <c r="Y865" i="4"/>
  <c r="X865" i="4"/>
  <c r="W865" i="4"/>
  <c r="V865" i="4"/>
  <c r="U865" i="4"/>
  <c r="Q865" i="4"/>
  <c r="P865" i="4"/>
  <c r="O865" i="4"/>
  <c r="AL864" i="4"/>
  <c r="AK864" i="4"/>
  <c r="AJ864" i="4"/>
  <c r="AI864" i="4"/>
  <c r="AH864" i="4"/>
  <c r="AG864" i="4"/>
  <c r="AF864" i="4"/>
  <c r="AE864" i="4"/>
  <c r="AD864" i="4"/>
  <c r="AB864" i="4"/>
  <c r="AA864" i="4"/>
  <c r="AC864" i="4" s="1"/>
  <c r="Z864" i="4"/>
  <c r="Y864" i="4"/>
  <c r="X864" i="4"/>
  <c r="W864" i="4"/>
  <c r="V864" i="4"/>
  <c r="U864" i="4"/>
  <c r="Q864" i="4"/>
  <c r="P864" i="4"/>
  <c r="O864" i="4"/>
  <c r="AL863" i="4"/>
  <c r="AK863" i="4"/>
  <c r="AJ863" i="4"/>
  <c r="AI863" i="4"/>
  <c r="AH863" i="4"/>
  <c r="AG863" i="4"/>
  <c r="AF863" i="4"/>
  <c r="AE863" i="4"/>
  <c r="AD863" i="4"/>
  <c r="AB863" i="4"/>
  <c r="AA863" i="4"/>
  <c r="AC863" i="4" s="1"/>
  <c r="Z863" i="4"/>
  <c r="Y863" i="4"/>
  <c r="X863" i="4"/>
  <c r="W863" i="4"/>
  <c r="V863" i="4"/>
  <c r="U863" i="4"/>
  <c r="Q863" i="4"/>
  <c r="P863" i="4"/>
  <c r="O863" i="4"/>
  <c r="AL862" i="4"/>
  <c r="AK862" i="4"/>
  <c r="AJ862" i="4"/>
  <c r="AI862" i="4"/>
  <c r="AH862" i="4"/>
  <c r="AG862" i="4"/>
  <c r="AF862" i="4"/>
  <c r="AE862" i="4"/>
  <c r="AD862" i="4"/>
  <c r="AB862" i="4"/>
  <c r="AA862" i="4"/>
  <c r="AC862" i="4" s="1"/>
  <c r="Z862" i="4"/>
  <c r="Y862" i="4"/>
  <c r="X862" i="4"/>
  <c r="W862" i="4"/>
  <c r="V862" i="4"/>
  <c r="U862" i="4"/>
  <c r="Q862" i="4"/>
  <c r="P862" i="4"/>
  <c r="O862" i="4"/>
  <c r="AL861" i="4"/>
  <c r="AK861" i="4"/>
  <c r="AJ861" i="4"/>
  <c r="AI861" i="4"/>
  <c r="AG861" i="4"/>
  <c r="AF861" i="4"/>
  <c r="AE861" i="4"/>
  <c r="AD861" i="4"/>
  <c r="AB861" i="4"/>
  <c r="AA861" i="4"/>
  <c r="AC861" i="4" s="1"/>
  <c r="Z861" i="4"/>
  <c r="Y861" i="4"/>
  <c r="X861" i="4"/>
  <c r="W861" i="4"/>
  <c r="V861" i="4"/>
  <c r="U861" i="4"/>
  <c r="Q861" i="4"/>
  <c r="P861" i="4"/>
  <c r="O861" i="4"/>
  <c r="AL860" i="4"/>
  <c r="AK860" i="4"/>
  <c r="AJ860" i="4"/>
  <c r="AI860" i="4"/>
  <c r="AH860" i="4"/>
  <c r="AG860" i="4"/>
  <c r="AF860" i="4"/>
  <c r="AE860" i="4"/>
  <c r="AD860" i="4"/>
  <c r="AB860" i="4"/>
  <c r="AA860" i="4"/>
  <c r="AC860" i="4" s="1"/>
  <c r="Z860" i="4"/>
  <c r="Y860" i="4"/>
  <c r="X860" i="4"/>
  <c r="W860" i="4"/>
  <c r="V860" i="4"/>
  <c r="U860" i="4"/>
  <c r="Q860" i="4"/>
  <c r="P860" i="4"/>
  <c r="O860" i="4"/>
  <c r="AL859" i="4"/>
  <c r="AK859" i="4"/>
  <c r="AJ859" i="4"/>
  <c r="AI859" i="4"/>
  <c r="AH859" i="4"/>
  <c r="AG859" i="4"/>
  <c r="AF859" i="4"/>
  <c r="AE859" i="4"/>
  <c r="AD859" i="4"/>
  <c r="AB859" i="4"/>
  <c r="AA859" i="4"/>
  <c r="AC859" i="4" s="1"/>
  <c r="Z859" i="4"/>
  <c r="Y859" i="4"/>
  <c r="X859" i="4"/>
  <c r="W859" i="4"/>
  <c r="V859" i="4"/>
  <c r="U859" i="4"/>
  <c r="Q859" i="4"/>
  <c r="P859" i="4"/>
  <c r="O859" i="4"/>
  <c r="AL858" i="4"/>
  <c r="AK858" i="4"/>
  <c r="AJ858" i="4"/>
  <c r="AI858" i="4"/>
  <c r="AH858" i="4"/>
  <c r="AG858" i="4"/>
  <c r="AF858" i="4"/>
  <c r="AE858" i="4"/>
  <c r="AD858" i="4"/>
  <c r="AB858" i="4"/>
  <c r="AA858" i="4"/>
  <c r="AC858" i="4" s="1"/>
  <c r="Z858" i="4"/>
  <c r="Y858" i="4"/>
  <c r="X858" i="4"/>
  <c r="W858" i="4"/>
  <c r="V858" i="4"/>
  <c r="U858" i="4"/>
  <c r="Q858" i="4"/>
  <c r="P858" i="4"/>
  <c r="O858" i="4"/>
  <c r="AL857" i="4"/>
  <c r="AK857" i="4"/>
  <c r="AJ857" i="4"/>
  <c r="AI857" i="4"/>
  <c r="AG857" i="4"/>
  <c r="AF857" i="4"/>
  <c r="AE857" i="4"/>
  <c r="AD857" i="4"/>
  <c r="AB857" i="4"/>
  <c r="AA857" i="4"/>
  <c r="AC857" i="4" s="1"/>
  <c r="Z857" i="4"/>
  <c r="Y857" i="4"/>
  <c r="X857" i="4"/>
  <c r="W857" i="4"/>
  <c r="V857" i="4"/>
  <c r="U857" i="4"/>
  <c r="Q857" i="4"/>
  <c r="P857" i="4"/>
  <c r="O857" i="4"/>
  <c r="AL856" i="4"/>
  <c r="AK856" i="4"/>
  <c r="AJ856" i="4"/>
  <c r="AI856" i="4"/>
  <c r="AH856" i="4"/>
  <c r="AG856" i="4"/>
  <c r="AF856" i="4"/>
  <c r="AE856" i="4"/>
  <c r="AD856" i="4"/>
  <c r="AB856" i="4"/>
  <c r="AA856" i="4"/>
  <c r="AC856" i="4" s="1"/>
  <c r="Z856" i="4"/>
  <c r="Y856" i="4"/>
  <c r="X856" i="4"/>
  <c r="W856" i="4"/>
  <c r="V856" i="4"/>
  <c r="U856" i="4"/>
  <c r="Q856" i="4"/>
  <c r="P856" i="4"/>
  <c r="O856" i="4"/>
  <c r="AL855" i="4"/>
  <c r="AK855" i="4"/>
  <c r="AJ855" i="4"/>
  <c r="AI855" i="4"/>
  <c r="AH855" i="4"/>
  <c r="AG855" i="4"/>
  <c r="AF855" i="4"/>
  <c r="AE855" i="4"/>
  <c r="AD855" i="4"/>
  <c r="AB855" i="4"/>
  <c r="AA855" i="4"/>
  <c r="AC855" i="4" s="1"/>
  <c r="Z855" i="4"/>
  <c r="Y855" i="4"/>
  <c r="X855" i="4"/>
  <c r="W855" i="4"/>
  <c r="V855" i="4"/>
  <c r="U855" i="4"/>
  <c r="Q855" i="4"/>
  <c r="P855" i="4"/>
  <c r="O855" i="4"/>
  <c r="AL854" i="4"/>
  <c r="AK854" i="4"/>
  <c r="AJ854" i="4"/>
  <c r="AI854" i="4"/>
  <c r="AH854" i="4"/>
  <c r="AG854" i="4"/>
  <c r="AF854" i="4"/>
  <c r="AE854" i="4"/>
  <c r="AD854" i="4"/>
  <c r="AB854" i="4"/>
  <c r="AA854" i="4"/>
  <c r="AC854" i="4" s="1"/>
  <c r="Z854" i="4"/>
  <c r="Y854" i="4"/>
  <c r="X854" i="4"/>
  <c r="W854" i="4"/>
  <c r="V854" i="4"/>
  <c r="U854" i="4"/>
  <c r="Q854" i="4"/>
  <c r="P854" i="4"/>
  <c r="O854" i="4"/>
  <c r="AL853" i="4"/>
  <c r="AK853" i="4"/>
  <c r="AJ853" i="4"/>
  <c r="AI853" i="4"/>
  <c r="AH853" i="4"/>
  <c r="AG853" i="4"/>
  <c r="AF853" i="4"/>
  <c r="AE853" i="4"/>
  <c r="AD853" i="4"/>
  <c r="AB853" i="4"/>
  <c r="AA853" i="4"/>
  <c r="AC853" i="4" s="1"/>
  <c r="Z853" i="4"/>
  <c r="Y853" i="4"/>
  <c r="X853" i="4"/>
  <c r="W853" i="4"/>
  <c r="V853" i="4"/>
  <c r="U853" i="4"/>
  <c r="Q853" i="4"/>
  <c r="P853" i="4"/>
  <c r="O853" i="4"/>
  <c r="AL852" i="4"/>
  <c r="AK852" i="4"/>
  <c r="AJ852" i="4"/>
  <c r="AI852" i="4"/>
  <c r="AH852" i="4"/>
  <c r="AG852" i="4"/>
  <c r="AF852" i="4"/>
  <c r="AE852" i="4"/>
  <c r="AD852" i="4"/>
  <c r="AB852" i="4"/>
  <c r="AA852" i="4"/>
  <c r="AC852" i="4" s="1"/>
  <c r="Z852" i="4"/>
  <c r="Y852" i="4"/>
  <c r="X852" i="4"/>
  <c r="W852" i="4"/>
  <c r="V852" i="4"/>
  <c r="U852" i="4"/>
  <c r="Q852" i="4"/>
  <c r="P852" i="4"/>
  <c r="O852" i="4"/>
  <c r="AL851" i="4"/>
  <c r="AK851" i="4"/>
  <c r="AJ851" i="4"/>
  <c r="AI851" i="4"/>
  <c r="AH851" i="4"/>
  <c r="AG851" i="4"/>
  <c r="AF851" i="4"/>
  <c r="AE851" i="4"/>
  <c r="AD851" i="4"/>
  <c r="AB851" i="4"/>
  <c r="AA851" i="4"/>
  <c r="AC851" i="4" s="1"/>
  <c r="Z851" i="4"/>
  <c r="Y851" i="4"/>
  <c r="X851" i="4"/>
  <c r="W851" i="4"/>
  <c r="V851" i="4"/>
  <c r="U851" i="4"/>
  <c r="Q851" i="4"/>
  <c r="P851" i="4"/>
  <c r="O851" i="4"/>
  <c r="AL850" i="4"/>
  <c r="AK850" i="4"/>
  <c r="AJ850" i="4"/>
  <c r="AI850" i="4"/>
  <c r="AH850" i="4"/>
  <c r="AG850" i="4"/>
  <c r="AF850" i="4"/>
  <c r="AE850" i="4"/>
  <c r="AD850" i="4"/>
  <c r="AB850" i="4"/>
  <c r="AA850" i="4"/>
  <c r="AC850" i="4" s="1"/>
  <c r="Z850" i="4"/>
  <c r="Y850" i="4"/>
  <c r="X850" i="4"/>
  <c r="W850" i="4"/>
  <c r="V850" i="4"/>
  <c r="U850" i="4"/>
  <c r="Q850" i="4"/>
  <c r="P850" i="4"/>
  <c r="O850" i="4"/>
  <c r="AL849" i="4"/>
  <c r="AK849" i="4"/>
  <c r="AJ849" i="4"/>
  <c r="AI849" i="4"/>
  <c r="AH849" i="4"/>
  <c r="AG849" i="4"/>
  <c r="AF849" i="4"/>
  <c r="AE849" i="4"/>
  <c r="AD849" i="4"/>
  <c r="AB849" i="4"/>
  <c r="AA849" i="4"/>
  <c r="AC849" i="4" s="1"/>
  <c r="Z849" i="4"/>
  <c r="Y849" i="4"/>
  <c r="X849" i="4"/>
  <c r="W849" i="4"/>
  <c r="V849" i="4"/>
  <c r="U849" i="4"/>
  <c r="Q849" i="4"/>
  <c r="P849" i="4"/>
  <c r="O849" i="4"/>
  <c r="AL848" i="4"/>
  <c r="AK848" i="4"/>
  <c r="AJ848" i="4"/>
  <c r="AI848" i="4"/>
  <c r="AH848" i="4"/>
  <c r="AG848" i="4"/>
  <c r="AF848" i="4"/>
  <c r="AE848" i="4"/>
  <c r="AD848" i="4"/>
  <c r="AB848" i="4"/>
  <c r="AA848" i="4"/>
  <c r="AC848" i="4" s="1"/>
  <c r="Z848" i="4"/>
  <c r="Y848" i="4"/>
  <c r="X848" i="4"/>
  <c r="W848" i="4"/>
  <c r="V848" i="4"/>
  <c r="U848" i="4"/>
  <c r="Q848" i="4"/>
  <c r="P848" i="4"/>
  <c r="O848" i="4"/>
  <c r="AL847" i="4"/>
  <c r="AK847" i="4"/>
  <c r="AJ847" i="4"/>
  <c r="AI847" i="4"/>
  <c r="AH847" i="4"/>
  <c r="AG847" i="4"/>
  <c r="AF847" i="4"/>
  <c r="AE847" i="4"/>
  <c r="AD847" i="4"/>
  <c r="AB847" i="4"/>
  <c r="AA847" i="4"/>
  <c r="AC847" i="4" s="1"/>
  <c r="Z847" i="4"/>
  <c r="Y847" i="4"/>
  <c r="X847" i="4"/>
  <c r="W847" i="4"/>
  <c r="V847" i="4"/>
  <c r="U847" i="4"/>
  <c r="Q847" i="4"/>
  <c r="P847" i="4"/>
  <c r="O847" i="4"/>
  <c r="AL846" i="4"/>
  <c r="AK846" i="4"/>
  <c r="AJ846" i="4"/>
  <c r="AI846" i="4"/>
  <c r="AH846" i="4"/>
  <c r="AG846" i="4"/>
  <c r="AF846" i="4"/>
  <c r="AE846" i="4"/>
  <c r="AD846" i="4"/>
  <c r="AB846" i="4"/>
  <c r="AA846" i="4"/>
  <c r="AC846" i="4" s="1"/>
  <c r="Z846" i="4"/>
  <c r="Y846" i="4"/>
  <c r="X846" i="4"/>
  <c r="W846" i="4"/>
  <c r="V846" i="4"/>
  <c r="U846" i="4"/>
  <c r="Q846" i="4"/>
  <c r="P846" i="4"/>
  <c r="O846" i="4"/>
  <c r="AL845" i="4"/>
  <c r="AK845" i="4"/>
  <c r="AJ845" i="4"/>
  <c r="AI845" i="4"/>
  <c r="AH845" i="4"/>
  <c r="AG845" i="4"/>
  <c r="AF845" i="4"/>
  <c r="AE845" i="4"/>
  <c r="AD845" i="4"/>
  <c r="AB845" i="4"/>
  <c r="AA845" i="4"/>
  <c r="AC845" i="4" s="1"/>
  <c r="Z845" i="4"/>
  <c r="Y845" i="4"/>
  <c r="X845" i="4"/>
  <c r="W845" i="4"/>
  <c r="V845" i="4"/>
  <c r="U845" i="4"/>
  <c r="Q845" i="4"/>
  <c r="P845" i="4"/>
  <c r="O845" i="4"/>
  <c r="AL844" i="4"/>
  <c r="AK844" i="4"/>
  <c r="AJ844" i="4"/>
  <c r="AI844" i="4"/>
  <c r="AH844" i="4"/>
  <c r="AG844" i="4"/>
  <c r="AF844" i="4"/>
  <c r="AE844" i="4"/>
  <c r="AD844" i="4"/>
  <c r="AB844" i="4"/>
  <c r="AA844" i="4"/>
  <c r="AC844" i="4" s="1"/>
  <c r="Z844" i="4"/>
  <c r="Y844" i="4"/>
  <c r="X844" i="4"/>
  <c r="W844" i="4"/>
  <c r="V844" i="4"/>
  <c r="U844" i="4"/>
  <c r="Q844" i="4"/>
  <c r="P844" i="4"/>
  <c r="O844" i="4"/>
  <c r="AL843" i="4"/>
  <c r="AK843" i="4"/>
  <c r="AJ843" i="4"/>
  <c r="AI843" i="4"/>
  <c r="AH843" i="4"/>
  <c r="AG843" i="4"/>
  <c r="AF843" i="4"/>
  <c r="AE843" i="4"/>
  <c r="AD843" i="4"/>
  <c r="AB843" i="4"/>
  <c r="AA843" i="4"/>
  <c r="AC843" i="4" s="1"/>
  <c r="Z843" i="4"/>
  <c r="Y843" i="4"/>
  <c r="X843" i="4"/>
  <c r="W843" i="4"/>
  <c r="V843" i="4"/>
  <c r="U843" i="4"/>
  <c r="Q843" i="4"/>
  <c r="P843" i="4"/>
  <c r="O843" i="4"/>
  <c r="AL842" i="4"/>
  <c r="AK842" i="4"/>
  <c r="AJ842" i="4"/>
  <c r="AI842" i="4"/>
  <c r="AH842" i="4"/>
  <c r="AG842" i="4"/>
  <c r="AF842" i="4"/>
  <c r="AE842" i="4"/>
  <c r="AD842" i="4"/>
  <c r="AB842" i="4"/>
  <c r="AA842" i="4"/>
  <c r="AC842" i="4" s="1"/>
  <c r="Z842" i="4"/>
  <c r="Y842" i="4"/>
  <c r="X842" i="4"/>
  <c r="W842" i="4"/>
  <c r="V842" i="4"/>
  <c r="U842" i="4"/>
  <c r="Q842" i="4"/>
  <c r="P842" i="4"/>
  <c r="O842" i="4"/>
  <c r="AL841" i="4"/>
  <c r="AK841" i="4"/>
  <c r="AJ841" i="4"/>
  <c r="AI841" i="4"/>
  <c r="AH841" i="4"/>
  <c r="AG841" i="4"/>
  <c r="AF841" i="4"/>
  <c r="AE841" i="4"/>
  <c r="AD841" i="4"/>
  <c r="AB841" i="4"/>
  <c r="AA841" i="4"/>
  <c r="AC841" i="4" s="1"/>
  <c r="Z841" i="4"/>
  <c r="Y841" i="4"/>
  <c r="X841" i="4"/>
  <c r="W841" i="4"/>
  <c r="V841" i="4"/>
  <c r="U841" i="4"/>
  <c r="Q841" i="4"/>
  <c r="P841" i="4"/>
  <c r="O841" i="4"/>
  <c r="AL840" i="4"/>
  <c r="AK840" i="4"/>
  <c r="AJ840" i="4"/>
  <c r="AI840" i="4"/>
  <c r="AH840" i="4"/>
  <c r="AG840" i="4"/>
  <c r="AF840" i="4"/>
  <c r="AE840" i="4"/>
  <c r="AD840" i="4"/>
  <c r="AB840" i="4"/>
  <c r="AA840" i="4"/>
  <c r="AC840" i="4" s="1"/>
  <c r="Z840" i="4"/>
  <c r="Y840" i="4"/>
  <c r="X840" i="4"/>
  <c r="W840" i="4"/>
  <c r="V840" i="4"/>
  <c r="U840" i="4"/>
  <c r="Q840" i="4"/>
  <c r="P840" i="4"/>
  <c r="O840" i="4"/>
  <c r="AL839" i="4"/>
  <c r="AK839" i="4"/>
  <c r="AJ839" i="4"/>
  <c r="AI839" i="4"/>
  <c r="AH839" i="4"/>
  <c r="AG839" i="4"/>
  <c r="AF839" i="4"/>
  <c r="AE839" i="4"/>
  <c r="AD839" i="4"/>
  <c r="AB839" i="4"/>
  <c r="AA839" i="4"/>
  <c r="AC839" i="4" s="1"/>
  <c r="Z839" i="4"/>
  <c r="Y839" i="4"/>
  <c r="X839" i="4"/>
  <c r="W839" i="4"/>
  <c r="V839" i="4"/>
  <c r="U839" i="4"/>
  <c r="Q839" i="4"/>
  <c r="P839" i="4"/>
  <c r="O839" i="4"/>
  <c r="AL838" i="4"/>
  <c r="AK838" i="4"/>
  <c r="AJ838" i="4"/>
  <c r="AI838" i="4"/>
  <c r="AG838" i="4"/>
  <c r="AF838" i="4"/>
  <c r="AE838" i="4"/>
  <c r="AD838" i="4"/>
  <c r="AB838" i="4"/>
  <c r="AA838" i="4"/>
  <c r="AC838" i="4" s="1"/>
  <c r="Z838" i="4"/>
  <c r="Y838" i="4"/>
  <c r="X838" i="4"/>
  <c r="W838" i="4"/>
  <c r="V838" i="4"/>
  <c r="U838" i="4"/>
  <c r="Q838" i="4"/>
  <c r="P838" i="4"/>
  <c r="O838" i="4"/>
  <c r="AL837" i="4"/>
  <c r="AK837" i="4"/>
  <c r="AJ837" i="4"/>
  <c r="AI837" i="4"/>
  <c r="AH837" i="4"/>
  <c r="AG837" i="4"/>
  <c r="AF837" i="4"/>
  <c r="AE837" i="4"/>
  <c r="AD837" i="4"/>
  <c r="AB837" i="4"/>
  <c r="AA837" i="4"/>
  <c r="AC837" i="4" s="1"/>
  <c r="Z837" i="4"/>
  <c r="Y837" i="4"/>
  <c r="X837" i="4"/>
  <c r="W837" i="4"/>
  <c r="V837" i="4"/>
  <c r="U837" i="4"/>
  <c r="Q837" i="4"/>
  <c r="P837" i="4"/>
  <c r="O837" i="4"/>
  <c r="AL836" i="4"/>
  <c r="AK836" i="4"/>
  <c r="AJ836" i="4"/>
  <c r="AI836" i="4"/>
  <c r="AH836" i="4"/>
  <c r="AG836" i="4"/>
  <c r="AF836" i="4"/>
  <c r="AE836" i="4"/>
  <c r="AD836" i="4"/>
  <c r="AB836" i="4"/>
  <c r="AA836" i="4"/>
  <c r="AC836" i="4" s="1"/>
  <c r="Z836" i="4"/>
  <c r="Y836" i="4"/>
  <c r="X836" i="4"/>
  <c r="W836" i="4"/>
  <c r="V836" i="4"/>
  <c r="U836" i="4"/>
  <c r="Q836" i="4"/>
  <c r="P836" i="4"/>
  <c r="O836" i="4"/>
  <c r="AL835" i="4"/>
  <c r="AK835" i="4"/>
  <c r="AJ835" i="4"/>
  <c r="AI835" i="4"/>
  <c r="AH835" i="4"/>
  <c r="AG835" i="4"/>
  <c r="AF835" i="4"/>
  <c r="AE835" i="4"/>
  <c r="AD835" i="4"/>
  <c r="AB835" i="4"/>
  <c r="AA835" i="4"/>
  <c r="AC835" i="4" s="1"/>
  <c r="Z835" i="4"/>
  <c r="Y835" i="4"/>
  <c r="X835" i="4"/>
  <c r="W835" i="4"/>
  <c r="V835" i="4"/>
  <c r="U835" i="4"/>
  <c r="Q835" i="4"/>
  <c r="P835" i="4"/>
  <c r="O835" i="4"/>
  <c r="AL834" i="4"/>
  <c r="AK834" i="4"/>
  <c r="AJ834" i="4"/>
  <c r="AI834" i="4"/>
  <c r="AH834" i="4"/>
  <c r="AG834" i="4"/>
  <c r="AF834" i="4"/>
  <c r="AE834" i="4"/>
  <c r="AD834" i="4"/>
  <c r="AB834" i="4"/>
  <c r="AA834" i="4"/>
  <c r="AC834" i="4" s="1"/>
  <c r="Z834" i="4"/>
  <c r="Y834" i="4"/>
  <c r="X834" i="4"/>
  <c r="W834" i="4"/>
  <c r="V834" i="4"/>
  <c r="U834" i="4"/>
  <c r="Q834" i="4"/>
  <c r="P834" i="4"/>
  <c r="O834" i="4"/>
  <c r="AL833" i="4"/>
  <c r="AK833" i="4"/>
  <c r="AJ833" i="4"/>
  <c r="AI833" i="4"/>
  <c r="AH833" i="4"/>
  <c r="AG833" i="4"/>
  <c r="AF833" i="4"/>
  <c r="AE833" i="4"/>
  <c r="AD833" i="4"/>
  <c r="AB833" i="4"/>
  <c r="AA833" i="4"/>
  <c r="AC833" i="4" s="1"/>
  <c r="Z833" i="4"/>
  <c r="Y833" i="4"/>
  <c r="X833" i="4"/>
  <c r="W833" i="4"/>
  <c r="V833" i="4"/>
  <c r="U833" i="4"/>
  <c r="Q833" i="4"/>
  <c r="P833" i="4"/>
  <c r="O833" i="4"/>
  <c r="AL832" i="4"/>
  <c r="AK832" i="4"/>
  <c r="AJ832" i="4"/>
  <c r="AI832" i="4"/>
  <c r="AH832" i="4"/>
  <c r="AG832" i="4"/>
  <c r="AF832" i="4"/>
  <c r="AE832" i="4"/>
  <c r="AD832" i="4"/>
  <c r="AB832" i="4"/>
  <c r="AA832" i="4"/>
  <c r="AC832" i="4" s="1"/>
  <c r="Z832" i="4"/>
  <c r="Y832" i="4"/>
  <c r="X832" i="4"/>
  <c r="W832" i="4"/>
  <c r="V832" i="4"/>
  <c r="U832" i="4"/>
  <c r="Q832" i="4"/>
  <c r="P832" i="4"/>
  <c r="O832" i="4"/>
  <c r="AL831" i="4"/>
  <c r="AK831" i="4"/>
  <c r="AJ831" i="4"/>
  <c r="AI831" i="4"/>
  <c r="AG831" i="4"/>
  <c r="AF831" i="4"/>
  <c r="AE831" i="4"/>
  <c r="AD831" i="4"/>
  <c r="AB831" i="4"/>
  <c r="AA831" i="4"/>
  <c r="AC831" i="4" s="1"/>
  <c r="Z831" i="4"/>
  <c r="Y831" i="4"/>
  <c r="X831" i="4"/>
  <c r="W831" i="4"/>
  <c r="V831" i="4"/>
  <c r="U831" i="4"/>
  <c r="Q831" i="4"/>
  <c r="P831" i="4"/>
  <c r="O831" i="4"/>
  <c r="AL830" i="4"/>
  <c r="AK830" i="4"/>
  <c r="AJ830" i="4"/>
  <c r="AI830" i="4"/>
  <c r="AH830" i="4"/>
  <c r="AG830" i="4"/>
  <c r="AF830" i="4"/>
  <c r="AE830" i="4"/>
  <c r="AD830" i="4"/>
  <c r="AB830" i="4"/>
  <c r="AA830" i="4"/>
  <c r="AC830" i="4" s="1"/>
  <c r="Z830" i="4"/>
  <c r="Y830" i="4"/>
  <c r="X830" i="4"/>
  <c r="W830" i="4"/>
  <c r="V830" i="4"/>
  <c r="U830" i="4"/>
  <c r="Q830" i="4"/>
  <c r="P830" i="4"/>
  <c r="O830" i="4"/>
  <c r="AL829" i="4"/>
  <c r="AK829" i="4"/>
  <c r="AJ829" i="4"/>
  <c r="AI829" i="4"/>
  <c r="AH829" i="4"/>
  <c r="AG829" i="4"/>
  <c r="AF829" i="4"/>
  <c r="AE829" i="4"/>
  <c r="AD829" i="4"/>
  <c r="AB829" i="4"/>
  <c r="AA829" i="4"/>
  <c r="AC829" i="4" s="1"/>
  <c r="Z829" i="4"/>
  <c r="Y829" i="4"/>
  <c r="X829" i="4"/>
  <c r="W829" i="4"/>
  <c r="V829" i="4"/>
  <c r="U829" i="4"/>
  <c r="Q829" i="4"/>
  <c r="P829" i="4"/>
  <c r="O829" i="4"/>
  <c r="AL828" i="4"/>
  <c r="AK828" i="4"/>
  <c r="AJ828" i="4"/>
  <c r="AI828" i="4"/>
  <c r="AH828" i="4"/>
  <c r="AG828" i="4"/>
  <c r="AF828" i="4"/>
  <c r="AE828" i="4"/>
  <c r="AD828" i="4"/>
  <c r="AB828" i="4"/>
  <c r="AA828" i="4"/>
  <c r="AC828" i="4" s="1"/>
  <c r="Z828" i="4"/>
  <c r="Y828" i="4"/>
  <c r="X828" i="4"/>
  <c r="W828" i="4"/>
  <c r="V828" i="4"/>
  <c r="U828" i="4"/>
  <c r="Q828" i="4"/>
  <c r="P828" i="4"/>
  <c r="O828" i="4"/>
  <c r="AL827" i="4"/>
  <c r="AK827" i="4"/>
  <c r="AJ827" i="4"/>
  <c r="AI827" i="4"/>
  <c r="AH827" i="4"/>
  <c r="AG827" i="4"/>
  <c r="AF827" i="4"/>
  <c r="AE827" i="4"/>
  <c r="AD827" i="4"/>
  <c r="AB827" i="4"/>
  <c r="AA827" i="4"/>
  <c r="AC827" i="4" s="1"/>
  <c r="Z827" i="4"/>
  <c r="Y827" i="4"/>
  <c r="X827" i="4"/>
  <c r="W827" i="4"/>
  <c r="V827" i="4"/>
  <c r="U827" i="4"/>
  <c r="Q827" i="4"/>
  <c r="P827" i="4"/>
  <c r="O827" i="4"/>
  <c r="AL826" i="4"/>
  <c r="AK826" i="4"/>
  <c r="AJ826" i="4"/>
  <c r="AI826" i="4"/>
  <c r="AH826" i="4"/>
  <c r="AG826" i="4"/>
  <c r="AF826" i="4"/>
  <c r="AE826" i="4"/>
  <c r="AD826" i="4"/>
  <c r="AB826" i="4"/>
  <c r="AA826" i="4"/>
  <c r="AC826" i="4" s="1"/>
  <c r="Z826" i="4"/>
  <c r="Y826" i="4"/>
  <c r="X826" i="4"/>
  <c r="W826" i="4"/>
  <c r="V826" i="4"/>
  <c r="U826" i="4"/>
  <c r="Q826" i="4"/>
  <c r="P826" i="4"/>
  <c r="O826" i="4"/>
  <c r="AL825" i="4"/>
  <c r="AK825" i="4"/>
  <c r="AJ825" i="4"/>
  <c r="AI825" i="4"/>
  <c r="AH825" i="4"/>
  <c r="AG825" i="4"/>
  <c r="AF825" i="4"/>
  <c r="AE825" i="4"/>
  <c r="AD825" i="4"/>
  <c r="AB825" i="4"/>
  <c r="AA825" i="4"/>
  <c r="AC825" i="4" s="1"/>
  <c r="Z825" i="4"/>
  <c r="Y825" i="4"/>
  <c r="X825" i="4"/>
  <c r="W825" i="4"/>
  <c r="V825" i="4"/>
  <c r="U825" i="4"/>
  <c r="Q825" i="4"/>
  <c r="P825" i="4"/>
  <c r="O825" i="4"/>
  <c r="AL824" i="4"/>
  <c r="AK824" i="4"/>
  <c r="AJ824" i="4"/>
  <c r="AI824" i="4"/>
  <c r="AH824" i="4"/>
  <c r="AG824" i="4"/>
  <c r="AF824" i="4"/>
  <c r="AE824" i="4"/>
  <c r="AD824" i="4"/>
  <c r="AB824" i="4"/>
  <c r="AA824" i="4"/>
  <c r="AC824" i="4" s="1"/>
  <c r="Z824" i="4"/>
  <c r="Y824" i="4"/>
  <c r="X824" i="4"/>
  <c r="W824" i="4"/>
  <c r="V824" i="4"/>
  <c r="U824" i="4"/>
  <c r="Q824" i="4"/>
  <c r="P824" i="4"/>
  <c r="O824" i="4"/>
  <c r="AL823" i="4"/>
  <c r="AK823" i="4"/>
  <c r="AJ823" i="4"/>
  <c r="AI823" i="4"/>
  <c r="AH823" i="4"/>
  <c r="AG823" i="4"/>
  <c r="AF823" i="4"/>
  <c r="AE823" i="4"/>
  <c r="AD823" i="4"/>
  <c r="AB823" i="4"/>
  <c r="AA823" i="4"/>
  <c r="AC823" i="4" s="1"/>
  <c r="Z823" i="4"/>
  <c r="Y823" i="4"/>
  <c r="X823" i="4"/>
  <c r="W823" i="4"/>
  <c r="V823" i="4"/>
  <c r="U823" i="4"/>
  <c r="Q823" i="4"/>
  <c r="P823" i="4"/>
  <c r="O823" i="4"/>
  <c r="AL822" i="4"/>
  <c r="AK822" i="4"/>
  <c r="AJ822" i="4"/>
  <c r="AI822" i="4"/>
  <c r="AH822" i="4"/>
  <c r="AG822" i="4"/>
  <c r="AF822" i="4"/>
  <c r="AE822" i="4"/>
  <c r="AD822" i="4"/>
  <c r="AB822" i="4"/>
  <c r="AA822" i="4"/>
  <c r="AC822" i="4" s="1"/>
  <c r="Z822" i="4"/>
  <c r="Y822" i="4"/>
  <c r="X822" i="4"/>
  <c r="W822" i="4"/>
  <c r="V822" i="4"/>
  <c r="U822" i="4"/>
  <c r="Q822" i="4"/>
  <c r="P822" i="4"/>
  <c r="O822" i="4"/>
  <c r="AL821" i="4"/>
  <c r="AK821" i="4"/>
  <c r="AJ821" i="4"/>
  <c r="AI821" i="4"/>
  <c r="AH821" i="4"/>
  <c r="AG821" i="4"/>
  <c r="AF821" i="4"/>
  <c r="AE821" i="4"/>
  <c r="AD821" i="4"/>
  <c r="AB821" i="4"/>
  <c r="AA821" i="4"/>
  <c r="AC821" i="4" s="1"/>
  <c r="Z821" i="4"/>
  <c r="Y821" i="4"/>
  <c r="X821" i="4"/>
  <c r="W821" i="4"/>
  <c r="V821" i="4"/>
  <c r="U821" i="4"/>
  <c r="Q821" i="4"/>
  <c r="P821" i="4"/>
  <c r="O821" i="4"/>
  <c r="AL820" i="4"/>
  <c r="AK820" i="4"/>
  <c r="AJ820" i="4"/>
  <c r="AI820" i="4"/>
  <c r="AH820" i="4"/>
  <c r="AG820" i="4"/>
  <c r="AF820" i="4"/>
  <c r="AE820" i="4"/>
  <c r="AD820" i="4"/>
  <c r="AB820" i="4"/>
  <c r="AA820" i="4"/>
  <c r="AC820" i="4" s="1"/>
  <c r="Z820" i="4"/>
  <c r="Y820" i="4"/>
  <c r="X820" i="4"/>
  <c r="W820" i="4"/>
  <c r="V820" i="4"/>
  <c r="U820" i="4"/>
  <c r="Q820" i="4"/>
  <c r="P820" i="4"/>
  <c r="O820" i="4"/>
  <c r="AL819" i="4"/>
  <c r="AK819" i="4"/>
  <c r="AJ819" i="4"/>
  <c r="AI819" i="4"/>
  <c r="AH819" i="4"/>
  <c r="AG819" i="4"/>
  <c r="AF819" i="4"/>
  <c r="AE819" i="4"/>
  <c r="AD819" i="4"/>
  <c r="AB819" i="4"/>
  <c r="AA819" i="4"/>
  <c r="AC819" i="4" s="1"/>
  <c r="Z819" i="4"/>
  <c r="Y819" i="4"/>
  <c r="X819" i="4"/>
  <c r="W819" i="4"/>
  <c r="V819" i="4"/>
  <c r="U819" i="4"/>
  <c r="Q819" i="4"/>
  <c r="P819" i="4"/>
  <c r="O819" i="4"/>
  <c r="AL818" i="4"/>
  <c r="AK818" i="4"/>
  <c r="AJ818" i="4"/>
  <c r="AI818" i="4"/>
  <c r="AH818" i="4"/>
  <c r="AG818" i="4"/>
  <c r="AF818" i="4"/>
  <c r="AE818" i="4"/>
  <c r="AD818" i="4"/>
  <c r="AB818" i="4"/>
  <c r="AA818" i="4"/>
  <c r="AC818" i="4" s="1"/>
  <c r="Z818" i="4"/>
  <c r="Y818" i="4"/>
  <c r="X818" i="4"/>
  <c r="W818" i="4"/>
  <c r="V818" i="4"/>
  <c r="U818" i="4"/>
  <c r="Q818" i="4"/>
  <c r="P818" i="4"/>
  <c r="O818" i="4"/>
  <c r="AL817" i="4"/>
  <c r="AK817" i="4"/>
  <c r="AJ817" i="4"/>
  <c r="AI817" i="4"/>
  <c r="AH817" i="4"/>
  <c r="AG817" i="4"/>
  <c r="AF817" i="4"/>
  <c r="AE817" i="4"/>
  <c r="AD817" i="4"/>
  <c r="AB817" i="4"/>
  <c r="AA817" i="4"/>
  <c r="AC817" i="4" s="1"/>
  <c r="Z817" i="4"/>
  <c r="Y817" i="4"/>
  <c r="X817" i="4"/>
  <c r="W817" i="4"/>
  <c r="V817" i="4"/>
  <c r="U817" i="4"/>
  <c r="Q817" i="4"/>
  <c r="P817" i="4"/>
  <c r="O817" i="4"/>
  <c r="AL816" i="4"/>
  <c r="AK816" i="4"/>
  <c r="AJ816" i="4"/>
  <c r="AI816" i="4"/>
  <c r="AH816" i="4"/>
  <c r="AG816" i="4"/>
  <c r="AF816" i="4"/>
  <c r="AE816" i="4"/>
  <c r="AD816" i="4"/>
  <c r="AB816" i="4"/>
  <c r="AA816" i="4"/>
  <c r="AC816" i="4" s="1"/>
  <c r="Z816" i="4"/>
  <c r="Y816" i="4"/>
  <c r="X816" i="4"/>
  <c r="W816" i="4"/>
  <c r="V816" i="4"/>
  <c r="U816" i="4"/>
  <c r="Q816" i="4"/>
  <c r="P816" i="4"/>
  <c r="O816" i="4"/>
  <c r="AL815" i="4"/>
  <c r="AK815" i="4"/>
  <c r="AJ815" i="4"/>
  <c r="AI815" i="4"/>
  <c r="AH815" i="4"/>
  <c r="AG815" i="4"/>
  <c r="AF815" i="4"/>
  <c r="AE815" i="4"/>
  <c r="AD815" i="4"/>
  <c r="AB815" i="4"/>
  <c r="AA815" i="4"/>
  <c r="AC815" i="4" s="1"/>
  <c r="Z815" i="4"/>
  <c r="Y815" i="4"/>
  <c r="X815" i="4"/>
  <c r="W815" i="4"/>
  <c r="V815" i="4"/>
  <c r="U815" i="4"/>
  <c r="Q815" i="4"/>
  <c r="P815" i="4"/>
  <c r="O815" i="4"/>
  <c r="AL814" i="4"/>
  <c r="AK814" i="4"/>
  <c r="AJ814" i="4"/>
  <c r="AI814" i="4"/>
  <c r="AH814" i="4"/>
  <c r="AG814" i="4"/>
  <c r="AF814" i="4"/>
  <c r="AE814" i="4"/>
  <c r="AD814" i="4"/>
  <c r="AB814" i="4"/>
  <c r="AA814" i="4"/>
  <c r="AC814" i="4" s="1"/>
  <c r="Z814" i="4"/>
  <c r="Y814" i="4"/>
  <c r="X814" i="4"/>
  <c r="W814" i="4"/>
  <c r="V814" i="4"/>
  <c r="U814" i="4"/>
  <c r="Q814" i="4"/>
  <c r="P814" i="4"/>
  <c r="O814" i="4"/>
  <c r="AL813" i="4"/>
  <c r="AK813" i="4"/>
  <c r="AJ813" i="4"/>
  <c r="AI813" i="4"/>
  <c r="AH813" i="4"/>
  <c r="AG813" i="4"/>
  <c r="AF813" i="4"/>
  <c r="AE813" i="4"/>
  <c r="AD813" i="4"/>
  <c r="AB813" i="4"/>
  <c r="AA813" i="4"/>
  <c r="AC813" i="4" s="1"/>
  <c r="Z813" i="4"/>
  <c r="Y813" i="4"/>
  <c r="X813" i="4"/>
  <c r="W813" i="4"/>
  <c r="V813" i="4"/>
  <c r="U813" i="4"/>
  <c r="Q813" i="4"/>
  <c r="P813" i="4"/>
  <c r="O813" i="4"/>
  <c r="AL812" i="4"/>
  <c r="AK812" i="4"/>
  <c r="AJ812" i="4"/>
  <c r="AI812" i="4"/>
  <c r="AH812" i="4"/>
  <c r="AG812" i="4"/>
  <c r="AF812" i="4"/>
  <c r="AE812" i="4"/>
  <c r="AD812" i="4"/>
  <c r="AB812" i="4"/>
  <c r="AA812" i="4"/>
  <c r="AC812" i="4" s="1"/>
  <c r="Z812" i="4"/>
  <c r="Y812" i="4"/>
  <c r="X812" i="4"/>
  <c r="W812" i="4"/>
  <c r="V812" i="4"/>
  <c r="U812" i="4"/>
  <c r="Q812" i="4"/>
  <c r="P812" i="4"/>
  <c r="O812" i="4"/>
  <c r="AL811" i="4"/>
  <c r="AK811" i="4"/>
  <c r="AJ811" i="4"/>
  <c r="AI811" i="4"/>
  <c r="AH811" i="4"/>
  <c r="AG811" i="4"/>
  <c r="AF811" i="4"/>
  <c r="AE811" i="4"/>
  <c r="AD811" i="4"/>
  <c r="AB811" i="4"/>
  <c r="AA811" i="4"/>
  <c r="AC811" i="4" s="1"/>
  <c r="Z811" i="4"/>
  <c r="Y811" i="4"/>
  <c r="X811" i="4"/>
  <c r="W811" i="4"/>
  <c r="V811" i="4"/>
  <c r="U811" i="4"/>
  <c r="Q811" i="4"/>
  <c r="P811" i="4"/>
  <c r="O811" i="4"/>
  <c r="AL810" i="4"/>
  <c r="AK810" i="4"/>
  <c r="AJ810" i="4"/>
  <c r="AI810" i="4"/>
  <c r="AH810" i="4"/>
  <c r="AG810" i="4"/>
  <c r="AF810" i="4"/>
  <c r="AE810" i="4"/>
  <c r="AD810" i="4"/>
  <c r="AB810" i="4"/>
  <c r="AA810" i="4"/>
  <c r="AC810" i="4" s="1"/>
  <c r="Z810" i="4"/>
  <c r="Y810" i="4"/>
  <c r="X810" i="4"/>
  <c r="W810" i="4"/>
  <c r="V810" i="4"/>
  <c r="U810" i="4"/>
  <c r="Q810" i="4"/>
  <c r="P810" i="4"/>
  <c r="O810" i="4"/>
  <c r="AL809" i="4"/>
  <c r="AK809" i="4"/>
  <c r="AJ809" i="4"/>
  <c r="AI809" i="4"/>
  <c r="AG809" i="4"/>
  <c r="AF809" i="4"/>
  <c r="AE809" i="4"/>
  <c r="AD809" i="4"/>
  <c r="AB809" i="4"/>
  <c r="AA809" i="4"/>
  <c r="AC809" i="4" s="1"/>
  <c r="Z809" i="4"/>
  <c r="Y809" i="4"/>
  <c r="X809" i="4"/>
  <c r="W809" i="4"/>
  <c r="V809" i="4"/>
  <c r="U809" i="4"/>
  <c r="Q809" i="4"/>
  <c r="P809" i="4"/>
  <c r="O809" i="4"/>
  <c r="AL808" i="4"/>
  <c r="AK808" i="4"/>
  <c r="AJ808" i="4"/>
  <c r="AI808" i="4"/>
  <c r="AH808" i="4"/>
  <c r="AG808" i="4"/>
  <c r="AF808" i="4"/>
  <c r="AE808" i="4"/>
  <c r="AD808" i="4"/>
  <c r="AB808" i="4"/>
  <c r="AA808" i="4"/>
  <c r="AC808" i="4" s="1"/>
  <c r="Z808" i="4"/>
  <c r="Y808" i="4"/>
  <c r="X808" i="4"/>
  <c r="W808" i="4"/>
  <c r="V808" i="4"/>
  <c r="U808" i="4"/>
  <c r="Q808" i="4"/>
  <c r="P808" i="4"/>
  <c r="O808" i="4"/>
  <c r="AL807" i="4"/>
  <c r="AK807" i="4"/>
  <c r="AJ807" i="4"/>
  <c r="AI807" i="4"/>
  <c r="AH807" i="4"/>
  <c r="AG807" i="4"/>
  <c r="AF807" i="4"/>
  <c r="AE807" i="4"/>
  <c r="AD807" i="4"/>
  <c r="AB807" i="4"/>
  <c r="AA807" i="4"/>
  <c r="AC807" i="4" s="1"/>
  <c r="Z807" i="4"/>
  <c r="Y807" i="4"/>
  <c r="X807" i="4"/>
  <c r="W807" i="4"/>
  <c r="V807" i="4"/>
  <c r="U807" i="4"/>
  <c r="Q807" i="4"/>
  <c r="P807" i="4"/>
  <c r="O807" i="4"/>
  <c r="AL806" i="4"/>
  <c r="AK806" i="4"/>
  <c r="AJ806" i="4"/>
  <c r="AI806" i="4"/>
  <c r="AH806" i="4"/>
  <c r="AG806" i="4"/>
  <c r="AF806" i="4"/>
  <c r="AE806" i="4"/>
  <c r="AD806" i="4"/>
  <c r="AB806" i="4"/>
  <c r="AA806" i="4"/>
  <c r="AC806" i="4" s="1"/>
  <c r="Z806" i="4"/>
  <c r="Y806" i="4"/>
  <c r="X806" i="4"/>
  <c r="W806" i="4"/>
  <c r="U806" i="4"/>
  <c r="Q806" i="4"/>
  <c r="P806" i="4"/>
  <c r="O806" i="4"/>
  <c r="AL805" i="4"/>
  <c r="AK805" i="4"/>
  <c r="AJ805" i="4"/>
  <c r="AI805" i="4"/>
  <c r="AH805" i="4"/>
  <c r="AG805" i="4"/>
  <c r="AF805" i="4"/>
  <c r="AE805" i="4"/>
  <c r="AD805" i="4"/>
  <c r="AB805" i="4"/>
  <c r="AA805" i="4"/>
  <c r="AC805" i="4" s="1"/>
  <c r="Z805" i="4"/>
  <c r="Y805" i="4"/>
  <c r="X805" i="4"/>
  <c r="W805" i="4"/>
  <c r="U805" i="4"/>
  <c r="Q805" i="4"/>
  <c r="P805" i="4"/>
  <c r="O805" i="4"/>
  <c r="AL804" i="4"/>
  <c r="AK804" i="4"/>
  <c r="AJ804" i="4"/>
  <c r="AI804" i="4"/>
  <c r="AH804" i="4"/>
  <c r="AG804" i="4"/>
  <c r="AF804" i="4"/>
  <c r="AE804" i="4"/>
  <c r="AD804" i="4"/>
  <c r="AB804" i="4"/>
  <c r="AA804" i="4"/>
  <c r="AC804" i="4" s="1"/>
  <c r="Z804" i="4"/>
  <c r="Y804" i="4"/>
  <c r="X804" i="4"/>
  <c r="W804" i="4"/>
  <c r="U804" i="4"/>
  <c r="Q804" i="4"/>
  <c r="P804" i="4"/>
  <c r="O804" i="4"/>
  <c r="AL803" i="4"/>
  <c r="AK803" i="4"/>
  <c r="AJ803" i="4"/>
  <c r="AI803" i="4"/>
  <c r="AH803" i="4"/>
  <c r="AG803" i="4"/>
  <c r="AF803" i="4"/>
  <c r="AE803" i="4"/>
  <c r="AD803" i="4"/>
  <c r="AB803" i="4"/>
  <c r="AA803" i="4"/>
  <c r="AC803" i="4" s="1"/>
  <c r="Z803" i="4"/>
  <c r="Y803" i="4"/>
  <c r="X803" i="4"/>
  <c r="W803" i="4"/>
  <c r="U803" i="4"/>
  <c r="Q803" i="4"/>
  <c r="P803" i="4"/>
  <c r="O803" i="4"/>
  <c r="AL802" i="4"/>
  <c r="AK802" i="4"/>
  <c r="AJ802" i="4"/>
  <c r="AI802" i="4"/>
  <c r="AH802" i="4"/>
  <c r="AG802" i="4"/>
  <c r="AF802" i="4"/>
  <c r="AE802" i="4"/>
  <c r="AD802" i="4"/>
  <c r="AB802" i="4"/>
  <c r="AA802" i="4"/>
  <c r="AC802" i="4" s="1"/>
  <c r="Z802" i="4"/>
  <c r="Y802" i="4"/>
  <c r="X802" i="4"/>
  <c r="W802" i="4"/>
  <c r="U802" i="4"/>
  <c r="Q802" i="4"/>
  <c r="P802" i="4"/>
  <c r="O802" i="4"/>
  <c r="AL801" i="4"/>
  <c r="AK801" i="4"/>
  <c r="AJ801" i="4"/>
  <c r="AI801" i="4"/>
  <c r="AH801" i="4"/>
  <c r="AG801" i="4"/>
  <c r="AF801" i="4"/>
  <c r="AE801" i="4"/>
  <c r="AD801" i="4"/>
  <c r="AB801" i="4"/>
  <c r="AA801" i="4"/>
  <c r="AC801" i="4" s="1"/>
  <c r="Z801" i="4"/>
  <c r="Y801" i="4"/>
  <c r="X801" i="4"/>
  <c r="W801" i="4"/>
  <c r="U801" i="4"/>
  <c r="Q801" i="4"/>
  <c r="P801" i="4"/>
  <c r="O801" i="4"/>
  <c r="AL800" i="4"/>
  <c r="AK800" i="4"/>
  <c r="AJ800" i="4"/>
  <c r="AI800" i="4"/>
  <c r="AH800" i="4"/>
  <c r="AG800" i="4"/>
  <c r="AF800" i="4"/>
  <c r="AE800" i="4"/>
  <c r="AD800" i="4"/>
  <c r="AB800" i="4"/>
  <c r="AA800" i="4"/>
  <c r="AC800" i="4" s="1"/>
  <c r="Z800" i="4"/>
  <c r="Y800" i="4"/>
  <c r="X800" i="4"/>
  <c r="W800" i="4"/>
  <c r="U800" i="4"/>
  <c r="Q800" i="4"/>
  <c r="P800" i="4"/>
  <c r="O800" i="4"/>
  <c r="AL799" i="4"/>
  <c r="AK799" i="4"/>
  <c r="AJ799" i="4"/>
  <c r="AI799" i="4"/>
  <c r="AG799" i="4"/>
  <c r="AF799" i="4"/>
  <c r="AE799" i="4"/>
  <c r="AD799" i="4"/>
  <c r="AB799" i="4"/>
  <c r="AA799" i="4"/>
  <c r="AC799" i="4" s="1"/>
  <c r="Z799" i="4"/>
  <c r="Y799" i="4"/>
  <c r="X799" i="4"/>
  <c r="W799" i="4"/>
  <c r="U799" i="4"/>
  <c r="Q799" i="4"/>
  <c r="P799" i="4"/>
  <c r="O799" i="4"/>
  <c r="AL798" i="4"/>
  <c r="AK798" i="4"/>
  <c r="AJ798" i="4"/>
  <c r="AI798" i="4"/>
  <c r="AG798" i="4"/>
  <c r="AF798" i="4"/>
  <c r="AE798" i="4"/>
  <c r="AD798" i="4"/>
  <c r="AB798" i="4"/>
  <c r="AA798" i="4"/>
  <c r="AC798" i="4" s="1"/>
  <c r="Z798" i="4"/>
  <c r="Y798" i="4"/>
  <c r="X798" i="4"/>
  <c r="W798" i="4"/>
  <c r="U798" i="4"/>
  <c r="Q798" i="4"/>
  <c r="P798" i="4"/>
  <c r="O798" i="4"/>
  <c r="AL797" i="4"/>
  <c r="AK797" i="4"/>
  <c r="AJ797" i="4"/>
  <c r="AI797" i="4"/>
  <c r="AH797" i="4"/>
  <c r="AG797" i="4"/>
  <c r="AF797" i="4"/>
  <c r="AE797" i="4"/>
  <c r="AD797" i="4"/>
  <c r="AB797" i="4"/>
  <c r="AA797" i="4"/>
  <c r="AC797" i="4" s="1"/>
  <c r="Z797" i="4"/>
  <c r="Y797" i="4"/>
  <c r="X797" i="4"/>
  <c r="W797" i="4"/>
  <c r="U797" i="4"/>
  <c r="Q797" i="4"/>
  <c r="P797" i="4"/>
  <c r="O797" i="4"/>
  <c r="AL796" i="4"/>
  <c r="AK796" i="4"/>
  <c r="AJ796" i="4"/>
  <c r="AI796" i="4"/>
  <c r="AH796" i="4"/>
  <c r="AG796" i="4"/>
  <c r="AF796" i="4"/>
  <c r="AE796" i="4"/>
  <c r="AD796" i="4"/>
  <c r="AB796" i="4"/>
  <c r="AA796" i="4"/>
  <c r="AC796" i="4" s="1"/>
  <c r="Z796" i="4"/>
  <c r="Y796" i="4"/>
  <c r="X796" i="4"/>
  <c r="W796" i="4"/>
  <c r="U796" i="4"/>
  <c r="Q796" i="4"/>
  <c r="P796" i="4"/>
  <c r="O796" i="4"/>
  <c r="AL795" i="4"/>
  <c r="AK795" i="4"/>
  <c r="AJ795" i="4"/>
  <c r="AI795" i="4"/>
  <c r="AH795" i="4"/>
  <c r="AG795" i="4"/>
  <c r="AF795" i="4"/>
  <c r="AE795" i="4"/>
  <c r="AD795" i="4"/>
  <c r="AB795" i="4"/>
  <c r="AA795" i="4"/>
  <c r="AC795" i="4" s="1"/>
  <c r="Z795" i="4"/>
  <c r="Y795" i="4"/>
  <c r="X795" i="4"/>
  <c r="W795" i="4"/>
  <c r="U795" i="4"/>
  <c r="Q795" i="4"/>
  <c r="P795" i="4"/>
  <c r="O795" i="4"/>
  <c r="AL794" i="4"/>
  <c r="AK794" i="4"/>
  <c r="AJ794" i="4"/>
  <c r="AI794" i="4"/>
  <c r="AG794" i="4"/>
  <c r="AF794" i="4"/>
  <c r="AE794" i="4"/>
  <c r="AD794" i="4"/>
  <c r="AB794" i="4"/>
  <c r="AA794" i="4"/>
  <c r="AC794" i="4" s="1"/>
  <c r="Z794" i="4"/>
  <c r="Y794" i="4"/>
  <c r="X794" i="4"/>
  <c r="W794" i="4"/>
  <c r="U794" i="4"/>
  <c r="Q794" i="4"/>
  <c r="P794" i="4"/>
  <c r="O794" i="4"/>
  <c r="AL793" i="4"/>
  <c r="AK793" i="4"/>
  <c r="AJ793" i="4"/>
  <c r="AI793" i="4"/>
  <c r="AG793" i="4"/>
  <c r="AF793" i="4"/>
  <c r="AE793" i="4"/>
  <c r="AD793" i="4"/>
  <c r="AB793" i="4"/>
  <c r="AA793" i="4"/>
  <c r="AC793" i="4" s="1"/>
  <c r="Z793" i="4"/>
  <c r="Y793" i="4"/>
  <c r="X793" i="4"/>
  <c r="W793" i="4"/>
  <c r="U793" i="4"/>
  <c r="Q793" i="4"/>
  <c r="P793" i="4"/>
  <c r="O793" i="4"/>
  <c r="AL792" i="4"/>
  <c r="AK792" i="4"/>
  <c r="AJ792" i="4"/>
  <c r="AI792" i="4"/>
  <c r="AH792" i="4"/>
  <c r="AG792" i="4"/>
  <c r="AF792" i="4"/>
  <c r="AE792" i="4"/>
  <c r="AD792" i="4"/>
  <c r="AB792" i="4"/>
  <c r="AA792" i="4"/>
  <c r="AC792" i="4" s="1"/>
  <c r="Z792" i="4"/>
  <c r="Y792" i="4"/>
  <c r="X792" i="4"/>
  <c r="W792" i="4"/>
  <c r="U792" i="4"/>
  <c r="Q792" i="4"/>
  <c r="P792" i="4"/>
  <c r="O792" i="4"/>
  <c r="AL791" i="4"/>
  <c r="AK791" i="4"/>
  <c r="AJ791" i="4"/>
  <c r="AI791" i="4"/>
  <c r="AH791" i="4"/>
  <c r="AG791" i="4"/>
  <c r="AF791" i="4"/>
  <c r="AE791" i="4"/>
  <c r="AD791" i="4"/>
  <c r="AB791" i="4"/>
  <c r="AA791" i="4"/>
  <c r="AC791" i="4" s="1"/>
  <c r="Z791" i="4"/>
  <c r="Y791" i="4"/>
  <c r="X791" i="4"/>
  <c r="W791" i="4"/>
  <c r="U791" i="4"/>
  <c r="Q791" i="4"/>
  <c r="P791" i="4"/>
  <c r="O791" i="4"/>
  <c r="AL790" i="4"/>
  <c r="AK790" i="4"/>
  <c r="AJ790" i="4"/>
  <c r="AI790" i="4"/>
  <c r="AH790" i="4"/>
  <c r="AG790" i="4"/>
  <c r="AF790" i="4"/>
  <c r="AE790" i="4"/>
  <c r="AD790" i="4"/>
  <c r="AB790" i="4"/>
  <c r="AA790" i="4"/>
  <c r="AC790" i="4" s="1"/>
  <c r="Z790" i="4"/>
  <c r="Y790" i="4"/>
  <c r="X790" i="4"/>
  <c r="W790" i="4"/>
  <c r="U790" i="4"/>
  <c r="Q790" i="4"/>
  <c r="P790" i="4"/>
  <c r="O790" i="4"/>
  <c r="AL789" i="4"/>
  <c r="AK789" i="4"/>
  <c r="AJ789" i="4"/>
  <c r="AI789" i="4"/>
  <c r="AH789" i="4"/>
  <c r="AG789" i="4"/>
  <c r="AF789" i="4"/>
  <c r="AE789" i="4"/>
  <c r="AD789" i="4"/>
  <c r="AB789" i="4"/>
  <c r="AA789" i="4"/>
  <c r="AC789" i="4" s="1"/>
  <c r="Z789" i="4"/>
  <c r="Y789" i="4"/>
  <c r="X789" i="4"/>
  <c r="W789" i="4"/>
  <c r="U789" i="4"/>
  <c r="Q789" i="4"/>
  <c r="P789" i="4"/>
  <c r="O789" i="4"/>
  <c r="AL788" i="4"/>
  <c r="AK788" i="4"/>
  <c r="AJ788" i="4"/>
  <c r="AI788" i="4"/>
  <c r="AH788" i="4"/>
  <c r="AG788" i="4"/>
  <c r="AF788" i="4"/>
  <c r="AE788" i="4"/>
  <c r="AD788" i="4"/>
  <c r="AB788" i="4"/>
  <c r="AA788" i="4"/>
  <c r="AC788" i="4" s="1"/>
  <c r="Z788" i="4"/>
  <c r="Y788" i="4"/>
  <c r="X788" i="4"/>
  <c r="W788" i="4"/>
  <c r="U788" i="4"/>
  <c r="Q788" i="4"/>
  <c r="P788" i="4"/>
  <c r="O788" i="4"/>
  <c r="AL787" i="4"/>
  <c r="AK787" i="4"/>
  <c r="AJ787" i="4"/>
  <c r="AI787" i="4"/>
  <c r="AH787" i="4"/>
  <c r="AG787" i="4"/>
  <c r="AF787" i="4"/>
  <c r="AE787" i="4"/>
  <c r="AD787" i="4"/>
  <c r="AB787" i="4"/>
  <c r="AA787" i="4"/>
  <c r="AC787" i="4" s="1"/>
  <c r="Z787" i="4"/>
  <c r="Y787" i="4"/>
  <c r="X787" i="4"/>
  <c r="W787" i="4"/>
  <c r="U787" i="4"/>
  <c r="Q787" i="4"/>
  <c r="P787" i="4"/>
  <c r="O787" i="4"/>
  <c r="AL786" i="4"/>
  <c r="AK786" i="4"/>
  <c r="AJ786" i="4"/>
  <c r="AI786" i="4"/>
  <c r="AG786" i="4"/>
  <c r="AF786" i="4"/>
  <c r="AE786" i="4"/>
  <c r="AD786" i="4"/>
  <c r="AB786" i="4"/>
  <c r="AA786" i="4"/>
  <c r="AC786" i="4" s="1"/>
  <c r="Z786" i="4"/>
  <c r="Y786" i="4"/>
  <c r="X786" i="4"/>
  <c r="W786" i="4"/>
  <c r="U786" i="4"/>
  <c r="Q786" i="4"/>
  <c r="P786" i="4"/>
  <c r="O786" i="4"/>
  <c r="AL785" i="4"/>
  <c r="AK785" i="4"/>
  <c r="AJ785" i="4"/>
  <c r="AI785" i="4"/>
  <c r="AH785" i="4"/>
  <c r="AG785" i="4"/>
  <c r="AF785" i="4"/>
  <c r="AE785" i="4"/>
  <c r="AD785" i="4"/>
  <c r="AB785" i="4"/>
  <c r="AA785" i="4"/>
  <c r="AC785" i="4" s="1"/>
  <c r="Z785" i="4"/>
  <c r="Y785" i="4"/>
  <c r="X785" i="4"/>
  <c r="W785" i="4"/>
  <c r="U785" i="4"/>
  <c r="Q785" i="4"/>
  <c r="P785" i="4"/>
  <c r="O785" i="4"/>
  <c r="AL784" i="4"/>
  <c r="AK784" i="4"/>
  <c r="AJ784" i="4"/>
  <c r="AI784" i="4"/>
  <c r="AH784" i="4"/>
  <c r="AG784" i="4"/>
  <c r="AF784" i="4"/>
  <c r="AE784" i="4"/>
  <c r="AD784" i="4"/>
  <c r="AB784" i="4"/>
  <c r="AA784" i="4"/>
  <c r="AC784" i="4" s="1"/>
  <c r="Z784" i="4"/>
  <c r="Y784" i="4"/>
  <c r="X784" i="4"/>
  <c r="W784" i="4"/>
  <c r="U784" i="4"/>
  <c r="Q784" i="4"/>
  <c r="P784" i="4"/>
  <c r="O784" i="4"/>
  <c r="AL783" i="4"/>
  <c r="AK783" i="4"/>
  <c r="AJ783" i="4"/>
  <c r="AI783" i="4"/>
  <c r="AH783" i="4"/>
  <c r="AG783" i="4"/>
  <c r="AF783" i="4"/>
  <c r="AE783" i="4"/>
  <c r="AD783" i="4"/>
  <c r="AB783" i="4"/>
  <c r="AA783" i="4"/>
  <c r="AC783" i="4" s="1"/>
  <c r="Z783" i="4"/>
  <c r="Y783" i="4"/>
  <c r="X783" i="4"/>
  <c r="W783" i="4"/>
  <c r="U783" i="4"/>
  <c r="Q783" i="4"/>
  <c r="P783" i="4"/>
  <c r="O783" i="4"/>
  <c r="AL782" i="4"/>
  <c r="AK782" i="4"/>
  <c r="AJ782" i="4"/>
  <c r="AI782" i="4"/>
  <c r="AH782" i="4"/>
  <c r="AG782" i="4"/>
  <c r="AF782" i="4"/>
  <c r="AE782" i="4"/>
  <c r="AD782" i="4"/>
  <c r="AB782" i="4"/>
  <c r="AA782" i="4"/>
  <c r="AC782" i="4" s="1"/>
  <c r="Z782" i="4"/>
  <c r="Y782" i="4"/>
  <c r="X782" i="4"/>
  <c r="W782" i="4"/>
  <c r="U782" i="4"/>
  <c r="Q782" i="4"/>
  <c r="P782" i="4"/>
  <c r="O782" i="4"/>
  <c r="AL781" i="4"/>
  <c r="AK781" i="4"/>
  <c r="AJ781" i="4"/>
  <c r="AI781" i="4"/>
  <c r="AH781" i="4"/>
  <c r="AG781" i="4"/>
  <c r="AF781" i="4"/>
  <c r="AE781" i="4"/>
  <c r="AD781" i="4"/>
  <c r="AB781" i="4"/>
  <c r="AA781" i="4"/>
  <c r="AC781" i="4" s="1"/>
  <c r="Z781" i="4"/>
  <c r="Y781" i="4"/>
  <c r="X781" i="4"/>
  <c r="W781" i="4"/>
  <c r="U781" i="4"/>
  <c r="Q781" i="4"/>
  <c r="P781" i="4"/>
  <c r="O781" i="4"/>
  <c r="AL780" i="4"/>
  <c r="AK780" i="4"/>
  <c r="AJ780" i="4"/>
  <c r="AI780" i="4"/>
  <c r="AH780" i="4"/>
  <c r="AG780" i="4"/>
  <c r="AF780" i="4"/>
  <c r="AE780" i="4"/>
  <c r="AD780" i="4"/>
  <c r="AB780" i="4"/>
  <c r="AA780" i="4"/>
  <c r="AC780" i="4" s="1"/>
  <c r="Z780" i="4"/>
  <c r="Y780" i="4"/>
  <c r="X780" i="4"/>
  <c r="W780" i="4"/>
  <c r="U780" i="4"/>
  <c r="Q780" i="4"/>
  <c r="P780" i="4"/>
  <c r="O780" i="4"/>
  <c r="AL779" i="4"/>
  <c r="AK779" i="4"/>
  <c r="AJ779" i="4"/>
  <c r="AI779" i="4"/>
  <c r="AH779" i="4"/>
  <c r="AG779" i="4"/>
  <c r="AF779" i="4"/>
  <c r="AE779" i="4"/>
  <c r="AD779" i="4"/>
  <c r="AB779" i="4"/>
  <c r="AA779" i="4"/>
  <c r="AC779" i="4" s="1"/>
  <c r="Z779" i="4"/>
  <c r="Y779" i="4"/>
  <c r="X779" i="4"/>
  <c r="W779" i="4"/>
  <c r="U779" i="4"/>
  <c r="Q779" i="4"/>
  <c r="P779" i="4"/>
  <c r="O779" i="4"/>
  <c r="AL778" i="4"/>
  <c r="AK778" i="4"/>
  <c r="AJ778" i="4"/>
  <c r="AI778" i="4"/>
  <c r="AH778" i="4"/>
  <c r="AG778" i="4"/>
  <c r="AF778" i="4"/>
  <c r="AE778" i="4"/>
  <c r="AD778" i="4"/>
  <c r="AB778" i="4"/>
  <c r="AA778" i="4"/>
  <c r="AC778" i="4" s="1"/>
  <c r="Z778" i="4"/>
  <c r="Y778" i="4"/>
  <c r="X778" i="4"/>
  <c r="W778" i="4"/>
  <c r="U778" i="4"/>
  <c r="Q778" i="4"/>
  <c r="P778" i="4"/>
  <c r="O778" i="4"/>
  <c r="AL777" i="4"/>
  <c r="AK777" i="4"/>
  <c r="AJ777" i="4"/>
  <c r="AI777" i="4"/>
  <c r="AH777" i="4"/>
  <c r="AG777" i="4"/>
  <c r="AF777" i="4"/>
  <c r="AE777" i="4"/>
  <c r="AD777" i="4"/>
  <c r="AB777" i="4"/>
  <c r="AA777" i="4"/>
  <c r="AC777" i="4" s="1"/>
  <c r="Z777" i="4"/>
  <c r="Y777" i="4"/>
  <c r="X777" i="4"/>
  <c r="W777" i="4"/>
  <c r="U777" i="4"/>
  <c r="Q777" i="4"/>
  <c r="P777" i="4"/>
  <c r="O777" i="4"/>
  <c r="AL776" i="4"/>
  <c r="AK776" i="4"/>
  <c r="AJ776" i="4"/>
  <c r="AI776" i="4"/>
  <c r="AH776" i="4"/>
  <c r="AG776" i="4"/>
  <c r="AF776" i="4"/>
  <c r="AE776" i="4"/>
  <c r="AD776" i="4"/>
  <c r="AB776" i="4"/>
  <c r="AA776" i="4"/>
  <c r="AC776" i="4" s="1"/>
  <c r="Z776" i="4"/>
  <c r="Y776" i="4"/>
  <c r="X776" i="4"/>
  <c r="W776" i="4"/>
  <c r="U776" i="4"/>
  <c r="Q776" i="4"/>
  <c r="P776" i="4"/>
  <c r="O776" i="4"/>
  <c r="AL775" i="4"/>
  <c r="AK775" i="4"/>
  <c r="AJ775" i="4"/>
  <c r="AI775" i="4"/>
  <c r="AH775" i="4"/>
  <c r="AG775" i="4"/>
  <c r="AF775" i="4"/>
  <c r="AE775" i="4"/>
  <c r="AD775" i="4"/>
  <c r="AB775" i="4"/>
  <c r="AA775" i="4"/>
  <c r="AC775" i="4" s="1"/>
  <c r="Z775" i="4"/>
  <c r="Y775" i="4"/>
  <c r="X775" i="4"/>
  <c r="W775" i="4"/>
  <c r="U775" i="4"/>
  <c r="Q775" i="4"/>
  <c r="P775" i="4"/>
  <c r="O775" i="4"/>
  <c r="AL774" i="4"/>
  <c r="AK774" i="4"/>
  <c r="AJ774" i="4"/>
  <c r="AI774" i="4"/>
  <c r="AH774" i="4"/>
  <c r="AG774" i="4"/>
  <c r="AF774" i="4"/>
  <c r="AE774" i="4"/>
  <c r="AD774" i="4"/>
  <c r="AB774" i="4"/>
  <c r="AA774" i="4"/>
  <c r="AC774" i="4" s="1"/>
  <c r="Z774" i="4"/>
  <c r="Y774" i="4"/>
  <c r="X774" i="4"/>
  <c r="W774" i="4"/>
  <c r="U774" i="4"/>
  <c r="Q774" i="4"/>
  <c r="P774" i="4"/>
  <c r="O774" i="4"/>
  <c r="AL773" i="4"/>
  <c r="AK773" i="4"/>
  <c r="AJ773" i="4"/>
  <c r="AI773" i="4"/>
  <c r="AH773" i="4"/>
  <c r="AG773" i="4"/>
  <c r="AF773" i="4"/>
  <c r="AE773" i="4"/>
  <c r="AD773" i="4"/>
  <c r="AB773" i="4"/>
  <c r="AA773" i="4"/>
  <c r="AC773" i="4" s="1"/>
  <c r="Z773" i="4"/>
  <c r="Y773" i="4"/>
  <c r="X773" i="4"/>
  <c r="W773" i="4"/>
  <c r="U773" i="4"/>
  <c r="Q773" i="4"/>
  <c r="P773" i="4"/>
  <c r="O773" i="4"/>
  <c r="AL772" i="4"/>
  <c r="AK772" i="4"/>
  <c r="AJ772" i="4"/>
  <c r="AI772" i="4"/>
  <c r="AH772" i="4"/>
  <c r="AG772" i="4"/>
  <c r="AF772" i="4"/>
  <c r="AE772" i="4"/>
  <c r="AD772" i="4"/>
  <c r="AB772" i="4"/>
  <c r="AA772" i="4"/>
  <c r="AC772" i="4" s="1"/>
  <c r="Z772" i="4"/>
  <c r="Y772" i="4"/>
  <c r="X772" i="4"/>
  <c r="W772" i="4"/>
  <c r="U772" i="4"/>
  <c r="Q772" i="4"/>
  <c r="P772" i="4"/>
  <c r="O772" i="4"/>
  <c r="AL771" i="4"/>
  <c r="AK771" i="4"/>
  <c r="AJ771" i="4"/>
  <c r="AI771" i="4"/>
  <c r="AH771" i="4"/>
  <c r="AG771" i="4"/>
  <c r="AF771" i="4"/>
  <c r="AE771" i="4"/>
  <c r="AD771" i="4"/>
  <c r="AB771" i="4"/>
  <c r="AA771" i="4"/>
  <c r="AC771" i="4" s="1"/>
  <c r="Z771" i="4"/>
  <c r="Y771" i="4"/>
  <c r="X771" i="4"/>
  <c r="W771" i="4"/>
  <c r="U771" i="4"/>
  <c r="Q771" i="4"/>
  <c r="P771" i="4"/>
  <c r="O771" i="4"/>
  <c r="AL770" i="4"/>
  <c r="AK770" i="4"/>
  <c r="AJ770" i="4"/>
  <c r="AI770" i="4"/>
  <c r="AH770" i="4"/>
  <c r="AG770" i="4"/>
  <c r="AF770" i="4"/>
  <c r="AE770" i="4"/>
  <c r="AD770" i="4"/>
  <c r="AB770" i="4"/>
  <c r="AA770" i="4"/>
  <c r="AC770" i="4" s="1"/>
  <c r="Z770" i="4"/>
  <c r="Y770" i="4"/>
  <c r="X770" i="4"/>
  <c r="W770" i="4"/>
  <c r="U770" i="4"/>
  <c r="Q770" i="4"/>
  <c r="P770" i="4"/>
  <c r="O770" i="4"/>
  <c r="AL769" i="4"/>
  <c r="AK769" i="4"/>
  <c r="AJ769" i="4"/>
  <c r="AI769" i="4"/>
  <c r="AH769" i="4"/>
  <c r="AG769" i="4"/>
  <c r="AF769" i="4"/>
  <c r="AE769" i="4"/>
  <c r="AD769" i="4"/>
  <c r="AB769" i="4"/>
  <c r="AA769" i="4"/>
  <c r="AC769" i="4" s="1"/>
  <c r="Z769" i="4"/>
  <c r="Y769" i="4"/>
  <c r="X769" i="4"/>
  <c r="W769" i="4"/>
  <c r="U769" i="4"/>
  <c r="Q769" i="4"/>
  <c r="P769" i="4"/>
  <c r="O769" i="4"/>
  <c r="AL768" i="4"/>
  <c r="AK768" i="4"/>
  <c r="AJ768" i="4"/>
  <c r="AI768" i="4"/>
  <c r="AH768" i="4"/>
  <c r="AG768" i="4"/>
  <c r="AF768" i="4"/>
  <c r="AE768" i="4"/>
  <c r="AD768" i="4"/>
  <c r="AB768" i="4"/>
  <c r="AA768" i="4"/>
  <c r="AC768" i="4" s="1"/>
  <c r="Z768" i="4"/>
  <c r="Y768" i="4"/>
  <c r="X768" i="4"/>
  <c r="W768" i="4"/>
  <c r="U768" i="4"/>
  <c r="Q768" i="4"/>
  <c r="P768" i="4"/>
  <c r="O768" i="4"/>
  <c r="AL767" i="4"/>
  <c r="AK767" i="4"/>
  <c r="AJ767" i="4"/>
  <c r="AI767" i="4"/>
  <c r="AH767" i="4"/>
  <c r="AG767" i="4"/>
  <c r="AF767" i="4"/>
  <c r="AE767" i="4"/>
  <c r="AD767" i="4"/>
  <c r="AB767" i="4"/>
  <c r="AA767" i="4"/>
  <c r="AC767" i="4" s="1"/>
  <c r="Z767" i="4"/>
  <c r="Y767" i="4"/>
  <c r="X767" i="4"/>
  <c r="W767" i="4"/>
  <c r="U767" i="4"/>
  <c r="Q767" i="4"/>
  <c r="P767" i="4"/>
  <c r="O767" i="4"/>
  <c r="AL766" i="4"/>
  <c r="AK766" i="4"/>
  <c r="AJ766" i="4"/>
  <c r="AI766" i="4"/>
  <c r="AH766" i="4"/>
  <c r="AG766" i="4"/>
  <c r="AF766" i="4"/>
  <c r="AE766" i="4"/>
  <c r="AD766" i="4"/>
  <c r="AB766" i="4"/>
  <c r="AA766" i="4"/>
  <c r="AC766" i="4" s="1"/>
  <c r="Z766" i="4"/>
  <c r="Y766" i="4"/>
  <c r="X766" i="4"/>
  <c r="W766" i="4"/>
  <c r="U766" i="4"/>
  <c r="Q766" i="4"/>
  <c r="P766" i="4"/>
  <c r="O766" i="4"/>
  <c r="AL765" i="4"/>
  <c r="AK765" i="4"/>
  <c r="AJ765" i="4"/>
  <c r="AI765" i="4"/>
  <c r="AH765" i="4"/>
  <c r="AG765" i="4"/>
  <c r="AF765" i="4"/>
  <c r="AE765" i="4"/>
  <c r="AD765" i="4"/>
  <c r="AB765" i="4"/>
  <c r="AA765" i="4"/>
  <c r="AC765" i="4" s="1"/>
  <c r="Z765" i="4"/>
  <c r="Y765" i="4"/>
  <c r="X765" i="4"/>
  <c r="W765" i="4"/>
  <c r="U765" i="4"/>
  <c r="Q765" i="4"/>
  <c r="P765" i="4"/>
  <c r="O765" i="4"/>
  <c r="AL764" i="4"/>
  <c r="AK764" i="4"/>
  <c r="AJ764" i="4"/>
  <c r="AI764" i="4"/>
  <c r="AH764" i="4"/>
  <c r="AG764" i="4"/>
  <c r="AF764" i="4"/>
  <c r="AE764" i="4"/>
  <c r="AD764" i="4"/>
  <c r="AB764" i="4"/>
  <c r="AA764" i="4"/>
  <c r="AC764" i="4" s="1"/>
  <c r="Z764" i="4"/>
  <c r="Y764" i="4"/>
  <c r="X764" i="4"/>
  <c r="W764" i="4"/>
  <c r="U764" i="4"/>
  <c r="Q764" i="4"/>
  <c r="P764" i="4"/>
  <c r="O764" i="4"/>
  <c r="AL763" i="4"/>
  <c r="AK763" i="4"/>
  <c r="AJ763" i="4"/>
  <c r="AI763" i="4"/>
  <c r="AH763" i="4"/>
  <c r="AG763" i="4"/>
  <c r="AF763" i="4"/>
  <c r="AE763" i="4"/>
  <c r="AD763" i="4"/>
  <c r="AB763" i="4"/>
  <c r="AA763" i="4"/>
  <c r="AC763" i="4" s="1"/>
  <c r="Z763" i="4"/>
  <c r="Y763" i="4"/>
  <c r="X763" i="4"/>
  <c r="W763" i="4"/>
  <c r="U763" i="4"/>
  <c r="Q763" i="4"/>
  <c r="P763" i="4"/>
  <c r="O763" i="4"/>
  <c r="AL762" i="4"/>
  <c r="AK762" i="4"/>
  <c r="AJ762" i="4"/>
  <c r="AI762" i="4"/>
  <c r="AG762" i="4"/>
  <c r="AF762" i="4"/>
  <c r="AE762" i="4"/>
  <c r="AD762" i="4"/>
  <c r="AB762" i="4"/>
  <c r="AA762" i="4"/>
  <c r="AC762" i="4" s="1"/>
  <c r="Z762" i="4"/>
  <c r="Y762" i="4"/>
  <c r="X762" i="4"/>
  <c r="W762" i="4"/>
  <c r="U762" i="4"/>
  <c r="Q762" i="4"/>
  <c r="P762" i="4"/>
  <c r="O762" i="4"/>
  <c r="AL761" i="4"/>
  <c r="AK761" i="4"/>
  <c r="AJ761" i="4"/>
  <c r="AI761" i="4"/>
  <c r="AH761" i="4"/>
  <c r="AG761" i="4"/>
  <c r="AF761" i="4"/>
  <c r="AE761" i="4"/>
  <c r="AD761" i="4"/>
  <c r="AB761" i="4"/>
  <c r="AA761" i="4"/>
  <c r="AC761" i="4" s="1"/>
  <c r="Z761" i="4"/>
  <c r="Y761" i="4"/>
  <c r="X761" i="4"/>
  <c r="W761" i="4"/>
  <c r="U761" i="4"/>
  <c r="Q761" i="4"/>
  <c r="P761" i="4"/>
  <c r="O761" i="4"/>
  <c r="AL760" i="4"/>
  <c r="AK760" i="4"/>
  <c r="AJ760" i="4"/>
  <c r="AI760" i="4"/>
  <c r="AH760" i="4"/>
  <c r="AG760" i="4"/>
  <c r="AF760" i="4"/>
  <c r="AE760" i="4"/>
  <c r="AD760" i="4"/>
  <c r="AB760" i="4"/>
  <c r="AA760" i="4"/>
  <c r="AC760" i="4" s="1"/>
  <c r="Z760" i="4"/>
  <c r="Y760" i="4"/>
  <c r="X760" i="4"/>
  <c r="W760" i="4"/>
  <c r="U760" i="4"/>
  <c r="Q760" i="4"/>
  <c r="P760" i="4"/>
  <c r="O760" i="4"/>
  <c r="AL759" i="4"/>
  <c r="AK759" i="4"/>
  <c r="AJ759" i="4"/>
  <c r="AI759" i="4"/>
  <c r="AH759" i="4"/>
  <c r="AG759" i="4"/>
  <c r="AF759" i="4"/>
  <c r="AE759" i="4"/>
  <c r="AD759" i="4"/>
  <c r="AB759" i="4"/>
  <c r="AA759" i="4"/>
  <c r="AC759" i="4" s="1"/>
  <c r="Z759" i="4"/>
  <c r="Y759" i="4"/>
  <c r="X759" i="4"/>
  <c r="W759" i="4"/>
  <c r="U759" i="4"/>
  <c r="Q759" i="4"/>
  <c r="P759" i="4"/>
  <c r="O759" i="4"/>
  <c r="AL758" i="4"/>
  <c r="AK758" i="4"/>
  <c r="AJ758" i="4"/>
  <c r="AI758" i="4"/>
  <c r="AH758" i="4"/>
  <c r="AG758" i="4"/>
  <c r="AF758" i="4"/>
  <c r="AE758" i="4"/>
  <c r="AD758" i="4"/>
  <c r="AB758" i="4"/>
  <c r="AA758" i="4"/>
  <c r="AC758" i="4" s="1"/>
  <c r="Z758" i="4"/>
  <c r="Y758" i="4"/>
  <c r="X758" i="4"/>
  <c r="W758" i="4"/>
  <c r="U758" i="4"/>
  <c r="Q758" i="4"/>
  <c r="P758" i="4"/>
  <c r="O758" i="4"/>
  <c r="AL757" i="4"/>
  <c r="AK757" i="4"/>
  <c r="AJ757" i="4"/>
  <c r="AI757" i="4"/>
  <c r="AG757" i="4"/>
  <c r="AF757" i="4"/>
  <c r="AE757" i="4"/>
  <c r="AD757" i="4"/>
  <c r="AB757" i="4"/>
  <c r="AA757" i="4"/>
  <c r="AC757" i="4" s="1"/>
  <c r="Z757" i="4"/>
  <c r="Y757" i="4"/>
  <c r="X757" i="4"/>
  <c r="W757" i="4"/>
  <c r="U757" i="4"/>
  <c r="Q757" i="4"/>
  <c r="P757" i="4"/>
  <c r="O757" i="4"/>
  <c r="AL756" i="4"/>
  <c r="AK756" i="4"/>
  <c r="AJ756" i="4"/>
  <c r="AI756" i="4"/>
  <c r="AH756" i="4"/>
  <c r="AG756" i="4"/>
  <c r="AF756" i="4"/>
  <c r="AE756" i="4"/>
  <c r="AD756" i="4"/>
  <c r="AB756" i="4"/>
  <c r="AA756" i="4"/>
  <c r="AC756" i="4" s="1"/>
  <c r="Z756" i="4"/>
  <c r="Y756" i="4"/>
  <c r="X756" i="4"/>
  <c r="W756" i="4"/>
  <c r="U756" i="4"/>
  <c r="Q756" i="4"/>
  <c r="P756" i="4"/>
  <c r="O756" i="4"/>
  <c r="AL755" i="4"/>
  <c r="AK755" i="4"/>
  <c r="AJ755" i="4"/>
  <c r="AI755" i="4"/>
  <c r="AH755" i="4"/>
  <c r="AG755" i="4"/>
  <c r="AF755" i="4"/>
  <c r="AE755" i="4"/>
  <c r="AD755" i="4"/>
  <c r="AB755" i="4"/>
  <c r="AA755" i="4"/>
  <c r="AC755" i="4" s="1"/>
  <c r="Z755" i="4"/>
  <c r="Y755" i="4"/>
  <c r="X755" i="4"/>
  <c r="W755" i="4"/>
  <c r="U755" i="4"/>
  <c r="Q755" i="4"/>
  <c r="P755" i="4"/>
  <c r="O755" i="4"/>
  <c r="AL754" i="4"/>
  <c r="AK754" i="4"/>
  <c r="AJ754" i="4"/>
  <c r="AI754" i="4"/>
  <c r="AH754" i="4"/>
  <c r="AG754" i="4"/>
  <c r="AF754" i="4"/>
  <c r="AE754" i="4"/>
  <c r="AD754" i="4"/>
  <c r="AB754" i="4"/>
  <c r="AA754" i="4"/>
  <c r="AC754" i="4" s="1"/>
  <c r="Z754" i="4"/>
  <c r="Y754" i="4"/>
  <c r="X754" i="4"/>
  <c r="W754" i="4"/>
  <c r="U754" i="4"/>
  <c r="Q754" i="4"/>
  <c r="P754" i="4"/>
  <c r="O754" i="4"/>
  <c r="AL753" i="4"/>
  <c r="AK753" i="4"/>
  <c r="AJ753" i="4"/>
  <c r="AI753" i="4"/>
  <c r="AH753" i="4"/>
  <c r="AG753" i="4"/>
  <c r="AF753" i="4"/>
  <c r="AE753" i="4"/>
  <c r="AD753" i="4"/>
  <c r="AB753" i="4"/>
  <c r="AA753" i="4"/>
  <c r="AC753" i="4" s="1"/>
  <c r="Z753" i="4"/>
  <c r="Y753" i="4"/>
  <c r="X753" i="4"/>
  <c r="W753" i="4"/>
  <c r="U753" i="4"/>
  <c r="Q753" i="4"/>
  <c r="P753" i="4"/>
  <c r="O753" i="4"/>
  <c r="AL752" i="4"/>
  <c r="AK752" i="4"/>
  <c r="AJ752" i="4"/>
  <c r="AI752" i="4"/>
  <c r="AH752" i="4"/>
  <c r="AG752" i="4"/>
  <c r="AF752" i="4"/>
  <c r="AE752" i="4"/>
  <c r="AD752" i="4"/>
  <c r="AB752" i="4"/>
  <c r="AA752" i="4"/>
  <c r="AC752" i="4" s="1"/>
  <c r="Z752" i="4"/>
  <c r="Y752" i="4"/>
  <c r="X752" i="4"/>
  <c r="W752" i="4"/>
  <c r="U752" i="4"/>
  <c r="Q752" i="4"/>
  <c r="P752" i="4"/>
  <c r="O752" i="4"/>
  <c r="AL751" i="4"/>
  <c r="AK751" i="4"/>
  <c r="AJ751" i="4"/>
  <c r="AI751" i="4"/>
  <c r="AH751" i="4"/>
  <c r="AG751" i="4"/>
  <c r="AF751" i="4"/>
  <c r="AE751" i="4"/>
  <c r="AD751" i="4"/>
  <c r="AB751" i="4"/>
  <c r="AA751" i="4"/>
  <c r="AC751" i="4" s="1"/>
  <c r="Z751" i="4"/>
  <c r="Y751" i="4"/>
  <c r="X751" i="4"/>
  <c r="W751" i="4"/>
  <c r="U751" i="4"/>
  <c r="Q751" i="4"/>
  <c r="P751" i="4"/>
  <c r="O751" i="4"/>
  <c r="AL750" i="4"/>
  <c r="AK750" i="4"/>
  <c r="AJ750" i="4"/>
  <c r="AI750" i="4"/>
  <c r="AG750" i="4"/>
  <c r="AF750" i="4"/>
  <c r="AE750" i="4"/>
  <c r="AD750" i="4"/>
  <c r="AB750" i="4"/>
  <c r="AA750" i="4"/>
  <c r="AC750" i="4" s="1"/>
  <c r="Z750" i="4"/>
  <c r="Y750" i="4"/>
  <c r="X750" i="4"/>
  <c r="W750" i="4"/>
  <c r="U750" i="4"/>
  <c r="Q750" i="4"/>
  <c r="P750" i="4"/>
  <c r="O750" i="4"/>
  <c r="AL749" i="4"/>
  <c r="AK749" i="4"/>
  <c r="AJ749" i="4"/>
  <c r="AI749" i="4"/>
  <c r="AG749" i="4"/>
  <c r="AF749" i="4"/>
  <c r="AE749" i="4"/>
  <c r="AD749" i="4"/>
  <c r="AB749" i="4"/>
  <c r="AA749" i="4"/>
  <c r="AC749" i="4" s="1"/>
  <c r="Z749" i="4"/>
  <c r="Y749" i="4"/>
  <c r="X749" i="4"/>
  <c r="W749" i="4"/>
  <c r="U749" i="4"/>
  <c r="Q749" i="4"/>
  <c r="P749" i="4"/>
  <c r="O749" i="4"/>
  <c r="AL748" i="4"/>
  <c r="AK748" i="4"/>
  <c r="AJ748" i="4"/>
  <c r="AI748" i="4"/>
  <c r="AH748" i="4"/>
  <c r="AG748" i="4"/>
  <c r="AF748" i="4"/>
  <c r="AE748" i="4"/>
  <c r="AD748" i="4"/>
  <c r="AB748" i="4"/>
  <c r="AA748" i="4"/>
  <c r="AC748" i="4" s="1"/>
  <c r="Z748" i="4"/>
  <c r="Y748" i="4"/>
  <c r="X748" i="4"/>
  <c r="W748" i="4"/>
  <c r="U748" i="4"/>
  <c r="Q748" i="4"/>
  <c r="P748" i="4"/>
  <c r="O748" i="4"/>
  <c r="AL747" i="4"/>
  <c r="AK747" i="4"/>
  <c r="AJ747" i="4"/>
  <c r="AI747" i="4"/>
  <c r="AH747" i="4"/>
  <c r="AG747" i="4"/>
  <c r="AF747" i="4"/>
  <c r="AE747" i="4"/>
  <c r="AD747" i="4"/>
  <c r="AB747" i="4"/>
  <c r="AA747" i="4"/>
  <c r="AC747" i="4" s="1"/>
  <c r="Z747" i="4"/>
  <c r="Y747" i="4"/>
  <c r="X747" i="4"/>
  <c r="W747" i="4"/>
  <c r="U747" i="4"/>
  <c r="Q747" i="4"/>
  <c r="P747" i="4"/>
  <c r="O747" i="4"/>
  <c r="AL746" i="4"/>
  <c r="AK746" i="4"/>
  <c r="AJ746" i="4"/>
  <c r="AI746" i="4"/>
  <c r="AH746" i="4"/>
  <c r="AG746" i="4"/>
  <c r="AF746" i="4"/>
  <c r="AE746" i="4"/>
  <c r="AD746" i="4"/>
  <c r="AB746" i="4"/>
  <c r="AA746" i="4"/>
  <c r="AC746" i="4" s="1"/>
  <c r="Z746" i="4"/>
  <c r="Y746" i="4"/>
  <c r="X746" i="4"/>
  <c r="W746" i="4"/>
  <c r="U746" i="4"/>
  <c r="Q746" i="4"/>
  <c r="P746" i="4"/>
  <c r="O746" i="4"/>
  <c r="AL745" i="4"/>
  <c r="AK745" i="4"/>
  <c r="AJ745" i="4"/>
  <c r="AI745" i="4"/>
  <c r="AH745" i="4"/>
  <c r="AG745" i="4"/>
  <c r="AF745" i="4"/>
  <c r="AE745" i="4"/>
  <c r="AD745" i="4"/>
  <c r="AB745" i="4"/>
  <c r="AA745" i="4"/>
  <c r="AC745" i="4" s="1"/>
  <c r="Z745" i="4"/>
  <c r="Y745" i="4"/>
  <c r="X745" i="4"/>
  <c r="W745" i="4"/>
  <c r="U745" i="4"/>
  <c r="Q745" i="4"/>
  <c r="P745" i="4"/>
  <c r="O745" i="4"/>
  <c r="AL744" i="4"/>
  <c r="AK744" i="4"/>
  <c r="AJ744" i="4"/>
  <c r="AI744" i="4"/>
  <c r="AH744" i="4"/>
  <c r="AG744" i="4"/>
  <c r="AF744" i="4"/>
  <c r="AE744" i="4"/>
  <c r="AD744" i="4"/>
  <c r="AB744" i="4"/>
  <c r="AA744" i="4"/>
  <c r="AC744" i="4" s="1"/>
  <c r="Z744" i="4"/>
  <c r="Y744" i="4"/>
  <c r="X744" i="4"/>
  <c r="W744" i="4"/>
  <c r="U744" i="4"/>
  <c r="Q744" i="4"/>
  <c r="P744" i="4"/>
  <c r="O744" i="4"/>
  <c r="AL743" i="4"/>
  <c r="AK743" i="4"/>
  <c r="AJ743" i="4"/>
  <c r="AI743" i="4"/>
  <c r="AH743" i="4"/>
  <c r="AG743" i="4"/>
  <c r="AF743" i="4"/>
  <c r="AE743" i="4"/>
  <c r="AD743" i="4"/>
  <c r="AB743" i="4"/>
  <c r="AA743" i="4"/>
  <c r="AC743" i="4" s="1"/>
  <c r="Z743" i="4"/>
  <c r="Y743" i="4"/>
  <c r="X743" i="4"/>
  <c r="W743" i="4"/>
  <c r="U743" i="4"/>
  <c r="Q743" i="4"/>
  <c r="P743" i="4"/>
  <c r="O743" i="4"/>
  <c r="AL742" i="4"/>
  <c r="AK742" i="4"/>
  <c r="AJ742" i="4"/>
  <c r="AI742" i="4"/>
  <c r="AH742" i="4"/>
  <c r="AG742" i="4"/>
  <c r="AF742" i="4"/>
  <c r="AE742" i="4"/>
  <c r="AD742" i="4"/>
  <c r="AB742" i="4"/>
  <c r="AA742" i="4"/>
  <c r="AC742" i="4" s="1"/>
  <c r="Z742" i="4"/>
  <c r="Y742" i="4"/>
  <c r="X742" i="4"/>
  <c r="W742" i="4"/>
  <c r="U742" i="4"/>
  <c r="Q742" i="4"/>
  <c r="P742" i="4"/>
  <c r="O742" i="4"/>
  <c r="AL741" i="4"/>
  <c r="AK741" i="4"/>
  <c r="AJ741" i="4"/>
  <c r="AI741" i="4"/>
  <c r="AH741" i="4"/>
  <c r="AG741" i="4"/>
  <c r="AF741" i="4"/>
  <c r="AE741" i="4"/>
  <c r="AD741" i="4"/>
  <c r="AB741" i="4"/>
  <c r="AA741" i="4"/>
  <c r="AC741" i="4" s="1"/>
  <c r="Z741" i="4"/>
  <c r="Y741" i="4"/>
  <c r="X741" i="4"/>
  <c r="W741" i="4"/>
  <c r="U741" i="4"/>
  <c r="Q741" i="4"/>
  <c r="P741" i="4"/>
  <c r="O741" i="4"/>
  <c r="AL740" i="4"/>
  <c r="AK740" i="4"/>
  <c r="AJ740" i="4"/>
  <c r="AI740" i="4"/>
  <c r="AH740" i="4"/>
  <c r="AG740" i="4"/>
  <c r="AF740" i="4"/>
  <c r="AE740" i="4"/>
  <c r="AD740" i="4"/>
  <c r="AB740" i="4"/>
  <c r="AA740" i="4"/>
  <c r="AC740" i="4" s="1"/>
  <c r="Z740" i="4"/>
  <c r="Y740" i="4"/>
  <c r="X740" i="4"/>
  <c r="W740" i="4"/>
  <c r="U740" i="4"/>
  <c r="Q740" i="4"/>
  <c r="P740" i="4"/>
  <c r="O740" i="4"/>
  <c r="AL739" i="4"/>
  <c r="AK739" i="4"/>
  <c r="AJ739" i="4"/>
  <c r="AI739" i="4"/>
  <c r="AH739" i="4"/>
  <c r="AG739" i="4"/>
  <c r="AF739" i="4"/>
  <c r="AE739" i="4"/>
  <c r="AD739" i="4"/>
  <c r="AB739" i="4"/>
  <c r="AA739" i="4"/>
  <c r="AC739" i="4" s="1"/>
  <c r="Z739" i="4"/>
  <c r="Y739" i="4"/>
  <c r="X739" i="4"/>
  <c r="W739" i="4"/>
  <c r="U739" i="4"/>
  <c r="Q739" i="4"/>
  <c r="P739" i="4"/>
  <c r="O739" i="4"/>
  <c r="AL738" i="4"/>
  <c r="AK738" i="4"/>
  <c r="AJ738" i="4"/>
  <c r="AI738" i="4"/>
  <c r="AH738" i="4"/>
  <c r="AG738" i="4"/>
  <c r="AF738" i="4"/>
  <c r="AE738" i="4"/>
  <c r="AD738" i="4"/>
  <c r="AB738" i="4"/>
  <c r="AA738" i="4"/>
  <c r="AC738" i="4" s="1"/>
  <c r="Z738" i="4"/>
  <c r="Y738" i="4"/>
  <c r="X738" i="4"/>
  <c r="W738" i="4"/>
  <c r="U738" i="4"/>
  <c r="Q738" i="4"/>
  <c r="P738" i="4"/>
  <c r="O738" i="4"/>
  <c r="AL737" i="4"/>
  <c r="AK737" i="4"/>
  <c r="AJ737" i="4"/>
  <c r="AI737" i="4"/>
  <c r="AH737" i="4"/>
  <c r="AG737" i="4"/>
  <c r="AF737" i="4"/>
  <c r="AE737" i="4"/>
  <c r="AD737" i="4"/>
  <c r="AB737" i="4"/>
  <c r="AA737" i="4"/>
  <c r="AC737" i="4" s="1"/>
  <c r="Z737" i="4"/>
  <c r="Y737" i="4"/>
  <c r="X737" i="4"/>
  <c r="W737" i="4"/>
  <c r="U737" i="4"/>
  <c r="Q737" i="4"/>
  <c r="P737" i="4"/>
  <c r="O737" i="4"/>
  <c r="AL736" i="4"/>
  <c r="AK736" i="4"/>
  <c r="AJ736" i="4"/>
  <c r="AI736" i="4"/>
  <c r="AH736" i="4"/>
  <c r="AG736" i="4"/>
  <c r="AF736" i="4"/>
  <c r="AE736" i="4"/>
  <c r="AD736" i="4"/>
  <c r="AB736" i="4"/>
  <c r="AA736" i="4"/>
  <c r="AC736" i="4" s="1"/>
  <c r="Z736" i="4"/>
  <c r="Y736" i="4"/>
  <c r="X736" i="4"/>
  <c r="W736" i="4"/>
  <c r="U736" i="4"/>
  <c r="Q736" i="4"/>
  <c r="P736" i="4"/>
  <c r="O736" i="4"/>
  <c r="AL735" i="4"/>
  <c r="AK735" i="4"/>
  <c r="AJ735" i="4"/>
  <c r="AI735" i="4"/>
  <c r="AH735" i="4"/>
  <c r="AG735" i="4"/>
  <c r="AF735" i="4"/>
  <c r="AE735" i="4"/>
  <c r="AD735" i="4"/>
  <c r="AB735" i="4"/>
  <c r="AA735" i="4"/>
  <c r="AC735" i="4" s="1"/>
  <c r="Z735" i="4"/>
  <c r="Y735" i="4"/>
  <c r="X735" i="4"/>
  <c r="W735" i="4"/>
  <c r="U735" i="4"/>
  <c r="Q735" i="4"/>
  <c r="P735" i="4"/>
  <c r="O735" i="4"/>
  <c r="AL734" i="4"/>
  <c r="AK734" i="4"/>
  <c r="AJ734" i="4"/>
  <c r="AI734" i="4"/>
  <c r="AH734" i="4"/>
  <c r="AG734" i="4"/>
  <c r="AF734" i="4"/>
  <c r="AE734" i="4"/>
  <c r="AD734" i="4"/>
  <c r="AB734" i="4"/>
  <c r="AA734" i="4"/>
  <c r="AC734" i="4" s="1"/>
  <c r="Z734" i="4"/>
  <c r="Y734" i="4"/>
  <c r="X734" i="4"/>
  <c r="W734" i="4"/>
  <c r="U734" i="4"/>
  <c r="Q734" i="4"/>
  <c r="P734" i="4"/>
  <c r="O734" i="4"/>
  <c r="AL733" i="4"/>
  <c r="AK733" i="4"/>
  <c r="AJ733" i="4"/>
  <c r="AI733" i="4"/>
  <c r="AH733" i="4"/>
  <c r="AG733" i="4"/>
  <c r="AF733" i="4"/>
  <c r="AE733" i="4"/>
  <c r="AD733" i="4"/>
  <c r="AB733" i="4"/>
  <c r="AA733" i="4"/>
  <c r="AC733" i="4" s="1"/>
  <c r="Z733" i="4"/>
  <c r="Y733" i="4"/>
  <c r="X733" i="4"/>
  <c r="W733" i="4"/>
  <c r="U733" i="4"/>
  <c r="Q733" i="4"/>
  <c r="P733" i="4"/>
  <c r="O733" i="4"/>
  <c r="AL732" i="4"/>
  <c r="AK732" i="4"/>
  <c r="AJ732" i="4"/>
  <c r="AI732" i="4"/>
  <c r="AH732" i="4"/>
  <c r="AG732" i="4"/>
  <c r="AF732" i="4"/>
  <c r="AE732" i="4"/>
  <c r="AD732" i="4"/>
  <c r="AB732" i="4"/>
  <c r="AA732" i="4"/>
  <c r="AC732" i="4" s="1"/>
  <c r="Z732" i="4"/>
  <c r="Y732" i="4"/>
  <c r="X732" i="4"/>
  <c r="W732" i="4"/>
  <c r="U732" i="4"/>
  <c r="Q732" i="4"/>
  <c r="P732" i="4"/>
  <c r="O732" i="4"/>
  <c r="AL731" i="4"/>
  <c r="AK731" i="4"/>
  <c r="AJ731" i="4"/>
  <c r="AI731" i="4"/>
  <c r="AH731" i="4"/>
  <c r="AG731" i="4"/>
  <c r="AF731" i="4"/>
  <c r="AE731" i="4"/>
  <c r="AD731" i="4"/>
  <c r="AB731" i="4"/>
  <c r="AA731" i="4"/>
  <c r="AC731" i="4" s="1"/>
  <c r="Z731" i="4"/>
  <c r="Y731" i="4"/>
  <c r="X731" i="4"/>
  <c r="W731" i="4"/>
  <c r="U731" i="4"/>
  <c r="Q731" i="4"/>
  <c r="P731" i="4"/>
  <c r="O731" i="4"/>
  <c r="AL730" i="4"/>
  <c r="AK730" i="4"/>
  <c r="AJ730" i="4"/>
  <c r="AI730" i="4"/>
  <c r="AH730" i="4"/>
  <c r="AG730" i="4"/>
  <c r="AF730" i="4"/>
  <c r="AE730" i="4"/>
  <c r="AD730" i="4"/>
  <c r="AB730" i="4"/>
  <c r="AA730" i="4"/>
  <c r="AC730" i="4" s="1"/>
  <c r="Z730" i="4"/>
  <c r="Y730" i="4"/>
  <c r="X730" i="4"/>
  <c r="W730" i="4"/>
  <c r="U730" i="4"/>
  <c r="Q730" i="4"/>
  <c r="P730" i="4"/>
  <c r="O730" i="4"/>
  <c r="AL729" i="4"/>
  <c r="AK729" i="4"/>
  <c r="AJ729" i="4"/>
  <c r="AI729" i="4"/>
  <c r="AH729" i="4"/>
  <c r="AG729" i="4"/>
  <c r="AF729" i="4"/>
  <c r="AE729" i="4"/>
  <c r="AD729" i="4"/>
  <c r="AB729" i="4"/>
  <c r="AA729" i="4"/>
  <c r="AC729" i="4" s="1"/>
  <c r="Z729" i="4"/>
  <c r="Y729" i="4"/>
  <c r="X729" i="4"/>
  <c r="W729" i="4"/>
  <c r="U729" i="4"/>
  <c r="Q729" i="4"/>
  <c r="P729" i="4"/>
  <c r="O729" i="4"/>
  <c r="AL728" i="4"/>
  <c r="AK728" i="4"/>
  <c r="AJ728" i="4"/>
  <c r="AI728" i="4"/>
  <c r="AH728" i="4"/>
  <c r="AG728" i="4"/>
  <c r="AF728" i="4"/>
  <c r="AE728" i="4"/>
  <c r="AD728" i="4"/>
  <c r="AB728" i="4"/>
  <c r="AA728" i="4"/>
  <c r="AC728" i="4" s="1"/>
  <c r="Z728" i="4"/>
  <c r="Y728" i="4"/>
  <c r="X728" i="4"/>
  <c r="W728" i="4"/>
  <c r="U728" i="4"/>
  <c r="Q728" i="4"/>
  <c r="P728" i="4"/>
  <c r="O728" i="4"/>
  <c r="AL727" i="4"/>
  <c r="AK727" i="4"/>
  <c r="AJ727" i="4"/>
  <c r="AI727" i="4"/>
  <c r="AH727" i="4"/>
  <c r="AG727" i="4"/>
  <c r="AF727" i="4"/>
  <c r="AE727" i="4"/>
  <c r="AD727" i="4"/>
  <c r="AB727" i="4"/>
  <c r="AA727" i="4"/>
  <c r="AC727" i="4" s="1"/>
  <c r="Z727" i="4"/>
  <c r="Y727" i="4"/>
  <c r="X727" i="4"/>
  <c r="W727" i="4"/>
  <c r="U727" i="4"/>
  <c r="Q727" i="4"/>
  <c r="P727" i="4"/>
  <c r="O727" i="4"/>
  <c r="AL726" i="4"/>
  <c r="AK726" i="4"/>
  <c r="AJ726" i="4"/>
  <c r="AI726" i="4"/>
  <c r="AH726" i="4"/>
  <c r="AG726" i="4"/>
  <c r="AF726" i="4"/>
  <c r="AE726" i="4"/>
  <c r="AD726" i="4"/>
  <c r="AB726" i="4"/>
  <c r="AA726" i="4"/>
  <c r="AC726" i="4" s="1"/>
  <c r="Z726" i="4"/>
  <c r="Y726" i="4"/>
  <c r="X726" i="4"/>
  <c r="W726" i="4"/>
  <c r="U726" i="4"/>
  <c r="Q726" i="4"/>
  <c r="P726" i="4"/>
  <c r="O726" i="4"/>
  <c r="AL725" i="4"/>
  <c r="AK725" i="4"/>
  <c r="AJ725" i="4"/>
  <c r="AI725" i="4"/>
  <c r="AH725" i="4"/>
  <c r="AG725" i="4"/>
  <c r="AF725" i="4"/>
  <c r="AE725" i="4"/>
  <c r="AD725" i="4"/>
  <c r="AB725" i="4"/>
  <c r="AA725" i="4"/>
  <c r="AC725" i="4" s="1"/>
  <c r="Z725" i="4"/>
  <c r="Y725" i="4"/>
  <c r="X725" i="4"/>
  <c r="W725" i="4"/>
  <c r="U725" i="4"/>
  <c r="Q725" i="4"/>
  <c r="P725" i="4"/>
  <c r="O725" i="4"/>
  <c r="AL724" i="4"/>
  <c r="AK724" i="4"/>
  <c r="AJ724" i="4"/>
  <c r="AI724" i="4"/>
  <c r="AH724" i="4"/>
  <c r="AG724" i="4"/>
  <c r="AF724" i="4"/>
  <c r="AE724" i="4"/>
  <c r="AD724" i="4"/>
  <c r="AB724" i="4"/>
  <c r="AA724" i="4"/>
  <c r="AC724" i="4" s="1"/>
  <c r="Z724" i="4"/>
  <c r="Y724" i="4"/>
  <c r="X724" i="4"/>
  <c r="W724" i="4"/>
  <c r="U724" i="4"/>
  <c r="Q724" i="4"/>
  <c r="P724" i="4"/>
  <c r="O724" i="4"/>
  <c r="AL723" i="4"/>
  <c r="AK723" i="4"/>
  <c r="AJ723" i="4"/>
  <c r="AI723" i="4"/>
  <c r="AH723" i="4"/>
  <c r="AG723" i="4"/>
  <c r="AF723" i="4"/>
  <c r="AE723" i="4"/>
  <c r="AD723" i="4"/>
  <c r="AB723" i="4"/>
  <c r="AA723" i="4"/>
  <c r="AC723" i="4" s="1"/>
  <c r="Z723" i="4"/>
  <c r="Y723" i="4"/>
  <c r="X723" i="4"/>
  <c r="W723" i="4"/>
  <c r="U723" i="4"/>
  <c r="Q723" i="4"/>
  <c r="P723" i="4"/>
  <c r="O723" i="4"/>
  <c r="AL722" i="4"/>
  <c r="AK722" i="4"/>
  <c r="AJ722" i="4"/>
  <c r="AI722" i="4"/>
  <c r="AH722" i="4"/>
  <c r="AG722" i="4"/>
  <c r="AF722" i="4"/>
  <c r="AE722" i="4"/>
  <c r="AD722" i="4"/>
  <c r="AB722" i="4"/>
  <c r="AA722" i="4"/>
  <c r="AC722" i="4" s="1"/>
  <c r="Z722" i="4"/>
  <c r="Y722" i="4"/>
  <c r="X722" i="4"/>
  <c r="W722" i="4"/>
  <c r="U722" i="4"/>
  <c r="Q722" i="4"/>
  <c r="P722" i="4"/>
  <c r="O722" i="4"/>
  <c r="AL721" i="4"/>
  <c r="AK721" i="4"/>
  <c r="AJ721" i="4"/>
  <c r="AI721" i="4"/>
  <c r="AH721" i="4"/>
  <c r="AG721" i="4"/>
  <c r="AF721" i="4"/>
  <c r="AE721" i="4"/>
  <c r="AD721" i="4"/>
  <c r="AB721" i="4"/>
  <c r="AA721" i="4"/>
  <c r="AC721" i="4" s="1"/>
  <c r="Z721" i="4"/>
  <c r="Y721" i="4"/>
  <c r="X721" i="4"/>
  <c r="W721" i="4"/>
  <c r="U721" i="4"/>
  <c r="Q721" i="4"/>
  <c r="P721" i="4"/>
  <c r="O721" i="4"/>
  <c r="AL720" i="4"/>
  <c r="AK720" i="4"/>
  <c r="AJ720" i="4"/>
  <c r="AI720" i="4"/>
  <c r="AH720" i="4"/>
  <c r="AG720" i="4"/>
  <c r="AF720" i="4"/>
  <c r="AE720" i="4"/>
  <c r="AD720" i="4"/>
  <c r="AB720" i="4"/>
  <c r="AA720" i="4"/>
  <c r="AC720" i="4" s="1"/>
  <c r="Z720" i="4"/>
  <c r="Y720" i="4"/>
  <c r="X720" i="4"/>
  <c r="W720" i="4"/>
  <c r="U720" i="4"/>
  <c r="Q720" i="4"/>
  <c r="P720" i="4"/>
  <c r="O720" i="4"/>
  <c r="AL719" i="4"/>
  <c r="AK719" i="4"/>
  <c r="AJ719" i="4"/>
  <c r="AI719" i="4"/>
  <c r="AG719" i="4"/>
  <c r="AF719" i="4"/>
  <c r="AE719" i="4"/>
  <c r="AD719" i="4"/>
  <c r="AB719" i="4"/>
  <c r="AA719" i="4"/>
  <c r="AC719" i="4" s="1"/>
  <c r="Z719" i="4"/>
  <c r="Y719" i="4"/>
  <c r="X719" i="4"/>
  <c r="W719" i="4"/>
  <c r="U719" i="4"/>
  <c r="Q719" i="4"/>
  <c r="P719" i="4"/>
  <c r="O719" i="4"/>
  <c r="AL718" i="4"/>
  <c r="AK718" i="4"/>
  <c r="AJ718" i="4"/>
  <c r="AI718" i="4"/>
  <c r="AH718" i="4"/>
  <c r="AG718" i="4"/>
  <c r="AF718" i="4"/>
  <c r="AE718" i="4"/>
  <c r="AD718" i="4"/>
  <c r="AB718" i="4"/>
  <c r="AA718" i="4"/>
  <c r="AC718" i="4" s="1"/>
  <c r="Z718" i="4"/>
  <c r="Y718" i="4"/>
  <c r="X718" i="4"/>
  <c r="W718" i="4"/>
  <c r="U718" i="4"/>
  <c r="Q718" i="4"/>
  <c r="P718" i="4"/>
  <c r="O718" i="4"/>
  <c r="AL717" i="4"/>
  <c r="AK717" i="4"/>
  <c r="AJ717" i="4"/>
  <c r="AI717" i="4"/>
  <c r="AH717" i="4"/>
  <c r="AG717" i="4"/>
  <c r="AF717" i="4"/>
  <c r="AE717" i="4"/>
  <c r="AD717" i="4"/>
  <c r="AB717" i="4"/>
  <c r="AA717" i="4"/>
  <c r="AC717" i="4" s="1"/>
  <c r="Z717" i="4"/>
  <c r="Y717" i="4"/>
  <c r="X717" i="4"/>
  <c r="W717" i="4"/>
  <c r="U717" i="4"/>
  <c r="Q717" i="4"/>
  <c r="P717" i="4"/>
  <c r="O717" i="4"/>
  <c r="AL716" i="4"/>
  <c r="AK716" i="4"/>
  <c r="AJ716" i="4"/>
  <c r="AI716" i="4"/>
  <c r="AH716" i="4"/>
  <c r="AG716" i="4"/>
  <c r="AF716" i="4"/>
  <c r="AE716" i="4"/>
  <c r="AD716" i="4"/>
  <c r="AB716" i="4"/>
  <c r="AA716" i="4"/>
  <c r="AC716" i="4" s="1"/>
  <c r="Z716" i="4"/>
  <c r="Y716" i="4"/>
  <c r="X716" i="4"/>
  <c r="W716" i="4"/>
  <c r="U716" i="4"/>
  <c r="Q716" i="4"/>
  <c r="P716" i="4"/>
  <c r="O716" i="4"/>
  <c r="AL715" i="4"/>
  <c r="AK715" i="4"/>
  <c r="AJ715" i="4"/>
  <c r="AI715" i="4"/>
  <c r="AH715" i="4"/>
  <c r="AG715" i="4"/>
  <c r="AF715" i="4"/>
  <c r="AE715" i="4"/>
  <c r="AD715" i="4"/>
  <c r="AB715" i="4"/>
  <c r="AA715" i="4"/>
  <c r="AC715" i="4" s="1"/>
  <c r="Z715" i="4"/>
  <c r="Y715" i="4"/>
  <c r="X715" i="4"/>
  <c r="W715" i="4"/>
  <c r="U715" i="4"/>
  <c r="Q715" i="4"/>
  <c r="P715" i="4"/>
  <c r="O715" i="4"/>
  <c r="AL714" i="4"/>
  <c r="AK714" i="4"/>
  <c r="AJ714" i="4"/>
  <c r="AI714" i="4"/>
  <c r="AH714" i="4"/>
  <c r="AG714" i="4"/>
  <c r="AF714" i="4"/>
  <c r="AE714" i="4"/>
  <c r="AD714" i="4"/>
  <c r="AB714" i="4"/>
  <c r="AA714" i="4"/>
  <c r="AC714" i="4" s="1"/>
  <c r="Z714" i="4"/>
  <c r="Y714" i="4"/>
  <c r="X714" i="4"/>
  <c r="W714" i="4"/>
  <c r="U714" i="4"/>
  <c r="Q714" i="4"/>
  <c r="P714" i="4"/>
  <c r="O714" i="4"/>
  <c r="AL713" i="4"/>
  <c r="AK713" i="4"/>
  <c r="AJ713" i="4"/>
  <c r="AI713" i="4"/>
  <c r="AH713" i="4"/>
  <c r="AG713" i="4"/>
  <c r="AF713" i="4"/>
  <c r="AE713" i="4"/>
  <c r="AD713" i="4"/>
  <c r="AB713" i="4"/>
  <c r="AA713" i="4"/>
  <c r="AC713" i="4" s="1"/>
  <c r="Z713" i="4"/>
  <c r="Y713" i="4"/>
  <c r="X713" i="4"/>
  <c r="W713" i="4"/>
  <c r="U713" i="4"/>
  <c r="Q713" i="4"/>
  <c r="P713" i="4"/>
  <c r="O713" i="4"/>
  <c r="AL712" i="4"/>
  <c r="AK712" i="4"/>
  <c r="AJ712" i="4"/>
  <c r="AI712" i="4"/>
  <c r="AH712" i="4"/>
  <c r="AG712" i="4"/>
  <c r="AF712" i="4"/>
  <c r="AE712" i="4"/>
  <c r="AD712" i="4"/>
  <c r="AB712" i="4"/>
  <c r="AA712" i="4"/>
  <c r="AC712" i="4" s="1"/>
  <c r="Z712" i="4"/>
  <c r="Y712" i="4"/>
  <c r="X712" i="4"/>
  <c r="W712" i="4"/>
  <c r="U712" i="4"/>
  <c r="Q712" i="4"/>
  <c r="P712" i="4"/>
  <c r="O712" i="4"/>
  <c r="AL711" i="4"/>
  <c r="AK711" i="4"/>
  <c r="AJ711" i="4"/>
  <c r="AI711" i="4"/>
  <c r="AH711" i="4"/>
  <c r="AG711" i="4"/>
  <c r="AF711" i="4"/>
  <c r="AE711" i="4"/>
  <c r="AD711" i="4"/>
  <c r="AB711" i="4"/>
  <c r="AA711" i="4"/>
  <c r="AC711" i="4" s="1"/>
  <c r="Z711" i="4"/>
  <c r="Y711" i="4"/>
  <c r="X711" i="4"/>
  <c r="W711" i="4"/>
  <c r="U711" i="4"/>
  <c r="Q711" i="4"/>
  <c r="P711" i="4"/>
  <c r="O711" i="4"/>
  <c r="AL710" i="4"/>
  <c r="AK710" i="4"/>
  <c r="AJ710" i="4"/>
  <c r="AI710" i="4"/>
  <c r="AH710" i="4"/>
  <c r="AG710" i="4"/>
  <c r="AF710" i="4"/>
  <c r="AE710" i="4"/>
  <c r="AD710" i="4"/>
  <c r="AB710" i="4"/>
  <c r="AA710" i="4"/>
  <c r="AC710" i="4" s="1"/>
  <c r="Z710" i="4"/>
  <c r="Y710" i="4"/>
  <c r="X710" i="4"/>
  <c r="W710" i="4"/>
  <c r="U710" i="4"/>
  <c r="Q710" i="4"/>
  <c r="P710" i="4"/>
  <c r="O710" i="4"/>
  <c r="AL709" i="4"/>
  <c r="AK709" i="4"/>
  <c r="AJ709" i="4"/>
  <c r="AI709" i="4"/>
  <c r="AH709" i="4"/>
  <c r="AG709" i="4"/>
  <c r="AF709" i="4"/>
  <c r="AE709" i="4"/>
  <c r="AD709" i="4"/>
  <c r="AB709" i="4"/>
  <c r="AA709" i="4"/>
  <c r="AC709" i="4" s="1"/>
  <c r="Z709" i="4"/>
  <c r="Y709" i="4"/>
  <c r="X709" i="4"/>
  <c r="W709" i="4"/>
  <c r="U709" i="4"/>
  <c r="Q709" i="4"/>
  <c r="P709" i="4"/>
  <c r="O709" i="4"/>
  <c r="AL708" i="4"/>
  <c r="AK708" i="4"/>
  <c r="AJ708" i="4"/>
  <c r="AI708" i="4"/>
  <c r="AH708" i="4"/>
  <c r="AG708" i="4"/>
  <c r="AF708" i="4"/>
  <c r="AE708" i="4"/>
  <c r="AD708" i="4"/>
  <c r="AB708" i="4"/>
  <c r="AA708" i="4"/>
  <c r="AC708" i="4" s="1"/>
  <c r="Z708" i="4"/>
  <c r="Y708" i="4"/>
  <c r="X708" i="4"/>
  <c r="W708" i="4"/>
  <c r="U708" i="4"/>
  <c r="Q708" i="4"/>
  <c r="P708" i="4"/>
  <c r="O708" i="4"/>
  <c r="AL707" i="4"/>
  <c r="AK707" i="4"/>
  <c r="AJ707" i="4"/>
  <c r="AI707" i="4"/>
  <c r="AG707" i="4"/>
  <c r="AF707" i="4"/>
  <c r="AE707" i="4"/>
  <c r="AD707" i="4"/>
  <c r="AB707" i="4"/>
  <c r="AA707" i="4"/>
  <c r="AC707" i="4" s="1"/>
  <c r="Z707" i="4"/>
  <c r="Y707" i="4"/>
  <c r="X707" i="4"/>
  <c r="W707" i="4"/>
  <c r="U707" i="4"/>
  <c r="Q707" i="4"/>
  <c r="P707" i="4"/>
  <c r="O707" i="4"/>
  <c r="AL706" i="4"/>
  <c r="AK706" i="4"/>
  <c r="AJ706" i="4"/>
  <c r="AI706" i="4"/>
  <c r="AH706" i="4"/>
  <c r="AG706" i="4"/>
  <c r="AF706" i="4"/>
  <c r="AE706" i="4"/>
  <c r="AD706" i="4"/>
  <c r="AB706" i="4"/>
  <c r="AA706" i="4"/>
  <c r="AC706" i="4" s="1"/>
  <c r="Z706" i="4"/>
  <c r="Y706" i="4"/>
  <c r="X706" i="4"/>
  <c r="W706" i="4"/>
  <c r="U706" i="4"/>
  <c r="Q706" i="4"/>
  <c r="P706" i="4"/>
  <c r="O706" i="4"/>
  <c r="AL705" i="4"/>
  <c r="AK705" i="4"/>
  <c r="AJ705" i="4"/>
  <c r="AI705" i="4"/>
  <c r="AH705" i="4"/>
  <c r="AG705" i="4"/>
  <c r="AF705" i="4"/>
  <c r="AE705" i="4"/>
  <c r="AD705" i="4"/>
  <c r="AB705" i="4"/>
  <c r="AA705" i="4"/>
  <c r="AC705" i="4" s="1"/>
  <c r="Z705" i="4"/>
  <c r="Y705" i="4"/>
  <c r="X705" i="4"/>
  <c r="W705" i="4"/>
  <c r="U705" i="4"/>
  <c r="Q705" i="4"/>
  <c r="P705" i="4"/>
  <c r="O705" i="4"/>
  <c r="AL704" i="4"/>
  <c r="AK704" i="4"/>
  <c r="AJ704" i="4"/>
  <c r="AI704" i="4"/>
  <c r="AH704" i="4"/>
  <c r="AG704" i="4"/>
  <c r="AF704" i="4"/>
  <c r="AE704" i="4"/>
  <c r="AD704" i="4"/>
  <c r="AB704" i="4"/>
  <c r="AA704" i="4"/>
  <c r="AC704" i="4" s="1"/>
  <c r="Z704" i="4"/>
  <c r="Y704" i="4"/>
  <c r="X704" i="4"/>
  <c r="W704" i="4"/>
  <c r="U704" i="4"/>
  <c r="Q704" i="4"/>
  <c r="P704" i="4"/>
  <c r="O704" i="4"/>
  <c r="AL703" i="4"/>
  <c r="AK703" i="4"/>
  <c r="AJ703" i="4"/>
  <c r="AI703" i="4"/>
  <c r="AH703" i="4"/>
  <c r="AG703" i="4"/>
  <c r="AF703" i="4"/>
  <c r="AE703" i="4"/>
  <c r="AD703" i="4"/>
  <c r="AB703" i="4"/>
  <c r="AA703" i="4"/>
  <c r="AC703" i="4" s="1"/>
  <c r="Z703" i="4"/>
  <c r="Y703" i="4"/>
  <c r="X703" i="4"/>
  <c r="W703" i="4"/>
  <c r="U703" i="4"/>
  <c r="Q703" i="4"/>
  <c r="P703" i="4"/>
  <c r="O703" i="4"/>
  <c r="AL702" i="4"/>
  <c r="AK702" i="4"/>
  <c r="AJ702" i="4"/>
  <c r="AI702" i="4"/>
  <c r="AH702" i="4"/>
  <c r="AG702" i="4"/>
  <c r="AF702" i="4"/>
  <c r="AE702" i="4"/>
  <c r="AD702" i="4"/>
  <c r="AB702" i="4"/>
  <c r="AA702" i="4"/>
  <c r="AC702" i="4" s="1"/>
  <c r="Z702" i="4"/>
  <c r="Y702" i="4"/>
  <c r="X702" i="4"/>
  <c r="W702" i="4"/>
  <c r="U702" i="4"/>
  <c r="Q702" i="4"/>
  <c r="P702" i="4"/>
  <c r="O702" i="4"/>
  <c r="AL701" i="4"/>
  <c r="AK701" i="4"/>
  <c r="AJ701" i="4"/>
  <c r="AI701" i="4"/>
  <c r="AH701" i="4"/>
  <c r="AG701" i="4"/>
  <c r="AF701" i="4"/>
  <c r="AE701" i="4"/>
  <c r="AD701" i="4"/>
  <c r="AB701" i="4"/>
  <c r="AA701" i="4"/>
  <c r="AC701" i="4" s="1"/>
  <c r="Z701" i="4"/>
  <c r="Y701" i="4"/>
  <c r="X701" i="4"/>
  <c r="W701" i="4"/>
  <c r="U701" i="4"/>
  <c r="Q701" i="4"/>
  <c r="P701" i="4"/>
  <c r="O701" i="4"/>
  <c r="AL700" i="4"/>
  <c r="AK700" i="4"/>
  <c r="AJ700" i="4"/>
  <c r="AI700" i="4"/>
  <c r="AH700" i="4"/>
  <c r="AG700" i="4"/>
  <c r="AF700" i="4"/>
  <c r="AE700" i="4"/>
  <c r="AD700" i="4"/>
  <c r="AB700" i="4"/>
  <c r="AA700" i="4"/>
  <c r="AC700" i="4" s="1"/>
  <c r="Z700" i="4"/>
  <c r="Y700" i="4"/>
  <c r="X700" i="4"/>
  <c r="W700" i="4"/>
  <c r="U700" i="4"/>
  <c r="Q700" i="4"/>
  <c r="P700" i="4"/>
  <c r="O700" i="4"/>
  <c r="AL699" i="4"/>
  <c r="AK699" i="4"/>
  <c r="AJ699" i="4"/>
  <c r="AI699" i="4"/>
  <c r="AH699" i="4"/>
  <c r="AG699" i="4"/>
  <c r="AF699" i="4"/>
  <c r="AE699" i="4"/>
  <c r="AD699" i="4"/>
  <c r="AB699" i="4"/>
  <c r="AA699" i="4"/>
  <c r="AC699" i="4" s="1"/>
  <c r="Z699" i="4"/>
  <c r="Y699" i="4"/>
  <c r="X699" i="4"/>
  <c r="W699" i="4"/>
  <c r="V699" i="4"/>
  <c r="U699" i="4"/>
  <c r="Q699" i="4"/>
  <c r="P699" i="4"/>
  <c r="O699" i="4"/>
  <c r="AL698" i="4"/>
  <c r="AK698" i="4"/>
  <c r="AJ698" i="4"/>
  <c r="AI698" i="4"/>
  <c r="AH698" i="4"/>
  <c r="AG698" i="4"/>
  <c r="AF698" i="4"/>
  <c r="AE698" i="4"/>
  <c r="AD698" i="4"/>
  <c r="AB698" i="4"/>
  <c r="AA698" i="4"/>
  <c r="AC698" i="4" s="1"/>
  <c r="Z698" i="4"/>
  <c r="Y698" i="4"/>
  <c r="X698" i="4"/>
  <c r="W698" i="4"/>
  <c r="V698" i="4"/>
  <c r="U698" i="4"/>
  <c r="Q698" i="4"/>
  <c r="P698" i="4"/>
  <c r="O698" i="4"/>
  <c r="AL697" i="4"/>
  <c r="AK697" i="4"/>
  <c r="AJ697" i="4"/>
  <c r="AI697" i="4"/>
  <c r="AH697" i="4"/>
  <c r="AG697" i="4"/>
  <c r="AF697" i="4"/>
  <c r="AE697" i="4"/>
  <c r="AD697" i="4"/>
  <c r="AB697" i="4"/>
  <c r="AA697" i="4"/>
  <c r="AC697" i="4" s="1"/>
  <c r="Z697" i="4"/>
  <c r="Y697" i="4"/>
  <c r="X697" i="4"/>
  <c r="W697" i="4"/>
  <c r="V697" i="4"/>
  <c r="U697" i="4"/>
  <c r="Q697" i="4"/>
  <c r="P697" i="4"/>
  <c r="O697" i="4"/>
  <c r="AL696" i="4"/>
  <c r="AK696" i="4"/>
  <c r="AJ696" i="4"/>
  <c r="AI696" i="4"/>
  <c r="AH696" i="4"/>
  <c r="AG696" i="4"/>
  <c r="AF696" i="4"/>
  <c r="AE696" i="4"/>
  <c r="AD696" i="4"/>
  <c r="AB696" i="4"/>
  <c r="AA696" i="4"/>
  <c r="AC696" i="4" s="1"/>
  <c r="Z696" i="4"/>
  <c r="Y696" i="4"/>
  <c r="X696" i="4"/>
  <c r="W696" i="4"/>
  <c r="V696" i="4"/>
  <c r="U696" i="4"/>
  <c r="Q696" i="4"/>
  <c r="P696" i="4"/>
  <c r="O696" i="4"/>
  <c r="AL695" i="4"/>
  <c r="AK695" i="4"/>
  <c r="AJ695" i="4"/>
  <c r="AI695" i="4"/>
  <c r="AH695" i="4"/>
  <c r="AG695" i="4"/>
  <c r="AF695" i="4"/>
  <c r="AE695" i="4"/>
  <c r="AD695" i="4"/>
  <c r="AB695" i="4"/>
  <c r="AA695" i="4"/>
  <c r="AC695" i="4" s="1"/>
  <c r="Z695" i="4"/>
  <c r="Y695" i="4"/>
  <c r="X695" i="4"/>
  <c r="W695" i="4"/>
  <c r="V695" i="4"/>
  <c r="U695" i="4"/>
  <c r="Q695" i="4"/>
  <c r="P695" i="4"/>
  <c r="O695" i="4"/>
  <c r="AL694" i="4"/>
  <c r="AK694" i="4"/>
  <c r="AJ694" i="4"/>
  <c r="AI694" i="4"/>
  <c r="AH694" i="4"/>
  <c r="AG694" i="4"/>
  <c r="AF694" i="4"/>
  <c r="AE694" i="4"/>
  <c r="AD694" i="4"/>
  <c r="AB694" i="4"/>
  <c r="AA694" i="4"/>
  <c r="AC694" i="4" s="1"/>
  <c r="Z694" i="4"/>
  <c r="Y694" i="4"/>
  <c r="X694" i="4"/>
  <c r="W694" i="4"/>
  <c r="V694" i="4"/>
  <c r="U694" i="4"/>
  <c r="Q694" i="4"/>
  <c r="P694" i="4"/>
  <c r="O694" i="4"/>
  <c r="AL693" i="4"/>
  <c r="AK693" i="4"/>
  <c r="AJ693" i="4"/>
  <c r="AI693" i="4"/>
  <c r="AH693" i="4"/>
  <c r="AG693" i="4"/>
  <c r="AF693" i="4"/>
  <c r="AE693" i="4"/>
  <c r="AD693" i="4"/>
  <c r="AB693" i="4"/>
  <c r="AA693" i="4"/>
  <c r="AC693" i="4" s="1"/>
  <c r="Z693" i="4"/>
  <c r="Y693" i="4"/>
  <c r="X693" i="4"/>
  <c r="W693" i="4"/>
  <c r="V693" i="4"/>
  <c r="U693" i="4"/>
  <c r="Q693" i="4"/>
  <c r="P693" i="4"/>
  <c r="O693" i="4"/>
  <c r="AL692" i="4"/>
  <c r="AK692" i="4"/>
  <c r="AJ692" i="4"/>
  <c r="AI692" i="4"/>
  <c r="AH692" i="4"/>
  <c r="AG692" i="4"/>
  <c r="AF692" i="4"/>
  <c r="AE692" i="4"/>
  <c r="AD692" i="4"/>
  <c r="AB692" i="4"/>
  <c r="AA692" i="4"/>
  <c r="AC692" i="4" s="1"/>
  <c r="Z692" i="4"/>
  <c r="Y692" i="4"/>
  <c r="X692" i="4"/>
  <c r="W692" i="4"/>
  <c r="V692" i="4"/>
  <c r="U692" i="4"/>
  <c r="Q692" i="4"/>
  <c r="P692" i="4"/>
  <c r="O692" i="4"/>
  <c r="AL691" i="4"/>
  <c r="AK691" i="4"/>
  <c r="AJ691" i="4"/>
  <c r="AI691" i="4"/>
  <c r="AG691" i="4"/>
  <c r="AF691" i="4"/>
  <c r="AE691" i="4"/>
  <c r="AD691" i="4"/>
  <c r="AB691" i="4"/>
  <c r="AA691" i="4"/>
  <c r="AC691" i="4" s="1"/>
  <c r="Z691" i="4"/>
  <c r="Y691" i="4"/>
  <c r="X691" i="4"/>
  <c r="W691" i="4"/>
  <c r="V691" i="4"/>
  <c r="U691" i="4"/>
  <c r="Q691" i="4"/>
  <c r="P691" i="4"/>
  <c r="O691" i="4"/>
  <c r="AL690" i="4"/>
  <c r="AK690" i="4"/>
  <c r="AJ690" i="4"/>
  <c r="AI690" i="4"/>
  <c r="AH690" i="4"/>
  <c r="AG690" i="4"/>
  <c r="AF690" i="4"/>
  <c r="AE690" i="4"/>
  <c r="AD690" i="4"/>
  <c r="AB690" i="4"/>
  <c r="AA690" i="4"/>
  <c r="AC690" i="4" s="1"/>
  <c r="Z690" i="4"/>
  <c r="Y690" i="4"/>
  <c r="X690" i="4"/>
  <c r="W690" i="4"/>
  <c r="V690" i="4"/>
  <c r="U690" i="4"/>
  <c r="Q690" i="4"/>
  <c r="P690" i="4"/>
  <c r="O690" i="4"/>
  <c r="AL689" i="4"/>
  <c r="AK689" i="4"/>
  <c r="AJ689" i="4"/>
  <c r="AI689" i="4"/>
  <c r="AH689" i="4"/>
  <c r="AG689" i="4"/>
  <c r="AF689" i="4"/>
  <c r="AE689" i="4"/>
  <c r="AD689" i="4"/>
  <c r="AB689" i="4"/>
  <c r="AA689" i="4"/>
  <c r="AC689" i="4" s="1"/>
  <c r="Z689" i="4"/>
  <c r="Y689" i="4"/>
  <c r="X689" i="4"/>
  <c r="W689" i="4"/>
  <c r="V689" i="4"/>
  <c r="U689" i="4"/>
  <c r="Q689" i="4"/>
  <c r="P689" i="4"/>
  <c r="O689" i="4"/>
  <c r="AL688" i="4"/>
  <c r="AK688" i="4"/>
  <c r="AJ688" i="4"/>
  <c r="AI688" i="4"/>
  <c r="AH688" i="4"/>
  <c r="AG688" i="4"/>
  <c r="AF688" i="4"/>
  <c r="AE688" i="4"/>
  <c r="AD688" i="4"/>
  <c r="AB688" i="4"/>
  <c r="AA688" i="4"/>
  <c r="AC688" i="4" s="1"/>
  <c r="Z688" i="4"/>
  <c r="Y688" i="4"/>
  <c r="X688" i="4"/>
  <c r="W688" i="4"/>
  <c r="V688" i="4"/>
  <c r="U688" i="4"/>
  <c r="Q688" i="4"/>
  <c r="P688" i="4"/>
  <c r="O688" i="4"/>
  <c r="AL687" i="4"/>
  <c r="AK687" i="4"/>
  <c r="AJ687" i="4"/>
  <c r="AI687" i="4"/>
  <c r="AH687" i="4"/>
  <c r="AG687" i="4"/>
  <c r="AF687" i="4"/>
  <c r="AE687" i="4"/>
  <c r="AD687" i="4"/>
  <c r="AB687" i="4"/>
  <c r="AA687" i="4"/>
  <c r="AC687" i="4" s="1"/>
  <c r="Z687" i="4"/>
  <c r="Y687" i="4"/>
  <c r="X687" i="4"/>
  <c r="W687" i="4"/>
  <c r="V687" i="4"/>
  <c r="U687" i="4"/>
  <c r="Q687" i="4"/>
  <c r="P687" i="4"/>
  <c r="O687" i="4"/>
  <c r="AL686" i="4"/>
  <c r="AK686" i="4"/>
  <c r="AJ686" i="4"/>
  <c r="AI686" i="4"/>
  <c r="AH686" i="4"/>
  <c r="AG686" i="4"/>
  <c r="AF686" i="4"/>
  <c r="AE686" i="4"/>
  <c r="AD686" i="4"/>
  <c r="AB686" i="4"/>
  <c r="AA686" i="4"/>
  <c r="AC686" i="4" s="1"/>
  <c r="Z686" i="4"/>
  <c r="Y686" i="4"/>
  <c r="X686" i="4"/>
  <c r="W686" i="4"/>
  <c r="V686" i="4"/>
  <c r="U686" i="4"/>
  <c r="Q686" i="4"/>
  <c r="P686" i="4"/>
  <c r="O686" i="4"/>
  <c r="AL685" i="4"/>
  <c r="AK685" i="4"/>
  <c r="AJ685" i="4"/>
  <c r="AI685" i="4"/>
  <c r="AH685" i="4"/>
  <c r="AG685" i="4"/>
  <c r="AF685" i="4"/>
  <c r="AE685" i="4"/>
  <c r="AD685" i="4"/>
  <c r="AB685" i="4"/>
  <c r="AA685" i="4"/>
  <c r="AC685" i="4" s="1"/>
  <c r="Z685" i="4"/>
  <c r="Y685" i="4"/>
  <c r="X685" i="4"/>
  <c r="W685" i="4"/>
  <c r="V685" i="4"/>
  <c r="U685" i="4"/>
  <c r="Q685" i="4"/>
  <c r="P685" i="4"/>
  <c r="O685" i="4"/>
  <c r="AL684" i="4"/>
  <c r="AK684" i="4"/>
  <c r="AJ684" i="4"/>
  <c r="AI684" i="4"/>
  <c r="AH684" i="4"/>
  <c r="AG684" i="4"/>
  <c r="AF684" i="4"/>
  <c r="AE684" i="4"/>
  <c r="AD684" i="4"/>
  <c r="AB684" i="4"/>
  <c r="AA684" i="4"/>
  <c r="AC684" i="4" s="1"/>
  <c r="Z684" i="4"/>
  <c r="Y684" i="4"/>
  <c r="X684" i="4"/>
  <c r="W684" i="4"/>
  <c r="V684" i="4"/>
  <c r="U684" i="4"/>
  <c r="Q684" i="4"/>
  <c r="P684" i="4"/>
  <c r="O684" i="4"/>
  <c r="AL683" i="4"/>
  <c r="AK683" i="4"/>
  <c r="AJ683" i="4"/>
  <c r="AI683" i="4"/>
  <c r="AH683" i="4"/>
  <c r="AG683" i="4"/>
  <c r="AF683" i="4"/>
  <c r="AE683" i="4"/>
  <c r="AD683" i="4"/>
  <c r="AB683" i="4"/>
  <c r="AA683" i="4"/>
  <c r="AC683" i="4" s="1"/>
  <c r="Z683" i="4"/>
  <c r="Y683" i="4"/>
  <c r="X683" i="4"/>
  <c r="W683" i="4"/>
  <c r="V683" i="4"/>
  <c r="U683" i="4"/>
  <c r="Q683" i="4"/>
  <c r="P683" i="4"/>
  <c r="O683" i="4"/>
  <c r="AL682" i="4"/>
  <c r="AK682" i="4"/>
  <c r="AJ682" i="4"/>
  <c r="AI682" i="4"/>
  <c r="AH682" i="4"/>
  <c r="AG682" i="4"/>
  <c r="AF682" i="4"/>
  <c r="AE682" i="4"/>
  <c r="AD682" i="4"/>
  <c r="AB682" i="4"/>
  <c r="AA682" i="4"/>
  <c r="AC682" i="4" s="1"/>
  <c r="Z682" i="4"/>
  <c r="Y682" i="4"/>
  <c r="X682" i="4"/>
  <c r="W682" i="4"/>
  <c r="V682" i="4"/>
  <c r="U682" i="4"/>
  <c r="Q682" i="4"/>
  <c r="P682" i="4"/>
  <c r="O682" i="4"/>
  <c r="AL681" i="4"/>
  <c r="AK681" i="4"/>
  <c r="AJ681" i="4"/>
  <c r="AI681" i="4"/>
  <c r="AH681" i="4"/>
  <c r="AG681" i="4"/>
  <c r="AF681" i="4"/>
  <c r="AE681" i="4"/>
  <c r="AD681" i="4"/>
  <c r="AB681" i="4"/>
  <c r="AA681" i="4"/>
  <c r="AC681" i="4" s="1"/>
  <c r="Z681" i="4"/>
  <c r="Y681" i="4"/>
  <c r="X681" i="4"/>
  <c r="W681" i="4"/>
  <c r="V681" i="4"/>
  <c r="U681" i="4"/>
  <c r="Q681" i="4"/>
  <c r="P681" i="4"/>
  <c r="O681" i="4"/>
  <c r="AL680" i="4"/>
  <c r="AK680" i="4"/>
  <c r="AJ680" i="4"/>
  <c r="AI680" i="4"/>
  <c r="AH680" i="4"/>
  <c r="AG680" i="4"/>
  <c r="AF680" i="4"/>
  <c r="AE680" i="4"/>
  <c r="AD680" i="4"/>
  <c r="AB680" i="4"/>
  <c r="AA680" i="4"/>
  <c r="AC680" i="4" s="1"/>
  <c r="Z680" i="4"/>
  <c r="Y680" i="4"/>
  <c r="X680" i="4"/>
  <c r="W680" i="4"/>
  <c r="V680" i="4"/>
  <c r="U680" i="4"/>
  <c r="Q680" i="4"/>
  <c r="P680" i="4"/>
  <c r="O680" i="4"/>
  <c r="AL679" i="4"/>
  <c r="AK679" i="4"/>
  <c r="AJ679" i="4"/>
  <c r="AI679" i="4"/>
  <c r="AH679" i="4"/>
  <c r="AG679" i="4"/>
  <c r="AF679" i="4"/>
  <c r="AE679" i="4"/>
  <c r="AD679" i="4"/>
  <c r="AB679" i="4"/>
  <c r="AA679" i="4"/>
  <c r="AC679" i="4" s="1"/>
  <c r="Z679" i="4"/>
  <c r="Y679" i="4"/>
  <c r="X679" i="4"/>
  <c r="W679" i="4"/>
  <c r="V679" i="4"/>
  <c r="U679" i="4"/>
  <c r="Q679" i="4"/>
  <c r="P679" i="4"/>
  <c r="O679" i="4"/>
  <c r="AL678" i="4"/>
  <c r="AK678" i="4"/>
  <c r="AJ678" i="4"/>
  <c r="AI678" i="4"/>
  <c r="AH678" i="4"/>
  <c r="AG678" i="4"/>
  <c r="AF678" i="4"/>
  <c r="AE678" i="4"/>
  <c r="AD678" i="4"/>
  <c r="AB678" i="4"/>
  <c r="AA678" i="4"/>
  <c r="AC678" i="4" s="1"/>
  <c r="Z678" i="4"/>
  <c r="Y678" i="4"/>
  <c r="X678" i="4"/>
  <c r="W678" i="4"/>
  <c r="V678" i="4"/>
  <c r="U678" i="4"/>
  <c r="Q678" i="4"/>
  <c r="P678" i="4"/>
  <c r="O678" i="4"/>
  <c r="AL677" i="4"/>
  <c r="AK677" i="4"/>
  <c r="AJ677" i="4"/>
  <c r="AI677" i="4"/>
  <c r="AH677" i="4"/>
  <c r="AG677" i="4"/>
  <c r="AF677" i="4"/>
  <c r="AE677" i="4"/>
  <c r="AD677" i="4"/>
  <c r="AB677" i="4"/>
  <c r="AA677" i="4"/>
  <c r="AC677" i="4" s="1"/>
  <c r="Z677" i="4"/>
  <c r="Y677" i="4"/>
  <c r="X677" i="4"/>
  <c r="W677" i="4"/>
  <c r="V677" i="4"/>
  <c r="U677" i="4"/>
  <c r="Q677" i="4"/>
  <c r="P677" i="4"/>
  <c r="O677" i="4"/>
  <c r="AL676" i="4"/>
  <c r="AK676" i="4"/>
  <c r="AJ676" i="4"/>
  <c r="AI676" i="4"/>
  <c r="AH676" i="4"/>
  <c r="AG676" i="4"/>
  <c r="AF676" i="4"/>
  <c r="AE676" i="4"/>
  <c r="AD676" i="4"/>
  <c r="AB676" i="4"/>
  <c r="AA676" i="4"/>
  <c r="AC676" i="4" s="1"/>
  <c r="Z676" i="4"/>
  <c r="Y676" i="4"/>
  <c r="X676" i="4"/>
  <c r="W676" i="4"/>
  <c r="V676" i="4"/>
  <c r="U676" i="4"/>
  <c r="Q676" i="4"/>
  <c r="P676" i="4"/>
  <c r="O676" i="4"/>
  <c r="AL675" i="4"/>
  <c r="AK675" i="4"/>
  <c r="AJ675" i="4"/>
  <c r="AI675" i="4"/>
  <c r="AH675" i="4"/>
  <c r="AG675" i="4"/>
  <c r="AF675" i="4"/>
  <c r="AE675" i="4"/>
  <c r="AD675" i="4"/>
  <c r="AB675" i="4"/>
  <c r="AA675" i="4"/>
  <c r="AC675" i="4" s="1"/>
  <c r="Z675" i="4"/>
  <c r="Y675" i="4"/>
  <c r="X675" i="4"/>
  <c r="W675" i="4"/>
  <c r="V675" i="4"/>
  <c r="U675" i="4"/>
  <c r="Q675" i="4"/>
  <c r="P675" i="4"/>
  <c r="O675" i="4"/>
  <c r="AL674" i="4"/>
  <c r="AK674" i="4"/>
  <c r="AJ674" i="4"/>
  <c r="AI674" i="4"/>
  <c r="AH674" i="4"/>
  <c r="AG674" i="4"/>
  <c r="AF674" i="4"/>
  <c r="AE674" i="4"/>
  <c r="AD674" i="4"/>
  <c r="AB674" i="4"/>
  <c r="AA674" i="4"/>
  <c r="AC674" i="4" s="1"/>
  <c r="Z674" i="4"/>
  <c r="Y674" i="4"/>
  <c r="X674" i="4"/>
  <c r="W674" i="4"/>
  <c r="V674" i="4"/>
  <c r="U674" i="4"/>
  <c r="Q674" i="4"/>
  <c r="P674" i="4"/>
  <c r="O674" i="4"/>
  <c r="AL673" i="4"/>
  <c r="AK673" i="4"/>
  <c r="AJ673" i="4"/>
  <c r="AI673" i="4"/>
  <c r="AH673" i="4"/>
  <c r="AG673" i="4"/>
  <c r="AF673" i="4"/>
  <c r="AE673" i="4"/>
  <c r="AD673" i="4"/>
  <c r="AB673" i="4"/>
  <c r="AA673" i="4"/>
  <c r="AC673" i="4" s="1"/>
  <c r="Z673" i="4"/>
  <c r="Y673" i="4"/>
  <c r="X673" i="4"/>
  <c r="W673" i="4"/>
  <c r="V673" i="4"/>
  <c r="U673" i="4"/>
  <c r="Q673" i="4"/>
  <c r="P673" i="4"/>
  <c r="O673" i="4"/>
  <c r="AL672" i="4"/>
  <c r="AK672" i="4"/>
  <c r="AJ672" i="4"/>
  <c r="AI672" i="4"/>
  <c r="AH672" i="4"/>
  <c r="AG672" i="4"/>
  <c r="AF672" i="4"/>
  <c r="AE672" i="4"/>
  <c r="AD672" i="4"/>
  <c r="AB672" i="4"/>
  <c r="AA672" i="4"/>
  <c r="AC672" i="4" s="1"/>
  <c r="Z672" i="4"/>
  <c r="Y672" i="4"/>
  <c r="X672" i="4"/>
  <c r="W672" i="4"/>
  <c r="V672" i="4"/>
  <c r="U672" i="4"/>
  <c r="Q672" i="4"/>
  <c r="P672" i="4"/>
  <c r="O672" i="4"/>
  <c r="AL671" i="4"/>
  <c r="AK671" i="4"/>
  <c r="AJ671" i="4"/>
  <c r="AI671" i="4"/>
  <c r="AH671" i="4"/>
  <c r="AG671" i="4"/>
  <c r="AF671" i="4"/>
  <c r="AE671" i="4"/>
  <c r="AD671" i="4"/>
  <c r="AB671" i="4"/>
  <c r="AA671" i="4"/>
  <c r="AC671" i="4" s="1"/>
  <c r="Z671" i="4"/>
  <c r="Y671" i="4"/>
  <c r="X671" i="4"/>
  <c r="W671" i="4"/>
  <c r="V671" i="4"/>
  <c r="U671" i="4"/>
  <c r="Q671" i="4"/>
  <c r="P671" i="4"/>
  <c r="O671" i="4"/>
  <c r="AL670" i="4"/>
  <c r="AK670" i="4"/>
  <c r="AJ670" i="4"/>
  <c r="AI670" i="4"/>
  <c r="AH670" i="4"/>
  <c r="AG670" i="4"/>
  <c r="AF670" i="4"/>
  <c r="AE670" i="4"/>
  <c r="AD670" i="4"/>
  <c r="AB670" i="4"/>
  <c r="AA670" i="4"/>
  <c r="AC670" i="4" s="1"/>
  <c r="Z670" i="4"/>
  <c r="Y670" i="4"/>
  <c r="X670" i="4"/>
  <c r="W670" i="4"/>
  <c r="V670" i="4"/>
  <c r="U670" i="4"/>
  <c r="Q670" i="4"/>
  <c r="P670" i="4"/>
  <c r="O670" i="4"/>
  <c r="AL669" i="4"/>
  <c r="AK669" i="4"/>
  <c r="AJ669" i="4"/>
  <c r="AI669" i="4"/>
  <c r="AH669" i="4"/>
  <c r="AG669" i="4"/>
  <c r="AF669" i="4"/>
  <c r="AE669" i="4"/>
  <c r="AD669" i="4"/>
  <c r="AB669" i="4"/>
  <c r="AA669" i="4"/>
  <c r="AC669" i="4" s="1"/>
  <c r="Z669" i="4"/>
  <c r="Y669" i="4"/>
  <c r="X669" i="4"/>
  <c r="W669" i="4"/>
  <c r="V669" i="4"/>
  <c r="U669" i="4"/>
  <c r="Q669" i="4"/>
  <c r="P669" i="4"/>
  <c r="O669" i="4"/>
  <c r="AL668" i="4"/>
  <c r="AK668" i="4"/>
  <c r="AJ668" i="4"/>
  <c r="AI668" i="4"/>
  <c r="AH668" i="4"/>
  <c r="AG668" i="4"/>
  <c r="AF668" i="4"/>
  <c r="AE668" i="4"/>
  <c r="AD668" i="4"/>
  <c r="AB668" i="4"/>
  <c r="AA668" i="4"/>
  <c r="AC668" i="4" s="1"/>
  <c r="Z668" i="4"/>
  <c r="Y668" i="4"/>
  <c r="X668" i="4"/>
  <c r="W668" i="4"/>
  <c r="V668" i="4"/>
  <c r="U668" i="4"/>
  <c r="Q668" i="4"/>
  <c r="P668" i="4"/>
  <c r="O668" i="4"/>
  <c r="AL667" i="4"/>
  <c r="AK667" i="4"/>
  <c r="AJ667" i="4"/>
  <c r="AI667" i="4"/>
  <c r="AH667" i="4"/>
  <c r="AG667" i="4"/>
  <c r="AF667" i="4"/>
  <c r="AE667" i="4"/>
  <c r="AD667" i="4"/>
  <c r="AB667" i="4"/>
  <c r="AA667" i="4"/>
  <c r="AC667" i="4" s="1"/>
  <c r="Z667" i="4"/>
  <c r="Y667" i="4"/>
  <c r="X667" i="4"/>
  <c r="W667" i="4"/>
  <c r="V667" i="4"/>
  <c r="U667" i="4"/>
  <c r="Q667" i="4"/>
  <c r="P667" i="4"/>
  <c r="O667" i="4"/>
  <c r="AL666" i="4"/>
  <c r="AK666" i="4"/>
  <c r="AJ666" i="4"/>
  <c r="AI666" i="4"/>
  <c r="AH666" i="4"/>
  <c r="AG666" i="4"/>
  <c r="AF666" i="4"/>
  <c r="AE666" i="4"/>
  <c r="AD666" i="4"/>
  <c r="AB666" i="4"/>
  <c r="AA666" i="4"/>
  <c r="AC666" i="4" s="1"/>
  <c r="Z666" i="4"/>
  <c r="Y666" i="4"/>
  <c r="X666" i="4"/>
  <c r="W666" i="4"/>
  <c r="V666" i="4"/>
  <c r="U666" i="4"/>
  <c r="Q666" i="4"/>
  <c r="P666" i="4"/>
  <c r="O666" i="4"/>
  <c r="AL665" i="4"/>
  <c r="AK665" i="4"/>
  <c r="AJ665" i="4"/>
  <c r="AI665" i="4"/>
  <c r="AH665" i="4"/>
  <c r="AG665" i="4"/>
  <c r="AF665" i="4"/>
  <c r="AE665" i="4"/>
  <c r="AD665" i="4"/>
  <c r="AB665" i="4"/>
  <c r="AA665" i="4"/>
  <c r="AC665" i="4" s="1"/>
  <c r="Z665" i="4"/>
  <c r="Y665" i="4"/>
  <c r="X665" i="4"/>
  <c r="W665" i="4"/>
  <c r="V665" i="4"/>
  <c r="U665" i="4"/>
  <c r="Q665" i="4"/>
  <c r="P665" i="4"/>
  <c r="O665" i="4"/>
  <c r="AL664" i="4"/>
  <c r="AK664" i="4"/>
  <c r="AJ664" i="4"/>
  <c r="AI664" i="4"/>
  <c r="AH664" i="4"/>
  <c r="AG664" i="4"/>
  <c r="AF664" i="4"/>
  <c r="AE664" i="4"/>
  <c r="AD664" i="4"/>
  <c r="AB664" i="4"/>
  <c r="AA664" i="4"/>
  <c r="AC664" i="4" s="1"/>
  <c r="Z664" i="4"/>
  <c r="Y664" i="4"/>
  <c r="X664" i="4"/>
  <c r="W664" i="4"/>
  <c r="V664" i="4"/>
  <c r="U664" i="4"/>
  <c r="Q664" i="4"/>
  <c r="P664" i="4"/>
  <c r="O664" i="4"/>
  <c r="AL663" i="4"/>
  <c r="AK663" i="4"/>
  <c r="AJ663" i="4"/>
  <c r="AI663" i="4"/>
  <c r="AH663" i="4"/>
  <c r="AG663" i="4"/>
  <c r="AF663" i="4"/>
  <c r="AE663" i="4"/>
  <c r="AD663" i="4"/>
  <c r="AB663" i="4"/>
  <c r="AA663" i="4"/>
  <c r="AC663" i="4" s="1"/>
  <c r="Z663" i="4"/>
  <c r="Y663" i="4"/>
  <c r="X663" i="4"/>
  <c r="W663" i="4"/>
  <c r="V663" i="4"/>
  <c r="U663" i="4"/>
  <c r="Q663" i="4"/>
  <c r="P663" i="4"/>
  <c r="O663" i="4"/>
  <c r="AL662" i="4"/>
  <c r="AK662" i="4"/>
  <c r="AJ662" i="4"/>
  <c r="AI662" i="4"/>
  <c r="AH662" i="4"/>
  <c r="AG662" i="4"/>
  <c r="AF662" i="4"/>
  <c r="AE662" i="4"/>
  <c r="AD662" i="4"/>
  <c r="AB662" i="4"/>
  <c r="AA662" i="4"/>
  <c r="AC662" i="4" s="1"/>
  <c r="Z662" i="4"/>
  <c r="Y662" i="4"/>
  <c r="X662" i="4"/>
  <c r="W662" i="4"/>
  <c r="V662" i="4"/>
  <c r="U662" i="4"/>
  <c r="Q662" i="4"/>
  <c r="P662" i="4"/>
  <c r="O662" i="4"/>
  <c r="AL661" i="4"/>
  <c r="AK661" i="4"/>
  <c r="AJ661" i="4"/>
  <c r="AI661" i="4"/>
  <c r="AH661" i="4"/>
  <c r="AG661" i="4"/>
  <c r="AF661" i="4"/>
  <c r="AE661" i="4"/>
  <c r="AD661" i="4"/>
  <c r="AB661" i="4"/>
  <c r="AA661" i="4"/>
  <c r="AC661" i="4" s="1"/>
  <c r="Z661" i="4"/>
  <c r="Y661" i="4"/>
  <c r="X661" i="4"/>
  <c r="W661" i="4"/>
  <c r="V661" i="4"/>
  <c r="U661" i="4"/>
  <c r="Q661" i="4"/>
  <c r="P661" i="4"/>
  <c r="O661" i="4"/>
  <c r="AL660" i="4"/>
  <c r="AK660" i="4"/>
  <c r="AJ660" i="4"/>
  <c r="AI660" i="4"/>
  <c r="AH660" i="4"/>
  <c r="AG660" i="4"/>
  <c r="AF660" i="4"/>
  <c r="AE660" i="4"/>
  <c r="AD660" i="4"/>
  <c r="AB660" i="4"/>
  <c r="AA660" i="4"/>
  <c r="AC660" i="4" s="1"/>
  <c r="Z660" i="4"/>
  <c r="Y660" i="4"/>
  <c r="X660" i="4"/>
  <c r="W660" i="4"/>
  <c r="V660" i="4"/>
  <c r="U660" i="4"/>
  <c r="Q660" i="4"/>
  <c r="P660" i="4"/>
  <c r="O660" i="4"/>
  <c r="AL659" i="4"/>
  <c r="AK659" i="4"/>
  <c r="AJ659" i="4"/>
  <c r="AI659" i="4"/>
  <c r="AH659" i="4"/>
  <c r="AG659" i="4"/>
  <c r="AF659" i="4"/>
  <c r="AE659" i="4"/>
  <c r="AD659" i="4"/>
  <c r="AB659" i="4"/>
  <c r="AA659" i="4"/>
  <c r="AC659" i="4" s="1"/>
  <c r="Z659" i="4"/>
  <c r="Y659" i="4"/>
  <c r="X659" i="4"/>
  <c r="W659" i="4"/>
  <c r="V659" i="4"/>
  <c r="U659" i="4"/>
  <c r="Q659" i="4"/>
  <c r="P659" i="4"/>
  <c r="O659" i="4"/>
  <c r="AL658" i="4"/>
  <c r="AK658" i="4"/>
  <c r="AJ658" i="4"/>
  <c r="AI658" i="4"/>
  <c r="AH658" i="4"/>
  <c r="AG658" i="4"/>
  <c r="AF658" i="4"/>
  <c r="AE658" i="4"/>
  <c r="AD658" i="4"/>
  <c r="AB658" i="4"/>
  <c r="AA658" i="4"/>
  <c r="AC658" i="4" s="1"/>
  <c r="Z658" i="4"/>
  <c r="Y658" i="4"/>
  <c r="X658" i="4"/>
  <c r="W658" i="4"/>
  <c r="V658" i="4"/>
  <c r="U658" i="4"/>
  <c r="Q658" i="4"/>
  <c r="P658" i="4"/>
  <c r="O658" i="4"/>
  <c r="AL657" i="4"/>
  <c r="AK657" i="4"/>
  <c r="AJ657" i="4"/>
  <c r="AI657" i="4"/>
  <c r="AH657" i="4"/>
  <c r="AG657" i="4"/>
  <c r="AF657" i="4"/>
  <c r="AE657" i="4"/>
  <c r="AD657" i="4"/>
  <c r="AB657" i="4"/>
  <c r="AA657" i="4"/>
  <c r="AC657" i="4" s="1"/>
  <c r="Z657" i="4"/>
  <c r="Y657" i="4"/>
  <c r="X657" i="4"/>
  <c r="W657" i="4"/>
  <c r="V657" i="4"/>
  <c r="U657" i="4"/>
  <c r="Q657" i="4"/>
  <c r="P657" i="4"/>
  <c r="O657" i="4"/>
  <c r="AL656" i="4"/>
  <c r="AK656" i="4"/>
  <c r="AJ656" i="4"/>
  <c r="AI656" i="4"/>
  <c r="AG656" i="4"/>
  <c r="AF656" i="4"/>
  <c r="AE656" i="4"/>
  <c r="AD656" i="4"/>
  <c r="AB656" i="4"/>
  <c r="AA656" i="4"/>
  <c r="AC656" i="4" s="1"/>
  <c r="Z656" i="4"/>
  <c r="Y656" i="4"/>
  <c r="X656" i="4"/>
  <c r="W656" i="4"/>
  <c r="V656" i="4"/>
  <c r="U656" i="4"/>
  <c r="Q656" i="4"/>
  <c r="P656" i="4"/>
  <c r="O656" i="4"/>
  <c r="AL655" i="4"/>
  <c r="AK655" i="4"/>
  <c r="AJ655" i="4"/>
  <c r="AI655" i="4"/>
  <c r="AH655" i="4"/>
  <c r="AG655" i="4"/>
  <c r="AF655" i="4"/>
  <c r="AE655" i="4"/>
  <c r="AD655" i="4"/>
  <c r="AB655" i="4"/>
  <c r="AA655" i="4"/>
  <c r="AC655" i="4" s="1"/>
  <c r="Z655" i="4"/>
  <c r="Y655" i="4"/>
  <c r="X655" i="4"/>
  <c r="W655" i="4"/>
  <c r="V655" i="4"/>
  <c r="U655" i="4"/>
  <c r="Q655" i="4"/>
  <c r="P655" i="4"/>
  <c r="O655" i="4"/>
  <c r="AL654" i="4"/>
  <c r="AK654" i="4"/>
  <c r="AJ654" i="4"/>
  <c r="AI654" i="4"/>
  <c r="AH654" i="4"/>
  <c r="AG654" i="4"/>
  <c r="AF654" i="4"/>
  <c r="AE654" i="4"/>
  <c r="AD654" i="4"/>
  <c r="AB654" i="4"/>
  <c r="AA654" i="4"/>
  <c r="AC654" i="4" s="1"/>
  <c r="Z654" i="4"/>
  <c r="Y654" i="4"/>
  <c r="X654" i="4"/>
  <c r="W654" i="4"/>
  <c r="V654" i="4"/>
  <c r="U654" i="4"/>
  <c r="Q654" i="4"/>
  <c r="P654" i="4"/>
  <c r="O654" i="4"/>
  <c r="AL653" i="4"/>
  <c r="AK653" i="4"/>
  <c r="AJ653" i="4"/>
  <c r="AI653" i="4"/>
  <c r="AH653" i="4"/>
  <c r="AG653" i="4"/>
  <c r="AF653" i="4"/>
  <c r="AE653" i="4"/>
  <c r="AD653" i="4"/>
  <c r="AB653" i="4"/>
  <c r="AA653" i="4"/>
  <c r="AC653" i="4" s="1"/>
  <c r="Z653" i="4"/>
  <c r="Y653" i="4"/>
  <c r="X653" i="4"/>
  <c r="W653" i="4"/>
  <c r="V653" i="4"/>
  <c r="U653" i="4"/>
  <c r="Q653" i="4"/>
  <c r="P653" i="4"/>
  <c r="O653" i="4"/>
  <c r="AL652" i="4"/>
  <c r="AK652" i="4"/>
  <c r="AJ652" i="4"/>
  <c r="AI652" i="4"/>
  <c r="AH652" i="4"/>
  <c r="AG652" i="4"/>
  <c r="AF652" i="4"/>
  <c r="AE652" i="4"/>
  <c r="AD652" i="4"/>
  <c r="AB652" i="4"/>
  <c r="AA652" i="4"/>
  <c r="AC652" i="4" s="1"/>
  <c r="Z652" i="4"/>
  <c r="Y652" i="4"/>
  <c r="X652" i="4"/>
  <c r="W652" i="4"/>
  <c r="V652" i="4"/>
  <c r="U652" i="4"/>
  <c r="Q652" i="4"/>
  <c r="P652" i="4"/>
  <c r="O652" i="4"/>
  <c r="AL651" i="4"/>
  <c r="AK651" i="4"/>
  <c r="AJ651" i="4"/>
  <c r="AI651" i="4"/>
  <c r="AH651" i="4"/>
  <c r="AG651" i="4"/>
  <c r="AF651" i="4"/>
  <c r="AE651" i="4"/>
  <c r="AD651" i="4"/>
  <c r="AB651" i="4"/>
  <c r="AA651" i="4"/>
  <c r="AC651" i="4" s="1"/>
  <c r="Z651" i="4"/>
  <c r="Y651" i="4"/>
  <c r="X651" i="4"/>
  <c r="W651" i="4"/>
  <c r="V651" i="4"/>
  <c r="U651" i="4"/>
  <c r="Q651" i="4"/>
  <c r="P651" i="4"/>
  <c r="O651" i="4"/>
  <c r="AL650" i="4"/>
  <c r="AK650" i="4"/>
  <c r="AJ650" i="4"/>
  <c r="AI650" i="4"/>
  <c r="AH650" i="4"/>
  <c r="AG650" i="4"/>
  <c r="AF650" i="4"/>
  <c r="AE650" i="4"/>
  <c r="AD650" i="4"/>
  <c r="AB650" i="4"/>
  <c r="AA650" i="4"/>
  <c r="AC650" i="4" s="1"/>
  <c r="Z650" i="4"/>
  <c r="Y650" i="4"/>
  <c r="X650" i="4"/>
  <c r="W650" i="4"/>
  <c r="V650" i="4"/>
  <c r="U650" i="4"/>
  <c r="Q650" i="4"/>
  <c r="P650" i="4"/>
  <c r="O650" i="4"/>
  <c r="AL649" i="4"/>
  <c r="AK649" i="4"/>
  <c r="AJ649" i="4"/>
  <c r="AI649" i="4"/>
  <c r="AG649" i="4"/>
  <c r="AF649" i="4"/>
  <c r="AE649" i="4"/>
  <c r="AD649" i="4"/>
  <c r="AB649" i="4"/>
  <c r="AA649" i="4"/>
  <c r="AC649" i="4" s="1"/>
  <c r="Z649" i="4"/>
  <c r="Y649" i="4"/>
  <c r="X649" i="4"/>
  <c r="W649" i="4"/>
  <c r="V649" i="4"/>
  <c r="U649" i="4"/>
  <c r="Q649" i="4"/>
  <c r="P649" i="4"/>
  <c r="O649" i="4"/>
  <c r="AL648" i="4"/>
  <c r="AK648" i="4"/>
  <c r="AJ648" i="4"/>
  <c r="AI648" i="4"/>
  <c r="AH648" i="4"/>
  <c r="AG648" i="4"/>
  <c r="AF648" i="4"/>
  <c r="AE648" i="4"/>
  <c r="AD648" i="4"/>
  <c r="AB648" i="4"/>
  <c r="AA648" i="4"/>
  <c r="AC648" i="4" s="1"/>
  <c r="Z648" i="4"/>
  <c r="Y648" i="4"/>
  <c r="X648" i="4"/>
  <c r="W648" i="4"/>
  <c r="V648" i="4"/>
  <c r="U648" i="4"/>
  <c r="Q648" i="4"/>
  <c r="P648" i="4"/>
  <c r="O648" i="4"/>
  <c r="AL647" i="4"/>
  <c r="AK647" i="4"/>
  <c r="AJ647" i="4"/>
  <c r="AI647" i="4"/>
  <c r="AH647" i="4"/>
  <c r="AG647" i="4"/>
  <c r="AF647" i="4"/>
  <c r="AE647" i="4"/>
  <c r="AD647" i="4"/>
  <c r="AB647" i="4"/>
  <c r="AA647" i="4"/>
  <c r="AC647" i="4" s="1"/>
  <c r="Z647" i="4"/>
  <c r="Y647" i="4"/>
  <c r="X647" i="4"/>
  <c r="W647" i="4"/>
  <c r="V647" i="4"/>
  <c r="U647" i="4"/>
  <c r="Q647" i="4"/>
  <c r="P647" i="4"/>
  <c r="O647" i="4"/>
  <c r="AL646" i="4"/>
  <c r="AK646" i="4"/>
  <c r="AJ646" i="4"/>
  <c r="AI646" i="4"/>
  <c r="AH646" i="4"/>
  <c r="AG646" i="4"/>
  <c r="AF646" i="4"/>
  <c r="AE646" i="4"/>
  <c r="AD646" i="4"/>
  <c r="AB646" i="4"/>
  <c r="AA646" i="4"/>
  <c r="AC646" i="4" s="1"/>
  <c r="Z646" i="4"/>
  <c r="Y646" i="4"/>
  <c r="X646" i="4"/>
  <c r="W646" i="4"/>
  <c r="V646" i="4"/>
  <c r="U646" i="4"/>
  <c r="Q646" i="4"/>
  <c r="P646" i="4"/>
  <c r="O646" i="4"/>
  <c r="AL645" i="4"/>
  <c r="AK645" i="4"/>
  <c r="AJ645" i="4"/>
  <c r="AI645" i="4"/>
  <c r="AH645" i="4"/>
  <c r="AG645" i="4"/>
  <c r="AF645" i="4"/>
  <c r="AE645" i="4"/>
  <c r="AD645" i="4"/>
  <c r="AB645" i="4"/>
  <c r="AA645" i="4"/>
  <c r="AC645" i="4" s="1"/>
  <c r="Z645" i="4"/>
  <c r="Y645" i="4"/>
  <c r="X645" i="4"/>
  <c r="W645" i="4"/>
  <c r="V645" i="4"/>
  <c r="U645" i="4"/>
  <c r="Q645" i="4"/>
  <c r="P645" i="4"/>
  <c r="O645" i="4"/>
  <c r="AL644" i="4"/>
  <c r="AK644" i="4"/>
  <c r="AJ644" i="4"/>
  <c r="AI644" i="4"/>
  <c r="AH644" i="4"/>
  <c r="AG644" i="4"/>
  <c r="AF644" i="4"/>
  <c r="AE644" i="4"/>
  <c r="AD644" i="4"/>
  <c r="AB644" i="4"/>
  <c r="AA644" i="4"/>
  <c r="AC644" i="4" s="1"/>
  <c r="Z644" i="4"/>
  <c r="Y644" i="4"/>
  <c r="X644" i="4"/>
  <c r="W644" i="4"/>
  <c r="V644" i="4"/>
  <c r="U644" i="4"/>
  <c r="Q644" i="4"/>
  <c r="P644" i="4"/>
  <c r="O644" i="4"/>
  <c r="AL643" i="4"/>
  <c r="AK643" i="4"/>
  <c r="AJ643" i="4"/>
  <c r="AI643" i="4"/>
  <c r="AG643" i="4"/>
  <c r="AF643" i="4"/>
  <c r="AE643" i="4"/>
  <c r="AD643" i="4"/>
  <c r="AB643" i="4"/>
  <c r="AA643" i="4"/>
  <c r="AC643" i="4" s="1"/>
  <c r="Z643" i="4"/>
  <c r="Y643" i="4"/>
  <c r="X643" i="4"/>
  <c r="W643" i="4"/>
  <c r="V643" i="4"/>
  <c r="U643" i="4"/>
  <c r="Q643" i="4"/>
  <c r="P643" i="4"/>
  <c r="O643" i="4"/>
  <c r="AL642" i="4"/>
  <c r="AK642" i="4"/>
  <c r="AJ642" i="4"/>
  <c r="AI642" i="4"/>
  <c r="AH642" i="4"/>
  <c r="AG642" i="4"/>
  <c r="AF642" i="4"/>
  <c r="AE642" i="4"/>
  <c r="AD642" i="4"/>
  <c r="AB642" i="4"/>
  <c r="AA642" i="4"/>
  <c r="AC642" i="4" s="1"/>
  <c r="Z642" i="4"/>
  <c r="Y642" i="4"/>
  <c r="X642" i="4"/>
  <c r="W642" i="4"/>
  <c r="V642" i="4"/>
  <c r="U642" i="4"/>
  <c r="Q642" i="4"/>
  <c r="P642" i="4"/>
  <c r="O642" i="4"/>
  <c r="AL641" i="4"/>
  <c r="AK641" i="4"/>
  <c r="AJ641" i="4"/>
  <c r="AI641" i="4"/>
  <c r="AH641" i="4"/>
  <c r="AG641" i="4"/>
  <c r="AF641" i="4"/>
  <c r="AE641" i="4"/>
  <c r="AD641" i="4"/>
  <c r="AB641" i="4"/>
  <c r="AA641" i="4"/>
  <c r="AC641" i="4" s="1"/>
  <c r="Z641" i="4"/>
  <c r="Y641" i="4"/>
  <c r="X641" i="4"/>
  <c r="W641" i="4"/>
  <c r="V641" i="4"/>
  <c r="U641" i="4"/>
  <c r="Q641" i="4"/>
  <c r="P641" i="4"/>
  <c r="O641" i="4"/>
  <c r="AL640" i="4"/>
  <c r="AK640" i="4"/>
  <c r="AJ640" i="4"/>
  <c r="AI640" i="4"/>
  <c r="AH640" i="4"/>
  <c r="AG640" i="4"/>
  <c r="AF640" i="4"/>
  <c r="AE640" i="4"/>
  <c r="AD640" i="4"/>
  <c r="AB640" i="4"/>
  <c r="AA640" i="4"/>
  <c r="AC640" i="4" s="1"/>
  <c r="Z640" i="4"/>
  <c r="Y640" i="4"/>
  <c r="X640" i="4"/>
  <c r="W640" i="4"/>
  <c r="V640" i="4"/>
  <c r="U640" i="4"/>
  <c r="Q640" i="4"/>
  <c r="P640" i="4"/>
  <c r="O640" i="4"/>
  <c r="AL639" i="4"/>
  <c r="AK639" i="4"/>
  <c r="AJ639" i="4"/>
  <c r="AI639" i="4"/>
  <c r="AH639" i="4"/>
  <c r="AG639" i="4"/>
  <c r="AF639" i="4"/>
  <c r="AE639" i="4"/>
  <c r="AD639" i="4"/>
  <c r="AB639" i="4"/>
  <c r="AA639" i="4"/>
  <c r="AC639" i="4" s="1"/>
  <c r="Z639" i="4"/>
  <c r="Y639" i="4"/>
  <c r="X639" i="4"/>
  <c r="W639" i="4"/>
  <c r="V639" i="4"/>
  <c r="U639" i="4"/>
  <c r="Q639" i="4"/>
  <c r="P639" i="4"/>
  <c r="O639" i="4"/>
  <c r="AL638" i="4"/>
  <c r="AK638" i="4"/>
  <c r="AJ638" i="4"/>
  <c r="AI638" i="4"/>
  <c r="AH638" i="4"/>
  <c r="AG638" i="4"/>
  <c r="AF638" i="4"/>
  <c r="AE638" i="4"/>
  <c r="AD638" i="4"/>
  <c r="AB638" i="4"/>
  <c r="AA638" i="4"/>
  <c r="AC638" i="4" s="1"/>
  <c r="Z638" i="4"/>
  <c r="Y638" i="4"/>
  <c r="X638" i="4"/>
  <c r="W638" i="4"/>
  <c r="V638" i="4"/>
  <c r="U638" i="4"/>
  <c r="Q638" i="4"/>
  <c r="P638" i="4"/>
  <c r="O638" i="4"/>
  <c r="AL637" i="4"/>
  <c r="AK637" i="4"/>
  <c r="AJ637" i="4"/>
  <c r="AI637" i="4"/>
  <c r="AH637" i="4"/>
  <c r="AG637" i="4"/>
  <c r="AF637" i="4"/>
  <c r="AE637" i="4"/>
  <c r="AD637" i="4"/>
  <c r="AB637" i="4"/>
  <c r="AA637" i="4"/>
  <c r="AC637" i="4" s="1"/>
  <c r="Z637" i="4"/>
  <c r="Y637" i="4"/>
  <c r="X637" i="4"/>
  <c r="W637" i="4"/>
  <c r="V637" i="4"/>
  <c r="U637" i="4"/>
  <c r="Q637" i="4"/>
  <c r="P637" i="4"/>
  <c r="O637" i="4"/>
  <c r="AL636" i="4"/>
  <c r="AK636" i="4"/>
  <c r="AJ636" i="4"/>
  <c r="AI636" i="4"/>
  <c r="AH636" i="4"/>
  <c r="AG636" i="4"/>
  <c r="AF636" i="4"/>
  <c r="AE636" i="4"/>
  <c r="AD636" i="4"/>
  <c r="AB636" i="4"/>
  <c r="AA636" i="4"/>
  <c r="AC636" i="4" s="1"/>
  <c r="Z636" i="4"/>
  <c r="Y636" i="4"/>
  <c r="X636" i="4"/>
  <c r="W636" i="4"/>
  <c r="V636" i="4"/>
  <c r="U636" i="4"/>
  <c r="Q636" i="4"/>
  <c r="P636" i="4"/>
  <c r="O636" i="4"/>
  <c r="AL635" i="4"/>
  <c r="AK635" i="4"/>
  <c r="AJ635" i="4"/>
  <c r="AI635" i="4"/>
  <c r="AH635" i="4"/>
  <c r="AG635" i="4"/>
  <c r="AF635" i="4"/>
  <c r="AE635" i="4"/>
  <c r="AD635" i="4"/>
  <c r="AB635" i="4"/>
  <c r="AA635" i="4"/>
  <c r="AC635" i="4" s="1"/>
  <c r="Z635" i="4"/>
  <c r="Y635" i="4"/>
  <c r="X635" i="4"/>
  <c r="W635" i="4"/>
  <c r="V635" i="4"/>
  <c r="U635" i="4"/>
  <c r="Q635" i="4"/>
  <c r="P635" i="4"/>
  <c r="O635" i="4"/>
  <c r="AL634" i="4"/>
  <c r="AK634" i="4"/>
  <c r="AJ634" i="4"/>
  <c r="AI634" i="4"/>
  <c r="AH634" i="4"/>
  <c r="AG634" i="4"/>
  <c r="AF634" i="4"/>
  <c r="AE634" i="4"/>
  <c r="AD634" i="4"/>
  <c r="AB634" i="4"/>
  <c r="AA634" i="4"/>
  <c r="AC634" i="4" s="1"/>
  <c r="Z634" i="4"/>
  <c r="Y634" i="4"/>
  <c r="X634" i="4"/>
  <c r="W634" i="4"/>
  <c r="V634" i="4"/>
  <c r="U634" i="4"/>
  <c r="Q634" i="4"/>
  <c r="P634" i="4"/>
  <c r="O634" i="4"/>
  <c r="AL633" i="4"/>
  <c r="AK633" i="4"/>
  <c r="AJ633" i="4"/>
  <c r="AI633" i="4"/>
  <c r="AH633" i="4"/>
  <c r="AG633" i="4"/>
  <c r="AF633" i="4"/>
  <c r="AE633" i="4"/>
  <c r="AD633" i="4"/>
  <c r="AB633" i="4"/>
  <c r="AA633" i="4"/>
  <c r="AC633" i="4" s="1"/>
  <c r="Z633" i="4"/>
  <c r="Y633" i="4"/>
  <c r="X633" i="4"/>
  <c r="W633" i="4"/>
  <c r="V633" i="4"/>
  <c r="U633" i="4"/>
  <c r="Q633" i="4"/>
  <c r="P633" i="4"/>
  <c r="O633" i="4"/>
  <c r="AL632" i="4"/>
  <c r="AK632" i="4"/>
  <c r="AJ632" i="4"/>
  <c r="AI632" i="4"/>
  <c r="AH632" i="4"/>
  <c r="AG632" i="4"/>
  <c r="AF632" i="4"/>
  <c r="AE632" i="4"/>
  <c r="AD632" i="4"/>
  <c r="AB632" i="4"/>
  <c r="AA632" i="4"/>
  <c r="AC632" i="4" s="1"/>
  <c r="Z632" i="4"/>
  <c r="Y632" i="4"/>
  <c r="X632" i="4"/>
  <c r="W632" i="4"/>
  <c r="V632" i="4"/>
  <c r="U632" i="4"/>
  <c r="Q632" i="4"/>
  <c r="P632" i="4"/>
  <c r="O632" i="4"/>
  <c r="AL631" i="4"/>
  <c r="AK631" i="4"/>
  <c r="AJ631" i="4"/>
  <c r="AI631" i="4"/>
  <c r="AH631" i="4"/>
  <c r="AG631" i="4"/>
  <c r="AF631" i="4"/>
  <c r="AE631" i="4"/>
  <c r="AD631" i="4"/>
  <c r="AB631" i="4"/>
  <c r="AA631" i="4"/>
  <c r="AC631" i="4" s="1"/>
  <c r="Z631" i="4"/>
  <c r="Y631" i="4"/>
  <c r="X631" i="4"/>
  <c r="W631" i="4"/>
  <c r="V631" i="4"/>
  <c r="U631" i="4"/>
  <c r="Q631" i="4"/>
  <c r="P631" i="4"/>
  <c r="O631" i="4"/>
  <c r="AL630" i="4"/>
  <c r="AK630" i="4"/>
  <c r="AJ630" i="4"/>
  <c r="AI630" i="4"/>
  <c r="AH630" i="4"/>
  <c r="AG630" i="4"/>
  <c r="AF630" i="4"/>
  <c r="AE630" i="4"/>
  <c r="AD630" i="4"/>
  <c r="AB630" i="4"/>
  <c r="AA630" i="4"/>
  <c r="AC630" i="4" s="1"/>
  <c r="Z630" i="4"/>
  <c r="Y630" i="4"/>
  <c r="X630" i="4"/>
  <c r="W630" i="4"/>
  <c r="V630" i="4"/>
  <c r="U630" i="4"/>
  <c r="Q630" i="4"/>
  <c r="P630" i="4"/>
  <c r="O630" i="4"/>
  <c r="AL629" i="4"/>
  <c r="AK629" i="4"/>
  <c r="AJ629" i="4"/>
  <c r="AI629" i="4"/>
  <c r="AH629" i="4"/>
  <c r="AG629" i="4"/>
  <c r="AF629" i="4"/>
  <c r="AE629" i="4"/>
  <c r="AD629" i="4"/>
  <c r="AB629" i="4"/>
  <c r="AA629" i="4"/>
  <c r="AC629" i="4" s="1"/>
  <c r="Z629" i="4"/>
  <c r="Y629" i="4"/>
  <c r="X629" i="4"/>
  <c r="W629" i="4"/>
  <c r="V629" i="4"/>
  <c r="U629" i="4"/>
  <c r="Q629" i="4"/>
  <c r="P629" i="4"/>
  <c r="O629" i="4"/>
  <c r="AL628" i="4"/>
  <c r="AK628" i="4"/>
  <c r="AJ628" i="4"/>
  <c r="AI628" i="4"/>
  <c r="AH628" i="4"/>
  <c r="AG628" i="4"/>
  <c r="AF628" i="4"/>
  <c r="AE628" i="4"/>
  <c r="AD628" i="4"/>
  <c r="AB628" i="4"/>
  <c r="AA628" i="4"/>
  <c r="AC628" i="4" s="1"/>
  <c r="Z628" i="4"/>
  <c r="Y628" i="4"/>
  <c r="X628" i="4"/>
  <c r="W628" i="4"/>
  <c r="V628" i="4"/>
  <c r="U628" i="4"/>
  <c r="Q628" i="4"/>
  <c r="P628" i="4"/>
  <c r="O628" i="4"/>
  <c r="AL627" i="4"/>
  <c r="AK627" i="4"/>
  <c r="AJ627" i="4"/>
  <c r="AI627" i="4"/>
  <c r="AH627" i="4"/>
  <c r="AG627" i="4"/>
  <c r="AF627" i="4"/>
  <c r="AE627" i="4"/>
  <c r="AD627" i="4"/>
  <c r="AB627" i="4"/>
  <c r="AA627" i="4"/>
  <c r="AC627" i="4" s="1"/>
  <c r="Z627" i="4"/>
  <c r="Y627" i="4"/>
  <c r="X627" i="4"/>
  <c r="W627" i="4"/>
  <c r="V627" i="4"/>
  <c r="U627" i="4"/>
  <c r="Q627" i="4"/>
  <c r="P627" i="4"/>
  <c r="O627" i="4"/>
  <c r="AL626" i="4"/>
  <c r="AK626" i="4"/>
  <c r="AJ626" i="4"/>
  <c r="AI626" i="4"/>
  <c r="AH626" i="4"/>
  <c r="AG626" i="4"/>
  <c r="AF626" i="4"/>
  <c r="AE626" i="4"/>
  <c r="AD626" i="4"/>
  <c r="AB626" i="4"/>
  <c r="AA626" i="4"/>
  <c r="AC626" i="4" s="1"/>
  <c r="Z626" i="4"/>
  <c r="Y626" i="4"/>
  <c r="X626" i="4"/>
  <c r="W626" i="4"/>
  <c r="V626" i="4"/>
  <c r="U626" i="4"/>
  <c r="Q626" i="4"/>
  <c r="P626" i="4"/>
  <c r="O626" i="4"/>
  <c r="AL625" i="4"/>
  <c r="AK625" i="4"/>
  <c r="AJ625" i="4"/>
  <c r="AI625" i="4"/>
  <c r="AH625" i="4"/>
  <c r="AG625" i="4"/>
  <c r="AF625" i="4"/>
  <c r="AE625" i="4"/>
  <c r="AD625" i="4"/>
  <c r="AB625" i="4"/>
  <c r="AA625" i="4"/>
  <c r="AC625" i="4" s="1"/>
  <c r="Z625" i="4"/>
  <c r="Y625" i="4"/>
  <c r="X625" i="4"/>
  <c r="W625" i="4"/>
  <c r="V625" i="4"/>
  <c r="U625" i="4"/>
  <c r="Q625" i="4"/>
  <c r="P625" i="4"/>
  <c r="O625" i="4"/>
  <c r="AL624" i="4"/>
  <c r="AK624" i="4"/>
  <c r="AJ624" i="4"/>
  <c r="AI624" i="4"/>
  <c r="AH624" i="4"/>
  <c r="AG624" i="4"/>
  <c r="AF624" i="4"/>
  <c r="AE624" i="4"/>
  <c r="AD624" i="4"/>
  <c r="AB624" i="4"/>
  <c r="AA624" i="4"/>
  <c r="AC624" i="4" s="1"/>
  <c r="Z624" i="4"/>
  <c r="Y624" i="4"/>
  <c r="X624" i="4"/>
  <c r="W624" i="4"/>
  <c r="V624" i="4"/>
  <c r="U624" i="4"/>
  <c r="Q624" i="4"/>
  <c r="P624" i="4"/>
  <c r="O624" i="4"/>
  <c r="AL623" i="4"/>
  <c r="AK623" i="4"/>
  <c r="AJ623" i="4"/>
  <c r="AI623" i="4"/>
  <c r="AH623" i="4"/>
  <c r="AG623" i="4"/>
  <c r="AF623" i="4"/>
  <c r="AE623" i="4"/>
  <c r="AD623" i="4"/>
  <c r="AB623" i="4"/>
  <c r="AA623" i="4"/>
  <c r="AC623" i="4" s="1"/>
  <c r="Z623" i="4"/>
  <c r="Y623" i="4"/>
  <c r="X623" i="4"/>
  <c r="W623" i="4"/>
  <c r="V623" i="4"/>
  <c r="U623" i="4"/>
  <c r="Q623" i="4"/>
  <c r="P623" i="4"/>
  <c r="O623" i="4"/>
  <c r="AL622" i="4"/>
  <c r="AK622" i="4"/>
  <c r="AJ622" i="4"/>
  <c r="AI622" i="4"/>
  <c r="AH622" i="4"/>
  <c r="AG622" i="4"/>
  <c r="AF622" i="4"/>
  <c r="AE622" i="4"/>
  <c r="AD622" i="4"/>
  <c r="AB622" i="4"/>
  <c r="AA622" i="4"/>
  <c r="AC622" i="4" s="1"/>
  <c r="Z622" i="4"/>
  <c r="Y622" i="4"/>
  <c r="X622" i="4"/>
  <c r="W622" i="4"/>
  <c r="V622" i="4"/>
  <c r="U622" i="4"/>
  <c r="Q622" i="4"/>
  <c r="P622" i="4"/>
  <c r="O622" i="4"/>
  <c r="AL621" i="4"/>
  <c r="AK621" i="4"/>
  <c r="AJ621" i="4"/>
  <c r="AI621" i="4"/>
  <c r="AH621" i="4"/>
  <c r="AG621" i="4"/>
  <c r="AF621" i="4"/>
  <c r="AE621" i="4"/>
  <c r="AD621" i="4"/>
  <c r="AB621" i="4"/>
  <c r="AA621" i="4"/>
  <c r="AC621" i="4" s="1"/>
  <c r="Z621" i="4"/>
  <c r="Y621" i="4"/>
  <c r="X621" i="4"/>
  <c r="W621" i="4"/>
  <c r="V621" i="4"/>
  <c r="U621" i="4"/>
  <c r="Q621" i="4"/>
  <c r="P621" i="4"/>
  <c r="O621" i="4"/>
  <c r="AL620" i="4"/>
  <c r="AK620" i="4"/>
  <c r="AJ620" i="4"/>
  <c r="AI620" i="4"/>
  <c r="AH620" i="4"/>
  <c r="AG620" i="4"/>
  <c r="AF620" i="4"/>
  <c r="AE620" i="4"/>
  <c r="AD620" i="4"/>
  <c r="AB620" i="4"/>
  <c r="AA620" i="4"/>
  <c r="AC620" i="4" s="1"/>
  <c r="Z620" i="4"/>
  <c r="Y620" i="4"/>
  <c r="X620" i="4"/>
  <c r="W620" i="4"/>
  <c r="V620" i="4"/>
  <c r="U620" i="4"/>
  <c r="Q620" i="4"/>
  <c r="P620" i="4"/>
  <c r="O620" i="4"/>
  <c r="AL619" i="4"/>
  <c r="AK619" i="4"/>
  <c r="AJ619" i="4"/>
  <c r="AI619" i="4"/>
  <c r="AH619" i="4"/>
  <c r="AG619" i="4"/>
  <c r="AF619" i="4"/>
  <c r="AE619" i="4"/>
  <c r="AD619" i="4"/>
  <c r="AB619" i="4"/>
  <c r="AA619" i="4"/>
  <c r="AC619" i="4" s="1"/>
  <c r="Z619" i="4"/>
  <c r="Y619" i="4"/>
  <c r="X619" i="4"/>
  <c r="W619" i="4"/>
  <c r="V619" i="4"/>
  <c r="U619" i="4"/>
  <c r="Q619" i="4"/>
  <c r="P619" i="4"/>
  <c r="O619" i="4"/>
  <c r="AL618" i="4"/>
  <c r="AK618" i="4"/>
  <c r="AJ618" i="4"/>
  <c r="AI618" i="4"/>
  <c r="AH618" i="4"/>
  <c r="AG618" i="4"/>
  <c r="AF618" i="4"/>
  <c r="AE618" i="4"/>
  <c r="AD618" i="4"/>
  <c r="AB618" i="4"/>
  <c r="AA618" i="4"/>
  <c r="AC618" i="4" s="1"/>
  <c r="Z618" i="4"/>
  <c r="Y618" i="4"/>
  <c r="X618" i="4"/>
  <c r="W618" i="4"/>
  <c r="V618" i="4"/>
  <c r="U618" i="4"/>
  <c r="Q618" i="4"/>
  <c r="P618" i="4"/>
  <c r="O618" i="4"/>
  <c r="AL617" i="4"/>
  <c r="AK617" i="4"/>
  <c r="AJ617" i="4"/>
  <c r="AI617" i="4"/>
  <c r="AH617" i="4"/>
  <c r="AG617" i="4"/>
  <c r="AF617" i="4"/>
  <c r="AE617" i="4"/>
  <c r="AD617" i="4"/>
  <c r="AB617" i="4"/>
  <c r="AA617" i="4"/>
  <c r="AC617" i="4" s="1"/>
  <c r="Z617" i="4"/>
  <c r="Y617" i="4"/>
  <c r="X617" i="4"/>
  <c r="W617" i="4"/>
  <c r="V617" i="4"/>
  <c r="U617" i="4"/>
  <c r="Q617" i="4"/>
  <c r="P617" i="4"/>
  <c r="O617" i="4"/>
  <c r="AL616" i="4"/>
  <c r="AK616" i="4"/>
  <c r="AJ616" i="4"/>
  <c r="AI616" i="4"/>
  <c r="AH616" i="4"/>
  <c r="AG616" i="4"/>
  <c r="AF616" i="4"/>
  <c r="AE616" i="4"/>
  <c r="AD616" i="4"/>
  <c r="AB616" i="4"/>
  <c r="AA616" i="4"/>
  <c r="AC616" i="4" s="1"/>
  <c r="Z616" i="4"/>
  <c r="Y616" i="4"/>
  <c r="X616" i="4"/>
  <c r="W616" i="4"/>
  <c r="V616" i="4"/>
  <c r="U616" i="4"/>
  <c r="Q616" i="4"/>
  <c r="P616" i="4"/>
  <c r="O616" i="4"/>
  <c r="AL615" i="4"/>
  <c r="AK615" i="4"/>
  <c r="AJ615" i="4"/>
  <c r="AI615" i="4"/>
  <c r="AH615" i="4"/>
  <c r="AG615" i="4"/>
  <c r="AF615" i="4"/>
  <c r="AE615" i="4"/>
  <c r="AD615" i="4"/>
  <c r="AB615" i="4"/>
  <c r="AA615" i="4"/>
  <c r="AC615" i="4" s="1"/>
  <c r="Z615" i="4"/>
  <c r="Y615" i="4"/>
  <c r="X615" i="4"/>
  <c r="W615" i="4"/>
  <c r="V615" i="4"/>
  <c r="U615" i="4"/>
  <c r="Q615" i="4"/>
  <c r="P615" i="4"/>
  <c r="O615" i="4"/>
  <c r="AL614" i="4"/>
  <c r="AK614" i="4"/>
  <c r="AJ614" i="4"/>
  <c r="AI614" i="4"/>
  <c r="AH614" i="4"/>
  <c r="AG614" i="4"/>
  <c r="AF614" i="4"/>
  <c r="AE614" i="4"/>
  <c r="AD614" i="4"/>
  <c r="AB614" i="4"/>
  <c r="AA614" i="4"/>
  <c r="AC614" i="4" s="1"/>
  <c r="Z614" i="4"/>
  <c r="Y614" i="4"/>
  <c r="X614" i="4"/>
  <c r="W614" i="4"/>
  <c r="V614" i="4"/>
  <c r="U614" i="4"/>
  <c r="Q614" i="4"/>
  <c r="P614" i="4"/>
  <c r="O614" i="4"/>
  <c r="AL613" i="4"/>
  <c r="AK613" i="4"/>
  <c r="AJ613" i="4"/>
  <c r="AI613" i="4"/>
  <c r="AH613" i="4"/>
  <c r="AG613" i="4"/>
  <c r="AF613" i="4"/>
  <c r="AE613" i="4"/>
  <c r="AD613" i="4"/>
  <c r="AB613" i="4"/>
  <c r="AA613" i="4"/>
  <c r="AC613" i="4" s="1"/>
  <c r="Z613" i="4"/>
  <c r="Y613" i="4"/>
  <c r="X613" i="4"/>
  <c r="W613" i="4"/>
  <c r="V613" i="4"/>
  <c r="U613" i="4"/>
  <c r="Q613" i="4"/>
  <c r="P613" i="4"/>
  <c r="O613" i="4"/>
  <c r="AL612" i="4"/>
  <c r="AK612" i="4"/>
  <c r="AJ612" i="4"/>
  <c r="AI612" i="4"/>
  <c r="AH612" i="4"/>
  <c r="AG612" i="4"/>
  <c r="AF612" i="4"/>
  <c r="AE612" i="4"/>
  <c r="AD612" i="4"/>
  <c r="AB612" i="4"/>
  <c r="AA612" i="4"/>
  <c r="AC612" i="4" s="1"/>
  <c r="Z612" i="4"/>
  <c r="Y612" i="4"/>
  <c r="X612" i="4"/>
  <c r="W612" i="4"/>
  <c r="V612" i="4"/>
  <c r="U612" i="4"/>
  <c r="Q612" i="4"/>
  <c r="P612" i="4"/>
  <c r="O612" i="4"/>
  <c r="AL611" i="4"/>
  <c r="AK611" i="4"/>
  <c r="AJ611" i="4"/>
  <c r="AI611" i="4"/>
  <c r="AH611" i="4"/>
  <c r="AG611" i="4"/>
  <c r="AF611" i="4"/>
  <c r="AE611" i="4"/>
  <c r="AD611" i="4"/>
  <c r="AB611" i="4"/>
  <c r="AA611" i="4"/>
  <c r="AC611" i="4" s="1"/>
  <c r="Z611" i="4"/>
  <c r="Y611" i="4"/>
  <c r="X611" i="4"/>
  <c r="W611" i="4"/>
  <c r="V611" i="4"/>
  <c r="U611" i="4"/>
  <c r="Q611" i="4"/>
  <c r="P611" i="4"/>
  <c r="O611" i="4"/>
  <c r="AL610" i="4"/>
  <c r="AK610" i="4"/>
  <c r="AJ610" i="4"/>
  <c r="AI610" i="4"/>
  <c r="AH610" i="4"/>
  <c r="AG610" i="4"/>
  <c r="AF610" i="4"/>
  <c r="AE610" i="4"/>
  <c r="AD610" i="4"/>
  <c r="AB610" i="4"/>
  <c r="AA610" i="4"/>
  <c r="AC610" i="4" s="1"/>
  <c r="Z610" i="4"/>
  <c r="Y610" i="4"/>
  <c r="X610" i="4"/>
  <c r="W610" i="4"/>
  <c r="V610" i="4"/>
  <c r="U610" i="4"/>
  <c r="Q610" i="4"/>
  <c r="P610" i="4"/>
  <c r="O610" i="4"/>
  <c r="AL609" i="4"/>
  <c r="AK609" i="4"/>
  <c r="AJ609" i="4"/>
  <c r="AI609" i="4"/>
  <c r="AH609" i="4"/>
  <c r="AG609" i="4"/>
  <c r="AF609" i="4"/>
  <c r="AE609" i="4"/>
  <c r="AD609" i="4"/>
  <c r="AB609" i="4"/>
  <c r="AA609" i="4"/>
  <c r="AC609" i="4" s="1"/>
  <c r="Z609" i="4"/>
  <c r="Y609" i="4"/>
  <c r="X609" i="4"/>
  <c r="W609" i="4"/>
  <c r="V609" i="4"/>
  <c r="U609" i="4"/>
  <c r="Q609" i="4"/>
  <c r="P609" i="4"/>
  <c r="O609" i="4"/>
  <c r="AL608" i="4"/>
  <c r="AK608" i="4"/>
  <c r="AJ608" i="4"/>
  <c r="AI608" i="4"/>
  <c r="AH608" i="4"/>
  <c r="AG608" i="4"/>
  <c r="AF608" i="4"/>
  <c r="AE608" i="4"/>
  <c r="AD608" i="4"/>
  <c r="AB608" i="4"/>
  <c r="AA608" i="4"/>
  <c r="AC608" i="4" s="1"/>
  <c r="Z608" i="4"/>
  <c r="Y608" i="4"/>
  <c r="X608" i="4"/>
  <c r="W608" i="4"/>
  <c r="V608" i="4"/>
  <c r="U608" i="4"/>
  <c r="Q608" i="4"/>
  <c r="P608" i="4"/>
  <c r="O608" i="4"/>
  <c r="AL607" i="4"/>
  <c r="AK607" i="4"/>
  <c r="AJ607" i="4"/>
  <c r="AI607" i="4"/>
  <c r="AH607" i="4"/>
  <c r="AG607" i="4"/>
  <c r="AF607" i="4"/>
  <c r="AE607" i="4"/>
  <c r="AD607" i="4"/>
  <c r="AB607" i="4"/>
  <c r="AA607" i="4"/>
  <c r="AC607" i="4" s="1"/>
  <c r="Z607" i="4"/>
  <c r="Y607" i="4"/>
  <c r="X607" i="4"/>
  <c r="W607" i="4"/>
  <c r="V607" i="4"/>
  <c r="U607" i="4"/>
  <c r="Q607" i="4"/>
  <c r="P607" i="4"/>
  <c r="O607" i="4"/>
  <c r="AL606" i="4"/>
  <c r="AK606" i="4"/>
  <c r="AJ606" i="4"/>
  <c r="AI606" i="4"/>
  <c r="AH606" i="4"/>
  <c r="AG606" i="4"/>
  <c r="AF606" i="4"/>
  <c r="AE606" i="4"/>
  <c r="AD606" i="4"/>
  <c r="AB606" i="4"/>
  <c r="AA606" i="4"/>
  <c r="AC606" i="4" s="1"/>
  <c r="Z606" i="4"/>
  <c r="Y606" i="4"/>
  <c r="X606" i="4"/>
  <c r="W606" i="4"/>
  <c r="V606" i="4"/>
  <c r="U606" i="4"/>
  <c r="Q606" i="4"/>
  <c r="P606" i="4"/>
  <c r="O606" i="4"/>
  <c r="AL605" i="4"/>
  <c r="AK605" i="4"/>
  <c r="AJ605" i="4"/>
  <c r="AI605" i="4"/>
  <c r="AH605" i="4"/>
  <c r="AG605" i="4"/>
  <c r="AF605" i="4"/>
  <c r="AE605" i="4"/>
  <c r="AD605" i="4"/>
  <c r="AB605" i="4"/>
  <c r="AA605" i="4"/>
  <c r="AC605" i="4" s="1"/>
  <c r="Z605" i="4"/>
  <c r="Y605" i="4"/>
  <c r="X605" i="4"/>
  <c r="W605" i="4"/>
  <c r="V605" i="4"/>
  <c r="U605" i="4"/>
  <c r="Q605" i="4"/>
  <c r="P605" i="4"/>
  <c r="O605" i="4"/>
  <c r="AL604" i="4"/>
  <c r="AK604" i="4"/>
  <c r="AJ604" i="4"/>
  <c r="AI604" i="4"/>
  <c r="AH604" i="4"/>
  <c r="AG604" i="4"/>
  <c r="AF604" i="4"/>
  <c r="AE604" i="4"/>
  <c r="AD604" i="4"/>
  <c r="AB604" i="4"/>
  <c r="AA604" i="4"/>
  <c r="AC604" i="4" s="1"/>
  <c r="Z604" i="4"/>
  <c r="Y604" i="4"/>
  <c r="X604" i="4"/>
  <c r="W604" i="4"/>
  <c r="V604" i="4"/>
  <c r="U604" i="4"/>
  <c r="Q604" i="4"/>
  <c r="P604" i="4"/>
  <c r="O604" i="4"/>
  <c r="AL603" i="4"/>
  <c r="AK603" i="4"/>
  <c r="AJ603" i="4"/>
  <c r="AI603" i="4"/>
  <c r="AH603" i="4"/>
  <c r="AG603" i="4"/>
  <c r="AF603" i="4"/>
  <c r="AE603" i="4"/>
  <c r="AD603" i="4"/>
  <c r="AB603" i="4"/>
  <c r="AA603" i="4"/>
  <c r="AC603" i="4" s="1"/>
  <c r="Z603" i="4"/>
  <c r="Y603" i="4"/>
  <c r="X603" i="4"/>
  <c r="W603" i="4"/>
  <c r="V603" i="4"/>
  <c r="U603" i="4"/>
  <c r="Q603" i="4"/>
  <c r="P603" i="4"/>
  <c r="O603" i="4"/>
  <c r="AL602" i="4"/>
  <c r="AK602" i="4"/>
  <c r="AJ602" i="4"/>
  <c r="AI602" i="4"/>
  <c r="AH602" i="4"/>
  <c r="AG602" i="4"/>
  <c r="AF602" i="4"/>
  <c r="AE602" i="4"/>
  <c r="AD602" i="4"/>
  <c r="AB602" i="4"/>
  <c r="AA602" i="4"/>
  <c r="AC602" i="4" s="1"/>
  <c r="Z602" i="4"/>
  <c r="Y602" i="4"/>
  <c r="X602" i="4"/>
  <c r="W602" i="4"/>
  <c r="V602" i="4"/>
  <c r="U602" i="4"/>
  <c r="Q602" i="4"/>
  <c r="P602" i="4"/>
  <c r="O602" i="4"/>
  <c r="AL601" i="4"/>
  <c r="AK601" i="4"/>
  <c r="AJ601" i="4"/>
  <c r="AI601" i="4"/>
  <c r="AH601" i="4"/>
  <c r="AG601" i="4"/>
  <c r="AF601" i="4"/>
  <c r="AE601" i="4"/>
  <c r="AD601" i="4"/>
  <c r="AB601" i="4"/>
  <c r="AA601" i="4"/>
  <c r="AC601" i="4" s="1"/>
  <c r="Z601" i="4"/>
  <c r="Y601" i="4"/>
  <c r="X601" i="4"/>
  <c r="W601" i="4"/>
  <c r="V601" i="4"/>
  <c r="U601" i="4"/>
  <c r="Q601" i="4"/>
  <c r="P601" i="4"/>
  <c r="O601" i="4"/>
  <c r="AL600" i="4"/>
  <c r="AK600" i="4"/>
  <c r="AJ600" i="4"/>
  <c r="AI600" i="4"/>
  <c r="AH600" i="4"/>
  <c r="AG600" i="4"/>
  <c r="AF600" i="4"/>
  <c r="AE600" i="4"/>
  <c r="AD600" i="4"/>
  <c r="AB600" i="4"/>
  <c r="AA600" i="4"/>
  <c r="AC600" i="4" s="1"/>
  <c r="Z600" i="4"/>
  <c r="Y600" i="4"/>
  <c r="X600" i="4"/>
  <c r="W600" i="4"/>
  <c r="V600" i="4"/>
  <c r="U600" i="4"/>
  <c r="Q600" i="4"/>
  <c r="P600" i="4"/>
  <c r="O600" i="4"/>
  <c r="AL599" i="4"/>
  <c r="AK599" i="4"/>
  <c r="AJ599" i="4"/>
  <c r="AI599" i="4"/>
  <c r="AH599" i="4"/>
  <c r="AG599" i="4"/>
  <c r="AF599" i="4"/>
  <c r="AE599" i="4"/>
  <c r="AD599" i="4"/>
  <c r="AB599" i="4"/>
  <c r="AA599" i="4"/>
  <c r="AC599" i="4" s="1"/>
  <c r="Z599" i="4"/>
  <c r="Y599" i="4"/>
  <c r="X599" i="4"/>
  <c r="W599" i="4"/>
  <c r="V599" i="4"/>
  <c r="U599" i="4"/>
  <c r="Q599" i="4"/>
  <c r="P599" i="4"/>
  <c r="O599" i="4"/>
  <c r="AL598" i="4"/>
  <c r="AK598" i="4"/>
  <c r="AJ598" i="4"/>
  <c r="AI598" i="4"/>
  <c r="AH598" i="4"/>
  <c r="AG598" i="4"/>
  <c r="AF598" i="4"/>
  <c r="AE598" i="4"/>
  <c r="AD598" i="4"/>
  <c r="AB598" i="4"/>
  <c r="AA598" i="4"/>
  <c r="AC598" i="4" s="1"/>
  <c r="Z598" i="4"/>
  <c r="Y598" i="4"/>
  <c r="X598" i="4"/>
  <c r="W598" i="4"/>
  <c r="V598" i="4"/>
  <c r="U598" i="4"/>
  <c r="Q598" i="4"/>
  <c r="P598" i="4"/>
  <c r="O598" i="4"/>
  <c r="AL597" i="4"/>
  <c r="AK597" i="4"/>
  <c r="AJ597" i="4"/>
  <c r="AI597" i="4"/>
  <c r="AH597" i="4"/>
  <c r="AG597" i="4"/>
  <c r="AF597" i="4"/>
  <c r="AE597" i="4"/>
  <c r="AD597" i="4"/>
  <c r="AB597" i="4"/>
  <c r="AA597" i="4"/>
  <c r="AC597" i="4" s="1"/>
  <c r="Z597" i="4"/>
  <c r="Y597" i="4"/>
  <c r="X597" i="4"/>
  <c r="W597" i="4"/>
  <c r="V597" i="4"/>
  <c r="U597" i="4"/>
  <c r="Q597" i="4"/>
  <c r="P597" i="4"/>
  <c r="O597" i="4"/>
  <c r="AL596" i="4"/>
  <c r="AK596" i="4"/>
  <c r="AJ596" i="4"/>
  <c r="AI596" i="4"/>
  <c r="AH596" i="4"/>
  <c r="AG596" i="4"/>
  <c r="AF596" i="4"/>
  <c r="AE596" i="4"/>
  <c r="AD596" i="4"/>
  <c r="AB596" i="4"/>
  <c r="AA596" i="4"/>
  <c r="AC596" i="4" s="1"/>
  <c r="Z596" i="4"/>
  <c r="Y596" i="4"/>
  <c r="X596" i="4"/>
  <c r="W596" i="4"/>
  <c r="V596" i="4"/>
  <c r="U596" i="4"/>
  <c r="Q596" i="4"/>
  <c r="P596" i="4"/>
  <c r="O596" i="4"/>
  <c r="AL595" i="4"/>
  <c r="AK595" i="4"/>
  <c r="AJ595" i="4"/>
  <c r="AI595" i="4"/>
  <c r="AH595" i="4"/>
  <c r="AG595" i="4"/>
  <c r="AF595" i="4"/>
  <c r="AE595" i="4"/>
  <c r="AD595" i="4"/>
  <c r="AB595" i="4"/>
  <c r="AA595" i="4"/>
  <c r="AC595" i="4" s="1"/>
  <c r="Z595" i="4"/>
  <c r="Y595" i="4"/>
  <c r="X595" i="4"/>
  <c r="W595" i="4"/>
  <c r="V595" i="4"/>
  <c r="U595" i="4"/>
  <c r="Q595" i="4"/>
  <c r="P595" i="4"/>
  <c r="O595" i="4"/>
  <c r="AL594" i="4"/>
  <c r="AK594" i="4"/>
  <c r="AJ594" i="4"/>
  <c r="AI594" i="4"/>
  <c r="AH594" i="4"/>
  <c r="AG594" i="4"/>
  <c r="AF594" i="4"/>
  <c r="AE594" i="4"/>
  <c r="AD594" i="4"/>
  <c r="AB594" i="4"/>
  <c r="AA594" i="4"/>
  <c r="AC594" i="4" s="1"/>
  <c r="Z594" i="4"/>
  <c r="Y594" i="4"/>
  <c r="X594" i="4"/>
  <c r="W594" i="4"/>
  <c r="V594" i="4"/>
  <c r="U594" i="4"/>
  <c r="Q594" i="4"/>
  <c r="P594" i="4"/>
  <c r="O594" i="4"/>
  <c r="AL593" i="4"/>
  <c r="AK593" i="4"/>
  <c r="AJ593" i="4"/>
  <c r="AI593" i="4"/>
  <c r="AH593" i="4"/>
  <c r="AG593" i="4"/>
  <c r="AF593" i="4"/>
  <c r="AE593" i="4"/>
  <c r="AD593" i="4"/>
  <c r="AB593" i="4"/>
  <c r="AA593" i="4"/>
  <c r="AC593" i="4" s="1"/>
  <c r="Z593" i="4"/>
  <c r="Y593" i="4"/>
  <c r="X593" i="4"/>
  <c r="W593" i="4"/>
  <c r="V593" i="4"/>
  <c r="U593" i="4"/>
  <c r="Q593" i="4"/>
  <c r="P593" i="4"/>
  <c r="O593" i="4"/>
  <c r="AL592" i="4"/>
  <c r="AK592" i="4"/>
  <c r="AJ592" i="4"/>
  <c r="AI592" i="4"/>
  <c r="AG592" i="4"/>
  <c r="AF592" i="4"/>
  <c r="AE592" i="4"/>
  <c r="AD592" i="4"/>
  <c r="AB592" i="4"/>
  <c r="AA592" i="4"/>
  <c r="AC592" i="4" s="1"/>
  <c r="Z592" i="4"/>
  <c r="Y592" i="4"/>
  <c r="X592" i="4"/>
  <c r="W592" i="4"/>
  <c r="V592" i="4"/>
  <c r="U592" i="4"/>
  <c r="Q592" i="4"/>
  <c r="P592" i="4"/>
  <c r="O592" i="4"/>
  <c r="AL591" i="4"/>
  <c r="AK591" i="4"/>
  <c r="AJ591" i="4"/>
  <c r="AI591" i="4"/>
  <c r="AH591" i="4"/>
  <c r="AG591" i="4"/>
  <c r="AF591" i="4"/>
  <c r="AE591" i="4"/>
  <c r="AD591" i="4"/>
  <c r="AB591" i="4"/>
  <c r="AA591" i="4"/>
  <c r="AC591" i="4" s="1"/>
  <c r="Z591" i="4"/>
  <c r="Y591" i="4"/>
  <c r="X591" i="4"/>
  <c r="W591" i="4"/>
  <c r="V591" i="4"/>
  <c r="U591" i="4"/>
  <c r="Q591" i="4"/>
  <c r="P591" i="4"/>
  <c r="O591" i="4"/>
  <c r="AL590" i="4"/>
  <c r="AK590" i="4"/>
  <c r="AJ590" i="4"/>
  <c r="AI590" i="4"/>
  <c r="AH590" i="4"/>
  <c r="AG590" i="4"/>
  <c r="AF590" i="4"/>
  <c r="AE590" i="4"/>
  <c r="AD590" i="4"/>
  <c r="AB590" i="4"/>
  <c r="AA590" i="4"/>
  <c r="AC590" i="4" s="1"/>
  <c r="Z590" i="4"/>
  <c r="Y590" i="4"/>
  <c r="X590" i="4"/>
  <c r="W590" i="4"/>
  <c r="V590" i="4"/>
  <c r="U590" i="4"/>
  <c r="Q590" i="4"/>
  <c r="P590" i="4"/>
  <c r="O590" i="4"/>
  <c r="AL589" i="4"/>
  <c r="AK589" i="4"/>
  <c r="AJ589" i="4"/>
  <c r="AI589" i="4"/>
  <c r="AH589" i="4"/>
  <c r="AG589" i="4"/>
  <c r="AF589" i="4"/>
  <c r="AE589" i="4"/>
  <c r="AD589" i="4"/>
  <c r="AB589" i="4"/>
  <c r="AA589" i="4"/>
  <c r="AC589" i="4" s="1"/>
  <c r="Z589" i="4"/>
  <c r="Y589" i="4"/>
  <c r="X589" i="4"/>
  <c r="W589" i="4"/>
  <c r="V589" i="4"/>
  <c r="U589" i="4"/>
  <c r="Q589" i="4"/>
  <c r="P589" i="4"/>
  <c r="O589" i="4"/>
  <c r="AL588" i="4"/>
  <c r="AK588" i="4"/>
  <c r="AJ588" i="4"/>
  <c r="AI588" i="4"/>
  <c r="AH588" i="4"/>
  <c r="AG588" i="4"/>
  <c r="AF588" i="4"/>
  <c r="AE588" i="4"/>
  <c r="AD588" i="4"/>
  <c r="AB588" i="4"/>
  <c r="AA588" i="4"/>
  <c r="AC588" i="4" s="1"/>
  <c r="Z588" i="4"/>
  <c r="Y588" i="4"/>
  <c r="X588" i="4"/>
  <c r="W588" i="4"/>
  <c r="V588" i="4"/>
  <c r="U588" i="4"/>
  <c r="Q588" i="4"/>
  <c r="P588" i="4"/>
  <c r="O588" i="4"/>
  <c r="AL587" i="4"/>
  <c r="AK587" i="4"/>
  <c r="AJ587" i="4"/>
  <c r="AI587" i="4"/>
  <c r="AH587" i="4"/>
  <c r="AG587" i="4"/>
  <c r="AF587" i="4"/>
  <c r="AE587" i="4"/>
  <c r="AD587" i="4"/>
  <c r="AB587" i="4"/>
  <c r="AA587" i="4"/>
  <c r="AC587" i="4" s="1"/>
  <c r="Z587" i="4"/>
  <c r="Y587" i="4"/>
  <c r="X587" i="4"/>
  <c r="W587" i="4"/>
  <c r="V587" i="4"/>
  <c r="U587" i="4"/>
  <c r="Q587" i="4"/>
  <c r="P587" i="4"/>
  <c r="O587" i="4"/>
  <c r="AL586" i="4"/>
  <c r="AK586" i="4"/>
  <c r="AJ586" i="4"/>
  <c r="AI586" i="4"/>
  <c r="AH586" i="4"/>
  <c r="AG586" i="4"/>
  <c r="AF586" i="4"/>
  <c r="AE586" i="4"/>
  <c r="AD586" i="4"/>
  <c r="AB586" i="4"/>
  <c r="AA586" i="4"/>
  <c r="AC586" i="4" s="1"/>
  <c r="Z586" i="4"/>
  <c r="Y586" i="4"/>
  <c r="X586" i="4"/>
  <c r="W586" i="4"/>
  <c r="V586" i="4"/>
  <c r="U586" i="4"/>
  <c r="Q586" i="4"/>
  <c r="P586" i="4"/>
  <c r="R586" i="4" s="1"/>
  <c r="O586" i="4"/>
  <c r="AL585" i="4"/>
  <c r="AK585" i="4"/>
  <c r="AJ585" i="4"/>
  <c r="AI585" i="4"/>
  <c r="AH585" i="4"/>
  <c r="AG585" i="4"/>
  <c r="AF585" i="4"/>
  <c r="AE585" i="4"/>
  <c r="AD585" i="4"/>
  <c r="AB585" i="4"/>
  <c r="AA585" i="4"/>
  <c r="AC585" i="4" s="1"/>
  <c r="Z585" i="4"/>
  <c r="Y585" i="4"/>
  <c r="X585" i="4"/>
  <c r="W585" i="4"/>
  <c r="V585" i="4"/>
  <c r="U585" i="4"/>
  <c r="Q585" i="4"/>
  <c r="P585" i="4"/>
  <c r="O585" i="4"/>
  <c r="AL584" i="4"/>
  <c r="AK584" i="4"/>
  <c r="AJ584" i="4"/>
  <c r="AI584" i="4"/>
  <c r="AH584" i="4"/>
  <c r="AG584" i="4"/>
  <c r="AF584" i="4"/>
  <c r="AE584" i="4"/>
  <c r="AD584" i="4"/>
  <c r="AB584" i="4"/>
  <c r="AA584" i="4"/>
  <c r="AC584" i="4" s="1"/>
  <c r="Z584" i="4"/>
  <c r="Y584" i="4"/>
  <c r="X584" i="4"/>
  <c r="W584" i="4"/>
  <c r="V584" i="4"/>
  <c r="U584" i="4"/>
  <c r="Q584" i="4"/>
  <c r="P584" i="4"/>
  <c r="O584" i="4"/>
  <c r="AL583" i="4"/>
  <c r="AK583" i="4"/>
  <c r="AJ583" i="4"/>
  <c r="AI583" i="4"/>
  <c r="AH583" i="4"/>
  <c r="AG583" i="4"/>
  <c r="AF583" i="4"/>
  <c r="AE583" i="4"/>
  <c r="AD583" i="4"/>
  <c r="AB583" i="4"/>
  <c r="AA583" i="4"/>
  <c r="AC583" i="4" s="1"/>
  <c r="Z583" i="4"/>
  <c r="Y583" i="4"/>
  <c r="X583" i="4"/>
  <c r="W583" i="4"/>
  <c r="V583" i="4"/>
  <c r="U583" i="4"/>
  <c r="Q583" i="4"/>
  <c r="P583" i="4"/>
  <c r="O583" i="4"/>
  <c r="AL582" i="4"/>
  <c r="AK582" i="4"/>
  <c r="AJ582" i="4"/>
  <c r="AI582" i="4"/>
  <c r="AH582" i="4"/>
  <c r="AG582" i="4"/>
  <c r="AF582" i="4"/>
  <c r="AE582" i="4"/>
  <c r="AD582" i="4"/>
  <c r="AB582" i="4"/>
  <c r="AA582" i="4"/>
  <c r="AC582" i="4" s="1"/>
  <c r="Z582" i="4"/>
  <c r="Y582" i="4"/>
  <c r="X582" i="4"/>
  <c r="W582" i="4"/>
  <c r="V582" i="4"/>
  <c r="U582" i="4"/>
  <c r="Q582" i="4"/>
  <c r="P582" i="4"/>
  <c r="O582" i="4"/>
  <c r="AL581" i="4"/>
  <c r="AK581" i="4"/>
  <c r="AJ581" i="4"/>
  <c r="AI581" i="4"/>
  <c r="AH581" i="4"/>
  <c r="AG581" i="4"/>
  <c r="AF581" i="4"/>
  <c r="AE581" i="4"/>
  <c r="AD581" i="4"/>
  <c r="AB581" i="4"/>
  <c r="AA581" i="4"/>
  <c r="AC581" i="4" s="1"/>
  <c r="Z581" i="4"/>
  <c r="Y581" i="4"/>
  <c r="X581" i="4"/>
  <c r="W581" i="4"/>
  <c r="V581" i="4"/>
  <c r="U581" i="4"/>
  <c r="Q581" i="4"/>
  <c r="P581" i="4"/>
  <c r="O581" i="4"/>
  <c r="AL580" i="4"/>
  <c r="AK580" i="4"/>
  <c r="AJ580" i="4"/>
  <c r="AI580" i="4"/>
  <c r="AH580" i="4"/>
  <c r="AG580" i="4"/>
  <c r="AF580" i="4"/>
  <c r="AE580" i="4"/>
  <c r="AD580" i="4"/>
  <c r="AB580" i="4"/>
  <c r="AA580" i="4"/>
  <c r="AC580" i="4" s="1"/>
  <c r="Z580" i="4"/>
  <c r="Y580" i="4"/>
  <c r="X580" i="4"/>
  <c r="W580" i="4"/>
  <c r="V580" i="4"/>
  <c r="U580" i="4"/>
  <c r="Q580" i="4"/>
  <c r="P580" i="4"/>
  <c r="O580" i="4"/>
  <c r="AL579" i="4"/>
  <c r="AK579" i="4"/>
  <c r="AJ579" i="4"/>
  <c r="AI579" i="4"/>
  <c r="AH579" i="4"/>
  <c r="AG579" i="4"/>
  <c r="AF579" i="4"/>
  <c r="AE579" i="4"/>
  <c r="AD579" i="4"/>
  <c r="AB579" i="4"/>
  <c r="AA579" i="4"/>
  <c r="AC579" i="4" s="1"/>
  <c r="Z579" i="4"/>
  <c r="Y579" i="4"/>
  <c r="X579" i="4"/>
  <c r="W579" i="4"/>
  <c r="V579" i="4"/>
  <c r="U579" i="4"/>
  <c r="Q579" i="4"/>
  <c r="P579" i="4"/>
  <c r="O579" i="4"/>
  <c r="AL578" i="4"/>
  <c r="AK578" i="4"/>
  <c r="AJ578" i="4"/>
  <c r="AI578" i="4"/>
  <c r="AH578" i="4"/>
  <c r="AG578" i="4"/>
  <c r="AF578" i="4"/>
  <c r="AE578" i="4"/>
  <c r="AD578" i="4"/>
  <c r="AB578" i="4"/>
  <c r="AA578" i="4"/>
  <c r="AC578" i="4" s="1"/>
  <c r="Z578" i="4"/>
  <c r="Y578" i="4"/>
  <c r="X578" i="4"/>
  <c r="W578" i="4"/>
  <c r="V578" i="4"/>
  <c r="U578" i="4"/>
  <c r="Q578" i="4"/>
  <c r="P578" i="4"/>
  <c r="O578" i="4"/>
  <c r="AL577" i="4"/>
  <c r="AK577" i="4"/>
  <c r="AJ577" i="4"/>
  <c r="AI577" i="4"/>
  <c r="AH577" i="4"/>
  <c r="AG577" i="4"/>
  <c r="AF577" i="4"/>
  <c r="AE577" i="4"/>
  <c r="AD577" i="4"/>
  <c r="AB577" i="4"/>
  <c r="AA577" i="4"/>
  <c r="AC577" i="4" s="1"/>
  <c r="Z577" i="4"/>
  <c r="Y577" i="4"/>
  <c r="X577" i="4"/>
  <c r="W577" i="4"/>
  <c r="V577" i="4"/>
  <c r="U577" i="4"/>
  <c r="Q577" i="4"/>
  <c r="P577" i="4"/>
  <c r="O577" i="4"/>
  <c r="AL576" i="4"/>
  <c r="AK576" i="4"/>
  <c r="AJ576" i="4"/>
  <c r="AI576" i="4"/>
  <c r="AH576" i="4"/>
  <c r="AG576" i="4"/>
  <c r="AF576" i="4"/>
  <c r="AE576" i="4"/>
  <c r="AD576" i="4"/>
  <c r="AB576" i="4"/>
  <c r="AA576" i="4"/>
  <c r="AC576" i="4" s="1"/>
  <c r="Z576" i="4"/>
  <c r="Y576" i="4"/>
  <c r="X576" i="4"/>
  <c r="W576" i="4"/>
  <c r="V576" i="4"/>
  <c r="U576" i="4"/>
  <c r="Q576" i="4"/>
  <c r="P576" i="4"/>
  <c r="O576" i="4"/>
  <c r="AL575" i="4"/>
  <c r="AK575" i="4"/>
  <c r="AJ575" i="4"/>
  <c r="AI575" i="4"/>
  <c r="AH575" i="4"/>
  <c r="AG575" i="4"/>
  <c r="AF575" i="4"/>
  <c r="AE575" i="4"/>
  <c r="AD575" i="4"/>
  <c r="AB575" i="4"/>
  <c r="AA575" i="4"/>
  <c r="AC575" i="4" s="1"/>
  <c r="Z575" i="4"/>
  <c r="Y575" i="4"/>
  <c r="X575" i="4"/>
  <c r="W575" i="4"/>
  <c r="V575" i="4"/>
  <c r="U575" i="4"/>
  <c r="Q575" i="4"/>
  <c r="P575" i="4"/>
  <c r="O575" i="4"/>
  <c r="AL574" i="4"/>
  <c r="AK574" i="4"/>
  <c r="AJ574" i="4"/>
  <c r="AI574" i="4"/>
  <c r="AH574" i="4"/>
  <c r="AG574" i="4"/>
  <c r="AF574" i="4"/>
  <c r="AE574" i="4"/>
  <c r="AD574" i="4"/>
  <c r="AB574" i="4"/>
  <c r="AA574" i="4"/>
  <c r="AC574" i="4" s="1"/>
  <c r="Z574" i="4"/>
  <c r="Y574" i="4"/>
  <c r="X574" i="4"/>
  <c r="W574" i="4"/>
  <c r="V574" i="4"/>
  <c r="U574" i="4"/>
  <c r="Q574" i="4"/>
  <c r="P574" i="4"/>
  <c r="O574" i="4"/>
  <c r="AL573" i="4"/>
  <c r="AK573" i="4"/>
  <c r="AJ573" i="4"/>
  <c r="AI573" i="4"/>
  <c r="AH573" i="4"/>
  <c r="AG573" i="4"/>
  <c r="AF573" i="4"/>
  <c r="AE573" i="4"/>
  <c r="AD573" i="4"/>
  <c r="AB573" i="4"/>
  <c r="AA573" i="4"/>
  <c r="AC573" i="4" s="1"/>
  <c r="Z573" i="4"/>
  <c r="Y573" i="4"/>
  <c r="X573" i="4"/>
  <c r="W573" i="4"/>
  <c r="V573" i="4"/>
  <c r="U573" i="4"/>
  <c r="Q573" i="4"/>
  <c r="P573" i="4"/>
  <c r="O573" i="4"/>
  <c r="AL572" i="4"/>
  <c r="AK572" i="4"/>
  <c r="AJ572" i="4"/>
  <c r="AI572" i="4"/>
  <c r="AH572" i="4"/>
  <c r="AG572" i="4"/>
  <c r="AF572" i="4"/>
  <c r="AE572" i="4"/>
  <c r="AD572" i="4"/>
  <c r="AB572" i="4"/>
  <c r="AA572" i="4"/>
  <c r="AC572" i="4" s="1"/>
  <c r="Z572" i="4"/>
  <c r="Y572" i="4"/>
  <c r="X572" i="4"/>
  <c r="W572" i="4"/>
  <c r="V572" i="4"/>
  <c r="U572" i="4"/>
  <c r="Q572" i="4"/>
  <c r="P572" i="4"/>
  <c r="O572" i="4"/>
  <c r="AL571" i="4"/>
  <c r="AK571" i="4"/>
  <c r="AJ571" i="4"/>
  <c r="AI571" i="4"/>
  <c r="AH571" i="4"/>
  <c r="AG571" i="4"/>
  <c r="AF571" i="4"/>
  <c r="AE571" i="4"/>
  <c r="AD571" i="4"/>
  <c r="AB571" i="4"/>
  <c r="AA571" i="4"/>
  <c r="AC571" i="4" s="1"/>
  <c r="Z571" i="4"/>
  <c r="Y571" i="4"/>
  <c r="X571" i="4"/>
  <c r="W571" i="4"/>
  <c r="V571" i="4"/>
  <c r="U571" i="4"/>
  <c r="Q571" i="4"/>
  <c r="P571" i="4"/>
  <c r="O571" i="4"/>
  <c r="AL570" i="4"/>
  <c r="AK570" i="4"/>
  <c r="AJ570" i="4"/>
  <c r="AI570" i="4"/>
  <c r="AH570" i="4"/>
  <c r="AG570" i="4"/>
  <c r="AF570" i="4"/>
  <c r="AE570" i="4"/>
  <c r="AD570" i="4"/>
  <c r="AB570" i="4"/>
  <c r="AA570" i="4"/>
  <c r="AC570" i="4" s="1"/>
  <c r="Z570" i="4"/>
  <c r="Y570" i="4"/>
  <c r="X570" i="4"/>
  <c r="W570" i="4"/>
  <c r="V570" i="4"/>
  <c r="U570" i="4"/>
  <c r="Q570" i="4"/>
  <c r="P570" i="4"/>
  <c r="O570" i="4"/>
  <c r="AL569" i="4"/>
  <c r="AK569" i="4"/>
  <c r="AJ569" i="4"/>
  <c r="AI569" i="4"/>
  <c r="AH569" i="4"/>
  <c r="AG569" i="4"/>
  <c r="AF569" i="4"/>
  <c r="AE569" i="4"/>
  <c r="AD569" i="4"/>
  <c r="AB569" i="4"/>
  <c r="AA569" i="4"/>
  <c r="AC569" i="4" s="1"/>
  <c r="Z569" i="4"/>
  <c r="Y569" i="4"/>
  <c r="X569" i="4"/>
  <c r="W569" i="4"/>
  <c r="V569" i="4"/>
  <c r="U569" i="4"/>
  <c r="Q569" i="4"/>
  <c r="P569" i="4"/>
  <c r="O569" i="4"/>
  <c r="AL568" i="4"/>
  <c r="AK568" i="4"/>
  <c r="AJ568" i="4"/>
  <c r="AI568" i="4"/>
  <c r="AH568" i="4"/>
  <c r="AG568" i="4"/>
  <c r="AF568" i="4"/>
  <c r="AE568" i="4"/>
  <c r="AD568" i="4"/>
  <c r="AB568" i="4"/>
  <c r="AA568" i="4"/>
  <c r="AC568" i="4" s="1"/>
  <c r="Z568" i="4"/>
  <c r="Y568" i="4"/>
  <c r="X568" i="4"/>
  <c r="W568" i="4"/>
  <c r="V568" i="4"/>
  <c r="U568" i="4"/>
  <c r="Q568" i="4"/>
  <c r="P568" i="4"/>
  <c r="O568" i="4"/>
  <c r="AL567" i="4"/>
  <c r="AK567" i="4"/>
  <c r="AJ567" i="4"/>
  <c r="AI567" i="4"/>
  <c r="AH567" i="4"/>
  <c r="AG567" i="4"/>
  <c r="AF567" i="4"/>
  <c r="AE567" i="4"/>
  <c r="AD567" i="4"/>
  <c r="AB567" i="4"/>
  <c r="AA567" i="4"/>
  <c r="AC567" i="4" s="1"/>
  <c r="Z567" i="4"/>
  <c r="Y567" i="4"/>
  <c r="X567" i="4"/>
  <c r="W567" i="4"/>
  <c r="V567" i="4"/>
  <c r="U567" i="4"/>
  <c r="Q567" i="4"/>
  <c r="P567" i="4"/>
  <c r="O567" i="4"/>
  <c r="AL566" i="4"/>
  <c r="AK566" i="4"/>
  <c r="AJ566" i="4"/>
  <c r="AI566" i="4"/>
  <c r="AH566" i="4"/>
  <c r="AG566" i="4"/>
  <c r="AF566" i="4"/>
  <c r="AE566" i="4"/>
  <c r="AD566" i="4"/>
  <c r="AB566" i="4"/>
  <c r="AA566" i="4"/>
  <c r="AC566" i="4" s="1"/>
  <c r="Z566" i="4"/>
  <c r="Y566" i="4"/>
  <c r="X566" i="4"/>
  <c r="W566" i="4"/>
  <c r="V566" i="4"/>
  <c r="U566" i="4"/>
  <c r="Q566" i="4"/>
  <c r="P566" i="4"/>
  <c r="O566" i="4"/>
  <c r="AL565" i="4"/>
  <c r="AK565" i="4"/>
  <c r="AJ565" i="4"/>
  <c r="AI565" i="4"/>
  <c r="AH565" i="4"/>
  <c r="AG565" i="4"/>
  <c r="AF565" i="4"/>
  <c r="AE565" i="4"/>
  <c r="AD565" i="4"/>
  <c r="AB565" i="4"/>
  <c r="AA565" i="4"/>
  <c r="AC565" i="4" s="1"/>
  <c r="Z565" i="4"/>
  <c r="Y565" i="4"/>
  <c r="X565" i="4"/>
  <c r="W565" i="4"/>
  <c r="V565" i="4"/>
  <c r="U565" i="4"/>
  <c r="Q565" i="4"/>
  <c r="P565" i="4"/>
  <c r="O565" i="4"/>
  <c r="AL564" i="4"/>
  <c r="AK564" i="4"/>
  <c r="AJ564" i="4"/>
  <c r="AI564" i="4"/>
  <c r="AH564" i="4"/>
  <c r="AG564" i="4"/>
  <c r="AF564" i="4"/>
  <c r="AE564" i="4"/>
  <c r="AD564" i="4"/>
  <c r="AB564" i="4"/>
  <c r="AA564" i="4"/>
  <c r="AC564" i="4" s="1"/>
  <c r="Z564" i="4"/>
  <c r="Y564" i="4"/>
  <c r="X564" i="4"/>
  <c r="W564" i="4"/>
  <c r="V564" i="4"/>
  <c r="U564" i="4"/>
  <c r="Q564" i="4"/>
  <c r="P564" i="4"/>
  <c r="O564" i="4"/>
  <c r="AL563" i="4"/>
  <c r="AK563" i="4"/>
  <c r="AJ563" i="4"/>
  <c r="AI563" i="4"/>
  <c r="AH563" i="4"/>
  <c r="AG563" i="4"/>
  <c r="AF563" i="4"/>
  <c r="AE563" i="4"/>
  <c r="AD563" i="4"/>
  <c r="AB563" i="4"/>
  <c r="AA563" i="4"/>
  <c r="AC563" i="4" s="1"/>
  <c r="Z563" i="4"/>
  <c r="Y563" i="4"/>
  <c r="X563" i="4"/>
  <c r="W563" i="4"/>
  <c r="V563" i="4"/>
  <c r="U563" i="4"/>
  <c r="Q563" i="4"/>
  <c r="P563" i="4"/>
  <c r="O563" i="4"/>
  <c r="AL562" i="4"/>
  <c r="AK562" i="4"/>
  <c r="AJ562" i="4"/>
  <c r="AI562" i="4"/>
  <c r="AH562" i="4"/>
  <c r="AG562" i="4"/>
  <c r="AF562" i="4"/>
  <c r="AE562" i="4"/>
  <c r="AD562" i="4"/>
  <c r="AB562" i="4"/>
  <c r="AA562" i="4"/>
  <c r="AC562" i="4" s="1"/>
  <c r="Z562" i="4"/>
  <c r="Y562" i="4"/>
  <c r="X562" i="4"/>
  <c r="W562" i="4"/>
  <c r="V562" i="4"/>
  <c r="U562" i="4"/>
  <c r="Q562" i="4"/>
  <c r="P562" i="4"/>
  <c r="O562" i="4"/>
  <c r="AL561" i="4"/>
  <c r="AK561" i="4"/>
  <c r="AJ561" i="4"/>
  <c r="AI561" i="4"/>
  <c r="AH561" i="4"/>
  <c r="AG561" i="4"/>
  <c r="AF561" i="4"/>
  <c r="AE561" i="4"/>
  <c r="AD561" i="4"/>
  <c r="AB561" i="4"/>
  <c r="AA561" i="4"/>
  <c r="AC561" i="4" s="1"/>
  <c r="Z561" i="4"/>
  <c r="Y561" i="4"/>
  <c r="X561" i="4"/>
  <c r="W561" i="4"/>
  <c r="V561" i="4"/>
  <c r="U561" i="4"/>
  <c r="Q561" i="4"/>
  <c r="P561" i="4"/>
  <c r="O561" i="4"/>
  <c r="AL560" i="4"/>
  <c r="AK560" i="4"/>
  <c r="AJ560" i="4"/>
  <c r="AI560" i="4"/>
  <c r="AH560" i="4"/>
  <c r="AG560" i="4"/>
  <c r="AF560" i="4"/>
  <c r="AE560" i="4"/>
  <c r="AD560" i="4"/>
  <c r="AB560" i="4"/>
  <c r="AA560" i="4"/>
  <c r="AC560" i="4" s="1"/>
  <c r="Z560" i="4"/>
  <c r="Y560" i="4"/>
  <c r="X560" i="4"/>
  <c r="W560" i="4"/>
  <c r="V560" i="4"/>
  <c r="U560" i="4"/>
  <c r="Q560" i="4"/>
  <c r="P560" i="4"/>
  <c r="O560" i="4"/>
  <c r="AL559" i="4"/>
  <c r="AK559" i="4"/>
  <c r="AJ559" i="4"/>
  <c r="AI559" i="4"/>
  <c r="AH559" i="4"/>
  <c r="AG559" i="4"/>
  <c r="AF559" i="4"/>
  <c r="AE559" i="4"/>
  <c r="AD559" i="4"/>
  <c r="AB559" i="4"/>
  <c r="AA559" i="4"/>
  <c r="AC559" i="4" s="1"/>
  <c r="Z559" i="4"/>
  <c r="Y559" i="4"/>
  <c r="X559" i="4"/>
  <c r="W559" i="4"/>
  <c r="V559" i="4"/>
  <c r="U559" i="4"/>
  <c r="Q559" i="4"/>
  <c r="P559" i="4"/>
  <c r="O559" i="4"/>
  <c r="AL558" i="4"/>
  <c r="AK558" i="4"/>
  <c r="AJ558" i="4"/>
  <c r="AI558" i="4"/>
  <c r="AH558" i="4"/>
  <c r="AG558" i="4"/>
  <c r="AF558" i="4"/>
  <c r="AE558" i="4"/>
  <c r="AD558" i="4"/>
  <c r="AB558" i="4"/>
  <c r="AA558" i="4"/>
  <c r="AC558" i="4" s="1"/>
  <c r="Z558" i="4"/>
  <c r="Y558" i="4"/>
  <c r="X558" i="4"/>
  <c r="W558" i="4"/>
  <c r="V558" i="4"/>
  <c r="U558" i="4"/>
  <c r="Q558" i="4"/>
  <c r="P558" i="4"/>
  <c r="O558" i="4"/>
  <c r="AL557" i="4"/>
  <c r="AK557" i="4"/>
  <c r="AJ557" i="4"/>
  <c r="AI557" i="4"/>
  <c r="AH557" i="4"/>
  <c r="AG557" i="4"/>
  <c r="AF557" i="4"/>
  <c r="AE557" i="4"/>
  <c r="AD557" i="4"/>
  <c r="AB557" i="4"/>
  <c r="AA557" i="4"/>
  <c r="AC557" i="4" s="1"/>
  <c r="Z557" i="4"/>
  <c r="Y557" i="4"/>
  <c r="X557" i="4"/>
  <c r="W557" i="4"/>
  <c r="V557" i="4"/>
  <c r="U557" i="4"/>
  <c r="Q557" i="4"/>
  <c r="P557" i="4"/>
  <c r="O557" i="4"/>
  <c r="AL556" i="4"/>
  <c r="AK556" i="4"/>
  <c r="AJ556" i="4"/>
  <c r="AI556" i="4"/>
  <c r="AH556" i="4"/>
  <c r="AG556" i="4"/>
  <c r="AF556" i="4"/>
  <c r="AE556" i="4"/>
  <c r="AD556" i="4"/>
  <c r="AB556" i="4"/>
  <c r="AA556" i="4"/>
  <c r="AC556" i="4" s="1"/>
  <c r="Z556" i="4"/>
  <c r="Y556" i="4"/>
  <c r="X556" i="4"/>
  <c r="W556" i="4"/>
  <c r="V556" i="4"/>
  <c r="U556" i="4"/>
  <c r="Q556" i="4"/>
  <c r="P556" i="4"/>
  <c r="O556" i="4"/>
  <c r="AL555" i="4"/>
  <c r="AK555" i="4"/>
  <c r="AJ555" i="4"/>
  <c r="AI555" i="4"/>
  <c r="AH555" i="4"/>
  <c r="AG555" i="4"/>
  <c r="AF555" i="4"/>
  <c r="AE555" i="4"/>
  <c r="AD555" i="4"/>
  <c r="AB555" i="4"/>
  <c r="AA555" i="4"/>
  <c r="AC555" i="4" s="1"/>
  <c r="Z555" i="4"/>
  <c r="Y555" i="4"/>
  <c r="X555" i="4"/>
  <c r="W555" i="4"/>
  <c r="V555" i="4"/>
  <c r="U555" i="4"/>
  <c r="Q555" i="4"/>
  <c r="P555" i="4"/>
  <c r="O555" i="4"/>
  <c r="AL554" i="4"/>
  <c r="AK554" i="4"/>
  <c r="AJ554" i="4"/>
  <c r="AI554" i="4"/>
  <c r="AH554" i="4"/>
  <c r="AG554" i="4"/>
  <c r="AF554" i="4"/>
  <c r="AE554" i="4"/>
  <c r="AD554" i="4"/>
  <c r="AB554" i="4"/>
  <c r="AA554" i="4"/>
  <c r="AC554" i="4" s="1"/>
  <c r="Z554" i="4"/>
  <c r="Y554" i="4"/>
  <c r="X554" i="4"/>
  <c r="W554" i="4"/>
  <c r="V554" i="4"/>
  <c r="U554" i="4"/>
  <c r="Q554" i="4"/>
  <c r="P554" i="4"/>
  <c r="O554" i="4"/>
  <c r="AL553" i="4"/>
  <c r="AK553" i="4"/>
  <c r="AJ553" i="4"/>
  <c r="AI553" i="4"/>
  <c r="AH553" i="4"/>
  <c r="AG553" i="4"/>
  <c r="AF553" i="4"/>
  <c r="AE553" i="4"/>
  <c r="AD553" i="4"/>
  <c r="AB553" i="4"/>
  <c r="AA553" i="4"/>
  <c r="AC553" i="4" s="1"/>
  <c r="Z553" i="4"/>
  <c r="Y553" i="4"/>
  <c r="X553" i="4"/>
  <c r="W553" i="4"/>
  <c r="V553" i="4"/>
  <c r="U553" i="4"/>
  <c r="Q553" i="4"/>
  <c r="P553" i="4"/>
  <c r="O553" i="4"/>
  <c r="AL552" i="4"/>
  <c r="AK552" i="4"/>
  <c r="AJ552" i="4"/>
  <c r="AI552" i="4"/>
  <c r="AH552" i="4"/>
  <c r="AG552" i="4"/>
  <c r="AF552" i="4"/>
  <c r="AE552" i="4"/>
  <c r="AD552" i="4"/>
  <c r="AB552" i="4"/>
  <c r="AA552" i="4"/>
  <c r="AC552" i="4" s="1"/>
  <c r="Z552" i="4"/>
  <c r="Y552" i="4"/>
  <c r="X552" i="4"/>
  <c r="W552" i="4"/>
  <c r="V552" i="4"/>
  <c r="U552" i="4"/>
  <c r="Q552" i="4"/>
  <c r="P552" i="4"/>
  <c r="O552" i="4"/>
  <c r="AL551" i="4"/>
  <c r="AK551" i="4"/>
  <c r="AJ551" i="4"/>
  <c r="AI551" i="4"/>
  <c r="AG551" i="4"/>
  <c r="AF551" i="4"/>
  <c r="AE551" i="4"/>
  <c r="AD551" i="4"/>
  <c r="AB551" i="4"/>
  <c r="AA551" i="4"/>
  <c r="AC551" i="4" s="1"/>
  <c r="Z551" i="4"/>
  <c r="Y551" i="4"/>
  <c r="X551" i="4"/>
  <c r="W551" i="4"/>
  <c r="V551" i="4"/>
  <c r="U551" i="4"/>
  <c r="Q551" i="4"/>
  <c r="P551" i="4"/>
  <c r="O551" i="4"/>
  <c r="AL550" i="4"/>
  <c r="AK550" i="4"/>
  <c r="AJ550" i="4"/>
  <c r="AI550" i="4"/>
  <c r="AH550" i="4"/>
  <c r="AG550" i="4"/>
  <c r="AF550" i="4"/>
  <c r="AE550" i="4"/>
  <c r="AD550" i="4"/>
  <c r="AB550" i="4"/>
  <c r="AA550" i="4"/>
  <c r="AC550" i="4" s="1"/>
  <c r="Z550" i="4"/>
  <c r="Y550" i="4"/>
  <c r="X550" i="4"/>
  <c r="W550" i="4"/>
  <c r="V550" i="4"/>
  <c r="U550" i="4"/>
  <c r="Q550" i="4"/>
  <c r="P550" i="4"/>
  <c r="O550" i="4"/>
  <c r="AL549" i="4"/>
  <c r="AK549" i="4"/>
  <c r="AJ549" i="4"/>
  <c r="AI549" i="4"/>
  <c r="AH549" i="4"/>
  <c r="AG549" i="4"/>
  <c r="AF549" i="4"/>
  <c r="AE549" i="4"/>
  <c r="AD549" i="4"/>
  <c r="AB549" i="4"/>
  <c r="AA549" i="4"/>
  <c r="AC549" i="4" s="1"/>
  <c r="Z549" i="4"/>
  <c r="Y549" i="4"/>
  <c r="X549" i="4"/>
  <c r="W549" i="4"/>
  <c r="V549" i="4"/>
  <c r="U549" i="4"/>
  <c r="Q549" i="4"/>
  <c r="P549" i="4"/>
  <c r="O549" i="4"/>
  <c r="AL548" i="4"/>
  <c r="AK548" i="4"/>
  <c r="AJ548" i="4"/>
  <c r="AI548" i="4"/>
  <c r="AH548" i="4"/>
  <c r="AG548" i="4"/>
  <c r="AF548" i="4"/>
  <c r="AE548" i="4"/>
  <c r="AD548" i="4"/>
  <c r="AB548" i="4"/>
  <c r="AA548" i="4"/>
  <c r="AC548" i="4" s="1"/>
  <c r="Z548" i="4"/>
  <c r="Y548" i="4"/>
  <c r="X548" i="4"/>
  <c r="W548" i="4"/>
  <c r="V548" i="4"/>
  <c r="U548" i="4"/>
  <c r="Q548" i="4"/>
  <c r="P548" i="4"/>
  <c r="O548" i="4"/>
  <c r="AL547" i="4"/>
  <c r="AK547" i="4"/>
  <c r="AJ547" i="4"/>
  <c r="AI547" i="4"/>
  <c r="AG547" i="4"/>
  <c r="AF547" i="4"/>
  <c r="AE547" i="4"/>
  <c r="AD547" i="4"/>
  <c r="AB547" i="4"/>
  <c r="AA547" i="4"/>
  <c r="AC547" i="4" s="1"/>
  <c r="Z547" i="4"/>
  <c r="Y547" i="4"/>
  <c r="X547" i="4"/>
  <c r="W547" i="4"/>
  <c r="V547" i="4"/>
  <c r="U547" i="4"/>
  <c r="Q547" i="4"/>
  <c r="P547" i="4"/>
  <c r="O547" i="4"/>
  <c r="AL546" i="4"/>
  <c r="AK546" i="4"/>
  <c r="AJ546" i="4"/>
  <c r="AI546" i="4"/>
  <c r="AG546" i="4"/>
  <c r="AF546" i="4"/>
  <c r="AE546" i="4"/>
  <c r="AD546" i="4"/>
  <c r="AB546" i="4"/>
  <c r="AA546" i="4"/>
  <c r="AC546" i="4" s="1"/>
  <c r="Z546" i="4"/>
  <c r="Y546" i="4"/>
  <c r="X546" i="4"/>
  <c r="W546" i="4"/>
  <c r="V546" i="4"/>
  <c r="U546" i="4"/>
  <c r="Q546" i="4"/>
  <c r="P546" i="4"/>
  <c r="O546" i="4"/>
  <c r="AL545" i="4"/>
  <c r="AK545" i="4"/>
  <c r="AJ545" i="4"/>
  <c r="AI545" i="4"/>
  <c r="AH545" i="4"/>
  <c r="AG545" i="4"/>
  <c r="AF545" i="4"/>
  <c r="AE545" i="4"/>
  <c r="AD545" i="4"/>
  <c r="AB545" i="4"/>
  <c r="AA545" i="4"/>
  <c r="AC545" i="4" s="1"/>
  <c r="Z545" i="4"/>
  <c r="Y545" i="4"/>
  <c r="X545" i="4"/>
  <c r="W545" i="4"/>
  <c r="V545" i="4"/>
  <c r="U545" i="4"/>
  <c r="Q545" i="4"/>
  <c r="P545" i="4"/>
  <c r="O545" i="4"/>
  <c r="AL544" i="4"/>
  <c r="AK544" i="4"/>
  <c r="AJ544" i="4"/>
  <c r="AI544" i="4"/>
  <c r="AH544" i="4"/>
  <c r="AG544" i="4"/>
  <c r="AF544" i="4"/>
  <c r="AE544" i="4"/>
  <c r="AD544" i="4"/>
  <c r="AB544" i="4"/>
  <c r="AA544" i="4"/>
  <c r="AC544" i="4" s="1"/>
  <c r="Z544" i="4"/>
  <c r="Y544" i="4"/>
  <c r="X544" i="4"/>
  <c r="W544" i="4"/>
  <c r="V544" i="4"/>
  <c r="U544" i="4"/>
  <c r="Q544" i="4"/>
  <c r="P544" i="4"/>
  <c r="O544" i="4"/>
  <c r="AL543" i="4"/>
  <c r="AK543" i="4"/>
  <c r="AJ543" i="4"/>
  <c r="AI543" i="4"/>
  <c r="AH543" i="4"/>
  <c r="AG543" i="4"/>
  <c r="AF543" i="4"/>
  <c r="AE543" i="4"/>
  <c r="AD543" i="4"/>
  <c r="AB543" i="4"/>
  <c r="AA543" i="4"/>
  <c r="AC543" i="4" s="1"/>
  <c r="Z543" i="4"/>
  <c r="Y543" i="4"/>
  <c r="X543" i="4"/>
  <c r="W543" i="4"/>
  <c r="V543" i="4"/>
  <c r="U543" i="4"/>
  <c r="Q543" i="4"/>
  <c r="P543" i="4"/>
  <c r="O543" i="4"/>
  <c r="AL542" i="4"/>
  <c r="AK542" i="4"/>
  <c r="AJ542" i="4"/>
  <c r="AI542" i="4"/>
  <c r="AH542" i="4"/>
  <c r="AG542" i="4"/>
  <c r="AF542" i="4"/>
  <c r="AE542" i="4"/>
  <c r="AD542" i="4"/>
  <c r="AB542" i="4"/>
  <c r="AA542" i="4"/>
  <c r="AC542" i="4" s="1"/>
  <c r="Z542" i="4"/>
  <c r="Y542" i="4"/>
  <c r="X542" i="4"/>
  <c r="W542" i="4"/>
  <c r="V542" i="4"/>
  <c r="U542" i="4"/>
  <c r="R542" i="4"/>
  <c r="T542" i="4" s="1"/>
  <c r="Q542" i="4"/>
  <c r="P542" i="4"/>
  <c r="S542" i="4" s="1"/>
  <c r="O542" i="4"/>
  <c r="AL541" i="4"/>
  <c r="AK541" i="4"/>
  <c r="AJ541" i="4"/>
  <c r="AI541" i="4"/>
  <c r="AH541" i="4"/>
  <c r="AG541" i="4"/>
  <c r="AF541" i="4"/>
  <c r="AE541" i="4"/>
  <c r="AD541" i="4"/>
  <c r="AB541" i="4"/>
  <c r="AA541" i="4"/>
  <c r="AC541" i="4" s="1"/>
  <c r="Z541" i="4"/>
  <c r="Y541" i="4"/>
  <c r="X541" i="4"/>
  <c r="W541" i="4"/>
  <c r="V541" i="4"/>
  <c r="U541" i="4"/>
  <c r="Q541" i="4"/>
  <c r="P541" i="4"/>
  <c r="O541" i="4"/>
  <c r="AL540" i="4"/>
  <c r="AK540" i="4"/>
  <c r="AJ540" i="4"/>
  <c r="AI540" i="4"/>
  <c r="AH540" i="4"/>
  <c r="AG540" i="4"/>
  <c r="AF540" i="4"/>
  <c r="AE540" i="4"/>
  <c r="AD540" i="4"/>
  <c r="AB540" i="4"/>
  <c r="AA540" i="4"/>
  <c r="AC540" i="4" s="1"/>
  <c r="Z540" i="4"/>
  <c r="Y540" i="4"/>
  <c r="X540" i="4"/>
  <c r="W540" i="4"/>
  <c r="V540" i="4"/>
  <c r="U540" i="4"/>
  <c r="Q540" i="4"/>
  <c r="P540" i="4"/>
  <c r="O540" i="4"/>
  <c r="AL539" i="4"/>
  <c r="AK539" i="4"/>
  <c r="AJ539" i="4"/>
  <c r="AI539" i="4"/>
  <c r="AH539" i="4"/>
  <c r="AG539" i="4"/>
  <c r="AF539" i="4"/>
  <c r="AE539" i="4"/>
  <c r="AD539" i="4"/>
  <c r="AB539" i="4"/>
  <c r="AA539" i="4"/>
  <c r="AC539" i="4" s="1"/>
  <c r="Z539" i="4"/>
  <c r="Y539" i="4"/>
  <c r="X539" i="4"/>
  <c r="W539" i="4"/>
  <c r="V539" i="4"/>
  <c r="U539" i="4"/>
  <c r="Q539" i="4"/>
  <c r="P539" i="4"/>
  <c r="O539" i="4"/>
  <c r="AL538" i="4"/>
  <c r="AK538" i="4"/>
  <c r="AJ538" i="4"/>
  <c r="AI538" i="4"/>
  <c r="AH538" i="4"/>
  <c r="AG538" i="4"/>
  <c r="AF538" i="4"/>
  <c r="AE538" i="4"/>
  <c r="AD538" i="4"/>
  <c r="AB538" i="4"/>
  <c r="AA538" i="4"/>
  <c r="AC538" i="4" s="1"/>
  <c r="Z538" i="4"/>
  <c r="Y538" i="4"/>
  <c r="X538" i="4"/>
  <c r="W538" i="4"/>
  <c r="V538" i="4"/>
  <c r="U538" i="4"/>
  <c r="Q538" i="4"/>
  <c r="P538" i="4"/>
  <c r="O538" i="4"/>
  <c r="AL537" i="4"/>
  <c r="AK537" i="4"/>
  <c r="AJ537" i="4"/>
  <c r="AI537" i="4"/>
  <c r="AH537" i="4"/>
  <c r="AG537" i="4"/>
  <c r="AF537" i="4"/>
  <c r="AE537" i="4"/>
  <c r="AD537" i="4"/>
  <c r="AB537" i="4"/>
  <c r="AA537" i="4"/>
  <c r="AC537" i="4" s="1"/>
  <c r="Z537" i="4"/>
  <c r="Y537" i="4"/>
  <c r="X537" i="4"/>
  <c r="W537" i="4"/>
  <c r="V537" i="4"/>
  <c r="U537" i="4"/>
  <c r="Q537" i="4"/>
  <c r="P537" i="4"/>
  <c r="O537" i="4"/>
  <c r="AL536" i="4"/>
  <c r="AK536" i="4"/>
  <c r="AJ536" i="4"/>
  <c r="AI536" i="4"/>
  <c r="AH536" i="4"/>
  <c r="AG536" i="4"/>
  <c r="AF536" i="4"/>
  <c r="AE536" i="4"/>
  <c r="AD536" i="4"/>
  <c r="AB536" i="4"/>
  <c r="AA536" i="4"/>
  <c r="AC536" i="4" s="1"/>
  <c r="Z536" i="4"/>
  <c r="Y536" i="4"/>
  <c r="X536" i="4"/>
  <c r="W536" i="4"/>
  <c r="V536" i="4"/>
  <c r="U536" i="4"/>
  <c r="Q536" i="4"/>
  <c r="P536" i="4"/>
  <c r="O536" i="4"/>
  <c r="AL535" i="4"/>
  <c r="AK535" i="4"/>
  <c r="AJ535" i="4"/>
  <c r="AI535" i="4"/>
  <c r="AH535" i="4"/>
  <c r="AG535" i="4"/>
  <c r="AF535" i="4"/>
  <c r="AE535" i="4"/>
  <c r="AD535" i="4"/>
  <c r="AB535" i="4"/>
  <c r="AA535" i="4"/>
  <c r="AC535" i="4" s="1"/>
  <c r="Z535" i="4"/>
  <c r="Y535" i="4"/>
  <c r="X535" i="4"/>
  <c r="W535" i="4"/>
  <c r="V535" i="4"/>
  <c r="U535" i="4"/>
  <c r="Q535" i="4"/>
  <c r="P535" i="4"/>
  <c r="O535" i="4"/>
  <c r="AL534" i="4"/>
  <c r="AK534" i="4"/>
  <c r="AJ534" i="4"/>
  <c r="AI534" i="4"/>
  <c r="AH534" i="4"/>
  <c r="AG534" i="4"/>
  <c r="AF534" i="4"/>
  <c r="AE534" i="4"/>
  <c r="AD534" i="4"/>
  <c r="AB534" i="4"/>
  <c r="AA534" i="4"/>
  <c r="AC534" i="4" s="1"/>
  <c r="Z534" i="4"/>
  <c r="Y534" i="4"/>
  <c r="X534" i="4"/>
  <c r="W534" i="4"/>
  <c r="V534" i="4"/>
  <c r="U534" i="4"/>
  <c r="Q534" i="4"/>
  <c r="P534" i="4"/>
  <c r="O534" i="4"/>
  <c r="AL533" i="4"/>
  <c r="AK533" i="4"/>
  <c r="AJ533" i="4"/>
  <c r="AI533" i="4"/>
  <c r="AH533" i="4"/>
  <c r="AG533" i="4"/>
  <c r="AF533" i="4"/>
  <c r="AE533" i="4"/>
  <c r="AD533" i="4"/>
  <c r="AB533" i="4"/>
  <c r="AA533" i="4"/>
  <c r="AC533" i="4" s="1"/>
  <c r="Z533" i="4"/>
  <c r="Y533" i="4"/>
  <c r="X533" i="4"/>
  <c r="W533" i="4"/>
  <c r="V533" i="4"/>
  <c r="U533" i="4"/>
  <c r="Q533" i="4"/>
  <c r="P533" i="4"/>
  <c r="O533" i="4"/>
  <c r="AL532" i="4"/>
  <c r="AK532" i="4"/>
  <c r="AJ532" i="4"/>
  <c r="AI532" i="4"/>
  <c r="AH532" i="4"/>
  <c r="AG532" i="4"/>
  <c r="AF532" i="4"/>
  <c r="AE532" i="4"/>
  <c r="AD532" i="4"/>
  <c r="AB532" i="4"/>
  <c r="AA532" i="4"/>
  <c r="AC532" i="4" s="1"/>
  <c r="Z532" i="4"/>
  <c r="Y532" i="4"/>
  <c r="X532" i="4"/>
  <c r="W532" i="4"/>
  <c r="V532" i="4"/>
  <c r="U532" i="4"/>
  <c r="Q532" i="4"/>
  <c r="P532" i="4"/>
  <c r="O532" i="4"/>
  <c r="AL531" i="4"/>
  <c r="AK531" i="4"/>
  <c r="AJ531" i="4"/>
  <c r="AI531" i="4"/>
  <c r="AH531" i="4"/>
  <c r="AG531" i="4"/>
  <c r="AF531" i="4"/>
  <c r="AE531" i="4"/>
  <c r="AD531" i="4"/>
  <c r="AB531" i="4"/>
  <c r="AA531" i="4"/>
  <c r="AC531" i="4" s="1"/>
  <c r="Z531" i="4"/>
  <c r="Y531" i="4"/>
  <c r="X531" i="4"/>
  <c r="W531" i="4"/>
  <c r="V531" i="4"/>
  <c r="U531" i="4"/>
  <c r="Q531" i="4"/>
  <c r="P531" i="4"/>
  <c r="O531" i="4"/>
  <c r="AL530" i="4"/>
  <c r="AK530" i="4"/>
  <c r="AJ530" i="4"/>
  <c r="AI530" i="4"/>
  <c r="AH530" i="4"/>
  <c r="AG530" i="4"/>
  <c r="AF530" i="4"/>
  <c r="AE530" i="4"/>
  <c r="AD530" i="4"/>
  <c r="AB530" i="4"/>
  <c r="AA530" i="4"/>
  <c r="AC530" i="4" s="1"/>
  <c r="Z530" i="4"/>
  <c r="Y530" i="4"/>
  <c r="X530" i="4"/>
  <c r="W530" i="4"/>
  <c r="V530" i="4"/>
  <c r="U530" i="4"/>
  <c r="Q530" i="4"/>
  <c r="P530" i="4"/>
  <c r="O530" i="4"/>
  <c r="AL529" i="4"/>
  <c r="AK529" i="4"/>
  <c r="AJ529" i="4"/>
  <c r="AI529" i="4"/>
  <c r="AH529" i="4"/>
  <c r="AG529" i="4"/>
  <c r="AF529" i="4"/>
  <c r="AE529" i="4"/>
  <c r="AD529" i="4"/>
  <c r="AB529" i="4"/>
  <c r="AA529" i="4"/>
  <c r="AC529" i="4" s="1"/>
  <c r="Z529" i="4"/>
  <c r="Y529" i="4"/>
  <c r="X529" i="4"/>
  <c r="W529" i="4"/>
  <c r="V529" i="4"/>
  <c r="U529" i="4"/>
  <c r="Q529" i="4"/>
  <c r="P529" i="4"/>
  <c r="O529" i="4"/>
  <c r="AL528" i="4"/>
  <c r="AK528" i="4"/>
  <c r="AJ528" i="4"/>
  <c r="AI528" i="4"/>
  <c r="AH528" i="4"/>
  <c r="AG528" i="4"/>
  <c r="AF528" i="4"/>
  <c r="AE528" i="4"/>
  <c r="AD528" i="4"/>
  <c r="AB528" i="4"/>
  <c r="AA528" i="4"/>
  <c r="AC528" i="4" s="1"/>
  <c r="Z528" i="4"/>
  <c r="Y528" i="4"/>
  <c r="X528" i="4"/>
  <c r="W528" i="4"/>
  <c r="V528" i="4"/>
  <c r="U528" i="4"/>
  <c r="Q528" i="4"/>
  <c r="P528" i="4"/>
  <c r="O528" i="4"/>
  <c r="AL527" i="4"/>
  <c r="AK527" i="4"/>
  <c r="AJ527" i="4"/>
  <c r="AI527" i="4"/>
  <c r="AH527" i="4"/>
  <c r="AG527" i="4"/>
  <c r="AF527" i="4"/>
  <c r="AE527" i="4"/>
  <c r="AD527" i="4"/>
  <c r="AB527" i="4"/>
  <c r="AA527" i="4"/>
  <c r="AC527" i="4" s="1"/>
  <c r="Z527" i="4"/>
  <c r="Y527" i="4"/>
  <c r="X527" i="4"/>
  <c r="W527" i="4"/>
  <c r="V527" i="4"/>
  <c r="U527" i="4"/>
  <c r="Q527" i="4"/>
  <c r="P527" i="4"/>
  <c r="O527" i="4"/>
  <c r="AL526" i="4"/>
  <c r="AK526" i="4"/>
  <c r="AJ526" i="4"/>
  <c r="AI526" i="4"/>
  <c r="AH526" i="4"/>
  <c r="AG526" i="4"/>
  <c r="AF526" i="4"/>
  <c r="AE526" i="4"/>
  <c r="AD526" i="4"/>
  <c r="AB526" i="4"/>
  <c r="AA526" i="4"/>
  <c r="AC526" i="4" s="1"/>
  <c r="Z526" i="4"/>
  <c r="Y526" i="4"/>
  <c r="X526" i="4"/>
  <c r="W526" i="4"/>
  <c r="V526" i="4"/>
  <c r="U526" i="4"/>
  <c r="Q526" i="4"/>
  <c r="P526" i="4"/>
  <c r="O526" i="4"/>
  <c r="AL525" i="4"/>
  <c r="AK525" i="4"/>
  <c r="AJ525" i="4"/>
  <c r="AI525" i="4"/>
  <c r="AH525" i="4"/>
  <c r="AG525" i="4"/>
  <c r="AF525" i="4"/>
  <c r="AE525" i="4"/>
  <c r="AD525" i="4"/>
  <c r="AB525" i="4"/>
  <c r="AA525" i="4"/>
  <c r="AC525" i="4" s="1"/>
  <c r="Z525" i="4"/>
  <c r="Y525" i="4"/>
  <c r="X525" i="4"/>
  <c r="W525" i="4"/>
  <c r="V525" i="4"/>
  <c r="U525" i="4"/>
  <c r="Q525" i="4"/>
  <c r="P525" i="4"/>
  <c r="O525" i="4"/>
  <c r="AL524" i="4"/>
  <c r="AK524" i="4"/>
  <c r="AJ524" i="4"/>
  <c r="AI524" i="4"/>
  <c r="AH524" i="4"/>
  <c r="AG524" i="4"/>
  <c r="AF524" i="4"/>
  <c r="AE524" i="4"/>
  <c r="AD524" i="4"/>
  <c r="AB524" i="4"/>
  <c r="AA524" i="4"/>
  <c r="AC524" i="4" s="1"/>
  <c r="Z524" i="4"/>
  <c r="Y524" i="4"/>
  <c r="X524" i="4"/>
  <c r="W524" i="4"/>
  <c r="V524" i="4"/>
  <c r="U524" i="4"/>
  <c r="Q524" i="4"/>
  <c r="P524" i="4"/>
  <c r="O524" i="4"/>
  <c r="AL523" i="4"/>
  <c r="AK523" i="4"/>
  <c r="AJ523" i="4"/>
  <c r="AI523" i="4"/>
  <c r="AH523" i="4"/>
  <c r="AG523" i="4"/>
  <c r="AF523" i="4"/>
  <c r="AE523" i="4"/>
  <c r="AD523" i="4"/>
  <c r="AB523" i="4"/>
  <c r="AA523" i="4"/>
  <c r="AC523" i="4" s="1"/>
  <c r="Z523" i="4"/>
  <c r="Y523" i="4"/>
  <c r="X523" i="4"/>
  <c r="W523" i="4"/>
  <c r="V523" i="4"/>
  <c r="U523" i="4"/>
  <c r="Q523" i="4"/>
  <c r="P523" i="4"/>
  <c r="O523" i="4"/>
  <c r="AL522" i="4"/>
  <c r="AK522" i="4"/>
  <c r="AJ522" i="4"/>
  <c r="AI522" i="4"/>
  <c r="AH522" i="4"/>
  <c r="AG522" i="4"/>
  <c r="AF522" i="4"/>
  <c r="AE522" i="4"/>
  <c r="AD522" i="4"/>
  <c r="AB522" i="4"/>
  <c r="AA522" i="4"/>
  <c r="AC522" i="4" s="1"/>
  <c r="Z522" i="4"/>
  <c r="Y522" i="4"/>
  <c r="X522" i="4"/>
  <c r="W522" i="4"/>
  <c r="V522" i="4"/>
  <c r="U522" i="4"/>
  <c r="Q522" i="4"/>
  <c r="P522" i="4"/>
  <c r="O522" i="4"/>
  <c r="AL521" i="4"/>
  <c r="AK521" i="4"/>
  <c r="AJ521" i="4"/>
  <c r="AI521" i="4"/>
  <c r="AG521" i="4"/>
  <c r="AF521" i="4"/>
  <c r="AE521" i="4"/>
  <c r="AD521" i="4"/>
  <c r="AB521" i="4"/>
  <c r="AA521" i="4"/>
  <c r="AC521" i="4" s="1"/>
  <c r="Z521" i="4"/>
  <c r="Y521" i="4"/>
  <c r="X521" i="4"/>
  <c r="W521" i="4"/>
  <c r="V521" i="4"/>
  <c r="U521" i="4"/>
  <c r="Q521" i="4"/>
  <c r="P521" i="4"/>
  <c r="O521" i="4"/>
  <c r="AL520" i="4"/>
  <c r="AK520" i="4"/>
  <c r="AJ520" i="4"/>
  <c r="AI520" i="4"/>
  <c r="AH520" i="4"/>
  <c r="AG520" i="4"/>
  <c r="AF520" i="4"/>
  <c r="AE520" i="4"/>
  <c r="AD520" i="4"/>
  <c r="AB520" i="4"/>
  <c r="AA520" i="4"/>
  <c r="AC520" i="4" s="1"/>
  <c r="Z520" i="4"/>
  <c r="Y520" i="4"/>
  <c r="X520" i="4"/>
  <c r="W520" i="4"/>
  <c r="V520" i="4"/>
  <c r="U520" i="4"/>
  <c r="Q520" i="4"/>
  <c r="P520" i="4"/>
  <c r="O520" i="4"/>
  <c r="AL519" i="4"/>
  <c r="AK519" i="4"/>
  <c r="AJ519" i="4"/>
  <c r="AI519" i="4"/>
  <c r="AH519" i="4"/>
  <c r="AG519" i="4"/>
  <c r="AF519" i="4"/>
  <c r="AE519" i="4"/>
  <c r="AD519" i="4"/>
  <c r="AB519" i="4"/>
  <c r="AA519" i="4"/>
  <c r="AC519" i="4" s="1"/>
  <c r="Z519" i="4"/>
  <c r="Y519" i="4"/>
  <c r="X519" i="4"/>
  <c r="W519" i="4"/>
  <c r="V519" i="4"/>
  <c r="U519" i="4"/>
  <c r="Q519" i="4"/>
  <c r="P519" i="4"/>
  <c r="O519" i="4"/>
  <c r="AL518" i="4"/>
  <c r="AK518" i="4"/>
  <c r="AJ518" i="4"/>
  <c r="AI518" i="4"/>
  <c r="AH518" i="4"/>
  <c r="AG518" i="4"/>
  <c r="AF518" i="4"/>
  <c r="AE518" i="4"/>
  <c r="AD518" i="4"/>
  <c r="AB518" i="4"/>
  <c r="AA518" i="4"/>
  <c r="AC518" i="4" s="1"/>
  <c r="Z518" i="4"/>
  <c r="Y518" i="4"/>
  <c r="X518" i="4"/>
  <c r="W518" i="4"/>
  <c r="V518" i="4"/>
  <c r="U518" i="4"/>
  <c r="Q518" i="4"/>
  <c r="P518" i="4"/>
  <c r="O518" i="4"/>
  <c r="AL517" i="4"/>
  <c r="AK517" i="4"/>
  <c r="AJ517" i="4"/>
  <c r="AI517" i="4"/>
  <c r="AH517" i="4"/>
  <c r="AG517" i="4"/>
  <c r="AF517" i="4"/>
  <c r="AE517" i="4"/>
  <c r="AD517" i="4"/>
  <c r="AB517" i="4"/>
  <c r="AA517" i="4"/>
  <c r="AC517" i="4" s="1"/>
  <c r="Z517" i="4"/>
  <c r="Y517" i="4"/>
  <c r="X517" i="4"/>
  <c r="W517" i="4"/>
  <c r="V517" i="4"/>
  <c r="U517" i="4"/>
  <c r="Q517" i="4"/>
  <c r="P517" i="4"/>
  <c r="O517" i="4"/>
  <c r="AL516" i="4"/>
  <c r="AK516" i="4"/>
  <c r="AJ516" i="4"/>
  <c r="AI516" i="4"/>
  <c r="AH516" i="4"/>
  <c r="AG516" i="4"/>
  <c r="AF516" i="4"/>
  <c r="AE516" i="4"/>
  <c r="AD516" i="4"/>
  <c r="AB516" i="4"/>
  <c r="AA516" i="4"/>
  <c r="AC516" i="4" s="1"/>
  <c r="Z516" i="4"/>
  <c r="Y516" i="4"/>
  <c r="X516" i="4"/>
  <c r="W516" i="4"/>
  <c r="V516" i="4"/>
  <c r="U516" i="4"/>
  <c r="Q516" i="4"/>
  <c r="P516" i="4"/>
  <c r="O516" i="4"/>
  <c r="AL515" i="4"/>
  <c r="AK515" i="4"/>
  <c r="AJ515" i="4"/>
  <c r="AI515" i="4"/>
  <c r="AH515" i="4"/>
  <c r="AG515" i="4"/>
  <c r="AF515" i="4"/>
  <c r="AE515" i="4"/>
  <c r="AD515" i="4"/>
  <c r="AB515" i="4"/>
  <c r="AA515" i="4"/>
  <c r="AC515" i="4" s="1"/>
  <c r="Z515" i="4"/>
  <c r="Y515" i="4"/>
  <c r="X515" i="4"/>
  <c r="W515" i="4"/>
  <c r="V515" i="4"/>
  <c r="U515" i="4"/>
  <c r="Q515" i="4"/>
  <c r="P515" i="4"/>
  <c r="O515" i="4"/>
  <c r="AL514" i="4"/>
  <c r="AK514" i="4"/>
  <c r="AJ514" i="4"/>
  <c r="AI514" i="4"/>
  <c r="AH514" i="4"/>
  <c r="AG514" i="4"/>
  <c r="AF514" i="4"/>
  <c r="AE514" i="4"/>
  <c r="AD514" i="4"/>
  <c r="AB514" i="4"/>
  <c r="AA514" i="4"/>
  <c r="AC514" i="4" s="1"/>
  <c r="Z514" i="4"/>
  <c r="Y514" i="4"/>
  <c r="X514" i="4"/>
  <c r="W514" i="4"/>
  <c r="V514" i="4"/>
  <c r="U514" i="4"/>
  <c r="Q514" i="4"/>
  <c r="P514" i="4"/>
  <c r="O514" i="4"/>
  <c r="AL513" i="4"/>
  <c r="AK513" i="4"/>
  <c r="AJ513" i="4"/>
  <c r="AI513" i="4"/>
  <c r="AH513" i="4"/>
  <c r="AG513" i="4"/>
  <c r="AF513" i="4"/>
  <c r="AE513" i="4"/>
  <c r="AD513" i="4"/>
  <c r="AB513" i="4"/>
  <c r="AA513" i="4"/>
  <c r="AC513" i="4" s="1"/>
  <c r="Z513" i="4"/>
  <c r="Y513" i="4"/>
  <c r="X513" i="4"/>
  <c r="W513" i="4"/>
  <c r="V513" i="4"/>
  <c r="U513" i="4"/>
  <c r="Q513" i="4"/>
  <c r="P513" i="4"/>
  <c r="O513" i="4"/>
  <c r="AL512" i="4"/>
  <c r="AK512" i="4"/>
  <c r="AJ512" i="4"/>
  <c r="AI512" i="4"/>
  <c r="AH512" i="4"/>
  <c r="AG512" i="4"/>
  <c r="AF512" i="4"/>
  <c r="AE512" i="4"/>
  <c r="AD512" i="4"/>
  <c r="AB512" i="4"/>
  <c r="AA512" i="4"/>
  <c r="AC512" i="4" s="1"/>
  <c r="Z512" i="4"/>
  <c r="Y512" i="4"/>
  <c r="X512" i="4"/>
  <c r="W512" i="4"/>
  <c r="V512" i="4"/>
  <c r="U512" i="4"/>
  <c r="Q512" i="4"/>
  <c r="P512" i="4"/>
  <c r="O512" i="4"/>
  <c r="AL511" i="4"/>
  <c r="AK511" i="4"/>
  <c r="AJ511" i="4"/>
  <c r="AI511" i="4"/>
  <c r="AG511" i="4"/>
  <c r="AF511" i="4"/>
  <c r="AE511" i="4"/>
  <c r="AD511" i="4"/>
  <c r="AB511" i="4"/>
  <c r="AA511" i="4"/>
  <c r="AC511" i="4" s="1"/>
  <c r="Z511" i="4"/>
  <c r="Y511" i="4"/>
  <c r="X511" i="4"/>
  <c r="W511" i="4"/>
  <c r="V511" i="4"/>
  <c r="U511" i="4"/>
  <c r="Q511" i="4"/>
  <c r="P511" i="4"/>
  <c r="O511" i="4"/>
  <c r="AL510" i="4"/>
  <c r="AK510" i="4"/>
  <c r="AJ510" i="4"/>
  <c r="AI510" i="4"/>
  <c r="AH510" i="4"/>
  <c r="AG510" i="4"/>
  <c r="AF510" i="4"/>
  <c r="AE510" i="4"/>
  <c r="AD510" i="4"/>
  <c r="AB510" i="4"/>
  <c r="AA510" i="4"/>
  <c r="AC510" i="4" s="1"/>
  <c r="Z510" i="4"/>
  <c r="Y510" i="4"/>
  <c r="X510" i="4"/>
  <c r="W510" i="4"/>
  <c r="V510" i="4"/>
  <c r="U510" i="4"/>
  <c r="Q510" i="4"/>
  <c r="P510" i="4"/>
  <c r="O510" i="4"/>
  <c r="AL509" i="4"/>
  <c r="AK509" i="4"/>
  <c r="AJ509" i="4"/>
  <c r="AI509" i="4"/>
  <c r="AH509" i="4"/>
  <c r="AG509" i="4"/>
  <c r="AF509" i="4"/>
  <c r="AE509" i="4"/>
  <c r="AD509" i="4"/>
  <c r="AB509" i="4"/>
  <c r="AA509" i="4"/>
  <c r="AC509" i="4" s="1"/>
  <c r="Z509" i="4"/>
  <c r="Y509" i="4"/>
  <c r="X509" i="4"/>
  <c r="W509" i="4"/>
  <c r="V509" i="4"/>
  <c r="U509" i="4"/>
  <c r="Q509" i="4"/>
  <c r="P509" i="4"/>
  <c r="O509" i="4"/>
  <c r="AL508" i="4"/>
  <c r="AK508" i="4"/>
  <c r="AJ508" i="4"/>
  <c r="AI508" i="4"/>
  <c r="AH508" i="4"/>
  <c r="AG508" i="4"/>
  <c r="AF508" i="4"/>
  <c r="AE508" i="4"/>
  <c r="AD508" i="4"/>
  <c r="AB508" i="4"/>
  <c r="AA508" i="4"/>
  <c r="AC508" i="4" s="1"/>
  <c r="Z508" i="4"/>
  <c r="Y508" i="4"/>
  <c r="X508" i="4"/>
  <c r="W508" i="4"/>
  <c r="V508" i="4"/>
  <c r="U508" i="4"/>
  <c r="Q508" i="4"/>
  <c r="P508" i="4"/>
  <c r="O508" i="4"/>
  <c r="AL507" i="4"/>
  <c r="AK507" i="4"/>
  <c r="AJ507" i="4"/>
  <c r="AI507" i="4"/>
  <c r="AH507" i="4"/>
  <c r="AG507" i="4"/>
  <c r="AF507" i="4"/>
  <c r="AE507" i="4"/>
  <c r="AD507" i="4"/>
  <c r="AB507" i="4"/>
  <c r="AA507" i="4"/>
  <c r="AC507" i="4" s="1"/>
  <c r="Z507" i="4"/>
  <c r="Y507" i="4"/>
  <c r="X507" i="4"/>
  <c r="W507" i="4"/>
  <c r="V507" i="4"/>
  <c r="U507" i="4"/>
  <c r="Q507" i="4"/>
  <c r="P507" i="4"/>
  <c r="O507" i="4"/>
  <c r="AL506" i="4"/>
  <c r="AK506" i="4"/>
  <c r="AJ506" i="4"/>
  <c r="AI506" i="4"/>
  <c r="AH506" i="4"/>
  <c r="AG506" i="4"/>
  <c r="AF506" i="4"/>
  <c r="AE506" i="4"/>
  <c r="AD506" i="4"/>
  <c r="AB506" i="4"/>
  <c r="AA506" i="4"/>
  <c r="AC506" i="4" s="1"/>
  <c r="Z506" i="4"/>
  <c r="Y506" i="4"/>
  <c r="X506" i="4"/>
  <c r="W506" i="4"/>
  <c r="V506" i="4"/>
  <c r="U506" i="4"/>
  <c r="Q506" i="4"/>
  <c r="P506" i="4"/>
  <c r="O506" i="4"/>
  <c r="AL505" i="4"/>
  <c r="AK505" i="4"/>
  <c r="AJ505" i="4"/>
  <c r="AI505" i="4"/>
  <c r="AH505" i="4"/>
  <c r="AG505" i="4"/>
  <c r="AF505" i="4"/>
  <c r="AE505" i="4"/>
  <c r="AD505" i="4"/>
  <c r="AB505" i="4"/>
  <c r="AA505" i="4"/>
  <c r="AC505" i="4" s="1"/>
  <c r="Z505" i="4"/>
  <c r="Y505" i="4"/>
  <c r="X505" i="4"/>
  <c r="W505" i="4"/>
  <c r="V505" i="4"/>
  <c r="U505" i="4"/>
  <c r="Q505" i="4"/>
  <c r="P505" i="4"/>
  <c r="O505" i="4"/>
  <c r="AL504" i="4"/>
  <c r="AK504" i="4"/>
  <c r="AJ504" i="4"/>
  <c r="AI504" i="4"/>
  <c r="AH504" i="4"/>
  <c r="AG504" i="4"/>
  <c r="AF504" i="4"/>
  <c r="AE504" i="4"/>
  <c r="AD504" i="4"/>
  <c r="AB504" i="4"/>
  <c r="AA504" i="4"/>
  <c r="AC504" i="4" s="1"/>
  <c r="Z504" i="4"/>
  <c r="Y504" i="4"/>
  <c r="X504" i="4"/>
  <c r="W504" i="4"/>
  <c r="U504" i="4"/>
  <c r="Q504" i="4"/>
  <c r="P504" i="4"/>
  <c r="O504" i="4"/>
  <c r="AL503" i="4"/>
  <c r="AK503" i="4"/>
  <c r="AJ503" i="4"/>
  <c r="AI503" i="4"/>
  <c r="AH503" i="4"/>
  <c r="AG503" i="4"/>
  <c r="AF503" i="4"/>
  <c r="AE503" i="4"/>
  <c r="AD503" i="4"/>
  <c r="AB503" i="4"/>
  <c r="AA503" i="4"/>
  <c r="AC503" i="4" s="1"/>
  <c r="Z503" i="4"/>
  <c r="Y503" i="4"/>
  <c r="X503" i="4"/>
  <c r="W503" i="4"/>
  <c r="U503" i="4"/>
  <c r="Q503" i="4"/>
  <c r="P503" i="4"/>
  <c r="O503" i="4"/>
  <c r="AL502" i="4"/>
  <c r="AK502" i="4"/>
  <c r="AJ502" i="4"/>
  <c r="AI502" i="4"/>
  <c r="AH502" i="4"/>
  <c r="AG502" i="4"/>
  <c r="AF502" i="4"/>
  <c r="AE502" i="4"/>
  <c r="AD502" i="4"/>
  <c r="AB502" i="4"/>
  <c r="AA502" i="4"/>
  <c r="AC502" i="4" s="1"/>
  <c r="Z502" i="4"/>
  <c r="Y502" i="4"/>
  <c r="X502" i="4"/>
  <c r="W502" i="4"/>
  <c r="U502" i="4"/>
  <c r="Q502" i="4"/>
  <c r="P502" i="4"/>
  <c r="O502" i="4"/>
  <c r="AL501" i="4"/>
  <c r="AK501" i="4"/>
  <c r="AJ501" i="4"/>
  <c r="AI501" i="4"/>
  <c r="AH501" i="4"/>
  <c r="AG501" i="4"/>
  <c r="AF501" i="4"/>
  <c r="AE501" i="4"/>
  <c r="AD501" i="4"/>
  <c r="AB501" i="4"/>
  <c r="AA501" i="4"/>
  <c r="AC501" i="4" s="1"/>
  <c r="Z501" i="4"/>
  <c r="Y501" i="4"/>
  <c r="X501" i="4"/>
  <c r="W501" i="4"/>
  <c r="U501" i="4"/>
  <c r="Q501" i="4"/>
  <c r="P501" i="4"/>
  <c r="O501" i="4"/>
  <c r="AL500" i="4"/>
  <c r="AK500" i="4"/>
  <c r="AJ500" i="4"/>
  <c r="AI500" i="4"/>
  <c r="AH500" i="4"/>
  <c r="AG500" i="4"/>
  <c r="AF500" i="4"/>
  <c r="AE500" i="4"/>
  <c r="AD500" i="4"/>
  <c r="AB500" i="4"/>
  <c r="AA500" i="4"/>
  <c r="AC500" i="4" s="1"/>
  <c r="Z500" i="4"/>
  <c r="Y500" i="4"/>
  <c r="X500" i="4"/>
  <c r="W500" i="4"/>
  <c r="U500" i="4"/>
  <c r="Q500" i="4"/>
  <c r="P500" i="4"/>
  <c r="O500" i="4"/>
  <c r="AL499" i="4"/>
  <c r="AK499" i="4"/>
  <c r="AJ499" i="4"/>
  <c r="AI499" i="4"/>
  <c r="AH499" i="4"/>
  <c r="AG499" i="4"/>
  <c r="AF499" i="4"/>
  <c r="AE499" i="4"/>
  <c r="AD499" i="4"/>
  <c r="AB499" i="4"/>
  <c r="AA499" i="4"/>
  <c r="AC499" i="4" s="1"/>
  <c r="Z499" i="4"/>
  <c r="Y499" i="4"/>
  <c r="X499" i="4"/>
  <c r="W499" i="4"/>
  <c r="U499" i="4"/>
  <c r="Q499" i="4"/>
  <c r="P499" i="4"/>
  <c r="O499" i="4"/>
  <c r="AL498" i="4"/>
  <c r="AK498" i="4"/>
  <c r="AJ498" i="4"/>
  <c r="AI498" i="4"/>
  <c r="AH498" i="4"/>
  <c r="AG498" i="4"/>
  <c r="AF498" i="4"/>
  <c r="AE498" i="4"/>
  <c r="AD498" i="4"/>
  <c r="AB498" i="4"/>
  <c r="AA498" i="4"/>
  <c r="AC498" i="4" s="1"/>
  <c r="Z498" i="4"/>
  <c r="Y498" i="4"/>
  <c r="X498" i="4"/>
  <c r="W498" i="4"/>
  <c r="U498" i="4"/>
  <c r="Q498" i="4"/>
  <c r="P498" i="4"/>
  <c r="O498" i="4"/>
  <c r="AL497" i="4"/>
  <c r="AK497" i="4"/>
  <c r="AJ497" i="4"/>
  <c r="AI497" i="4"/>
  <c r="AH497" i="4"/>
  <c r="AG497" i="4"/>
  <c r="AF497" i="4"/>
  <c r="AE497" i="4"/>
  <c r="AD497" i="4"/>
  <c r="AB497" i="4"/>
  <c r="AA497" i="4"/>
  <c r="AC497" i="4" s="1"/>
  <c r="Z497" i="4"/>
  <c r="Y497" i="4"/>
  <c r="X497" i="4"/>
  <c r="W497" i="4"/>
  <c r="U497" i="4"/>
  <c r="Q497" i="4"/>
  <c r="P497" i="4"/>
  <c r="O497" i="4"/>
  <c r="AL496" i="4"/>
  <c r="AK496" i="4"/>
  <c r="AJ496" i="4"/>
  <c r="AI496" i="4"/>
  <c r="AG496" i="4"/>
  <c r="AF496" i="4"/>
  <c r="AE496" i="4"/>
  <c r="AD496" i="4"/>
  <c r="AB496" i="4"/>
  <c r="AA496" i="4"/>
  <c r="AC496" i="4" s="1"/>
  <c r="Z496" i="4"/>
  <c r="Y496" i="4"/>
  <c r="X496" i="4"/>
  <c r="W496" i="4"/>
  <c r="U496" i="4"/>
  <c r="Q496" i="4"/>
  <c r="P496" i="4"/>
  <c r="O496" i="4"/>
  <c r="AL495" i="4"/>
  <c r="AK495" i="4"/>
  <c r="AJ495" i="4"/>
  <c r="AI495" i="4"/>
  <c r="AH495" i="4"/>
  <c r="AG495" i="4"/>
  <c r="AF495" i="4"/>
  <c r="AE495" i="4"/>
  <c r="AD495" i="4"/>
  <c r="AB495" i="4"/>
  <c r="AA495" i="4"/>
  <c r="AC495" i="4" s="1"/>
  <c r="Z495" i="4"/>
  <c r="Y495" i="4"/>
  <c r="X495" i="4"/>
  <c r="W495" i="4"/>
  <c r="U495" i="4"/>
  <c r="Q495" i="4"/>
  <c r="P495" i="4"/>
  <c r="O495" i="4"/>
  <c r="AL494" i="4"/>
  <c r="AK494" i="4"/>
  <c r="AJ494" i="4"/>
  <c r="AI494" i="4"/>
  <c r="AH494" i="4"/>
  <c r="AG494" i="4"/>
  <c r="AF494" i="4"/>
  <c r="AE494" i="4"/>
  <c r="AD494" i="4"/>
  <c r="AB494" i="4"/>
  <c r="AA494" i="4"/>
  <c r="AC494" i="4" s="1"/>
  <c r="Z494" i="4"/>
  <c r="Y494" i="4"/>
  <c r="X494" i="4"/>
  <c r="W494" i="4"/>
  <c r="U494" i="4"/>
  <c r="Q494" i="4"/>
  <c r="P494" i="4"/>
  <c r="O494" i="4"/>
  <c r="AL493" i="4"/>
  <c r="AK493" i="4"/>
  <c r="AJ493" i="4"/>
  <c r="AI493" i="4"/>
  <c r="AH493" i="4"/>
  <c r="AG493" i="4"/>
  <c r="AF493" i="4"/>
  <c r="AE493" i="4"/>
  <c r="AD493" i="4"/>
  <c r="AB493" i="4"/>
  <c r="AA493" i="4"/>
  <c r="AC493" i="4" s="1"/>
  <c r="Z493" i="4"/>
  <c r="Y493" i="4"/>
  <c r="X493" i="4"/>
  <c r="W493" i="4"/>
  <c r="U493" i="4"/>
  <c r="Q493" i="4"/>
  <c r="P493" i="4"/>
  <c r="O493" i="4"/>
  <c r="AL492" i="4"/>
  <c r="AK492" i="4"/>
  <c r="AJ492" i="4"/>
  <c r="AI492" i="4"/>
  <c r="AH492" i="4"/>
  <c r="AG492" i="4"/>
  <c r="AF492" i="4"/>
  <c r="AE492" i="4"/>
  <c r="AD492" i="4"/>
  <c r="AB492" i="4"/>
  <c r="AA492" i="4"/>
  <c r="AC492" i="4" s="1"/>
  <c r="Z492" i="4"/>
  <c r="Y492" i="4"/>
  <c r="X492" i="4"/>
  <c r="W492" i="4"/>
  <c r="U492" i="4"/>
  <c r="Q492" i="4"/>
  <c r="P492" i="4"/>
  <c r="O492" i="4"/>
  <c r="AL491" i="4"/>
  <c r="AK491" i="4"/>
  <c r="AJ491" i="4"/>
  <c r="AI491" i="4"/>
  <c r="AH491" i="4"/>
  <c r="AG491" i="4"/>
  <c r="AF491" i="4"/>
  <c r="AE491" i="4"/>
  <c r="AD491" i="4"/>
  <c r="AB491" i="4"/>
  <c r="AA491" i="4"/>
  <c r="AC491" i="4" s="1"/>
  <c r="Z491" i="4"/>
  <c r="Y491" i="4"/>
  <c r="X491" i="4"/>
  <c r="W491" i="4"/>
  <c r="U491" i="4"/>
  <c r="Q491" i="4"/>
  <c r="P491" i="4"/>
  <c r="O491" i="4"/>
  <c r="AL490" i="4"/>
  <c r="AK490" i="4"/>
  <c r="AJ490" i="4"/>
  <c r="AI490" i="4"/>
  <c r="AH490" i="4"/>
  <c r="AG490" i="4"/>
  <c r="AF490" i="4"/>
  <c r="AE490" i="4"/>
  <c r="AD490" i="4"/>
  <c r="AB490" i="4"/>
  <c r="AA490" i="4"/>
  <c r="AC490" i="4" s="1"/>
  <c r="Z490" i="4"/>
  <c r="Y490" i="4"/>
  <c r="X490" i="4"/>
  <c r="W490" i="4"/>
  <c r="U490" i="4"/>
  <c r="Q490" i="4"/>
  <c r="P490" i="4"/>
  <c r="O490" i="4"/>
  <c r="AL489" i="4"/>
  <c r="AK489" i="4"/>
  <c r="AJ489" i="4"/>
  <c r="AI489" i="4"/>
  <c r="AH489" i="4"/>
  <c r="AG489" i="4"/>
  <c r="AF489" i="4"/>
  <c r="AE489" i="4"/>
  <c r="AD489" i="4"/>
  <c r="AB489" i="4"/>
  <c r="AA489" i="4"/>
  <c r="AC489" i="4" s="1"/>
  <c r="Z489" i="4"/>
  <c r="Y489" i="4"/>
  <c r="X489" i="4"/>
  <c r="W489" i="4"/>
  <c r="U489" i="4"/>
  <c r="Q489" i="4"/>
  <c r="P489" i="4"/>
  <c r="O489" i="4"/>
  <c r="AL488" i="4"/>
  <c r="AK488" i="4"/>
  <c r="AJ488" i="4"/>
  <c r="AI488" i="4"/>
  <c r="AH488" i="4"/>
  <c r="AG488" i="4"/>
  <c r="AF488" i="4"/>
  <c r="AE488" i="4"/>
  <c r="AD488" i="4"/>
  <c r="AB488" i="4"/>
  <c r="AA488" i="4"/>
  <c r="AC488" i="4" s="1"/>
  <c r="Z488" i="4"/>
  <c r="Y488" i="4"/>
  <c r="X488" i="4"/>
  <c r="W488" i="4"/>
  <c r="U488" i="4"/>
  <c r="Q488" i="4"/>
  <c r="P488" i="4"/>
  <c r="O488" i="4"/>
  <c r="AL487" i="4"/>
  <c r="AK487" i="4"/>
  <c r="AJ487" i="4"/>
  <c r="AI487" i="4"/>
  <c r="AG487" i="4"/>
  <c r="AF487" i="4"/>
  <c r="AE487" i="4"/>
  <c r="AD487" i="4"/>
  <c r="AB487" i="4"/>
  <c r="AA487" i="4"/>
  <c r="AC487" i="4" s="1"/>
  <c r="Z487" i="4"/>
  <c r="Y487" i="4"/>
  <c r="X487" i="4"/>
  <c r="W487" i="4"/>
  <c r="U487" i="4"/>
  <c r="Q487" i="4"/>
  <c r="P487" i="4"/>
  <c r="O487" i="4"/>
  <c r="AL486" i="4"/>
  <c r="AK486" i="4"/>
  <c r="AJ486" i="4"/>
  <c r="AI486" i="4"/>
  <c r="AH486" i="4"/>
  <c r="AG486" i="4"/>
  <c r="AF486" i="4"/>
  <c r="AE486" i="4"/>
  <c r="AD486" i="4"/>
  <c r="AB486" i="4"/>
  <c r="AA486" i="4"/>
  <c r="AC486" i="4" s="1"/>
  <c r="Z486" i="4"/>
  <c r="Y486" i="4"/>
  <c r="X486" i="4"/>
  <c r="W486" i="4"/>
  <c r="U486" i="4"/>
  <c r="Q486" i="4"/>
  <c r="P486" i="4"/>
  <c r="O486" i="4"/>
  <c r="AL485" i="4"/>
  <c r="AK485" i="4"/>
  <c r="AJ485" i="4"/>
  <c r="AI485" i="4"/>
  <c r="AH485" i="4"/>
  <c r="AG485" i="4"/>
  <c r="AF485" i="4"/>
  <c r="AE485" i="4"/>
  <c r="AD485" i="4"/>
  <c r="AB485" i="4"/>
  <c r="AA485" i="4"/>
  <c r="AC485" i="4" s="1"/>
  <c r="Z485" i="4"/>
  <c r="Y485" i="4"/>
  <c r="X485" i="4"/>
  <c r="W485" i="4"/>
  <c r="U485" i="4"/>
  <c r="Q485" i="4"/>
  <c r="P485" i="4"/>
  <c r="O485" i="4"/>
  <c r="AL484" i="4"/>
  <c r="AK484" i="4"/>
  <c r="AJ484" i="4"/>
  <c r="AI484" i="4"/>
  <c r="AH484" i="4"/>
  <c r="AG484" i="4"/>
  <c r="AF484" i="4"/>
  <c r="AE484" i="4"/>
  <c r="AD484" i="4"/>
  <c r="AB484" i="4"/>
  <c r="AA484" i="4"/>
  <c r="AC484" i="4" s="1"/>
  <c r="Z484" i="4"/>
  <c r="Y484" i="4"/>
  <c r="X484" i="4"/>
  <c r="W484" i="4"/>
  <c r="U484" i="4"/>
  <c r="Q484" i="4"/>
  <c r="P484" i="4"/>
  <c r="O484" i="4"/>
  <c r="AL483" i="4"/>
  <c r="AK483" i="4"/>
  <c r="AJ483" i="4"/>
  <c r="AI483" i="4"/>
  <c r="AG483" i="4"/>
  <c r="AF483" i="4"/>
  <c r="AE483" i="4"/>
  <c r="AD483" i="4"/>
  <c r="AB483" i="4"/>
  <c r="AA483" i="4"/>
  <c r="AC483" i="4" s="1"/>
  <c r="Z483" i="4"/>
  <c r="Y483" i="4"/>
  <c r="X483" i="4"/>
  <c r="W483" i="4"/>
  <c r="U483" i="4"/>
  <c r="Q483" i="4"/>
  <c r="P483" i="4"/>
  <c r="O483" i="4"/>
  <c r="AL482" i="4"/>
  <c r="AK482" i="4"/>
  <c r="AJ482" i="4"/>
  <c r="AI482" i="4"/>
  <c r="AH482" i="4"/>
  <c r="AG482" i="4"/>
  <c r="AF482" i="4"/>
  <c r="AE482" i="4"/>
  <c r="AD482" i="4"/>
  <c r="AB482" i="4"/>
  <c r="AA482" i="4"/>
  <c r="AC482" i="4" s="1"/>
  <c r="Z482" i="4"/>
  <c r="Y482" i="4"/>
  <c r="X482" i="4"/>
  <c r="W482" i="4"/>
  <c r="U482" i="4"/>
  <c r="Q482" i="4"/>
  <c r="P482" i="4"/>
  <c r="O482" i="4"/>
  <c r="AL481" i="4"/>
  <c r="AK481" i="4"/>
  <c r="AJ481" i="4"/>
  <c r="AI481" i="4"/>
  <c r="AH481" i="4"/>
  <c r="AG481" i="4"/>
  <c r="AF481" i="4"/>
  <c r="AE481" i="4"/>
  <c r="AD481" i="4"/>
  <c r="AB481" i="4"/>
  <c r="AA481" i="4"/>
  <c r="AC481" i="4" s="1"/>
  <c r="Z481" i="4"/>
  <c r="Y481" i="4"/>
  <c r="X481" i="4"/>
  <c r="W481" i="4"/>
  <c r="U481" i="4"/>
  <c r="Q481" i="4"/>
  <c r="P481" i="4"/>
  <c r="O481" i="4"/>
  <c r="AL480" i="4"/>
  <c r="AK480" i="4"/>
  <c r="AJ480" i="4"/>
  <c r="AI480" i="4"/>
  <c r="AH480" i="4"/>
  <c r="AG480" i="4"/>
  <c r="AF480" i="4"/>
  <c r="AE480" i="4"/>
  <c r="AD480" i="4"/>
  <c r="AB480" i="4"/>
  <c r="AA480" i="4"/>
  <c r="AC480" i="4" s="1"/>
  <c r="Z480" i="4"/>
  <c r="Y480" i="4"/>
  <c r="X480" i="4"/>
  <c r="W480" i="4"/>
  <c r="U480" i="4"/>
  <c r="Q480" i="4"/>
  <c r="P480" i="4"/>
  <c r="O480" i="4"/>
  <c r="AL479" i="4"/>
  <c r="AK479" i="4"/>
  <c r="AJ479" i="4"/>
  <c r="AI479" i="4"/>
  <c r="AH479" i="4"/>
  <c r="AG479" i="4"/>
  <c r="AF479" i="4"/>
  <c r="AE479" i="4"/>
  <c r="AD479" i="4"/>
  <c r="AB479" i="4"/>
  <c r="AA479" i="4"/>
  <c r="AC479" i="4" s="1"/>
  <c r="Z479" i="4"/>
  <c r="Y479" i="4"/>
  <c r="X479" i="4"/>
  <c r="W479" i="4"/>
  <c r="U479" i="4"/>
  <c r="Q479" i="4"/>
  <c r="P479" i="4"/>
  <c r="O479" i="4"/>
  <c r="AL478" i="4"/>
  <c r="AK478" i="4"/>
  <c r="AJ478" i="4"/>
  <c r="AI478" i="4"/>
  <c r="AH478" i="4"/>
  <c r="AG478" i="4"/>
  <c r="AF478" i="4"/>
  <c r="AE478" i="4"/>
  <c r="AD478" i="4"/>
  <c r="AB478" i="4"/>
  <c r="AA478" i="4"/>
  <c r="AC478" i="4" s="1"/>
  <c r="Z478" i="4"/>
  <c r="Y478" i="4"/>
  <c r="X478" i="4"/>
  <c r="W478" i="4"/>
  <c r="U478" i="4"/>
  <c r="Q478" i="4"/>
  <c r="P478" i="4"/>
  <c r="O478" i="4"/>
  <c r="AL477" i="4"/>
  <c r="AK477" i="4"/>
  <c r="AJ477" i="4"/>
  <c r="AI477" i="4"/>
  <c r="AH477" i="4"/>
  <c r="AG477" i="4"/>
  <c r="AF477" i="4"/>
  <c r="AE477" i="4"/>
  <c r="AD477" i="4"/>
  <c r="AB477" i="4"/>
  <c r="AA477" i="4"/>
  <c r="AC477" i="4" s="1"/>
  <c r="Z477" i="4"/>
  <c r="Y477" i="4"/>
  <c r="X477" i="4"/>
  <c r="W477" i="4"/>
  <c r="U477" i="4"/>
  <c r="Q477" i="4"/>
  <c r="P477" i="4"/>
  <c r="O477" i="4"/>
  <c r="AL476" i="4"/>
  <c r="AK476" i="4"/>
  <c r="AJ476" i="4"/>
  <c r="AI476" i="4"/>
  <c r="AH476" i="4"/>
  <c r="AG476" i="4"/>
  <c r="AF476" i="4"/>
  <c r="AE476" i="4"/>
  <c r="AD476" i="4"/>
  <c r="AB476" i="4"/>
  <c r="AA476" i="4"/>
  <c r="AC476" i="4" s="1"/>
  <c r="Z476" i="4"/>
  <c r="Y476" i="4"/>
  <c r="X476" i="4"/>
  <c r="W476" i="4"/>
  <c r="U476" i="4"/>
  <c r="Q476" i="4"/>
  <c r="P476" i="4"/>
  <c r="O476" i="4"/>
  <c r="AL475" i="4"/>
  <c r="AK475" i="4"/>
  <c r="AJ475" i="4"/>
  <c r="AI475" i="4"/>
  <c r="AH475" i="4"/>
  <c r="AG475" i="4"/>
  <c r="AF475" i="4"/>
  <c r="AE475" i="4"/>
  <c r="AD475" i="4"/>
  <c r="AB475" i="4"/>
  <c r="AA475" i="4"/>
  <c r="AC475" i="4" s="1"/>
  <c r="Z475" i="4"/>
  <c r="Y475" i="4"/>
  <c r="X475" i="4"/>
  <c r="W475" i="4"/>
  <c r="U475" i="4"/>
  <c r="Q475" i="4"/>
  <c r="P475" i="4"/>
  <c r="O475" i="4"/>
  <c r="AL474" i="4"/>
  <c r="AK474" i="4"/>
  <c r="AJ474" i="4"/>
  <c r="AI474" i="4"/>
  <c r="AH474" i="4"/>
  <c r="AG474" i="4"/>
  <c r="AF474" i="4"/>
  <c r="AE474" i="4"/>
  <c r="AD474" i="4"/>
  <c r="AB474" i="4"/>
  <c r="AA474" i="4"/>
  <c r="AC474" i="4" s="1"/>
  <c r="Z474" i="4"/>
  <c r="Y474" i="4"/>
  <c r="X474" i="4"/>
  <c r="W474" i="4"/>
  <c r="U474" i="4"/>
  <c r="Q474" i="4"/>
  <c r="P474" i="4"/>
  <c r="O474" i="4"/>
  <c r="AL473" i="4"/>
  <c r="AK473" i="4"/>
  <c r="AJ473" i="4"/>
  <c r="AI473" i="4"/>
  <c r="AH473" i="4"/>
  <c r="AG473" i="4"/>
  <c r="AF473" i="4"/>
  <c r="AE473" i="4"/>
  <c r="AD473" i="4"/>
  <c r="AB473" i="4"/>
  <c r="AA473" i="4"/>
  <c r="AC473" i="4" s="1"/>
  <c r="Z473" i="4"/>
  <c r="Y473" i="4"/>
  <c r="X473" i="4"/>
  <c r="W473" i="4"/>
  <c r="U473" i="4"/>
  <c r="Q473" i="4"/>
  <c r="P473" i="4"/>
  <c r="O473" i="4"/>
  <c r="AL472" i="4"/>
  <c r="AK472" i="4"/>
  <c r="AJ472" i="4"/>
  <c r="AI472" i="4"/>
  <c r="AH472" i="4"/>
  <c r="AG472" i="4"/>
  <c r="AF472" i="4"/>
  <c r="AE472" i="4"/>
  <c r="AD472" i="4"/>
  <c r="AB472" i="4"/>
  <c r="AA472" i="4"/>
  <c r="AC472" i="4" s="1"/>
  <c r="Z472" i="4"/>
  <c r="Y472" i="4"/>
  <c r="X472" i="4"/>
  <c r="W472" i="4"/>
  <c r="U472" i="4"/>
  <c r="Q472" i="4"/>
  <c r="P472" i="4"/>
  <c r="O472" i="4"/>
  <c r="AL471" i="4"/>
  <c r="AK471" i="4"/>
  <c r="AJ471" i="4"/>
  <c r="AI471" i="4"/>
  <c r="AH471" i="4"/>
  <c r="AG471" i="4"/>
  <c r="AF471" i="4"/>
  <c r="AE471" i="4"/>
  <c r="AD471" i="4"/>
  <c r="AB471" i="4"/>
  <c r="AA471" i="4"/>
  <c r="AC471" i="4" s="1"/>
  <c r="Z471" i="4"/>
  <c r="Y471" i="4"/>
  <c r="X471" i="4"/>
  <c r="W471" i="4"/>
  <c r="U471" i="4"/>
  <c r="Q471" i="4"/>
  <c r="P471" i="4"/>
  <c r="O471" i="4"/>
  <c r="AL470" i="4"/>
  <c r="AK470" i="4"/>
  <c r="AJ470" i="4"/>
  <c r="AI470" i="4"/>
  <c r="AH470" i="4"/>
  <c r="AG470" i="4"/>
  <c r="AF470" i="4"/>
  <c r="AE470" i="4"/>
  <c r="AD470" i="4"/>
  <c r="AB470" i="4"/>
  <c r="AA470" i="4"/>
  <c r="AC470" i="4" s="1"/>
  <c r="Z470" i="4"/>
  <c r="Y470" i="4"/>
  <c r="X470" i="4"/>
  <c r="W470" i="4"/>
  <c r="U470" i="4"/>
  <c r="Q470" i="4"/>
  <c r="P470" i="4"/>
  <c r="O470" i="4"/>
  <c r="AL469" i="4"/>
  <c r="AK469" i="4"/>
  <c r="AJ469" i="4"/>
  <c r="AI469" i="4"/>
  <c r="AH469" i="4"/>
  <c r="AG469" i="4"/>
  <c r="AF469" i="4"/>
  <c r="AE469" i="4"/>
  <c r="AD469" i="4"/>
  <c r="AB469" i="4"/>
  <c r="AA469" i="4"/>
  <c r="AC469" i="4" s="1"/>
  <c r="Z469" i="4"/>
  <c r="Y469" i="4"/>
  <c r="X469" i="4"/>
  <c r="W469" i="4"/>
  <c r="U469" i="4"/>
  <c r="Q469" i="4"/>
  <c r="P469" i="4"/>
  <c r="O469" i="4"/>
  <c r="AL468" i="4"/>
  <c r="AK468" i="4"/>
  <c r="AJ468" i="4"/>
  <c r="AI468" i="4"/>
  <c r="AH468" i="4"/>
  <c r="AG468" i="4"/>
  <c r="AF468" i="4"/>
  <c r="AE468" i="4"/>
  <c r="AD468" i="4"/>
  <c r="AB468" i="4"/>
  <c r="AA468" i="4"/>
  <c r="AC468" i="4" s="1"/>
  <c r="Z468" i="4"/>
  <c r="Y468" i="4"/>
  <c r="X468" i="4"/>
  <c r="W468" i="4"/>
  <c r="U468" i="4"/>
  <c r="Q468" i="4"/>
  <c r="P468" i="4"/>
  <c r="O468" i="4"/>
  <c r="AL467" i="4"/>
  <c r="AK467" i="4"/>
  <c r="AJ467" i="4"/>
  <c r="AI467" i="4"/>
  <c r="AH467" i="4"/>
  <c r="AG467" i="4"/>
  <c r="AF467" i="4"/>
  <c r="AE467" i="4"/>
  <c r="AD467" i="4"/>
  <c r="AB467" i="4"/>
  <c r="AA467" i="4"/>
  <c r="AC467" i="4" s="1"/>
  <c r="Z467" i="4"/>
  <c r="Y467" i="4"/>
  <c r="X467" i="4"/>
  <c r="W467" i="4"/>
  <c r="U467" i="4"/>
  <c r="Q467" i="4"/>
  <c r="P467" i="4"/>
  <c r="O467" i="4"/>
  <c r="AL466" i="4"/>
  <c r="AK466" i="4"/>
  <c r="AJ466" i="4"/>
  <c r="AI466" i="4"/>
  <c r="AH466" i="4"/>
  <c r="AG466" i="4"/>
  <c r="AF466" i="4"/>
  <c r="AE466" i="4"/>
  <c r="AD466" i="4"/>
  <c r="AB466" i="4"/>
  <c r="AA466" i="4"/>
  <c r="AC466" i="4" s="1"/>
  <c r="Z466" i="4"/>
  <c r="Y466" i="4"/>
  <c r="X466" i="4"/>
  <c r="W466" i="4"/>
  <c r="U466" i="4"/>
  <c r="Q466" i="4"/>
  <c r="P466" i="4"/>
  <c r="O466" i="4"/>
  <c r="AL465" i="4"/>
  <c r="AK465" i="4"/>
  <c r="AJ465" i="4"/>
  <c r="AI465" i="4"/>
  <c r="AH465" i="4"/>
  <c r="AG465" i="4"/>
  <c r="AF465" i="4"/>
  <c r="AE465" i="4"/>
  <c r="AD465" i="4"/>
  <c r="AB465" i="4"/>
  <c r="AA465" i="4"/>
  <c r="AC465" i="4" s="1"/>
  <c r="Z465" i="4"/>
  <c r="Y465" i="4"/>
  <c r="X465" i="4"/>
  <c r="W465" i="4"/>
  <c r="U465" i="4"/>
  <c r="Q465" i="4"/>
  <c r="P465" i="4"/>
  <c r="O465" i="4"/>
  <c r="AL464" i="4"/>
  <c r="AK464" i="4"/>
  <c r="AJ464" i="4"/>
  <c r="AI464" i="4"/>
  <c r="AH464" i="4"/>
  <c r="AG464" i="4"/>
  <c r="AF464" i="4"/>
  <c r="AE464" i="4"/>
  <c r="AD464" i="4"/>
  <c r="AB464" i="4"/>
  <c r="AA464" i="4"/>
  <c r="AC464" i="4" s="1"/>
  <c r="Z464" i="4"/>
  <c r="Y464" i="4"/>
  <c r="X464" i="4"/>
  <c r="W464" i="4"/>
  <c r="U464" i="4"/>
  <c r="Q464" i="4"/>
  <c r="P464" i="4"/>
  <c r="O464" i="4"/>
  <c r="AL463" i="4"/>
  <c r="AK463" i="4"/>
  <c r="AJ463" i="4"/>
  <c r="AI463" i="4"/>
  <c r="AH463" i="4"/>
  <c r="AG463" i="4"/>
  <c r="AF463" i="4"/>
  <c r="AE463" i="4"/>
  <c r="AD463" i="4"/>
  <c r="AB463" i="4"/>
  <c r="AA463" i="4"/>
  <c r="AC463" i="4" s="1"/>
  <c r="Z463" i="4"/>
  <c r="Y463" i="4"/>
  <c r="X463" i="4"/>
  <c r="W463" i="4"/>
  <c r="U463" i="4"/>
  <c r="Q463" i="4"/>
  <c r="P463" i="4"/>
  <c r="O463" i="4"/>
  <c r="AL462" i="4"/>
  <c r="AK462" i="4"/>
  <c r="AJ462" i="4"/>
  <c r="AI462" i="4"/>
  <c r="AH462" i="4"/>
  <c r="AG462" i="4"/>
  <c r="AF462" i="4"/>
  <c r="AE462" i="4"/>
  <c r="AD462" i="4"/>
  <c r="AB462" i="4"/>
  <c r="AA462" i="4"/>
  <c r="AC462" i="4" s="1"/>
  <c r="Z462" i="4"/>
  <c r="Y462" i="4"/>
  <c r="X462" i="4"/>
  <c r="W462" i="4"/>
  <c r="U462" i="4"/>
  <c r="Q462" i="4"/>
  <c r="P462" i="4"/>
  <c r="O462" i="4"/>
  <c r="AL461" i="4"/>
  <c r="AK461" i="4"/>
  <c r="AJ461" i="4"/>
  <c r="AI461" i="4"/>
  <c r="AH461" i="4"/>
  <c r="AG461" i="4"/>
  <c r="AF461" i="4"/>
  <c r="AE461" i="4"/>
  <c r="AD461" i="4"/>
  <c r="AB461" i="4"/>
  <c r="AA461" i="4"/>
  <c r="AC461" i="4" s="1"/>
  <c r="Z461" i="4"/>
  <c r="Y461" i="4"/>
  <c r="X461" i="4"/>
  <c r="W461" i="4"/>
  <c r="U461" i="4"/>
  <c r="Q461" i="4"/>
  <c r="P461" i="4"/>
  <c r="O461" i="4"/>
  <c r="AL460" i="4"/>
  <c r="AK460" i="4"/>
  <c r="AJ460" i="4"/>
  <c r="AI460" i="4"/>
  <c r="AH460" i="4"/>
  <c r="AG460" i="4"/>
  <c r="AF460" i="4"/>
  <c r="AE460" i="4"/>
  <c r="AD460" i="4"/>
  <c r="AB460" i="4"/>
  <c r="AA460" i="4"/>
  <c r="AC460" i="4" s="1"/>
  <c r="Z460" i="4"/>
  <c r="Y460" i="4"/>
  <c r="X460" i="4"/>
  <c r="W460" i="4"/>
  <c r="U460" i="4"/>
  <c r="Q460" i="4"/>
  <c r="P460" i="4"/>
  <c r="O460" i="4"/>
  <c r="AL459" i="4"/>
  <c r="AK459" i="4"/>
  <c r="AJ459" i="4"/>
  <c r="AI459" i="4"/>
  <c r="AH459" i="4"/>
  <c r="AG459" i="4"/>
  <c r="AF459" i="4"/>
  <c r="AE459" i="4"/>
  <c r="AD459" i="4"/>
  <c r="AB459" i="4"/>
  <c r="AA459" i="4"/>
  <c r="AC459" i="4" s="1"/>
  <c r="Z459" i="4"/>
  <c r="Y459" i="4"/>
  <c r="X459" i="4"/>
  <c r="W459" i="4"/>
  <c r="U459" i="4"/>
  <c r="Q459" i="4"/>
  <c r="P459" i="4"/>
  <c r="O459" i="4"/>
  <c r="AL458" i="4"/>
  <c r="AK458" i="4"/>
  <c r="AJ458" i="4"/>
  <c r="AI458" i="4"/>
  <c r="AH458" i="4"/>
  <c r="AG458" i="4"/>
  <c r="AF458" i="4"/>
  <c r="AE458" i="4"/>
  <c r="AD458" i="4"/>
  <c r="AB458" i="4"/>
  <c r="AA458" i="4"/>
  <c r="AC458" i="4" s="1"/>
  <c r="Z458" i="4"/>
  <c r="Y458" i="4"/>
  <c r="X458" i="4"/>
  <c r="W458" i="4"/>
  <c r="U458" i="4"/>
  <c r="Q458" i="4"/>
  <c r="P458" i="4"/>
  <c r="O458" i="4"/>
  <c r="AL457" i="4"/>
  <c r="AK457" i="4"/>
  <c r="AJ457" i="4"/>
  <c r="AI457" i="4"/>
  <c r="AG457" i="4"/>
  <c r="AF457" i="4"/>
  <c r="AE457" i="4"/>
  <c r="AD457" i="4"/>
  <c r="AB457" i="4"/>
  <c r="AA457" i="4"/>
  <c r="AC457" i="4" s="1"/>
  <c r="Z457" i="4"/>
  <c r="Y457" i="4"/>
  <c r="X457" i="4"/>
  <c r="W457" i="4"/>
  <c r="U457" i="4"/>
  <c r="Q457" i="4"/>
  <c r="P457" i="4"/>
  <c r="O457" i="4"/>
  <c r="AL456" i="4"/>
  <c r="AK456" i="4"/>
  <c r="AJ456" i="4"/>
  <c r="AI456" i="4"/>
  <c r="AH456" i="4"/>
  <c r="AG456" i="4"/>
  <c r="AF456" i="4"/>
  <c r="AE456" i="4"/>
  <c r="AD456" i="4"/>
  <c r="AB456" i="4"/>
  <c r="AA456" i="4"/>
  <c r="AC456" i="4" s="1"/>
  <c r="Z456" i="4"/>
  <c r="Y456" i="4"/>
  <c r="X456" i="4"/>
  <c r="W456" i="4"/>
  <c r="U456" i="4"/>
  <c r="Q456" i="4"/>
  <c r="P456" i="4"/>
  <c r="O456" i="4"/>
  <c r="AL455" i="4"/>
  <c r="AK455" i="4"/>
  <c r="AJ455" i="4"/>
  <c r="AI455" i="4"/>
  <c r="AH455" i="4"/>
  <c r="AG455" i="4"/>
  <c r="AF455" i="4"/>
  <c r="AE455" i="4"/>
  <c r="AD455" i="4"/>
  <c r="AB455" i="4"/>
  <c r="AA455" i="4"/>
  <c r="AC455" i="4" s="1"/>
  <c r="Z455" i="4"/>
  <c r="Y455" i="4"/>
  <c r="X455" i="4"/>
  <c r="W455" i="4"/>
  <c r="U455" i="4"/>
  <c r="Q455" i="4"/>
  <c r="P455" i="4"/>
  <c r="O455" i="4"/>
  <c r="AL454" i="4"/>
  <c r="AK454" i="4"/>
  <c r="AJ454" i="4"/>
  <c r="AI454" i="4"/>
  <c r="AH454" i="4"/>
  <c r="AG454" i="4"/>
  <c r="AF454" i="4"/>
  <c r="AE454" i="4"/>
  <c r="AD454" i="4"/>
  <c r="AB454" i="4"/>
  <c r="AA454" i="4"/>
  <c r="AC454" i="4" s="1"/>
  <c r="Z454" i="4"/>
  <c r="Y454" i="4"/>
  <c r="X454" i="4"/>
  <c r="W454" i="4"/>
  <c r="U454" i="4"/>
  <c r="Q454" i="4"/>
  <c r="P454" i="4"/>
  <c r="O454" i="4"/>
  <c r="AL453" i="4"/>
  <c r="AK453" i="4"/>
  <c r="AJ453" i="4"/>
  <c r="AI453" i="4"/>
  <c r="AH453" i="4"/>
  <c r="AG453" i="4"/>
  <c r="AF453" i="4"/>
  <c r="AE453" i="4"/>
  <c r="AD453" i="4"/>
  <c r="AB453" i="4"/>
  <c r="AA453" i="4"/>
  <c r="AC453" i="4" s="1"/>
  <c r="Z453" i="4"/>
  <c r="Y453" i="4"/>
  <c r="X453" i="4"/>
  <c r="W453" i="4"/>
  <c r="U453" i="4"/>
  <c r="Q453" i="4"/>
  <c r="P453" i="4"/>
  <c r="O453" i="4"/>
  <c r="AL452" i="4"/>
  <c r="AK452" i="4"/>
  <c r="AJ452" i="4"/>
  <c r="AI452" i="4"/>
  <c r="AH452" i="4"/>
  <c r="AG452" i="4"/>
  <c r="AF452" i="4"/>
  <c r="AE452" i="4"/>
  <c r="AD452" i="4"/>
  <c r="AB452" i="4"/>
  <c r="AA452" i="4"/>
  <c r="AC452" i="4" s="1"/>
  <c r="Z452" i="4"/>
  <c r="Y452" i="4"/>
  <c r="X452" i="4"/>
  <c r="W452" i="4"/>
  <c r="U452" i="4"/>
  <c r="Q452" i="4"/>
  <c r="P452" i="4"/>
  <c r="O452" i="4"/>
  <c r="AL451" i="4"/>
  <c r="AK451" i="4"/>
  <c r="AJ451" i="4"/>
  <c r="AI451" i="4"/>
  <c r="AG451" i="4"/>
  <c r="AF451" i="4"/>
  <c r="AE451" i="4"/>
  <c r="AD451" i="4"/>
  <c r="AB451" i="4"/>
  <c r="AA451" i="4"/>
  <c r="AC451" i="4" s="1"/>
  <c r="Z451" i="4"/>
  <c r="Y451" i="4"/>
  <c r="X451" i="4"/>
  <c r="W451" i="4"/>
  <c r="U451" i="4"/>
  <c r="Q451" i="4"/>
  <c r="P451" i="4"/>
  <c r="O451" i="4"/>
  <c r="AL450" i="4"/>
  <c r="AK450" i="4"/>
  <c r="AJ450" i="4"/>
  <c r="AI450" i="4"/>
  <c r="AH450" i="4"/>
  <c r="AG450" i="4"/>
  <c r="AF450" i="4"/>
  <c r="AE450" i="4"/>
  <c r="AD450" i="4"/>
  <c r="AB450" i="4"/>
  <c r="AA450" i="4"/>
  <c r="AC450" i="4" s="1"/>
  <c r="Z450" i="4"/>
  <c r="Y450" i="4"/>
  <c r="X450" i="4"/>
  <c r="W450" i="4"/>
  <c r="U450" i="4"/>
  <c r="Q450" i="4"/>
  <c r="P450" i="4"/>
  <c r="O450" i="4"/>
  <c r="AL449" i="4"/>
  <c r="AK449" i="4"/>
  <c r="AJ449" i="4"/>
  <c r="AI449" i="4"/>
  <c r="AH449" i="4"/>
  <c r="AG449" i="4"/>
  <c r="AF449" i="4"/>
  <c r="AE449" i="4"/>
  <c r="AD449" i="4"/>
  <c r="AB449" i="4"/>
  <c r="AA449" i="4"/>
  <c r="AC449" i="4" s="1"/>
  <c r="Z449" i="4"/>
  <c r="Y449" i="4"/>
  <c r="X449" i="4"/>
  <c r="W449" i="4"/>
  <c r="U449" i="4"/>
  <c r="Q449" i="4"/>
  <c r="P449" i="4"/>
  <c r="O449" i="4"/>
  <c r="AL448" i="4"/>
  <c r="AK448" i="4"/>
  <c r="AJ448" i="4"/>
  <c r="AI448" i="4"/>
  <c r="AH448" i="4"/>
  <c r="AG448" i="4"/>
  <c r="AF448" i="4"/>
  <c r="AE448" i="4"/>
  <c r="AD448" i="4"/>
  <c r="AB448" i="4"/>
  <c r="AA448" i="4"/>
  <c r="AC448" i="4" s="1"/>
  <c r="Z448" i="4"/>
  <c r="Y448" i="4"/>
  <c r="X448" i="4"/>
  <c r="W448" i="4"/>
  <c r="U448" i="4"/>
  <c r="Q448" i="4"/>
  <c r="P448" i="4"/>
  <c r="O448" i="4"/>
  <c r="AL447" i="4"/>
  <c r="AK447" i="4"/>
  <c r="AJ447" i="4"/>
  <c r="AI447" i="4"/>
  <c r="AH447" i="4"/>
  <c r="AG447" i="4"/>
  <c r="AF447" i="4"/>
  <c r="AE447" i="4"/>
  <c r="AD447" i="4"/>
  <c r="AB447" i="4"/>
  <c r="AA447" i="4"/>
  <c r="AC447" i="4" s="1"/>
  <c r="Z447" i="4"/>
  <c r="Y447" i="4"/>
  <c r="X447" i="4"/>
  <c r="W447" i="4"/>
  <c r="U447" i="4"/>
  <c r="Q447" i="4"/>
  <c r="P447" i="4"/>
  <c r="O447" i="4"/>
  <c r="AL446" i="4"/>
  <c r="AK446" i="4"/>
  <c r="AJ446" i="4"/>
  <c r="AI446" i="4"/>
  <c r="AG446" i="4"/>
  <c r="AF446" i="4"/>
  <c r="AE446" i="4"/>
  <c r="AD446" i="4"/>
  <c r="AB446" i="4"/>
  <c r="AA446" i="4"/>
  <c r="AC446" i="4" s="1"/>
  <c r="Z446" i="4"/>
  <c r="Y446" i="4"/>
  <c r="X446" i="4"/>
  <c r="W446" i="4"/>
  <c r="U446" i="4"/>
  <c r="Q446" i="4"/>
  <c r="P446" i="4"/>
  <c r="O446" i="4"/>
  <c r="AL445" i="4"/>
  <c r="AK445" i="4"/>
  <c r="AJ445" i="4"/>
  <c r="AI445" i="4"/>
  <c r="AH445" i="4"/>
  <c r="AG445" i="4"/>
  <c r="AF445" i="4"/>
  <c r="AE445" i="4"/>
  <c r="AD445" i="4"/>
  <c r="AB445" i="4"/>
  <c r="AA445" i="4"/>
  <c r="AC445" i="4" s="1"/>
  <c r="Z445" i="4"/>
  <c r="Y445" i="4"/>
  <c r="X445" i="4"/>
  <c r="W445" i="4"/>
  <c r="U445" i="4"/>
  <c r="Q445" i="4"/>
  <c r="P445" i="4"/>
  <c r="O445" i="4"/>
  <c r="AL444" i="4"/>
  <c r="AK444" i="4"/>
  <c r="AJ444" i="4"/>
  <c r="AI444" i="4"/>
  <c r="AH444" i="4"/>
  <c r="AG444" i="4"/>
  <c r="AF444" i="4"/>
  <c r="AE444" i="4"/>
  <c r="AD444" i="4"/>
  <c r="AB444" i="4"/>
  <c r="AA444" i="4"/>
  <c r="AC444" i="4" s="1"/>
  <c r="Z444" i="4"/>
  <c r="Y444" i="4"/>
  <c r="X444" i="4"/>
  <c r="W444" i="4"/>
  <c r="U444" i="4"/>
  <c r="Q444" i="4"/>
  <c r="P444" i="4"/>
  <c r="O444" i="4"/>
  <c r="AL443" i="4"/>
  <c r="AK443" i="4"/>
  <c r="AJ443" i="4"/>
  <c r="AI443" i="4"/>
  <c r="AH443" i="4"/>
  <c r="AG443" i="4"/>
  <c r="AF443" i="4"/>
  <c r="AE443" i="4"/>
  <c r="AD443" i="4"/>
  <c r="AB443" i="4"/>
  <c r="AA443" i="4"/>
  <c r="AC443" i="4" s="1"/>
  <c r="Z443" i="4"/>
  <c r="Y443" i="4"/>
  <c r="X443" i="4"/>
  <c r="W443" i="4"/>
  <c r="U443" i="4"/>
  <c r="Q443" i="4"/>
  <c r="P443" i="4"/>
  <c r="O443" i="4"/>
  <c r="AL442" i="4"/>
  <c r="AK442" i="4"/>
  <c r="AJ442" i="4"/>
  <c r="AI442" i="4"/>
  <c r="AH442" i="4"/>
  <c r="AG442" i="4"/>
  <c r="AF442" i="4"/>
  <c r="AE442" i="4"/>
  <c r="AD442" i="4"/>
  <c r="AB442" i="4"/>
  <c r="AA442" i="4"/>
  <c r="AC442" i="4" s="1"/>
  <c r="Z442" i="4"/>
  <c r="Y442" i="4"/>
  <c r="X442" i="4"/>
  <c r="W442" i="4"/>
  <c r="U442" i="4"/>
  <c r="Q442" i="4"/>
  <c r="P442" i="4"/>
  <c r="O442" i="4"/>
  <c r="AL441" i="4"/>
  <c r="AK441" i="4"/>
  <c r="AJ441" i="4"/>
  <c r="AI441" i="4"/>
  <c r="AH441" i="4"/>
  <c r="AG441" i="4"/>
  <c r="AF441" i="4"/>
  <c r="AE441" i="4"/>
  <c r="AD441" i="4"/>
  <c r="AB441" i="4"/>
  <c r="AA441" i="4"/>
  <c r="AC441" i="4" s="1"/>
  <c r="Z441" i="4"/>
  <c r="Y441" i="4"/>
  <c r="X441" i="4"/>
  <c r="W441" i="4"/>
  <c r="U441" i="4"/>
  <c r="Q441" i="4"/>
  <c r="P441" i="4"/>
  <c r="O441" i="4"/>
  <c r="AL440" i="4"/>
  <c r="AK440" i="4"/>
  <c r="AJ440" i="4"/>
  <c r="AI440" i="4"/>
  <c r="AH440" i="4"/>
  <c r="AG440" i="4"/>
  <c r="AF440" i="4"/>
  <c r="AE440" i="4"/>
  <c r="AD440" i="4"/>
  <c r="AB440" i="4"/>
  <c r="AA440" i="4"/>
  <c r="AC440" i="4" s="1"/>
  <c r="Z440" i="4"/>
  <c r="Y440" i="4"/>
  <c r="X440" i="4"/>
  <c r="W440" i="4"/>
  <c r="U440" i="4"/>
  <c r="Q440" i="4"/>
  <c r="P440" i="4"/>
  <c r="O440" i="4"/>
  <c r="AL439" i="4"/>
  <c r="AK439" i="4"/>
  <c r="AJ439" i="4"/>
  <c r="AI439" i="4"/>
  <c r="AH439" i="4"/>
  <c r="AG439" i="4"/>
  <c r="AF439" i="4"/>
  <c r="AE439" i="4"/>
  <c r="AD439" i="4"/>
  <c r="AB439" i="4"/>
  <c r="AA439" i="4"/>
  <c r="AC439" i="4" s="1"/>
  <c r="Z439" i="4"/>
  <c r="Y439" i="4"/>
  <c r="X439" i="4"/>
  <c r="W439" i="4"/>
  <c r="U439" i="4"/>
  <c r="Q439" i="4"/>
  <c r="P439" i="4"/>
  <c r="O439" i="4"/>
  <c r="AL438" i="4"/>
  <c r="AK438" i="4"/>
  <c r="AJ438" i="4"/>
  <c r="AI438" i="4"/>
  <c r="AH438" i="4"/>
  <c r="AG438" i="4"/>
  <c r="AF438" i="4"/>
  <c r="AE438" i="4"/>
  <c r="AD438" i="4"/>
  <c r="AB438" i="4"/>
  <c r="AA438" i="4"/>
  <c r="AC438" i="4" s="1"/>
  <c r="Z438" i="4"/>
  <c r="Y438" i="4"/>
  <c r="X438" i="4"/>
  <c r="W438" i="4"/>
  <c r="U438" i="4"/>
  <c r="Q438" i="4"/>
  <c r="P438" i="4"/>
  <c r="O438" i="4"/>
  <c r="AL437" i="4"/>
  <c r="AK437" i="4"/>
  <c r="AJ437" i="4"/>
  <c r="AI437" i="4"/>
  <c r="AH437" i="4"/>
  <c r="AG437" i="4"/>
  <c r="AF437" i="4"/>
  <c r="AE437" i="4"/>
  <c r="AD437" i="4"/>
  <c r="AB437" i="4"/>
  <c r="AA437" i="4"/>
  <c r="AC437" i="4" s="1"/>
  <c r="Z437" i="4"/>
  <c r="Y437" i="4"/>
  <c r="X437" i="4"/>
  <c r="W437" i="4"/>
  <c r="U437" i="4"/>
  <c r="Q437" i="4"/>
  <c r="P437" i="4"/>
  <c r="O437" i="4"/>
  <c r="AL436" i="4"/>
  <c r="AK436" i="4"/>
  <c r="AJ436" i="4"/>
  <c r="AI436" i="4"/>
  <c r="AH436" i="4"/>
  <c r="AG436" i="4"/>
  <c r="AF436" i="4"/>
  <c r="AE436" i="4"/>
  <c r="AD436" i="4"/>
  <c r="AB436" i="4"/>
  <c r="AA436" i="4"/>
  <c r="AC436" i="4" s="1"/>
  <c r="Z436" i="4"/>
  <c r="Y436" i="4"/>
  <c r="X436" i="4"/>
  <c r="W436" i="4"/>
  <c r="U436" i="4"/>
  <c r="Q436" i="4"/>
  <c r="P436" i="4"/>
  <c r="O436" i="4"/>
  <c r="AL435" i="4"/>
  <c r="AK435" i="4"/>
  <c r="AJ435" i="4"/>
  <c r="AI435" i="4"/>
  <c r="AH435" i="4"/>
  <c r="AG435" i="4"/>
  <c r="AF435" i="4"/>
  <c r="AE435" i="4"/>
  <c r="AD435" i="4"/>
  <c r="AB435" i="4"/>
  <c r="AA435" i="4"/>
  <c r="AC435" i="4" s="1"/>
  <c r="Z435" i="4"/>
  <c r="Y435" i="4"/>
  <c r="X435" i="4"/>
  <c r="W435" i="4"/>
  <c r="U435" i="4"/>
  <c r="Q435" i="4"/>
  <c r="P435" i="4"/>
  <c r="O435" i="4"/>
  <c r="AL434" i="4"/>
  <c r="AK434" i="4"/>
  <c r="AJ434" i="4"/>
  <c r="AI434" i="4"/>
  <c r="AG434" i="4"/>
  <c r="AF434" i="4"/>
  <c r="AE434" i="4"/>
  <c r="AD434" i="4"/>
  <c r="AB434" i="4"/>
  <c r="AA434" i="4"/>
  <c r="AC434" i="4" s="1"/>
  <c r="Z434" i="4"/>
  <c r="Y434" i="4"/>
  <c r="X434" i="4"/>
  <c r="W434" i="4"/>
  <c r="U434" i="4"/>
  <c r="Q434" i="4"/>
  <c r="P434" i="4"/>
  <c r="O434" i="4"/>
  <c r="AL433" i="4"/>
  <c r="AK433" i="4"/>
  <c r="AJ433" i="4"/>
  <c r="AI433" i="4"/>
  <c r="AH433" i="4"/>
  <c r="AG433" i="4"/>
  <c r="AF433" i="4"/>
  <c r="AE433" i="4"/>
  <c r="AD433" i="4"/>
  <c r="AB433" i="4"/>
  <c r="AA433" i="4"/>
  <c r="AC433" i="4" s="1"/>
  <c r="Z433" i="4"/>
  <c r="Y433" i="4"/>
  <c r="X433" i="4"/>
  <c r="W433" i="4"/>
  <c r="U433" i="4"/>
  <c r="Q433" i="4"/>
  <c r="P433" i="4"/>
  <c r="O433" i="4"/>
  <c r="AL432" i="4"/>
  <c r="AK432" i="4"/>
  <c r="AJ432" i="4"/>
  <c r="AI432" i="4"/>
  <c r="AH432" i="4"/>
  <c r="AG432" i="4"/>
  <c r="AF432" i="4"/>
  <c r="AE432" i="4"/>
  <c r="AD432" i="4"/>
  <c r="AB432" i="4"/>
  <c r="AA432" i="4"/>
  <c r="AC432" i="4" s="1"/>
  <c r="Z432" i="4"/>
  <c r="Y432" i="4"/>
  <c r="X432" i="4"/>
  <c r="W432" i="4"/>
  <c r="U432" i="4"/>
  <c r="Q432" i="4"/>
  <c r="P432" i="4"/>
  <c r="O432" i="4"/>
  <c r="AL431" i="4"/>
  <c r="AK431" i="4"/>
  <c r="AJ431" i="4"/>
  <c r="AI431" i="4"/>
  <c r="AG431" i="4"/>
  <c r="AF431" i="4"/>
  <c r="AE431" i="4"/>
  <c r="AD431" i="4"/>
  <c r="AB431" i="4"/>
  <c r="AA431" i="4"/>
  <c r="AC431" i="4" s="1"/>
  <c r="Z431" i="4"/>
  <c r="Y431" i="4"/>
  <c r="X431" i="4"/>
  <c r="W431" i="4"/>
  <c r="U431" i="4"/>
  <c r="Q431" i="4"/>
  <c r="P431" i="4"/>
  <c r="O431" i="4"/>
  <c r="AL430" i="4"/>
  <c r="AK430" i="4"/>
  <c r="AJ430" i="4"/>
  <c r="AI430" i="4"/>
  <c r="AH430" i="4"/>
  <c r="AG430" i="4"/>
  <c r="AF430" i="4"/>
  <c r="AE430" i="4"/>
  <c r="AD430" i="4"/>
  <c r="AB430" i="4"/>
  <c r="AA430" i="4"/>
  <c r="AC430" i="4" s="1"/>
  <c r="Z430" i="4"/>
  <c r="Y430" i="4"/>
  <c r="X430" i="4"/>
  <c r="W430" i="4"/>
  <c r="U430" i="4"/>
  <c r="Q430" i="4"/>
  <c r="P430" i="4"/>
  <c r="O430" i="4"/>
  <c r="AL429" i="4"/>
  <c r="AK429" i="4"/>
  <c r="AJ429" i="4"/>
  <c r="AI429" i="4"/>
  <c r="AH429" i="4"/>
  <c r="AG429" i="4"/>
  <c r="AF429" i="4"/>
  <c r="AE429" i="4"/>
  <c r="AD429" i="4"/>
  <c r="AB429" i="4"/>
  <c r="AA429" i="4"/>
  <c r="AC429" i="4" s="1"/>
  <c r="Z429" i="4"/>
  <c r="Y429" i="4"/>
  <c r="X429" i="4"/>
  <c r="W429" i="4"/>
  <c r="U429" i="4"/>
  <c r="Q429" i="4"/>
  <c r="P429" i="4"/>
  <c r="O429" i="4"/>
  <c r="AL428" i="4"/>
  <c r="AK428" i="4"/>
  <c r="AJ428" i="4"/>
  <c r="AI428" i="4"/>
  <c r="AH428" i="4"/>
  <c r="AG428" i="4"/>
  <c r="AF428" i="4"/>
  <c r="AE428" i="4"/>
  <c r="AD428" i="4"/>
  <c r="AB428" i="4"/>
  <c r="AA428" i="4"/>
  <c r="AC428" i="4" s="1"/>
  <c r="Z428" i="4"/>
  <c r="Y428" i="4"/>
  <c r="X428" i="4"/>
  <c r="W428" i="4"/>
  <c r="U428" i="4"/>
  <c r="Q428" i="4"/>
  <c r="P428" i="4"/>
  <c r="O428" i="4"/>
  <c r="AL427" i="4"/>
  <c r="AK427" i="4"/>
  <c r="AJ427" i="4"/>
  <c r="AI427" i="4"/>
  <c r="AH427" i="4"/>
  <c r="AG427" i="4"/>
  <c r="AF427" i="4"/>
  <c r="AE427" i="4"/>
  <c r="AD427" i="4"/>
  <c r="AB427" i="4"/>
  <c r="AA427" i="4"/>
  <c r="AC427" i="4" s="1"/>
  <c r="Z427" i="4"/>
  <c r="Y427" i="4"/>
  <c r="X427" i="4"/>
  <c r="W427" i="4"/>
  <c r="U427" i="4"/>
  <c r="Q427" i="4"/>
  <c r="P427" i="4"/>
  <c r="O427" i="4"/>
  <c r="AL426" i="4"/>
  <c r="AK426" i="4"/>
  <c r="AJ426" i="4"/>
  <c r="AI426" i="4"/>
  <c r="AH426" i="4"/>
  <c r="AG426" i="4"/>
  <c r="AF426" i="4"/>
  <c r="AE426" i="4"/>
  <c r="AD426" i="4"/>
  <c r="AB426" i="4"/>
  <c r="AA426" i="4"/>
  <c r="AC426" i="4" s="1"/>
  <c r="Z426" i="4"/>
  <c r="Y426" i="4"/>
  <c r="X426" i="4"/>
  <c r="W426" i="4"/>
  <c r="U426" i="4"/>
  <c r="Q426" i="4"/>
  <c r="P426" i="4"/>
  <c r="O426" i="4"/>
  <c r="AL425" i="4"/>
  <c r="AK425" i="4"/>
  <c r="AJ425" i="4"/>
  <c r="AI425" i="4"/>
  <c r="AH425" i="4"/>
  <c r="AG425" i="4"/>
  <c r="AF425" i="4"/>
  <c r="AE425" i="4"/>
  <c r="AD425" i="4"/>
  <c r="AB425" i="4"/>
  <c r="AA425" i="4"/>
  <c r="AC425" i="4" s="1"/>
  <c r="Z425" i="4"/>
  <c r="Y425" i="4"/>
  <c r="X425" i="4"/>
  <c r="W425" i="4"/>
  <c r="U425" i="4"/>
  <c r="Q425" i="4"/>
  <c r="P425" i="4"/>
  <c r="O425" i="4"/>
  <c r="AL424" i="4"/>
  <c r="AK424" i="4"/>
  <c r="AJ424" i="4"/>
  <c r="AI424" i="4"/>
  <c r="AH424" i="4"/>
  <c r="AG424" i="4"/>
  <c r="AF424" i="4"/>
  <c r="AE424" i="4"/>
  <c r="AD424" i="4"/>
  <c r="AB424" i="4"/>
  <c r="AA424" i="4"/>
  <c r="AC424" i="4" s="1"/>
  <c r="Z424" i="4"/>
  <c r="Y424" i="4"/>
  <c r="X424" i="4"/>
  <c r="W424" i="4"/>
  <c r="U424" i="4"/>
  <c r="Q424" i="4"/>
  <c r="P424" i="4"/>
  <c r="O424" i="4"/>
  <c r="AL423" i="4"/>
  <c r="AK423" i="4"/>
  <c r="AJ423" i="4"/>
  <c r="AI423" i="4"/>
  <c r="AH423" i="4"/>
  <c r="AG423" i="4"/>
  <c r="AF423" i="4"/>
  <c r="AE423" i="4"/>
  <c r="AD423" i="4"/>
  <c r="AB423" i="4"/>
  <c r="AA423" i="4"/>
  <c r="AC423" i="4" s="1"/>
  <c r="Z423" i="4"/>
  <c r="Y423" i="4"/>
  <c r="X423" i="4"/>
  <c r="W423" i="4"/>
  <c r="U423" i="4"/>
  <c r="Q423" i="4"/>
  <c r="P423" i="4"/>
  <c r="O423" i="4"/>
  <c r="AL422" i="4"/>
  <c r="AK422" i="4"/>
  <c r="AJ422" i="4"/>
  <c r="AI422" i="4"/>
  <c r="AG422" i="4"/>
  <c r="AF422" i="4"/>
  <c r="AE422" i="4"/>
  <c r="AD422" i="4"/>
  <c r="AB422" i="4"/>
  <c r="AA422" i="4"/>
  <c r="AC422" i="4" s="1"/>
  <c r="Z422" i="4"/>
  <c r="Y422" i="4"/>
  <c r="X422" i="4"/>
  <c r="W422" i="4"/>
  <c r="U422" i="4"/>
  <c r="Q422" i="4"/>
  <c r="P422" i="4"/>
  <c r="O422" i="4"/>
  <c r="AL421" i="4"/>
  <c r="AK421" i="4"/>
  <c r="AJ421" i="4"/>
  <c r="AI421" i="4"/>
  <c r="AH421" i="4"/>
  <c r="AG421" i="4"/>
  <c r="AF421" i="4"/>
  <c r="AE421" i="4"/>
  <c r="AD421" i="4"/>
  <c r="AB421" i="4"/>
  <c r="AA421" i="4"/>
  <c r="AC421" i="4" s="1"/>
  <c r="Z421" i="4"/>
  <c r="Y421" i="4"/>
  <c r="X421" i="4"/>
  <c r="W421" i="4"/>
  <c r="U421" i="4"/>
  <c r="Q421" i="4"/>
  <c r="P421" i="4"/>
  <c r="O421" i="4"/>
  <c r="AL420" i="4"/>
  <c r="AK420" i="4"/>
  <c r="AJ420" i="4"/>
  <c r="AI420" i="4"/>
  <c r="AH420" i="4"/>
  <c r="AG420" i="4"/>
  <c r="AF420" i="4"/>
  <c r="AE420" i="4"/>
  <c r="AD420" i="4"/>
  <c r="AB420" i="4"/>
  <c r="AA420" i="4"/>
  <c r="AC420" i="4" s="1"/>
  <c r="Z420" i="4"/>
  <c r="Y420" i="4"/>
  <c r="X420" i="4"/>
  <c r="W420" i="4"/>
  <c r="U420" i="4"/>
  <c r="Q420" i="4"/>
  <c r="P420" i="4"/>
  <c r="O420" i="4"/>
  <c r="AL419" i="4"/>
  <c r="AK419" i="4"/>
  <c r="AJ419" i="4"/>
  <c r="AI419" i="4"/>
  <c r="AH419" i="4"/>
  <c r="AG419" i="4"/>
  <c r="AF419" i="4"/>
  <c r="AE419" i="4"/>
  <c r="AD419" i="4"/>
  <c r="AB419" i="4"/>
  <c r="AA419" i="4"/>
  <c r="AC419" i="4" s="1"/>
  <c r="Z419" i="4"/>
  <c r="Y419" i="4"/>
  <c r="X419" i="4"/>
  <c r="W419" i="4"/>
  <c r="U419" i="4"/>
  <c r="Q419" i="4"/>
  <c r="P419" i="4"/>
  <c r="O419" i="4"/>
  <c r="AL418" i="4"/>
  <c r="AK418" i="4"/>
  <c r="AJ418" i="4"/>
  <c r="AI418" i="4"/>
  <c r="AH418" i="4"/>
  <c r="AG418" i="4"/>
  <c r="AF418" i="4"/>
  <c r="AE418" i="4"/>
  <c r="AD418" i="4"/>
  <c r="AB418" i="4"/>
  <c r="AA418" i="4"/>
  <c r="AC418" i="4" s="1"/>
  <c r="Z418" i="4"/>
  <c r="Y418" i="4"/>
  <c r="X418" i="4"/>
  <c r="W418" i="4"/>
  <c r="U418" i="4"/>
  <c r="Q418" i="4"/>
  <c r="P418" i="4"/>
  <c r="O418" i="4"/>
  <c r="AL417" i="4"/>
  <c r="AK417" i="4"/>
  <c r="AJ417" i="4"/>
  <c r="AI417" i="4"/>
  <c r="AH417" i="4"/>
  <c r="AG417" i="4"/>
  <c r="AF417" i="4"/>
  <c r="AE417" i="4"/>
  <c r="AD417" i="4"/>
  <c r="AB417" i="4"/>
  <c r="AA417" i="4"/>
  <c r="AC417" i="4" s="1"/>
  <c r="Z417" i="4"/>
  <c r="Y417" i="4"/>
  <c r="X417" i="4"/>
  <c r="W417" i="4"/>
  <c r="U417" i="4"/>
  <c r="Q417" i="4"/>
  <c r="P417" i="4"/>
  <c r="O417" i="4"/>
  <c r="AL416" i="4"/>
  <c r="AK416" i="4"/>
  <c r="AJ416" i="4"/>
  <c r="AI416" i="4"/>
  <c r="AH416" i="4"/>
  <c r="AG416" i="4"/>
  <c r="AF416" i="4"/>
  <c r="AE416" i="4"/>
  <c r="AD416" i="4"/>
  <c r="AB416" i="4"/>
  <c r="AA416" i="4"/>
  <c r="AC416" i="4" s="1"/>
  <c r="Z416" i="4"/>
  <c r="Y416" i="4"/>
  <c r="X416" i="4"/>
  <c r="W416" i="4"/>
  <c r="U416" i="4"/>
  <c r="Q416" i="4"/>
  <c r="P416" i="4"/>
  <c r="O416" i="4"/>
  <c r="AL415" i="4"/>
  <c r="AK415" i="4"/>
  <c r="AJ415" i="4"/>
  <c r="AI415" i="4"/>
  <c r="AH415" i="4"/>
  <c r="AG415" i="4"/>
  <c r="AF415" i="4"/>
  <c r="AE415" i="4"/>
  <c r="AD415" i="4"/>
  <c r="AB415" i="4"/>
  <c r="AA415" i="4"/>
  <c r="AC415" i="4" s="1"/>
  <c r="Z415" i="4"/>
  <c r="Y415" i="4"/>
  <c r="X415" i="4"/>
  <c r="W415" i="4"/>
  <c r="U415" i="4"/>
  <c r="Q415" i="4"/>
  <c r="P415" i="4"/>
  <c r="O415" i="4"/>
  <c r="AL414" i="4"/>
  <c r="AK414" i="4"/>
  <c r="AJ414" i="4"/>
  <c r="AI414" i="4"/>
  <c r="AG414" i="4"/>
  <c r="AF414" i="4"/>
  <c r="AE414" i="4"/>
  <c r="AD414" i="4"/>
  <c r="AB414" i="4"/>
  <c r="AA414" i="4"/>
  <c r="AC414" i="4" s="1"/>
  <c r="Z414" i="4"/>
  <c r="Y414" i="4"/>
  <c r="X414" i="4"/>
  <c r="W414" i="4"/>
  <c r="U414" i="4"/>
  <c r="Q414" i="4"/>
  <c r="P414" i="4"/>
  <c r="O414" i="4"/>
  <c r="AL413" i="4"/>
  <c r="AK413" i="4"/>
  <c r="AJ413" i="4"/>
  <c r="AI413" i="4"/>
  <c r="AH413" i="4"/>
  <c r="AG413" i="4"/>
  <c r="AF413" i="4"/>
  <c r="AE413" i="4"/>
  <c r="AD413" i="4"/>
  <c r="AB413" i="4"/>
  <c r="AA413" i="4"/>
  <c r="AC413" i="4" s="1"/>
  <c r="Z413" i="4"/>
  <c r="Y413" i="4"/>
  <c r="X413" i="4"/>
  <c r="W413" i="4"/>
  <c r="U413" i="4"/>
  <c r="Q413" i="4"/>
  <c r="P413" i="4"/>
  <c r="O413" i="4"/>
  <c r="AL412" i="4"/>
  <c r="AK412" i="4"/>
  <c r="AJ412" i="4"/>
  <c r="AI412" i="4"/>
  <c r="AH412" i="4"/>
  <c r="AG412" i="4"/>
  <c r="AF412" i="4"/>
  <c r="AE412" i="4"/>
  <c r="AD412" i="4"/>
  <c r="AB412" i="4"/>
  <c r="AA412" i="4"/>
  <c r="AC412" i="4" s="1"/>
  <c r="Z412" i="4"/>
  <c r="Y412" i="4"/>
  <c r="X412" i="4"/>
  <c r="W412" i="4"/>
  <c r="U412" i="4"/>
  <c r="Q412" i="4"/>
  <c r="P412" i="4"/>
  <c r="O412" i="4"/>
  <c r="AL411" i="4"/>
  <c r="AK411" i="4"/>
  <c r="AJ411" i="4"/>
  <c r="AI411" i="4"/>
  <c r="AH411" i="4"/>
  <c r="AG411" i="4"/>
  <c r="AF411" i="4"/>
  <c r="AE411" i="4"/>
  <c r="AD411" i="4"/>
  <c r="AB411" i="4"/>
  <c r="AA411" i="4"/>
  <c r="AC411" i="4" s="1"/>
  <c r="Z411" i="4"/>
  <c r="Y411" i="4"/>
  <c r="X411" i="4"/>
  <c r="W411" i="4"/>
  <c r="U411" i="4"/>
  <c r="Q411" i="4"/>
  <c r="P411" i="4"/>
  <c r="O411" i="4"/>
  <c r="AL410" i="4"/>
  <c r="AK410" i="4"/>
  <c r="AJ410" i="4"/>
  <c r="AI410" i="4"/>
  <c r="AG410" i="4"/>
  <c r="AF410" i="4"/>
  <c r="AE410" i="4"/>
  <c r="AD410" i="4"/>
  <c r="AB410" i="4"/>
  <c r="AA410" i="4"/>
  <c r="AC410" i="4" s="1"/>
  <c r="Z410" i="4"/>
  <c r="Y410" i="4"/>
  <c r="X410" i="4"/>
  <c r="W410" i="4"/>
  <c r="U410" i="4"/>
  <c r="Q410" i="4"/>
  <c r="P410" i="4"/>
  <c r="O410" i="4"/>
  <c r="AL409" i="4"/>
  <c r="AK409" i="4"/>
  <c r="AJ409" i="4"/>
  <c r="AI409" i="4"/>
  <c r="AH409" i="4"/>
  <c r="AG409" i="4"/>
  <c r="AF409" i="4"/>
  <c r="AE409" i="4"/>
  <c r="AD409" i="4"/>
  <c r="AB409" i="4"/>
  <c r="AA409" i="4"/>
  <c r="AC409" i="4" s="1"/>
  <c r="Z409" i="4"/>
  <c r="Y409" i="4"/>
  <c r="X409" i="4"/>
  <c r="W409" i="4"/>
  <c r="U409" i="4"/>
  <c r="Q409" i="4"/>
  <c r="P409" i="4"/>
  <c r="O409" i="4"/>
  <c r="AL408" i="4"/>
  <c r="AK408" i="4"/>
  <c r="AJ408" i="4"/>
  <c r="AI408" i="4"/>
  <c r="AH408" i="4"/>
  <c r="AG408" i="4"/>
  <c r="AF408" i="4"/>
  <c r="AE408" i="4"/>
  <c r="AD408" i="4"/>
  <c r="AB408" i="4"/>
  <c r="AA408" i="4"/>
  <c r="AC408" i="4" s="1"/>
  <c r="Z408" i="4"/>
  <c r="Y408" i="4"/>
  <c r="X408" i="4"/>
  <c r="W408" i="4"/>
  <c r="U408" i="4"/>
  <c r="Q408" i="4"/>
  <c r="P408" i="4"/>
  <c r="O408" i="4"/>
  <c r="AL407" i="4"/>
  <c r="AK407" i="4"/>
  <c r="AJ407" i="4"/>
  <c r="AI407" i="4"/>
  <c r="AH407" i="4"/>
  <c r="AG407" i="4"/>
  <c r="AF407" i="4"/>
  <c r="AE407" i="4"/>
  <c r="AD407" i="4"/>
  <c r="AB407" i="4"/>
  <c r="AA407" i="4"/>
  <c r="AC407" i="4" s="1"/>
  <c r="Z407" i="4"/>
  <c r="Y407" i="4"/>
  <c r="X407" i="4"/>
  <c r="W407" i="4"/>
  <c r="U407" i="4"/>
  <c r="Q407" i="4"/>
  <c r="P407" i="4"/>
  <c r="O407" i="4"/>
  <c r="AL406" i="4"/>
  <c r="AK406" i="4"/>
  <c r="AJ406" i="4"/>
  <c r="AI406" i="4"/>
  <c r="AH406" i="4"/>
  <c r="AG406" i="4"/>
  <c r="AF406" i="4"/>
  <c r="AE406" i="4"/>
  <c r="AD406" i="4"/>
  <c r="AB406" i="4"/>
  <c r="AA406" i="4"/>
  <c r="AC406" i="4" s="1"/>
  <c r="Z406" i="4"/>
  <c r="Y406" i="4"/>
  <c r="X406" i="4"/>
  <c r="W406" i="4"/>
  <c r="U406" i="4"/>
  <c r="Q406" i="4"/>
  <c r="P406" i="4"/>
  <c r="O406" i="4"/>
  <c r="AL405" i="4"/>
  <c r="AK405" i="4"/>
  <c r="AJ405" i="4"/>
  <c r="AI405" i="4"/>
  <c r="AH405" i="4"/>
  <c r="AG405" i="4"/>
  <c r="AF405" i="4"/>
  <c r="AE405" i="4"/>
  <c r="AD405" i="4"/>
  <c r="AB405" i="4"/>
  <c r="AA405" i="4"/>
  <c r="AC405" i="4" s="1"/>
  <c r="Z405" i="4"/>
  <c r="Y405" i="4"/>
  <c r="X405" i="4"/>
  <c r="W405" i="4"/>
  <c r="U405" i="4"/>
  <c r="Q405" i="4"/>
  <c r="P405" i="4"/>
  <c r="O405" i="4"/>
  <c r="AL404" i="4"/>
  <c r="AK404" i="4"/>
  <c r="AJ404" i="4"/>
  <c r="AI404" i="4"/>
  <c r="AH404" i="4"/>
  <c r="AG404" i="4"/>
  <c r="AF404" i="4"/>
  <c r="AE404" i="4"/>
  <c r="AD404" i="4"/>
  <c r="AB404" i="4"/>
  <c r="AA404" i="4"/>
  <c r="AC404" i="4" s="1"/>
  <c r="Z404" i="4"/>
  <c r="Y404" i="4"/>
  <c r="X404" i="4"/>
  <c r="W404" i="4"/>
  <c r="U404" i="4"/>
  <c r="Q404" i="4"/>
  <c r="P404" i="4"/>
  <c r="O404" i="4"/>
  <c r="AL403" i="4"/>
  <c r="AK403" i="4"/>
  <c r="AJ403" i="4"/>
  <c r="AI403" i="4"/>
  <c r="AH403" i="4"/>
  <c r="AG403" i="4"/>
  <c r="AF403" i="4"/>
  <c r="AE403" i="4"/>
  <c r="AD403" i="4"/>
  <c r="AB403" i="4"/>
  <c r="AA403" i="4"/>
  <c r="AC403" i="4" s="1"/>
  <c r="Z403" i="4"/>
  <c r="Y403" i="4"/>
  <c r="X403" i="4"/>
  <c r="W403" i="4"/>
  <c r="U403" i="4"/>
  <c r="Q403" i="4"/>
  <c r="P403" i="4"/>
  <c r="O403" i="4"/>
  <c r="AL402" i="4"/>
  <c r="AK402" i="4"/>
  <c r="AJ402" i="4"/>
  <c r="AI402" i="4"/>
  <c r="AH402" i="4"/>
  <c r="AG402" i="4"/>
  <c r="AF402" i="4"/>
  <c r="AE402" i="4"/>
  <c r="AD402" i="4"/>
  <c r="AB402" i="4"/>
  <c r="AA402" i="4"/>
  <c r="AC402" i="4" s="1"/>
  <c r="Z402" i="4"/>
  <c r="Y402" i="4"/>
  <c r="X402" i="4"/>
  <c r="W402" i="4"/>
  <c r="U402" i="4"/>
  <c r="Q402" i="4"/>
  <c r="P402" i="4"/>
  <c r="O402" i="4"/>
  <c r="AL401" i="4"/>
  <c r="AK401" i="4"/>
  <c r="AJ401" i="4"/>
  <c r="AI401" i="4"/>
  <c r="AH401" i="4"/>
  <c r="AG401" i="4"/>
  <c r="AF401" i="4"/>
  <c r="AE401" i="4"/>
  <c r="AD401" i="4"/>
  <c r="AB401" i="4"/>
  <c r="AA401" i="4"/>
  <c r="AC401" i="4" s="1"/>
  <c r="Z401" i="4"/>
  <c r="Y401" i="4"/>
  <c r="X401" i="4"/>
  <c r="W401" i="4"/>
  <c r="U401" i="4"/>
  <c r="Q401" i="4"/>
  <c r="P401" i="4"/>
  <c r="O401" i="4"/>
  <c r="AL400" i="4"/>
  <c r="AK400" i="4"/>
  <c r="AJ400" i="4"/>
  <c r="AI400" i="4"/>
  <c r="AH400" i="4"/>
  <c r="AG400" i="4"/>
  <c r="AF400" i="4"/>
  <c r="AE400" i="4"/>
  <c r="AD400" i="4"/>
  <c r="AB400" i="4"/>
  <c r="AA400" i="4"/>
  <c r="AC400" i="4" s="1"/>
  <c r="Z400" i="4"/>
  <c r="Y400" i="4"/>
  <c r="X400" i="4"/>
  <c r="W400" i="4"/>
  <c r="U400" i="4"/>
  <c r="Q400" i="4"/>
  <c r="P400" i="4"/>
  <c r="O400" i="4"/>
  <c r="AL399" i="4"/>
  <c r="AK399" i="4"/>
  <c r="AJ399" i="4"/>
  <c r="AI399" i="4"/>
  <c r="AH399" i="4"/>
  <c r="AG399" i="4"/>
  <c r="AF399" i="4"/>
  <c r="AE399" i="4"/>
  <c r="AD399" i="4"/>
  <c r="AB399" i="4"/>
  <c r="AA399" i="4"/>
  <c r="AC399" i="4" s="1"/>
  <c r="Z399" i="4"/>
  <c r="Y399" i="4"/>
  <c r="X399" i="4"/>
  <c r="W399" i="4"/>
  <c r="U399" i="4"/>
  <c r="Q399" i="4"/>
  <c r="P399" i="4"/>
  <c r="O399" i="4"/>
  <c r="AL398" i="4"/>
  <c r="AK398" i="4"/>
  <c r="AJ398" i="4"/>
  <c r="AI398" i="4"/>
  <c r="AH398" i="4"/>
  <c r="AG398" i="4"/>
  <c r="AF398" i="4"/>
  <c r="AE398" i="4"/>
  <c r="AD398" i="4"/>
  <c r="AB398" i="4"/>
  <c r="AA398" i="4"/>
  <c r="AC398" i="4" s="1"/>
  <c r="Z398" i="4"/>
  <c r="Y398" i="4"/>
  <c r="X398" i="4"/>
  <c r="W398" i="4"/>
  <c r="V398" i="4"/>
  <c r="U398" i="4"/>
  <c r="Q398" i="4"/>
  <c r="P398" i="4"/>
  <c r="O398" i="4"/>
  <c r="AL397" i="4"/>
  <c r="AK397" i="4"/>
  <c r="AJ397" i="4"/>
  <c r="AI397" i="4"/>
  <c r="AH397" i="4"/>
  <c r="AG397" i="4"/>
  <c r="AF397" i="4"/>
  <c r="AE397" i="4"/>
  <c r="AD397" i="4"/>
  <c r="AB397" i="4"/>
  <c r="AA397" i="4"/>
  <c r="AC397" i="4" s="1"/>
  <c r="Z397" i="4"/>
  <c r="Y397" i="4"/>
  <c r="X397" i="4"/>
  <c r="W397" i="4"/>
  <c r="V397" i="4"/>
  <c r="U397" i="4"/>
  <c r="Q397" i="4"/>
  <c r="P397" i="4"/>
  <c r="O397" i="4"/>
  <c r="AL396" i="4"/>
  <c r="AK396" i="4"/>
  <c r="AJ396" i="4"/>
  <c r="AI396" i="4"/>
  <c r="AG396" i="4"/>
  <c r="AF396" i="4"/>
  <c r="AE396" i="4"/>
  <c r="AD396" i="4"/>
  <c r="AB396" i="4"/>
  <c r="AA396" i="4"/>
  <c r="AC396" i="4" s="1"/>
  <c r="Z396" i="4"/>
  <c r="Y396" i="4"/>
  <c r="X396" i="4"/>
  <c r="W396" i="4"/>
  <c r="V396" i="4"/>
  <c r="U396" i="4"/>
  <c r="Q396" i="4"/>
  <c r="P396" i="4"/>
  <c r="O396" i="4"/>
  <c r="AL395" i="4"/>
  <c r="AK395" i="4"/>
  <c r="AJ395" i="4"/>
  <c r="AI395" i="4"/>
  <c r="AH395" i="4"/>
  <c r="AG395" i="4"/>
  <c r="AF395" i="4"/>
  <c r="AE395" i="4"/>
  <c r="AD395" i="4"/>
  <c r="AB395" i="4"/>
  <c r="AA395" i="4"/>
  <c r="AC395" i="4" s="1"/>
  <c r="Z395" i="4"/>
  <c r="Y395" i="4"/>
  <c r="X395" i="4"/>
  <c r="W395" i="4"/>
  <c r="V395" i="4"/>
  <c r="U395" i="4"/>
  <c r="Q395" i="4"/>
  <c r="P395" i="4"/>
  <c r="O395" i="4"/>
  <c r="AL394" i="4"/>
  <c r="AK394" i="4"/>
  <c r="AJ394" i="4"/>
  <c r="AI394" i="4"/>
  <c r="AH394" i="4"/>
  <c r="AG394" i="4"/>
  <c r="AF394" i="4"/>
  <c r="AE394" i="4"/>
  <c r="AD394" i="4"/>
  <c r="AB394" i="4"/>
  <c r="AA394" i="4"/>
  <c r="AC394" i="4" s="1"/>
  <c r="Z394" i="4"/>
  <c r="Y394" i="4"/>
  <c r="X394" i="4"/>
  <c r="W394" i="4"/>
  <c r="V394" i="4"/>
  <c r="U394" i="4"/>
  <c r="Q394" i="4"/>
  <c r="P394" i="4"/>
  <c r="O394" i="4"/>
  <c r="AL393" i="4"/>
  <c r="AK393" i="4"/>
  <c r="AJ393" i="4"/>
  <c r="AI393" i="4"/>
  <c r="AH393" i="4"/>
  <c r="AG393" i="4"/>
  <c r="AF393" i="4"/>
  <c r="AE393" i="4"/>
  <c r="AD393" i="4"/>
  <c r="AB393" i="4"/>
  <c r="AA393" i="4"/>
  <c r="AC393" i="4" s="1"/>
  <c r="Z393" i="4"/>
  <c r="Y393" i="4"/>
  <c r="X393" i="4"/>
  <c r="W393" i="4"/>
  <c r="V393" i="4"/>
  <c r="U393" i="4"/>
  <c r="Q393" i="4"/>
  <c r="P393" i="4"/>
  <c r="O393" i="4"/>
  <c r="AL392" i="4"/>
  <c r="AK392" i="4"/>
  <c r="AJ392" i="4"/>
  <c r="AI392" i="4"/>
  <c r="AG392" i="4"/>
  <c r="AF392" i="4"/>
  <c r="AE392" i="4"/>
  <c r="AD392" i="4"/>
  <c r="AB392" i="4"/>
  <c r="AA392" i="4"/>
  <c r="AC392" i="4" s="1"/>
  <c r="Z392" i="4"/>
  <c r="Y392" i="4"/>
  <c r="X392" i="4"/>
  <c r="W392" i="4"/>
  <c r="V392" i="4"/>
  <c r="U392" i="4"/>
  <c r="Q392" i="4"/>
  <c r="P392" i="4"/>
  <c r="O392" i="4"/>
  <c r="AL391" i="4"/>
  <c r="AK391" i="4"/>
  <c r="AJ391" i="4"/>
  <c r="AI391" i="4"/>
  <c r="AH391" i="4"/>
  <c r="AG391" i="4"/>
  <c r="AF391" i="4"/>
  <c r="AE391" i="4"/>
  <c r="AD391" i="4"/>
  <c r="AB391" i="4"/>
  <c r="AA391" i="4"/>
  <c r="AC391" i="4" s="1"/>
  <c r="Z391" i="4"/>
  <c r="Y391" i="4"/>
  <c r="X391" i="4"/>
  <c r="W391" i="4"/>
  <c r="V391" i="4"/>
  <c r="U391" i="4"/>
  <c r="Q391" i="4"/>
  <c r="P391" i="4"/>
  <c r="O391" i="4"/>
  <c r="AL390" i="4"/>
  <c r="AK390" i="4"/>
  <c r="AJ390" i="4"/>
  <c r="AI390" i="4"/>
  <c r="AH390" i="4"/>
  <c r="AG390" i="4"/>
  <c r="AF390" i="4"/>
  <c r="AE390" i="4"/>
  <c r="AD390" i="4"/>
  <c r="AB390" i="4"/>
  <c r="AA390" i="4"/>
  <c r="AC390" i="4" s="1"/>
  <c r="Z390" i="4"/>
  <c r="Y390" i="4"/>
  <c r="X390" i="4"/>
  <c r="W390" i="4"/>
  <c r="V390" i="4"/>
  <c r="U390" i="4"/>
  <c r="Q390" i="4"/>
  <c r="P390" i="4"/>
  <c r="O390" i="4"/>
  <c r="AL389" i="4"/>
  <c r="AK389" i="4"/>
  <c r="AJ389" i="4"/>
  <c r="AI389" i="4"/>
  <c r="AH389" i="4"/>
  <c r="AG389" i="4"/>
  <c r="AF389" i="4"/>
  <c r="AE389" i="4"/>
  <c r="AD389" i="4"/>
  <c r="AB389" i="4"/>
  <c r="AA389" i="4"/>
  <c r="AC389" i="4" s="1"/>
  <c r="Z389" i="4"/>
  <c r="Y389" i="4"/>
  <c r="X389" i="4"/>
  <c r="W389" i="4"/>
  <c r="V389" i="4"/>
  <c r="U389" i="4"/>
  <c r="Q389" i="4"/>
  <c r="P389" i="4"/>
  <c r="O389" i="4"/>
  <c r="AL388" i="4"/>
  <c r="AK388" i="4"/>
  <c r="AJ388" i="4"/>
  <c r="AI388" i="4"/>
  <c r="AH388" i="4"/>
  <c r="AG388" i="4"/>
  <c r="AF388" i="4"/>
  <c r="AE388" i="4"/>
  <c r="AD388" i="4"/>
  <c r="AB388" i="4"/>
  <c r="AA388" i="4"/>
  <c r="AC388" i="4" s="1"/>
  <c r="Z388" i="4"/>
  <c r="Y388" i="4"/>
  <c r="X388" i="4"/>
  <c r="W388" i="4"/>
  <c r="V388" i="4"/>
  <c r="U388" i="4"/>
  <c r="Q388" i="4"/>
  <c r="P388" i="4"/>
  <c r="O388" i="4"/>
  <c r="AL387" i="4"/>
  <c r="AK387" i="4"/>
  <c r="AJ387" i="4"/>
  <c r="AI387" i="4"/>
  <c r="AH387" i="4"/>
  <c r="AG387" i="4"/>
  <c r="AF387" i="4"/>
  <c r="AE387" i="4"/>
  <c r="AD387" i="4"/>
  <c r="AB387" i="4"/>
  <c r="AA387" i="4"/>
  <c r="AC387" i="4" s="1"/>
  <c r="Z387" i="4"/>
  <c r="Y387" i="4"/>
  <c r="X387" i="4"/>
  <c r="W387" i="4"/>
  <c r="V387" i="4"/>
  <c r="U387" i="4"/>
  <c r="Q387" i="4"/>
  <c r="P387" i="4"/>
  <c r="O387" i="4"/>
  <c r="AL386" i="4"/>
  <c r="AK386" i="4"/>
  <c r="AJ386" i="4"/>
  <c r="AI386" i="4"/>
  <c r="AH386" i="4"/>
  <c r="AG386" i="4"/>
  <c r="AF386" i="4"/>
  <c r="AE386" i="4"/>
  <c r="AD386" i="4"/>
  <c r="AB386" i="4"/>
  <c r="AA386" i="4"/>
  <c r="AC386" i="4" s="1"/>
  <c r="Z386" i="4"/>
  <c r="Y386" i="4"/>
  <c r="X386" i="4"/>
  <c r="W386" i="4"/>
  <c r="V386" i="4"/>
  <c r="U386" i="4"/>
  <c r="Q386" i="4"/>
  <c r="P386" i="4"/>
  <c r="O386" i="4"/>
  <c r="AL385" i="4"/>
  <c r="AK385" i="4"/>
  <c r="AJ385" i="4"/>
  <c r="AI385" i="4"/>
  <c r="AH385" i="4"/>
  <c r="AG385" i="4"/>
  <c r="AF385" i="4"/>
  <c r="AE385" i="4"/>
  <c r="AD385" i="4"/>
  <c r="AB385" i="4"/>
  <c r="AA385" i="4"/>
  <c r="AC385" i="4" s="1"/>
  <c r="Z385" i="4"/>
  <c r="Y385" i="4"/>
  <c r="X385" i="4"/>
  <c r="W385" i="4"/>
  <c r="V385" i="4"/>
  <c r="U385" i="4"/>
  <c r="Q385" i="4"/>
  <c r="P385" i="4"/>
  <c r="O385" i="4"/>
  <c r="AL384" i="4"/>
  <c r="AK384" i="4"/>
  <c r="AJ384" i="4"/>
  <c r="AI384" i="4"/>
  <c r="AH384" i="4"/>
  <c r="AG384" i="4"/>
  <c r="AF384" i="4"/>
  <c r="AE384" i="4"/>
  <c r="AD384" i="4"/>
  <c r="AB384" i="4"/>
  <c r="AA384" i="4"/>
  <c r="AC384" i="4" s="1"/>
  <c r="Z384" i="4"/>
  <c r="Y384" i="4"/>
  <c r="X384" i="4"/>
  <c r="W384" i="4"/>
  <c r="V384" i="4"/>
  <c r="U384" i="4"/>
  <c r="Q384" i="4"/>
  <c r="P384" i="4"/>
  <c r="O384" i="4"/>
  <c r="AL383" i="4"/>
  <c r="AK383" i="4"/>
  <c r="AJ383" i="4"/>
  <c r="AI383" i="4"/>
  <c r="AH383" i="4"/>
  <c r="AG383" i="4"/>
  <c r="AF383" i="4"/>
  <c r="AE383" i="4"/>
  <c r="AD383" i="4"/>
  <c r="AB383" i="4"/>
  <c r="AA383" i="4"/>
  <c r="AC383" i="4" s="1"/>
  <c r="Z383" i="4"/>
  <c r="Y383" i="4"/>
  <c r="X383" i="4"/>
  <c r="W383" i="4"/>
  <c r="V383" i="4"/>
  <c r="U383" i="4"/>
  <c r="Q383" i="4"/>
  <c r="P383" i="4"/>
  <c r="O383" i="4"/>
  <c r="AL382" i="4"/>
  <c r="AK382" i="4"/>
  <c r="AJ382" i="4"/>
  <c r="AI382" i="4"/>
  <c r="AH382" i="4"/>
  <c r="AG382" i="4"/>
  <c r="AF382" i="4"/>
  <c r="AE382" i="4"/>
  <c r="AD382" i="4"/>
  <c r="AB382" i="4"/>
  <c r="AA382" i="4"/>
  <c r="AC382" i="4" s="1"/>
  <c r="Z382" i="4"/>
  <c r="Y382" i="4"/>
  <c r="X382" i="4"/>
  <c r="W382" i="4"/>
  <c r="V382" i="4"/>
  <c r="U382" i="4"/>
  <c r="Q382" i="4"/>
  <c r="P382" i="4"/>
  <c r="O382" i="4"/>
  <c r="AL381" i="4"/>
  <c r="AK381" i="4"/>
  <c r="AJ381" i="4"/>
  <c r="AI381" i="4"/>
  <c r="AG381" i="4"/>
  <c r="AF381" i="4"/>
  <c r="AE381" i="4"/>
  <c r="AD381" i="4"/>
  <c r="AB381" i="4"/>
  <c r="AA381" i="4"/>
  <c r="AC381" i="4" s="1"/>
  <c r="Z381" i="4"/>
  <c r="Y381" i="4"/>
  <c r="X381" i="4"/>
  <c r="W381" i="4"/>
  <c r="V381" i="4"/>
  <c r="U381" i="4"/>
  <c r="Q381" i="4"/>
  <c r="P381" i="4"/>
  <c r="O381" i="4"/>
  <c r="AL380" i="4"/>
  <c r="AK380" i="4"/>
  <c r="AJ380" i="4"/>
  <c r="AI380" i="4"/>
  <c r="AH380" i="4"/>
  <c r="AG380" i="4"/>
  <c r="AF380" i="4"/>
  <c r="AE380" i="4"/>
  <c r="AD380" i="4"/>
  <c r="AB380" i="4"/>
  <c r="AA380" i="4"/>
  <c r="AC380" i="4" s="1"/>
  <c r="Z380" i="4"/>
  <c r="Y380" i="4"/>
  <c r="X380" i="4"/>
  <c r="W380" i="4"/>
  <c r="V380" i="4"/>
  <c r="U380" i="4"/>
  <c r="Q380" i="4"/>
  <c r="P380" i="4"/>
  <c r="O380" i="4"/>
  <c r="AL379" i="4"/>
  <c r="AK379" i="4"/>
  <c r="AJ379" i="4"/>
  <c r="AI379" i="4"/>
  <c r="AH379" i="4"/>
  <c r="AG379" i="4"/>
  <c r="AF379" i="4"/>
  <c r="AE379" i="4"/>
  <c r="AD379" i="4"/>
  <c r="AB379" i="4"/>
  <c r="AA379" i="4"/>
  <c r="AC379" i="4" s="1"/>
  <c r="Z379" i="4"/>
  <c r="Y379" i="4"/>
  <c r="X379" i="4"/>
  <c r="W379" i="4"/>
  <c r="V379" i="4"/>
  <c r="U379" i="4"/>
  <c r="Q379" i="4"/>
  <c r="P379" i="4"/>
  <c r="O379" i="4"/>
  <c r="AL378" i="4"/>
  <c r="AK378" i="4"/>
  <c r="AJ378" i="4"/>
  <c r="AI378" i="4"/>
  <c r="AH378" i="4"/>
  <c r="AG378" i="4"/>
  <c r="AF378" i="4"/>
  <c r="AE378" i="4"/>
  <c r="AD378" i="4"/>
  <c r="AB378" i="4"/>
  <c r="AA378" i="4"/>
  <c r="AC378" i="4" s="1"/>
  <c r="Z378" i="4"/>
  <c r="Y378" i="4"/>
  <c r="X378" i="4"/>
  <c r="W378" i="4"/>
  <c r="V378" i="4"/>
  <c r="U378" i="4"/>
  <c r="Q378" i="4"/>
  <c r="P378" i="4"/>
  <c r="O378" i="4"/>
  <c r="AL377" i="4"/>
  <c r="AK377" i="4"/>
  <c r="AJ377" i="4"/>
  <c r="AI377" i="4"/>
  <c r="AH377" i="4"/>
  <c r="AG377" i="4"/>
  <c r="AF377" i="4"/>
  <c r="AE377" i="4"/>
  <c r="AD377" i="4"/>
  <c r="AB377" i="4"/>
  <c r="AA377" i="4"/>
  <c r="AC377" i="4" s="1"/>
  <c r="Z377" i="4"/>
  <c r="Y377" i="4"/>
  <c r="X377" i="4"/>
  <c r="W377" i="4"/>
  <c r="V377" i="4"/>
  <c r="U377" i="4"/>
  <c r="Q377" i="4"/>
  <c r="P377" i="4"/>
  <c r="O377" i="4"/>
  <c r="AL376" i="4"/>
  <c r="AK376" i="4"/>
  <c r="AJ376" i="4"/>
  <c r="AI376" i="4"/>
  <c r="AH376" i="4"/>
  <c r="AG376" i="4"/>
  <c r="AF376" i="4"/>
  <c r="AE376" i="4"/>
  <c r="AD376" i="4"/>
  <c r="AB376" i="4"/>
  <c r="AA376" i="4"/>
  <c r="AC376" i="4" s="1"/>
  <c r="Z376" i="4"/>
  <c r="Y376" i="4"/>
  <c r="X376" i="4"/>
  <c r="W376" i="4"/>
  <c r="V376" i="4"/>
  <c r="U376" i="4"/>
  <c r="Q376" i="4"/>
  <c r="P376" i="4"/>
  <c r="O376" i="4"/>
  <c r="AL375" i="4"/>
  <c r="AK375" i="4"/>
  <c r="AJ375" i="4"/>
  <c r="AI375" i="4"/>
  <c r="AH375" i="4"/>
  <c r="AG375" i="4"/>
  <c r="AF375" i="4"/>
  <c r="AE375" i="4"/>
  <c r="AD375" i="4"/>
  <c r="AB375" i="4"/>
  <c r="AA375" i="4"/>
  <c r="AC375" i="4" s="1"/>
  <c r="Z375" i="4"/>
  <c r="Y375" i="4"/>
  <c r="X375" i="4"/>
  <c r="W375" i="4"/>
  <c r="V375" i="4"/>
  <c r="U375" i="4"/>
  <c r="Q375" i="4"/>
  <c r="P375" i="4"/>
  <c r="O375" i="4"/>
  <c r="AL374" i="4"/>
  <c r="AK374" i="4"/>
  <c r="AJ374" i="4"/>
  <c r="AI374" i="4"/>
  <c r="AH374" i="4"/>
  <c r="AG374" i="4"/>
  <c r="AF374" i="4"/>
  <c r="AE374" i="4"/>
  <c r="AD374" i="4"/>
  <c r="AB374" i="4"/>
  <c r="AA374" i="4"/>
  <c r="AC374" i="4" s="1"/>
  <c r="Z374" i="4"/>
  <c r="Y374" i="4"/>
  <c r="X374" i="4"/>
  <c r="W374" i="4"/>
  <c r="V374" i="4"/>
  <c r="U374" i="4"/>
  <c r="Q374" i="4"/>
  <c r="P374" i="4"/>
  <c r="O374" i="4"/>
  <c r="AL373" i="4"/>
  <c r="AK373" i="4"/>
  <c r="AJ373" i="4"/>
  <c r="AI373" i="4"/>
  <c r="AH373" i="4"/>
  <c r="AG373" i="4"/>
  <c r="AF373" i="4"/>
  <c r="AE373" i="4"/>
  <c r="AD373" i="4"/>
  <c r="AB373" i="4"/>
  <c r="AA373" i="4"/>
  <c r="AC373" i="4" s="1"/>
  <c r="Z373" i="4"/>
  <c r="Y373" i="4"/>
  <c r="X373" i="4"/>
  <c r="W373" i="4"/>
  <c r="V373" i="4"/>
  <c r="U373" i="4"/>
  <c r="Q373" i="4"/>
  <c r="P373" i="4"/>
  <c r="O373" i="4"/>
  <c r="AL372" i="4"/>
  <c r="AK372" i="4"/>
  <c r="AJ372" i="4"/>
  <c r="AI372" i="4"/>
  <c r="AH372" i="4"/>
  <c r="AG372" i="4"/>
  <c r="AF372" i="4"/>
  <c r="AE372" i="4"/>
  <c r="AD372" i="4"/>
  <c r="AB372" i="4"/>
  <c r="AA372" i="4"/>
  <c r="AC372" i="4" s="1"/>
  <c r="Z372" i="4"/>
  <c r="Y372" i="4"/>
  <c r="X372" i="4"/>
  <c r="W372" i="4"/>
  <c r="V372" i="4"/>
  <c r="U372" i="4"/>
  <c r="Q372" i="4"/>
  <c r="P372" i="4"/>
  <c r="O372" i="4"/>
  <c r="AL371" i="4"/>
  <c r="AK371" i="4"/>
  <c r="AJ371" i="4"/>
  <c r="AI371" i="4"/>
  <c r="AH371" i="4"/>
  <c r="AG371" i="4"/>
  <c r="AF371" i="4"/>
  <c r="AE371" i="4"/>
  <c r="AD371" i="4"/>
  <c r="AB371" i="4"/>
  <c r="AA371" i="4"/>
  <c r="AC371" i="4" s="1"/>
  <c r="Z371" i="4"/>
  <c r="Y371" i="4"/>
  <c r="X371" i="4"/>
  <c r="W371" i="4"/>
  <c r="V371" i="4"/>
  <c r="U371" i="4"/>
  <c r="Q371" i="4"/>
  <c r="P371" i="4"/>
  <c r="O371" i="4"/>
  <c r="AL370" i="4"/>
  <c r="AK370" i="4"/>
  <c r="AJ370" i="4"/>
  <c r="AI370" i="4"/>
  <c r="AH370" i="4"/>
  <c r="AG370" i="4"/>
  <c r="AF370" i="4"/>
  <c r="AE370" i="4"/>
  <c r="AD370" i="4"/>
  <c r="AB370" i="4"/>
  <c r="AA370" i="4"/>
  <c r="AC370" i="4" s="1"/>
  <c r="Z370" i="4"/>
  <c r="Y370" i="4"/>
  <c r="X370" i="4"/>
  <c r="W370" i="4"/>
  <c r="V370" i="4"/>
  <c r="U370" i="4"/>
  <c r="Q370" i="4"/>
  <c r="P370" i="4"/>
  <c r="O370" i="4"/>
  <c r="AL369" i="4"/>
  <c r="AK369" i="4"/>
  <c r="AJ369" i="4"/>
  <c r="AI369" i="4"/>
  <c r="AH369" i="4"/>
  <c r="AG369" i="4"/>
  <c r="AF369" i="4"/>
  <c r="AE369" i="4"/>
  <c r="AD369" i="4"/>
  <c r="AB369" i="4"/>
  <c r="AA369" i="4"/>
  <c r="AC369" i="4" s="1"/>
  <c r="Z369" i="4"/>
  <c r="Y369" i="4"/>
  <c r="X369" i="4"/>
  <c r="W369" i="4"/>
  <c r="V369" i="4"/>
  <c r="U369" i="4"/>
  <c r="Q369" i="4"/>
  <c r="P369" i="4"/>
  <c r="O369" i="4"/>
  <c r="AL368" i="4"/>
  <c r="AK368" i="4"/>
  <c r="AJ368" i="4"/>
  <c r="AI368" i="4"/>
  <c r="AH368" i="4"/>
  <c r="AG368" i="4"/>
  <c r="AF368" i="4"/>
  <c r="AE368" i="4"/>
  <c r="AD368" i="4"/>
  <c r="AB368" i="4"/>
  <c r="AA368" i="4"/>
  <c r="AC368" i="4" s="1"/>
  <c r="Z368" i="4"/>
  <c r="Y368" i="4"/>
  <c r="X368" i="4"/>
  <c r="W368" i="4"/>
  <c r="V368" i="4"/>
  <c r="U368" i="4"/>
  <c r="Q368" i="4"/>
  <c r="P368" i="4"/>
  <c r="O368" i="4"/>
  <c r="AL367" i="4"/>
  <c r="AK367" i="4"/>
  <c r="AJ367" i="4"/>
  <c r="AI367" i="4"/>
  <c r="AH367" i="4"/>
  <c r="AG367" i="4"/>
  <c r="AF367" i="4"/>
  <c r="AE367" i="4"/>
  <c r="AD367" i="4"/>
  <c r="AB367" i="4"/>
  <c r="AA367" i="4"/>
  <c r="AC367" i="4" s="1"/>
  <c r="Z367" i="4"/>
  <c r="Y367" i="4"/>
  <c r="X367" i="4"/>
  <c r="W367" i="4"/>
  <c r="V367" i="4"/>
  <c r="U367" i="4"/>
  <c r="Q367" i="4"/>
  <c r="P367" i="4"/>
  <c r="O367" i="4"/>
  <c r="AL366" i="4"/>
  <c r="AK366" i="4"/>
  <c r="AJ366" i="4"/>
  <c r="AI366" i="4"/>
  <c r="AH366" i="4"/>
  <c r="AG366" i="4"/>
  <c r="AF366" i="4"/>
  <c r="AE366" i="4"/>
  <c r="AD366" i="4"/>
  <c r="AB366" i="4"/>
  <c r="AA366" i="4"/>
  <c r="AC366" i="4" s="1"/>
  <c r="Z366" i="4"/>
  <c r="Y366" i="4"/>
  <c r="X366" i="4"/>
  <c r="W366" i="4"/>
  <c r="V366" i="4"/>
  <c r="U366" i="4"/>
  <c r="Q366" i="4"/>
  <c r="P366" i="4"/>
  <c r="O366" i="4"/>
  <c r="AL365" i="4"/>
  <c r="AK365" i="4"/>
  <c r="AJ365" i="4"/>
  <c r="AI365" i="4"/>
  <c r="AH365" i="4"/>
  <c r="AG365" i="4"/>
  <c r="AF365" i="4"/>
  <c r="AE365" i="4"/>
  <c r="AD365" i="4"/>
  <c r="AB365" i="4"/>
  <c r="AA365" i="4"/>
  <c r="AC365" i="4" s="1"/>
  <c r="Z365" i="4"/>
  <c r="Y365" i="4"/>
  <c r="X365" i="4"/>
  <c r="W365" i="4"/>
  <c r="V365" i="4"/>
  <c r="U365" i="4"/>
  <c r="Q365" i="4"/>
  <c r="P365" i="4"/>
  <c r="O365" i="4"/>
  <c r="AL364" i="4"/>
  <c r="AK364" i="4"/>
  <c r="AJ364" i="4"/>
  <c r="AI364" i="4"/>
  <c r="AH364" i="4"/>
  <c r="AG364" i="4"/>
  <c r="AF364" i="4"/>
  <c r="AE364" i="4"/>
  <c r="AD364" i="4"/>
  <c r="AB364" i="4"/>
  <c r="AA364" i="4"/>
  <c r="AC364" i="4" s="1"/>
  <c r="Z364" i="4"/>
  <c r="Y364" i="4"/>
  <c r="X364" i="4"/>
  <c r="W364" i="4"/>
  <c r="V364" i="4"/>
  <c r="U364" i="4"/>
  <c r="Q364" i="4"/>
  <c r="P364" i="4"/>
  <c r="O364" i="4"/>
  <c r="AL363" i="4"/>
  <c r="AK363" i="4"/>
  <c r="AJ363" i="4"/>
  <c r="AI363" i="4"/>
  <c r="AH363" i="4"/>
  <c r="AG363" i="4"/>
  <c r="AF363" i="4"/>
  <c r="AE363" i="4"/>
  <c r="AD363" i="4"/>
  <c r="AB363" i="4"/>
  <c r="AA363" i="4"/>
  <c r="AC363" i="4" s="1"/>
  <c r="Z363" i="4"/>
  <c r="Y363" i="4"/>
  <c r="X363" i="4"/>
  <c r="W363" i="4"/>
  <c r="V363" i="4"/>
  <c r="U363" i="4"/>
  <c r="Q363" i="4"/>
  <c r="P363" i="4"/>
  <c r="O363" i="4"/>
  <c r="AL362" i="4"/>
  <c r="AK362" i="4"/>
  <c r="AJ362" i="4"/>
  <c r="AI362" i="4"/>
  <c r="AH362" i="4"/>
  <c r="AG362" i="4"/>
  <c r="AF362" i="4"/>
  <c r="AE362" i="4"/>
  <c r="AD362" i="4"/>
  <c r="AB362" i="4"/>
  <c r="AA362" i="4"/>
  <c r="AC362" i="4" s="1"/>
  <c r="Z362" i="4"/>
  <c r="Y362" i="4"/>
  <c r="X362" i="4"/>
  <c r="W362" i="4"/>
  <c r="V362" i="4"/>
  <c r="U362" i="4"/>
  <c r="Q362" i="4"/>
  <c r="P362" i="4"/>
  <c r="O362" i="4"/>
  <c r="AL361" i="4"/>
  <c r="AK361" i="4"/>
  <c r="AJ361" i="4"/>
  <c r="AI361" i="4"/>
  <c r="AG361" i="4"/>
  <c r="AF361" i="4"/>
  <c r="AE361" i="4"/>
  <c r="AD361" i="4"/>
  <c r="AB361" i="4"/>
  <c r="AA361" i="4"/>
  <c r="AC361" i="4" s="1"/>
  <c r="Z361" i="4"/>
  <c r="Y361" i="4"/>
  <c r="X361" i="4"/>
  <c r="W361" i="4"/>
  <c r="V361" i="4"/>
  <c r="U361" i="4"/>
  <c r="Q361" i="4"/>
  <c r="P361" i="4"/>
  <c r="O361" i="4"/>
  <c r="AL360" i="4"/>
  <c r="AK360" i="4"/>
  <c r="AJ360" i="4"/>
  <c r="AI360" i="4"/>
  <c r="AH360" i="4"/>
  <c r="AG360" i="4"/>
  <c r="AF360" i="4"/>
  <c r="AE360" i="4"/>
  <c r="AD360" i="4"/>
  <c r="AB360" i="4"/>
  <c r="AA360" i="4"/>
  <c r="AC360" i="4" s="1"/>
  <c r="Z360" i="4"/>
  <c r="Y360" i="4"/>
  <c r="X360" i="4"/>
  <c r="W360" i="4"/>
  <c r="V360" i="4"/>
  <c r="U360" i="4"/>
  <c r="Q360" i="4"/>
  <c r="P360" i="4"/>
  <c r="O360" i="4"/>
  <c r="AL359" i="4"/>
  <c r="AK359" i="4"/>
  <c r="AJ359" i="4"/>
  <c r="AI359" i="4"/>
  <c r="AH359" i="4"/>
  <c r="AG359" i="4"/>
  <c r="AF359" i="4"/>
  <c r="AE359" i="4"/>
  <c r="AD359" i="4"/>
  <c r="AB359" i="4"/>
  <c r="AA359" i="4"/>
  <c r="AC359" i="4" s="1"/>
  <c r="Z359" i="4"/>
  <c r="Y359" i="4"/>
  <c r="X359" i="4"/>
  <c r="W359" i="4"/>
  <c r="V359" i="4"/>
  <c r="U359" i="4"/>
  <c r="Q359" i="4"/>
  <c r="P359" i="4"/>
  <c r="O359" i="4"/>
  <c r="AL358" i="4"/>
  <c r="AK358" i="4"/>
  <c r="AJ358" i="4"/>
  <c r="AI358" i="4"/>
  <c r="AH358" i="4"/>
  <c r="AG358" i="4"/>
  <c r="AF358" i="4"/>
  <c r="AE358" i="4"/>
  <c r="AD358" i="4"/>
  <c r="AB358" i="4"/>
  <c r="AA358" i="4"/>
  <c r="AC358" i="4" s="1"/>
  <c r="Z358" i="4"/>
  <c r="Y358" i="4"/>
  <c r="X358" i="4"/>
  <c r="W358" i="4"/>
  <c r="V358" i="4"/>
  <c r="U358" i="4"/>
  <c r="Q358" i="4"/>
  <c r="P358" i="4"/>
  <c r="O358" i="4"/>
  <c r="AL357" i="4"/>
  <c r="AK357" i="4"/>
  <c r="AJ357" i="4"/>
  <c r="AI357" i="4"/>
  <c r="AH357" i="4"/>
  <c r="AG357" i="4"/>
  <c r="AF357" i="4"/>
  <c r="AE357" i="4"/>
  <c r="AD357" i="4"/>
  <c r="AB357" i="4"/>
  <c r="AA357" i="4"/>
  <c r="AC357" i="4" s="1"/>
  <c r="Z357" i="4"/>
  <c r="Y357" i="4"/>
  <c r="X357" i="4"/>
  <c r="W357" i="4"/>
  <c r="V357" i="4"/>
  <c r="U357" i="4"/>
  <c r="Q357" i="4"/>
  <c r="P357" i="4"/>
  <c r="O357" i="4"/>
  <c r="AL356" i="4"/>
  <c r="AK356" i="4"/>
  <c r="AJ356" i="4"/>
  <c r="AI356" i="4"/>
  <c r="AH356" i="4"/>
  <c r="AG356" i="4"/>
  <c r="AF356" i="4"/>
  <c r="AE356" i="4"/>
  <c r="AD356" i="4"/>
  <c r="AB356" i="4"/>
  <c r="AA356" i="4"/>
  <c r="AC356" i="4" s="1"/>
  <c r="Z356" i="4"/>
  <c r="Y356" i="4"/>
  <c r="X356" i="4"/>
  <c r="W356" i="4"/>
  <c r="V356" i="4"/>
  <c r="U356" i="4"/>
  <c r="Q356" i="4"/>
  <c r="P356" i="4"/>
  <c r="O356" i="4"/>
  <c r="AL355" i="4"/>
  <c r="AK355" i="4"/>
  <c r="AJ355" i="4"/>
  <c r="AI355" i="4"/>
  <c r="AH355" i="4"/>
  <c r="AG355" i="4"/>
  <c r="AF355" i="4"/>
  <c r="AE355" i="4"/>
  <c r="AD355" i="4"/>
  <c r="AB355" i="4"/>
  <c r="AA355" i="4"/>
  <c r="AC355" i="4" s="1"/>
  <c r="Z355" i="4"/>
  <c r="Y355" i="4"/>
  <c r="X355" i="4"/>
  <c r="W355" i="4"/>
  <c r="V355" i="4"/>
  <c r="U355" i="4"/>
  <c r="Q355" i="4"/>
  <c r="P355" i="4"/>
  <c r="O355" i="4"/>
  <c r="AL354" i="4"/>
  <c r="AK354" i="4"/>
  <c r="AJ354" i="4"/>
  <c r="AI354" i="4"/>
  <c r="AH354" i="4"/>
  <c r="AG354" i="4"/>
  <c r="AF354" i="4"/>
  <c r="AE354" i="4"/>
  <c r="AD354" i="4"/>
  <c r="AB354" i="4"/>
  <c r="AA354" i="4"/>
  <c r="AC354" i="4" s="1"/>
  <c r="Z354" i="4"/>
  <c r="Y354" i="4"/>
  <c r="X354" i="4"/>
  <c r="W354" i="4"/>
  <c r="V354" i="4"/>
  <c r="U354" i="4"/>
  <c r="Q354" i="4"/>
  <c r="P354" i="4"/>
  <c r="O354" i="4"/>
  <c r="AL353" i="4"/>
  <c r="AK353" i="4"/>
  <c r="AJ353" i="4"/>
  <c r="AI353" i="4"/>
  <c r="AH353" i="4"/>
  <c r="AG353" i="4"/>
  <c r="AF353" i="4"/>
  <c r="AE353" i="4"/>
  <c r="AD353" i="4"/>
  <c r="AB353" i="4"/>
  <c r="AA353" i="4"/>
  <c r="AC353" i="4" s="1"/>
  <c r="Z353" i="4"/>
  <c r="Y353" i="4"/>
  <c r="X353" i="4"/>
  <c r="W353" i="4"/>
  <c r="V353" i="4"/>
  <c r="U353" i="4"/>
  <c r="Q353" i="4"/>
  <c r="P353" i="4"/>
  <c r="O353" i="4"/>
  <c r="AL352" i="4"/>
  <c r="AK352" i="4"/>
  <c r="AJ352" i="4"/>
  <c r="AI352" i="4"/>
  <c r="AH352" i="4"/>
  <c r="AG352" i="4"/>
  <c r="AF352" i="4"/>
  <c r="AE352" i="4"/>
  <c r="AD352" i="4"/>
  <c r="AB352" i="4"/>
  <c r="AA352" i="4"/>
  <c r="AC352" i="4" s="1"/>
  <c r="Z352" i="4"/>
  <c r="Y352" i="4"/>
  <c r="X352" i="4"/>
  <c r="W352" i="4"/>
  <c r="V352" i="4"/>
  <c r="U352" i="4"/>
  <c r="Q352" i="4"/>
  <c r="P352" i="4"/>
  <c r="O352" i="4"/>
  <c r="AL351" i="4"/>
  <c r="AK351" i="4"/>
  <c r="AJ351" i="4"/>
  <c r="AI351" i="4"/>
  <c r="AH351" i="4"/>
  <c r="AG351" i="4"/>
  <c r="AF351" i="4"/>
  <c r="AE351" i="4"/>
  <c r="AD351" i="4"/>
  <c r="AB351" i="4"/>
  <c r="AA351" i="4"/>
  <c r="AC351" i="4" s="1"/>
  <c r="Z351" i="4"/>
  <c r="Y351" i="4"/>
  <c r="X351" i="4"/>
  <c r="W351" i="4"/>
  <c r="V351" i="4"/>
  <c r="U351" i="4"/>
  <c r="Q351" i="4"/>
  <c r="P351" i="4"/>
  <c r="O351" i="4"/>
  <c r="AL350" i="4"/>
  <c r="AK350" i="4"/>
  <c r="AJ350" i="4"/>
  <c r="AI350" i="4"/>
  <c r="AH350" i="4"/>
  <c r="AG350" i="4"/>
  <c r="AF350" i="4"/>
  <c r="AE350" i="4"/>
  <c r="AD350" i="4"/>
  <c r="AB350" i="4"/>
  <c r="AA350" i="4"/>
  <c r="AC350" i="4" s="1"/>
  <c r="Z350" i="4"/>
  <c r="Y350" i="4"/>
  <c r="X350" i="4"/>
  <c r="W350" i="4"/>
  <c r="V350" i="4"/>
  <c r="U350" i="4"/>
  <c r="Q350" i="4"/>
  <c r="P350" i="4"/>
  <c r="O350" i="4"/>
  <c r="AL349" i="4"/>
  <c r="AK349" i="4"/>
  <c r="AJ349" i="4"/>
  <c r="AI349" i="4"/>
  <c r="AH349" i="4"/>
  <c r="AG349" i="4"/>
  <c r="AF349" i="4"/>
  <c r="AE349" i="4"/>
  <c r="AD349" i="4"/>
  <c r="AB349" i="4"/>
  <c r="AA349" i="4"/>
  <c r="AC349" i="4" s="1"/>
  <c r="Z349" i="4"/>
  <c r="Y349" i="4"/>
  <c r="X349" i="4"/>
  <c r="W349" i="4"/>
  <c r="V349" i="4"/>
  <c r="U349" i="4"/>
  <c r="Q349" i="4"/>
  <c r="P349" i="4"/>
  <c r="O349" i="4"/>
  <c r="AL348" i="4"/>
  <c r="AK348" i="4"/>
  <c r="AJ348" i="4"/>
  <c r="AI348" i="4"/>
  <c r="AH348" i="4"/>
  <c r="AG348" i="4"/>
  <c r="AF348" i="4"/>
  <c r="AE348" i="4"/>
  <c r="AD348" i="4"/>
  <c r="AB348" i="4"/>
  <c r="AA348" i="4"/>
  <c r="AC348" i="4" s="1"/>
  <c r="Z348" i="4"/>
  <c r="Y348" i="4"/>
  <c r="X348" i="4"/>
  <c r="W348" i="4"/>
  <c r="V348" i="4"/>
  <c r="U348" i="4"/>
  <c r="Q348" i="4"/>
  <c r="P348" i="4"/>
  <c r="O348" i="4"/>
  <c r="AL347" i="4"/>
  <c r="AK347" i="4"/>
  <c r="AJ347" i="4"/>
  <c r="AI347" i="4"/>
  <c r="AH347" i="4"/>
  <c r="AG347" i="4"/>
  <c r="AF347" i="4"/>
  <c r="AE347" i="4"/>
  <c r="AD347" i="4"/>
  <c r="AB347" i="4"/>
  <c r="AA347" i="4"/>
  <c r="AC347" i="4" s="1"/>
  <c r="Z347" i="4"/>
  <c r="Y347" i="4"/>
  <c r="X347" i="4"/>
  <c r="W347" i="4"/>
  <c r="V347" i="4"/>
  <c r="U347" i="4"/>
  <c r="Q347" i="4"/>
  <c r="P347" i="4"/>
  <c r="O347" i="4"/>
  <c r="AL346" i="4"/>
  <c r="AK346" i="4"/>
  <c r="AJ346" i="4"/>
  <c r="AI346" i="4"/>
  <c r="AH346" i="4"/>
  <c r="AG346" i="4"/>
  <c r="AF346" i="4"/>
  <c r="AE346" i="4"/>
  <c r="AD346" i="4"/>
  <c r="AB346" i="4"/>
  <c r="AA346" i="4"/>
  <c r="AC346" i="4" s="1"/>
  <c r="Z346" i="4"/>
  <c r="Y346" i="4"/>
  <c r="X346" i="4"/>
  <c r="W346" i="4"/>
  <c r="V346" i="4"/>
  <c r="U346" i="4"/>
  <c r="Q346" i="4"/>
  <c r="P346" i="4"/>
  <c r="O346" i="4"/>
  <c r="AL345" i="4"/>
  <c r="AK345" i="4"/>
  <c r="AJ345" i="4"/>
  <c r="AI345" i="4"/>
  <c r="AH345" i="4"/>
  <c r="AG345" i="4"/>
  <c r="AF345" i="4"/>
  <c r="AE345" i="4"/>
  <c r="AD345" i="4"/>
  <c r="AB345" i="4"/>
  <c r="AA345" i="4"/>
  <c r="AC345" i="4" s="1"/>
  <c r="Z345" i="4"/>
  <c r="Y345" i="4"/>
  <c r="X345" i="4"/>
  <c r="W345" i="4"/>
  <c r="V345" i="4"/>
  <c r="U345" i="4"/>
  <c r="Q345" i="4"/>
  <c r="P345" i="4"/>
  <c r="O345" i="4"/>
  <c r="AL344" i="4"/>
  <c r="AK344" i="4"/>
  <c r="AJ344" i="4"/>
  <c r="AI344" i="4"/>
  <c r="AH344" i="4"/>
  <c r="AG344" i="4"/>
  <c r="AF344" i="4"/>
  <c r="AE344" i="4"/>
  <c r="AD344" i="4"/>
  <c r="AB344" i="4"/>
  <c r="AA344" i="4"/>
  <c r="AC344" i="4" s="1"/>
  <c r="Z344" i="4"/>
  <c r="Y344" i="4"/>
  <c r="X344" i="4"/>
  <c r="W344" i="4"/>
  <c r="V344" i="4"/>
  <c r="U344" i="4"/>
  <c r="Q344" i="4"/>
  <c r="P344" i="4"/>
  <c r="O344" i="4"/>
  <c r="AL343" i="4"/>
  <c r="AK343" i="4"/>
  <c r="AJ343" i="4"/>
  <c r="AI343" i="4"/>
  <c r="AH343" i="4"/>
  <c r="AG343" i="4"/>
  <c r="AF343" i="4"/>
  <c r="AE343" i="4"/>
  <c r="AD343" i="4"/>
  <c r="AB343" i="4"/>
  <c r="AA343" i="4"/>
  <c r="AC343" i="4" s="1"/>
  <c r="Z343" i="4"/>
  <c r="Y343" i="4"/>
  <c r="X343" i="4"/>
  <c r="W343" i="4"/>
  <c r="V343" i="4"/>
  <c r="U343" i="4"/>
  <c r="Q343" i="4"/>
  <c r="P343" i="4"/>
  <c r="O343" i="4"/>
  <c r="AL342" i="4"/>
  <c r="AK342" i="4"/>
  <c r="AJ342" i="4"/>
  <c r="AI342" i="4"/>
  <c r="AH342" i="4"/>
  <c r="AG342" i="4"/>
  <c r="AF342" i="4"/>
  <c r="AE342" i="4"/>
  <c r="AD342" i="4"/>
  <c r="AB342" i="4"/>
  <c r="AA342" i="4"/>
  <c r="AC342" i="4" s="1"/>
  <c r="Z342" i="4"/>
  <c r="Y342" i="4"/>
  <c r="X342" i="4"/>
  <c r="W342" i="4"/>
  <c r="V342" i="4"/>
  <c r="U342" i="4"/>
  <c r="Q342" i="4"/>
  <c r="P342" i="4"/>
  <c r="O342" i="4"/>
  <c r="AL341" i="4"/>
  <c r="AK341" i="4"/>
  <c r="AJ341" i="4"/>
  <c r="AI341" i="4"/>
  <c r="AH341" i="4"/>
  <c r="AG341" i="4"/>
  <c r="AF341" i="4"/>
  <c r="AE341" i="4"/>
  <c r="AD341" i="4"/>
  <c r="AB341" i="4"/>
  <c r="AA341" i="4"/>
  <c r="AC341" i="4" s="1"/>
  <c r="Z341" i="4"/>
  <c r="Y341" i="4"/>
  <c r="X341" i="4"/>
  <c r="W341" i="4"/>
  <c r="V341" i="4"/>
  <c r="U341" i="4"/>
  <c r="Q341" i="4"/>
  <c r="P341" i="4"/>
  <c r="O341" i="4"/>
  <c r="AL340" i="4"/>
  <c r="AK340" i="4"/>
  <c r="AJ340" i="4"/>
  <c r="AI340" i="4"/>
  <c r="AG340" i="4"/>
  <c r="AF340" i="4"/>
  <c r="AE340" i="4"/>
  <c r="AD340" i="4"/>
  <c r="AB340" i="4"/>
  <c r="AA340" i="4"/>
  <c r="AC340" i="4" s="1"/>
  <c r="Z340" i="4"/>
  <c r="Y340" i="4"/>
  <c r="X340" i="4"/>
  <c r="W340" i="4"/>
  <c r="V340" i="4"/>
  <c r="U340" i="4"/>
  <c r="Q340" i="4"/>
  <c r="P340" i="4"/>
  <c r="O340" i="4"/>
  <c r="AL339" i="4"/>
  <c r="AK339" i="4"/>
  <c r="AJ339" i="4"/>
  <c r="AI339" i="4"/>
  <c r="AH339" i="4"/>
  <c r="AG339" i="4"/>
  <c r="AF339" i="4"/>
  <c r="AE339" i="4"/>
  <c r="AD339" i="4"/>
  <c r="AB339" i="4"/>
  <c r="AA339" i="4"/>
  <c r="AC339" i="4" s="1"/>
  <c r="Z339" i="4"/>
  <c r="Y339" i="4"/>
  <c r="X339" i="4"/>
  <c r="W339" i="4"/>
  <c r="V339" i="4"/>
  <c r="U339" i="4"/>
  <c r="Q339" i="4"/>
  <c r="P339" i="4"/>
  <c r="O339" i="4"/>
  <c r="AL338" i="4"/>
  <c r="AK338" i="4"/>
  <c r="AJ338" i="4"/>
  <c r="AI338" i="4"/>
  <c r="AH338" i="4"/>
  <c r="AG338" i="4"/>
  <c r="AF338" i="4"/>
  <c r="AE338" i="4"/>
  <c r="AD338" i="4"/>
  <c r="AB338" i="4"/>
  <c r="AA338" i="4"/>
  <c r="AC338" i="4" s="1"/>
  <c r="Z338" i="4"/>
  <c r="Y338" i="4"/>
  <c r="X338" i="4"/>
  <c r="W338" i="4"/>
  <c r="V338" i="4"/>
  <c r="U338" i="4"/>
  <c r="Q338" i="4"/>
  <c r="P338" i="4"/>
  <c r="O338" i="4"/>
  <c r="AL337" i="4"/>
  <c r="AK337" i="4"/>
  <c r="AJ337" i="4"/>
  <c r="AI337" i="4"/>
  <c r="AH337" i="4"/>
  <c r="AG337" i="4"/>
  <c r="AF337" i="4"/>
  <c r="AE337" i="4"/>
  <c r="AD337" i="4"/>
  <c r="AB337" i="4"/>
  <c r="AA337" i="4"/>
  <c r="AC337" i="4" s="1"/>
  <c r="Z337" i="4"/>
  <c r="Y337" i="4"/>
  <c r="X337" i="4"/>
  <c r="W337" i="4"/>
  <c r="V337" i="4"/>
  <c r="U337" i="4"/>
  <c r="Q337" i="4"/>
  <c r="P337" i="4"/>
  <c r="O337" i="4"/>
  <c r="AL336" i="4"/>
  <c r="AK336" i="4"/>
  <c r="AJ336" i="4"/>
  <c r="AI336" i="4"/>
  <c r="AH336" i="4"/>
  <c r="AG336" i="4"/>
  <c r="AF336" i="4"/>
  <c r="AE336" i="4"/>
  <c r="AD336" i="4"/>
  <c r="AB336" i="4"/>
  <c r="AA336" i="4"/>
  <c r="AC336" i="4" s="1"/>
  <c r="Z336" i="4"/>
  <c r="Y336" i="4"/>
  <c r="X336" i="4"/>
  <c r="W336" i="4"/>
  <c r="V336" i="4"/>
  <c r="U336" i="4"/>
  <c r="Q336" i="4"/>
  <c r="P336" i="4"/>
  <c r="O336" i="4"/>
  <c r="AL335" i="4"/>
  <c r="AK335" i="4"/>
  <c r="AJ335" i="4"/>
  <c r="AI335" i="4"/>
  <c r="AH335" i="4"/>
  <c r="AG335" i="4"/>
  <c r="AF335" i="4"/>
  <c r="AE335" i="4"/>
  <c r="AD335" i="4"/>
  <c r="AB335" i="4"/>
  <c r="AA335" i="4"/>
  <c r="AC335" i="4" s="1"/>
  <c r="Z335" i="4"/>
  <c r="Y335" i="4"/>
  <c r="X335" i="4"/>
  <c r="W335" i="4"/>
  <c r="V335" i="4"/>
  <c r="U335" i="4"/>
  <c r="Q335" i="4"/>
  <c r="P335" i="4"/>
  <c r="O335" i="4"/>
  <c r="AL334" i="4"/>
  <c r="AK334" i="4"/>
  <c r="AJ334" i="4"/>
  <c r="AI334" i="4"/>
  <c r="AG334" i="4"/>
  <c r="AF334" i="4"/>
  <c r="AE334" i="4"/>
  <c r="AD334" i="4"/>
  <c r="AB334" i="4"/>
  <c r="AA334" i="4"/>
  <c r="AC334" i="4" s="1"/>
  <c r="Z334" i="4"/>
  <c r="Y334" i="4"/>
  <c r="X334" i="4"/>
  <c r="W334" i="4"/>
  <c r="V334" i="4"/>
  <c r="U334" i="4"/>
  <c r="Q334" i="4"/>
  <c r="P334" i="4"/>
  <c r="O334" i="4"/>
  <c r="AL333" i="4"/>
  <c r="AK333" i="4"/>
  <c r="AJ333" i="4"/>
  <c r="AI333" i="4"/>
  <c r="AH333" i="4"/>
  <c r="AG333" i="4"/>
  <c r="AF333" i="4"/>
  <c r="AE333" i="4"/>
  <c r="AD333" i="4"/>
  <c r="AB333" i="4"/>
  <c r="AA333" i="4"/>
  <c r="AC333" i="4" s="1"/>
  <c r="Z333" i="4"/>
  <c r="Y333" i="4"/>
  <c r="X333" i="4"/>
  <c r="W333" i="4"/>
  <c r="V333" i="4"/>
  <c r="U333" i="4"/>
  <c r="Q333" i="4"/>
  <c r="P333" i="4"/>
  <c r="O333" i="4"/>
  <c r="AL332" i="4"/>
  <c r="AK332" i="4"/>
  <c r="AJ332" i="4"/>
  <c r="AI332" i="4"/>
  <c r="AH332" i="4"/>
  <c r="AG332" i="4"/>
  <c r="AF332" i="4"/>
  <c r="AE332" i="4"/>
  <c r="AD332" i="4"/>
  <c r="AB332" i="4"/>
  <c r="AA332" i="4"/>
  <c r="AC332" i="4" s="1"/>
  <c r="Z332" i="4"/>
  <c r="Y332" i="4"/>
  <c r="X332" i="4"/>
  <c r="W332" i="4"/>
  <c r="V332" i="4"/>
  <c r="U332" i="4"/>
  <c r="Q332" i="4"/>
  <c r="P332" i="4"/>
  <c r="O332" i="4"/>
  <c r="AL331" i="4"/>
  <c r="AK331" i="4"/>
  <c r="AJ331" i="4"/>
  <c r="AI331" i="4"/>
  <c r="AH331" i="4"/>
  <c r="AG331" i="4"/>
  <c r="AF331" i="4"/>
  <c r="AE331" i="4"/>
  <c r="AD331" i="4"/>
  <c r="AB331" i="4"/>
  <c r="AA331" i="4"/>
  <c r="AC331" i="4" s="1"/>
  <c r="Z331" i="4"/>
  <c r="Y331" i="4"/>
  <c r="X331" i="4"/>
  <c r="W331" i="4"/>
  <c r="V331" i="4"/>
  <c r="U331" i="4"/>
  <c r="Q331" i="4"/>
  <c r="P331" i="4"/>
  <c r="O331" i="4"/>
  <c r="AL330" i="4"/>
  <c r="AK330" i="4"/>
  <c r="AJ330" i="4"/>
  <c r="AI330" i="4"/>
  <c r="AH330" i="4"/>
  <c r="AG330" i="4"/>
  <c r="AF330" i="4"/>
  <c r="AE330" i="4"/>
  <c r="AD330" i="4"/>
  <c r="AB330" i="4"/>
  <c r="AA330" i="4"/>
  <c r="AC330" i="4" s="1"/>
  <c r="Z330" i="4"/>
  <c r="Y330" i="4"/>
  <c r="X330" i="4"/>
  <c r="W330" i="4"/>
  <c r="V330" i="4"/>
  <c r="U330" i="4"/>
  <c r="Q330" i="4"/>
  <c r="P330" i="4"/>
  <c r="O330" i="4"/>
  <c r="AL329" i="4"/>
  <c r="AK329" i="4"/>
  <c r="AJ329" i="4"/>
  <c r="AI329" i="4"/>
  <c r="AH329" i="4"/>
  <c r="AG329" i="4"/>
  <c r="AF329" i="4"/>
  <c r="AE329" i="4"/>
  <c r="AD329" i="4"/>
  <c r="AB329" i="4"/>
  <c r="AA329" i="4"/>
  <c r="AC329" i="4" s="1"/>
  <c r="Z329" i="4"/>
  <c r="Y329" i="4"/>
  <c r="X329" i="4"/>
  <c r="W329" i="4"/>
  <c r="V329" i="4"/>
  <c r="U329" i="4"/>
  <c r="Q329" i="4"/>
  <c r="P329" i="4"/>
  <c r="O329" i="4"/>
  <c r="AL328" i="4"/>
  <c r="AK328" i="4"/>
  <c r="AJ328" i="4"/>
  <c r="AI328" i="4"/>
  <c r="AH328" i="4"/>
  <c r="AG328" i="4"/>
  <c r="AF328" i="4"/>
  <c r="AE328" i="4"/>
  <c r="AD328" i="4"/>
  <c r="AB328" i="4"/>
  <c r="AA328" i="4"/>
  <c r="AC328" i="4" s="1"/>
  <c r="Z328" i="4"/>
  <c r="Y328" i="4"/>
  <c r="X328" i="4"/>
  <c r="W328" i="4"/>
  <c r="V328" i="4"/>
  <c r="U328" i="4"/>
  <c r="Q328" i="4"/>
  <c r="P328" i="4"/>
  <c r="O328" i="4"/>
  <c r="AL327" i="4"/>
  <c r="AK327" i="4"/>
  <c r="AJ327" i="4"/>
  <c r="AI327" i="4"/>
  <c r="AH327" i="4"/>
  <c r="AG327" i="4"/>
  <c r="AF327" i="4"/>
  <c r="AE327" i="4"/>
  <c r="AD327" i="4"/>
  <c r="AB327" i="4"/>
  <c r="AA327" i="4"/>
  <c r="AC327" i="4" s="1"/>
  <c r="Z327" i="4"/>
  <c r="Y327" i="4"/>
  <c r="X327" i="4"/>
  <c r="W327" i="4"/>
  <c r="V327" i="4"/>
  <c r="U327" i="4"/>
  <c r="Q327" i="4"/>
  <c r="P327" i="4"/>
  <c r="O327" i="4"/>
  <c r="AL326" i="4"/>
  <c r="AK326" i="4"/>
  <c r="AJ326" i="4"/>
  <c r="AI326" i="4"/>
  <c r="AH326" i="4"/>
  <c r="AG326" i="4"/>
  <c r="AF326" i="4"/>
  <c r="AE326" i="4"/>
  <c r="AD326" i="4"/>
  <c r="AB326" i="4"/>
  <c r="AA326" i="4"/>
  <c r="AC326" i="4" s="1"/>
  <c r="Z326" i="4"/>
  <c r="Y326" i="4"/>
  <c r="X326" i="4"/>
  <c r="W326" i="4"/>
  <c r="V326" i="4"/>
  <c r="U326" i="4"/>
  <c r="Q326" i="4"/>
  <c r="P326" i="4"/>
  <c r="O326" i="4"/>
  <c r="AL325" i="4"/>
  <c r="AK325" i="4"/>
  <c r="AJ325" i="4"/>
  <c r="AI325" i="4"/>
  <c r="AH325" i="4"/>
  <c r="AG325" i="4"/>
  <c r="AF325" i="4"/>
  <c r="AE325" i="4"/>
  <c r="AD325" i="4"/>
  <c r="AB325" i="4"/>
  <c r="AA325" i="4"/>
  <c r="AC325" i="4" s="1"/>
  <c r="Z325" i="4"/>
  <c r="Y325" i="4"/>
  <c r="X325" i="4"/>
  <c r="W325" i="4"/>
  <c r="V325" i="4"/>
  <c r="U325" i="4"/>
  <c r="Q325" i="4"/>
  <c r="P325" i="4"/>
  <c r="O325" i="4"/>
  <c r="AL324" i="4"/>
  <c r="AK324" i="4"/>
  <c r="AJ324" i="4"/>
  <c r="AI324" i="4"/>
  <c r="AH324" i="4"/>
  <c r="AG324" i="4"/>
  <c r="AF324" i="4"/>
  <c r="AE324" i="4"/>
  <c r="AD324" i="4"/>
  <c r="AB324" i="4"/>
  <c r="AA324" i="4"/>
  <c r="AC324" i="4" s="1"/>
  <c r="Z324" i="4"/>
  <c r="Y324" i="4"/>
  <c r="X324" i="4"/>
  <c r="W324" i="4"/>
  <c r="V324" i="4"/>
  <c r="U324" i="4"/>
  <c r="Q324" i="4"/>
  <c r="P324" i="4"/>
  <c r="O324" i="4"/>
  <c r="AL323" i="4"/>
  <c r="AK323" i="4"/>
  <c r="AJ323" i="4"/>
  <c r="AI323" i="4"/>
  <c r="AG323" i="4"/>
  <c r="AF323" i="4"/>
  <c r="AE323" i="4"/>
  <c r="AD323" i="4"/>
  <c r="AB323" i="4"/>
  <c r="AA323" i="4"/>
  <c r="AC323" i="4" s="1"/>
  <c r="Z323" i="4"/>
  <c r="Y323" i="4"/>
  <c r="X323" i="4"/>
  <c r="W323" i="4"/>
  <c r="V323" i="4"/>
  <c r="U323" i="4"/>
  <c r="Q323" i="4"/>
  <c r="P323" i="4"/>
  <c r="O323" i="4"/>
  <c r="AL322" i="4"/>
  <c r="AK322" i="4"/>
  <c r="AJ322" i="4"/>
  <c r="AI322" i="4"/>
  <c r="AH322" i="4"/>
  <c r="AG322" i="4"/>
  <c r="AF322" i="4"/>
  <c r="AE322" i="4"/>
  <c r="AD322" i="4"/>
  <c r="AB322" i="4"/>
  <c r="AA322" i="4"/>
  <c r="AC322" i="4" s="1"/>
  <c r="Z322" i="4"/>
  <c r="Y322" i="4"/>
  <c r="X322" i="4"/>
  <c r="W322" i="4"/>
  <c r="V322" i="4"/>
  <c r="U322" i="4"/>
  <c r="Q322" i="4"/>
  <c r="P322" i="4"/>
  <c r="O322" i="4"/>
  <c r="AL321" i="4"/>
  <c r="AK321" i="4"/>
  <c r="AJ321" i="4"/>
  <c r="AI321" i="4"/>
  <c r="AH321" i="4"/>
  <c r="AG321" i="4"/>
  <c r="AF321" i="4"/>
  <c r="AE321" i="4"/>
  <c r="AD321" i="4"/>
  <c r="AB321" i="4"/>
  <c r="AA321" i="4"/>
  <c r="AC321" i="4" s="1"/>
  <c r="Z321" i="4"/>
  <c r="Y321" i="4"/>
  <c r="X321" i="4"/>
  <c r="W321" i="4"/>
  <c r="V321" i="4"/>
  <c r="U321" i="4"/>
  <c r="Q321" i="4"/>
  <c r="P321" i="4"/>
  <c r="O321" i="4"/>
  <c r="AL320" i="4"/>
  <c r="AK320" i="4"/>
  <c r="AJ320" i="4"/>
  <c r="AI320" i="4"/>
  <c r="AH320" i="4"/>
  <c r="AG320" i="4"/>
  <c r="AF320" i="4"/>
  <c r="AE320" i="4"/>
  <c r="AD320" i="4"/>
  <c r="AB320" i="4"/>
  <c r="AA320" i="4"/>
  <c r="AC320" i="4" s="1"/>
  <c r="Z320" i="4"/>
  <c r="Y320" i="4"/>
  <c r="X320" i="4"/>
  <c r="W320" i="4"/>
  <c r="V320" i="4"/>
  <c r="U320" i="4"/>
  <c r="Q320" i="4"/>
  <c r="P320" i="4"/>
  <c r="O320" i="4"/>
  <c r="AL319" i="4"/>
  <c r="AK319" i="4"/>
  <c r="AJ319" i="4"/>
  <c r="AI319" i="4"/>
  <c r="AH319" i="4"/>
  <c r="AG319" i="4"/>
  <c r="AF319" i="4"/>
  <c r="AE319" i="4"/>
  <c r="AD319" i="4"/>
  <c r="AB319" i="4"/>
  <c r="AA319" i="4"/>
  <c r="AC319" i="4" s="1"/>
  <c r="Z319" i="4"/>
  <c r="Y319" i="4"/>
  <c r="X319" i="4"/>
  <c r="W319" i="4"/>
  <c r="V319" i="4"/>
  <c r="U319" i="4"/>
  <c r="Q319" i="4"/>
  <c r="P319" i="4"/>
  <c r="O319" i="4"/>
  <c r="AL318" i="4"/>
  <c r="AK318" i="4"/>
  <c r="AJ318" i="4"/>
  <c r="AI318" i="4"/>
  <c r="AG318" i="4"/>
  <c r="AF318" i="4"/>
  <c r="AE318" i="4"/>
  <c r="AD318" i="4"/>
  <c r="AB318" i="4"/>
  <c r="AA318" i="4"/>
  <c r="AC318" i="4" s="1"/>
  <c r="Z318" i="4"/>
  <c r="Y318" i="4"/>
  <c r="X318" i="4"/>
  <c r="W318" i="4"/>
  <c r="V318" i="4"/>
  <c r="U318" i="4"/>
  <c r="Q318" i="4"/>
  <c r="P318" i="4"/>
  <c r="O318" i="4"/>
  <c r="AL317" i="4"/>
  <c r="AK317" i="4"/>
  <c r="AJ317" i="4"/>
  <c r="AI317" i="4"/>
  <c r="AH317" i="4"/>
  <c r="AG317" i="4"/>
  <c r="AF317" i="4"/>
  <c r="AE317" i="4"/>
  <c r="AD317" i="4"/>
  <c r="AB317" i="4"/>
  <c r="AA317" i="4"/>
  <c r="AC317" i="4" s="1"/>
  <c r="Z317" i="4"/>
  <c r="Y317" i="4"/>
  <c r="X317" i="4"/>
  <c r="W317" i="4"/>
  <c r="V317" i="4"/>
  <c r="U317" i="4"/>
  <c r="Q317" i="4"/>
  <c r="P317" i="4"/>
  <c r="O317" i="4"/>
  <c r="AL316" i="4"/>
  <c r="AK316" i="4"/>
  <c r="AJ316" i="4"/>
  <c r="AI316" i="4"/>
  <c r="AH316" i="4"/>
  <c r="AG316" i="4"/>
  <c r="AF316" i="4"/>
  <c r="AE316" i="4"/>
  <c r="AD316" i="4"/>
  <c r="AB316" i="4"/>
  <c r="AA316" i="4"/>
  <c r="AC316" i="4" s="1"/>
  <c r="Z316" i="4"/>
  <c r="Y316" i="4"/>
  <c r="X316" i="4"/>
  <c r="W316" i="4"/>
  <c r="V316" i="4"/>
  <c r="U316" i="4"/>
  <c r="Q316" i="4"/>
  <c r="P316" i="4"/>
  <c r="O316" i="4"/>
  <c r="AL315" i="4"/>
  <c r="AK315" i="4"/>
  <c r="AJ315" i="4"/>
  <c r="AI315" i="4"/>
  <c r="AH315" i="4"/>
  <c r="AG315" i="4"/>
  <c r="AF315" i="4"/>
  <c r="AE315" i="4"/>
  <c r="AD315" i="4"/>
  <c r="AB315" i="4"/>
  <c r="AA315" i="4"/>
  <c r="AC315" i="4" s="1"/>
  <c r="Z315" i="4"/>
  <c r="Y315" i="4"/>
  <c r="X315" i="4"/>
  <c r="W315" i="4"/>
  <c r="V315" i="4"/>
  <c r="U315" i="4"/>
  <c r="Q315" i="4"/>
  <c r="P315" i="4"/>
  <c r="O315" i="4"/>
  <c r="AL314" i="4"/>
  <c r="AK314" i="4"/>
  <c r="AJ314" i="4"/>
  <c r="AI314" i="4"/>
  <c r="AH314" i="4"/>
  <c r="AG314" i="4"/>
  <c r="AF314" i="4"/>
  <c r="AE314" i="4"/>
  <c r="AD314" i="4"/>
  <c r="AB314" i="4"/>
  <c r="AA314" i="4"/>
  <c r="AC314" i="4" s="1"/>
  <c r="Z314" i="4"/>
  <c r="Y314" i="4"/>
  <c r="X314" i="4"/>
  <c r="W314" i="4"/>
  <c r="V314" i="4"/>
  <c r="U314" i="4"/>
  <c r="Q314" i="4"/>
  <c r="P314" i="4"/>
  <c r="O314" i="4"/>
  <c r="AL313" i="4"/>
  <c r="AK313" i="4"/>
  <c r="AJ313" i="4"/>
  <c r="AI313" i="4"/>
  <c r="AH313" i="4"/>
  <c r="AG313" i="4"/>
  <c r="AF313" i="4"/>
  <c r="AE313" i="4"/>
  <c r="AD313" i="4"/>
  <c r="AB313" i="4"/>
  <c r="AA313" i="4"/>
  <c r="AC313" i="4" s="1"/>
  <c r="Z313" i="4"/>
  <c r="Y313" i="4"/>
  <c r="X313" i="4"/>
  <c r="W313" i="4"/>
  <c r="V313" i="4"/>
  <c r="U313" i="4"/>
  <c r="Q313" i="4"/>
  <c r="P313" i="4"/>
  <c r="O313" i="4"/>
  <c r="AL312" i="4"/>
  <c r="AK312" i="4"/>
  <c r="AJ312" i="4"/>
  <c r="AI312" i="4"/>
  <c r="AH312" i="4"/>
  <c r="AG312" i="4"/>
  <c r="AF312" i="4"/>
  <c r="AE312" i="4"/>
  <c r="AD312" i="4"/>
  <c r="AB312" i="4"/>
  <c r="AA312" i="4"/>
  <c r="AC312" i="4" s="1"/>
  <c r="Z312" i="4"/>
  <c r="Y312" i="4"/>
  <c r="X312" i="4"/>
  <c r="W312" i="4"/>
  <c r="V312" i="4"/>
  <c r="U312" i="4"/>
  <c r="Q312" i="4"/>
  <c r="P312" i="4"/>
  <c r="O312" i="4"/>
  <c r="AL311" i="4"/>
  <c r="AK311" i="4"/>
  <c r="AJ311" i="4"/>
  <c r="AI311" i="4"/>
  <c r="AH311" i="4"/>
  <c r="AG311" i="4"/>
  <c r="AF311" i="4"/>
  <c r="AE311" i="4"/>
  <c r="AD311" i="4"/>
  <c r="AB311" i="4"/>
  <c r="AA311" i="4"/>
  <c r="AC311" i="4" s="1"/>
  <c r="Z311" i="4"/>
  <c r="Y311" i="4"/>
  <c r="X311" i="4"/>
  <c r="W311" i="4"/>
  <c r="V311" i="4"/>
  <c r="U311" i="4"/>
  <c r="Q311" i="4"/>
  <c r="P311" i="4"/>
  <c r="O311" i="4"/>
  <c r="AL310" i="4"/>
  <c r="AK310" i="4"/>
  <c r="AJ310" i="4"/>
  <c r="AI310" i="4"/>
  <c r="AH310" i="4"/>
  <c r="AG310" i="4"/>
  <c r="AF310" i="4"/>
  <c r="AE310" i="4"/>
  <c r="AD310" i="4"/>
  <c r="AB310" i="4"/>
  <c r="AA310" i="4"/>
  <c r="AC310" i="4" s="1"/>
  <c r="Z310" i="4"/>
  <c r="Y310" i="4"/>
  <c r="X310" i="4"/>
  <c r="W310" i="4"/>
  <c r="V310" i="4"/>
  <c r="U310" i="4"/>
  <c r="Q310" i="4"/>
  <c r="P310" i="4"/>
  <c r="O310" i="4"/>
  <c r="AL309" i="4"/>
  <c r="AK309" i="4"/>
  <c r="AJ309" i="4"/>
  <c r="AI309" i="4"/>
  <c r="AG309" i="4"/>
  <c r="AF309" i="4"/>
  <c r="AE309" i="4"/>
  <c r="AD309" i="4"/>
  <c r="AB309" i="4"/>
  <c r="AA309" i="4"/>
  <c r="AC309" i="4" s="1"/>
  <c r="Z309" i="4"/>
  <c r="Y309" i="4"/>
  <c r="X309" i="4"/>
  <c r="W309" i="4"/>
  <c r="V309" i="4"/>
  <c r="U309" i="4"/>
  <c r="Q309" i="4"/>
  <c r="P309" i="4"/>
  <c r="O309" i="4"/>
  <c r="AL308" i="4"/>
  <c r="AK308" i="4"/>
  <c r="AJ308" i="4"/>
  <c r="AI308" i="4"/>
  <c r="AH308" i="4"/>
  <c r="AG308" i="4"/>
  <c r="AF308" i="4"/>
  <c r="AE308" i="4"/>
  <c r="AD308" i="4"/>
  <c r="AB308" i="4"/>
  <c r="AA308" i="4"/>
  <c r="AC308" i="4" s="1"/>
  <c r="Z308" i="4"/>
  <c r="Y308" i="4"/>
  <c r="X308" i="4"/>
  <c r="W308" i="4"/>
  <c r="V308" i="4"/>
  <c r="U308" i="4"/>
  <c r="Q308" i="4"/>
  <c r="P308" i="4"/>
  <c r="O308" i="4"/>
  <c r="AL307" i="4"/>
  <c r="AK307" i="4"/>
  <c r="AJ307" i="4"/>
  <c r="AI307" i="4"/>
  <c r="AH307" i="4"/>
  <c r="AG307" i="4"/>
  <c r="AF307" i="4"/>
  <c r="AE307" i="4"/>
  <c r="AD307" i="4"/>
  <c r="AB307" i="4"/>
  <c r="AA307" i="4"/>
  <c r="AC307" i="4" s="1"/>
  <c r="Z307" i="4"/>
  <c r="Y307" i="4"/>
  <c r="X307" i="4"/>
  <c r="W307" i="4"/>
  <c r="V307" i="4"/>
  <c r="U307" i="4"/>
  <c r="Q307" i="4"/>
  <c r="P307" i="4"/>
  <c r="O307" i="4"/>
  <c r="AL306" i="4"/>
  <c r="AK306" i="4"/>
  <c r="AJ306" i="4"/>
  <c r="AI306" i="4"/>
  <c r="AH306" i="4"/>
  <c r="AG306" i="4"/>
  <c r="AF306" i="4"/>
  <c r="AE306" i="4"/>
  <c r="AD306" i="4"/>
  <c r="AB306" i="4"/>
  <c r="AA306" i="4"/>
  <c r="AC306" i="4" s="1"/>
  <c r="Z306" i="4"/>
  <c r="Y306" i="4"/>
  <c r="X306" i="4"/>
  <c r="W306" i="4"/>
  <c r="V306" i="4"/>
  <c r="U306" i="4"/>
  <c r="Q306" i="4"/>
  <c r="P306" i="4"/>
  <c r="O306" i="4"/>
  <c r="AL305" i="4"/>
  <c r="AK305" i="4"/>
  <c r="AJ305" i="4"/>
  <c r="AI305" i="4"/>
  <c r="AH305" i="4"/>
  <c r="AG305" i="4"/>
  <c r="AF305" i="4"/>
  <c r="AE305" i="4"/>
  <c r="AD305" i="4"/>
  <c r="AB305" i="4"/>
  <c r="AA305" i="4"/>
  <c r="AC305" i="4" s="1"/>
  <c r="Z305" i="4"/>
  <c r="Y305" i="4"/>
  <c r="X305" i="4"/>
  <c r="W305" i="4"/>
  <c r="V305" i="4"/>
  <c r="U305" i="4"/>
  <c r="Q305" i="4"/>
  <c r="P305" i="4"/>
  <c r="O305" i="4"/>
  <c r="AL304" i="4"/>
  <c r="AK304" i="4"/>
  <c r="AJ304" i="4"/>
  <c r="AI304" i="4"/>
  <c r="AG304" i="4"/>
  <c r="AF304" i="4"/>
  <c r="AE304" i="4"/>
  <c r="AD304" i="4"/>
  <c r="AB304" i="4"/>
  <c r="AA304" i="4"/>
  <c r="AC304" i="4" s="1"/>
  <c r="Z304" i="4"/>
  <c r="Y304" i="4"/>
  <c r="X304" i="4"/>
  <c r="W304" i="4"/>
  <c r="V304" i="4"/>
  <c r="U304" i="4"/>
  <c r="Q304" i="4"/>
  <c r="P304" i="4"/>
  <c r="O304" i="4"/>
  <c r="AL303" i="4"/>
  <c r="AK303" i="4"/>
  <c r="AJ303" i="4"/>
  <c r="AI303" i="4"/>
  <c r="AH303" i="4"/>
  <c r="AG303" i="4"/>
  <c r="AF303" i="4"/>
  <c r="AE303" i="4"/>
  <c r="AD303" i="4"/>
  <c r="AB303" i="4"/>
  <c r="AA303" i="4"/>
  <c r="AC303" i="4" s="1"/>
  <c r="Z303" i="4"/>
  <c r="Y303" i="4"/>
  <c r="X303" i="4"/>
  <c r="W303" i="4"/>
  <c r="V303" i="4"/>
  <c r="U303" i="4"/>
  <c r="Q303" i="4"/>
  <c r="P303" i="4"/>
  <c r="O303" i="4"/>
  <c r="AL302" i="4"/>
  <c r="AK302" i="4"/>
  <c r="AJ302" i="4"/>
  <c r="AI302" i="4"/>
  <c r="AH302" i="4"/>
  <c r="AG302" i="4"/>
  <c r="AF302" i="4"/>
  <c r="AE302" i="4"/>
  <c r="AD302" i="4"/>
  <c r="AB302" i="4"/>
  <c r="AA302" i="4"/>
  <c r="AC302" i="4" s="1"/>
  <c r="Z302" i="4"/>
  <c r="Y302" i="4"/>
  <c r="X302" i="4"/>
  <c r="W302" i="4"/>
  <c r="V302" i="4"/>
  <c r="U302" i="4"/>
  <c r="Q302" i="4"/>
  <c r="P302" i="4"/>
  <c r="O302" i="4"/>
  <c r="AL301" i="4"/>
  <c r="AK301" i="4"/>
  <c r="AJ301" i="4"/>
  <c r="AI301" i="4"/>
  <c r="AH301" i="4"/>
  <c r="AG301" i="4"/>
  <c r="AF301" i="4"/>
  <c r="AE301" i="4"/>
  <c r="AD301" i="4"/>
  <c r="AB301" i="4"/>
  <c r="AA301" i="4"/>
  <c r="AC301" i="4" s="1"/>
  <c r="Z301" i="4"/>
  <c r="Y301" i="4"/>
  <c r="X301" i="4"/>
  <c r="W301" i="4"/>
  <c r="V301" i="4"/>
  <c r="U301" i="4"/>
  <c r="Q301" i="4"/>
  <c r="P301" i="4"/>
  <c r="O301" i="4"/>
  <c r="AL300" i="4"/>
  <c r="AK300" i="4"/>
  <c r="AJ300" i="4"/>
  <c r="AI300" i="4"/>
  <c r="AH300" i="4"/>
  <c r="AG300" i="4"/>
  <c r="AF300" i="4"/>
  <c r="AE300" i="4"/>
  <c r="AD300" i="4"/>
  <c r="AB300" i="4"/>
  <c r="AA300" i="4"/>
  <c r="AC300" i="4" s="1"/>
  <c r="Z300" i="4"/>
  <c r="Y300" i="4"/>
  <c r="X300" i="4"/>
  <c r="W300" i="4"/>
  <c r="V300" i="4"/>
  <c r="U300" i="4"/>
  <c r="Q300" i="4"/>
  <c r="P300" i="4"/>
  <c r="O300" i="4"/>
  <c r="AL299" i="4"/>
  <c r="AK299" i="4"/>
  <c r="AJ299" i="4"/>
  <c r="AI299" i="4"/>
  <c r="AH299" i="4"/>
  <c r="AG299" i="4"/>
  <c r="AF299" i="4"/>
  <c r="AE299" i="4"/>
  <c r="AD299" i="4"/>
  <c r="AB299" i="4"/>
  <c r="AA299" i="4"/>
  <c r="AC299" i="4" s="1"/>
  <c r="Z299" i="4"/>
  <c r="Y299" i="4"/>
  <c r="X299" i="4"/>
  <c r="W299" i="4"/>
  <c r="V299" i="4"/>
  <c r="U299" i="4"/>
  <c r="Q299" i="4"/>
  <c r="P299" i="4"/>
  <c r="O299" i="4"/>
  <c r="AL298" i="4"/>
  <c r="AK298" i="4"/>
  <c r="AJ298" i="4"/>
  <c r="AI298" i="4"/>
  <c r="AH298" i="4"/>
  <c r="AG298" i="4"/>
  <c r="AF298" i="4"/>
  <c r="AE298" i="4"/>
  <c r="AD298" i="4"/>
  <c r="AB298" i="4"/>
  <c r="AA298" i="4"/>
  <c r="AC298" i="4" s="1"/>
  <c r="Z298" i="4"/>
  <c r="Y298" i="4"/>
  <c r="X298" i="4"/>
  <c r="W298" i="4"/>
  <c r="V298" i="4"/>
  <c r="U298" i="4"/>
  <c r="Q298" i="4"/>
  <c r="P298" i="4"/>
  <c r="O298" i="4"/>
  <c r="AL297" i="4"/>
  <c r="AK297" i="4"/>
  <c r="AJ297" i="4"/>
  <c r="AI297" i="4"/>
  <c r="AH297" i="4"/>
  <c r="AG297" i="4"/>
  <c r="AF297" i="4"/>
  <c r="AE297" i="4"/>
  <c r="AD297" i="4"/>
  <c r="AB297" i="4"/>
  <c r="AA297" i="4"/>
  <c r="AC297" i="4" s="1"/>
  <c r="Z297" i="4"/>
  <c r="Y297" i="4"/>
  <c r="X297" i="4"/>
  <c r="W297" i="4"/>
  <c r="V297" i="4"/>
  <c r="U297" i="4"/>
  <c r="Q297" i="4"/>
  <c r="P297" i="4"/>
  <c r="O297" i="4"/>
  <c r="AL296" i="4"/>
  <c r="AK296" i="4"/>
  <c r="AJ296" i="4"/>
  <c r="AI296" i="4"/>
  <c r="AH296" i="4"/>
  <c r="AG296" i="4"/>
  <c r="AF296" i="4"/>
  <c r="AE296" i="4"/>
  <c r="AD296" i="4"/>
  <c r="AB296" i="4"/>
  <c r="AA296" i="4"/>
  <c r="AC296" i="4" s="1"/>
  <c r="Z296" i="4"/>
  <c r="Y296" i="4"/>
  <c r="X296" i="4"/>
  <c r="W296" i="4"/>
  <c r="V296" i="4"/>
  <c r="U296" i="4"/>
  <c r="Q296" i="4"/>
  <c r="P296" i="4"/>
  <c r="O296" i="4"/>
  <c r="AL295" i="4"/>
  <c r="AK295" i="4"/>
  <c r="AJ295" i="4"/>
  <c r="AI295" i="4"/>
  <c r="AH295" i="4"/>
  <c r="AG295" i="4"/>
  <c r="AF295" i="4"/>
  <c r="AE295" i="4"/>
  <c r="AD295" i="4"/>
  <c r="AB295" i="4"/>
  <c r="AA295" i="4"/>
  <c r="AC295" i="4" s="1"/>
  <c r="Z295" i="4"/>
  <c r="Y295" i="4"/>
  <c r="X295" i="4"/>
  <c r="W295" i="4"/>
  <c r="V295" i="4"/>
  <c r="U295" i="4"/>
  <c r="Q295" i="4"/>
  <c r="P295" i="4"/>
  <c r="O295" i="4"/>
  <c r="AL294" i="4"/>
  <c r="AK294" i="4"/>
  <c r="AJ294" i="4"/>
  <c r="AI294" i="4"/>
  <c r="AH294" i="4"/>
  <c r="AG294" i="4"/>
  <c r="AF294" i="4"/>
  <c r="AE294" i="4"/>
  <c r="AD294" i="4"/>
  <c r="AB294" i="4"/>
  <c r="AA294" i="4"/>
  <c r="AC294" i="4" s="1"/>
  <c r="Z294" i="4"/>
  <c r="Y294" i="4"/>
  <c r="X294" i="4"/>
  <c r="W294" i="4"/>
  <c r="V294" i="4"/>
  <c r="U294" i="4"/>
  <c r="Q294" i="4"/>
  <c r="P294" i="4"/>
  <c r="O294" i="4"/>
  <c r="AL293" i="4"/>
  <c r="AK293" i="4"/>
  <c r="AJ293" i="4"/>
  <c r="AI293" i="4"/>
  <c r="AG293" i="4"/>
  <c r="AF293" i="4"/>
  <c r="AE293" i="4"/>
  <c r="AD293" i="4"/>
  <c r="AB293" i="4"/>
  <c r="AA293" i="4"/>
  <c r="AC293" i="4" s="1"/>
  <c r="Z293" i="4"/>
  <c r="Y293" i="4"/>
  <c r="X293" i="4"/>
  <c r="W293" i="4"/>
  <c r="V293" i="4"/>
  <c r="U293" i="4"/>
  <c r="Q293" i="4"/>
  <c r="P293" i="4"/>
  <c r="O293" i="4"/>
  <c r="AL292" i="4"/>
  <c r="AK292" i="4"/>
  <c r="AJ292" i="4"/>
  <c r="AI292" i="4"/>
  <c r="AH292" i="4"/>
  <c r="AG292" i="4"/>
  <c r="AF292" i="4"/>
  <c r="AE292" i="4"/>
  <c r="AD292" i="4"/>
  <c r="AB292" i="4"/>
  <c r="AA292" i="4"/>
  <c r="AC292" i="4" s="1"/>
  <c r="Z292" i="4"/>
  <c r="Y292" i="4"/>
  <c r="X292" i="4"/>
  <c r="W292" i="4"/>
  <c r="V292" i="4"/>
  <c r="U292" i="4"/>
  <c r="Q292" i="4"/>
  <c r="P292" i="4"/>
  <c r="O292" i="4"/>
  <c r="AL291" i="4"/>
  <c r="AK291" i="4"/>
  <c r="AJ291" i="4"/>
  <c r="AI291" i="4"/>
  <c r="AH291" i="4"/>
  <c r="AG291" i="4"/>
  <c r="AF291" i="4"/>
  <c r="AE291" i="4"/>
  <c r="AD291" i="4"/>
  <c r="AB291" i="4"/>
  <c r="AA291" i="4"/>
  <c r="AC291" i="4" s="1"/>
  <c r="Z291" i="4"/>
  <c r="Y291" i="4"/>
  <c r="X291" i="4"/>
  <c r="W291" i="4"/>
  <c r="V291" i="4"/>
  <c r="U291" i="4"/>
  <c r="Q291" i="4"/>
  <c r="P291" i="4"/>
  <c r="O291" i="4"/>
  <c r="AL290" i="4"/>
  <c r="AK290" i="4"/>
  <c r="AJ290" i="4"/>
  <c r="AI290" i="4"/>
  <c r="AH290" i="4"/>
  <c r="AG290" i="4"/>
  <c r="AF290" i="4"/>
  <c r="AE290" i="4"/>
  <c r="AD290" i="4"/>
  <c r="AB290" i="4"/>
  <c r="AA290" i="4"/>
  <c r="AC290" i="4" s="1"/>
  <c r="Z290" i="4"/>
  <c r="Y290" i="4"/>
  <c r="X290" i="4"/>
  <c r="W290" i="4"/>
  <c r="V290" i="4"/>
  <c r="U290" i="4"/>
  <c r="Q290" i="4"/>
  <c r="P290" i="4"/>
  <c r="O290" i="4"/>
  <c r="AL289" i="4"/>
  <c r="AK289" i="4"/>
  <c r="AJ289" i="4"/>
  <c r="AI289" i="4"/>
  <c r="AH289" i="4"/>
  <c r="AG289" i="4"/>
  <c r="AF289" i="4"/>
  <c r="AE289" i="4"/>
  <c r="AD289" i="4"/>
  <c r="AB289" i="4"/>
  <c r="AA289" i="4"/>
  <c r="AC289" i="4" s="1"/>
  <c r="Z289" i="4"/>
  <c r="Y289" i="4"/>
  <c r="X289" i="4"/>
  <c r="W289" i="4"/>
  <c r="V289" i="4"/>
  <c r="U289" i="4"/>
  <c r="Q289" i="4"/>
  <c r="P289" i="4"/>
  <c r="O289" i="4"/>
  <c r="AL288" i="4"/>
  <c r="AK288" i="4"/>
  <c r="AJ288" i="4"/>
  <c r="AI288" i="4"/>
  <c r="AH288" i="4"/>
  <c r="AG288" i="4"/>
  <c r="AF288" i="4"/>
  <c r="AE288" i="4"/>
  <c r="AD288" i="4"/>
  <c r="AB288" i="4"/>
  <c r="AA288" i="4"/>
  <c r="AC288" i="4" s="1"/>
  <c r="Z288" i="4"/>
  <c r="Y288" i="4"/>
  <c r="X288" i="4"/>
  <c r="W288" i="4"/>
  <c r="V288" i="4"/>
  <c r="U288" i="4"/>
  <c r="Q288" i="4"/>
  <c r="P288" i="4"/>
  <c r="O288" i="4"/>
  <c r="AL287" i="4"/>
  <c r="AK287" i="4"/>
  <c r="AJ287" i="4"/>
  <c r="AI287" i="4"/>
  <c r="AH287" i="4"/>
  <c r="AG287" i="4"/>
  <c r="AF287" i="4"/>
  <c r="AE287" i="4"/>
  <c r="AD287" i="4"/>
  <c r="AB287" i="4"/>
  <c r="AA287" i="4"/>
  <c r="AC287" i="4" s="1"/>
  <c r="Z287" i="4"/>
  <c r="Y287" i="4"/>
  <c r="X287" i="4"/>
  <c r="W287" i="4"/>
  <c r="V287" i="4"/>
  <c r="U287" i="4"/>
  <c r="Q287" i="4"/>
  <c r="P287" i="4"/>
  <c r="O287" i="4"/>
  <c r="AL286" i="4"/>
  <c r="AK286" i="4"/>
  <c r="AJ286" i="4"/>
  <c r="AI286" i="4"/>
  <c r="AH286" i="4"/>
  <c r="AG286" i="4"/>
  <c r="AF286" i="4"/>
  <c r="AE286" i="4"/>
  <c r="AD286" i="4"/>
  <c r="AB286" i="4"/>
  <c r="AA286" i="4"/>
  <c r="AC286" i="4" s="1"/>
  <c r="Z286" i="4"/>
  <c r="Y286" i="4"/>
  <c r="X286" i="4"/>
  <c r="W286" i="4"/>
  <c r="V286" i="4"/>
  <c r="U286" i="4"/>
  <c r="Q286" i="4"/>
  <c r="P286" i="4"/>
  <c r="O286" i="4"/>
  <c r="AL285" i="4"/>
  <c r="AK285" i="4"/>
  <c r="AJ285" i="4"/>
  <c r="AI285" i="4"/>
  <c r="AH285" i="4"/>
  <c r="AG285" i="4"/>
  <c r="AF285" i="4"/>
  <c r="AE285" i="4"/>
  <c r="AD285" i="4"/>
  <c r="AB285" i="4"/>
  <c r="AA285" i="4"/>
  <c r="AC285" i="4" s="1"/>
  <c r="Z285" i="4"/>
  <c r="Y285" i="4"/>
  <c r="X285" i="4"/>
  <c r="W285" i="4"/>
  <c r="V285" i="4"/>
  <c r="U285" i="4"/>
  <c r="Q285" i="4"/>
  <c r="P285" i="4"/>
  <c r="O285" i="4"/>
  <c r="AL284" i="4"/>
  <c r="AK284" i="4"/>
  <c r="AJ284" i="4"/>
  <c r="AI284" i="4"/>
  <c r="AH284" i="4"/>
  <c r="AG284" i="4"/>
  <c r="AF284" i="4"/>
  <c r="AE284" i="4"/>
  <c r="AD284" i="4"/>
  <c r="AB284" i="4"/>
  <c r="AA284" i="4"/>
  <c r="AC284" i="4" s="1"/>
  <c r="Z284" i="4"/>
  <c r="Y284" i="4"/>
  <c r="X284" i="4"/>
  <c r="W284" i="4"/>
  <c r="V284" i="4"/>
  <c r="U284" i="4"/>
  <c r="Q284" i="4"/>
  <c r="P284" i="4"/>
  <c r="O284" i="4"/>
  <c r="AL283" i="4"/>
  <c r="AK283" i="4"/>
  <c r="AJ283" i="4"/>
  <c r="AI283" i="4"/>
  <c r="AH283" i="4"/>
  <c r="AG283" i="4"/>
  <c r="AF283" i="4"/>
  <c r="AE283" i="4"/>
  <c r="AD283" i="4"/>
  <c r="AB283" i="4"/>
  <c r="AA283" i="4"/>
  <c r="AC283" i="4" s="1"/>
  <c r="Z283" i="4"/>
  <c r="Y283" i="4"/>
  <c r="X283" i="4"/>
  <c r="W283" i="4"/>
  <c r="V283" i="4"/>
  <c r="U283" i="4"/>
  <c r="Q283" i="4"/>
  <c r="P283" i="4"/>
  <c r="O283" i="4"/>
  <c r="AL282" i="4"/>
  <c r="AK282" i="4"/>
  <c r="AJ282" i="4"/>
  <c r="AI282" i="4"/>
  <c r="AG282" i="4"/>
  <c r="AF282" i="4"/>
  <c r="AE282" i="4"/>
  <c r="AD282" i="4"/>
  <c r="AB282" i="4"/>
  <c r="AA282" i="4"/>
  <c r="AC282" i="4" s="1"/>
  <c r="Z282" i="4"/>
  <c r="Y282" i="4"/>
  <c r="X282" i="4"/>
  <c r="W282" i="4"/>
  <c r="V282" i="4"/>
  <c r="U282" i="4"/>
  <c r="Q282" i="4"/>
  <c r="P282" i="4"/>
  <c r="O282" i="4"/>
  <c r="AL281" i="4"/>
  <c r="AK281" i="4"/>
  <c r="AJ281" i="4"/>
  <c r="AI281" i="4"/>
  <c r="AH281" i="4"/>
  <c r="AG281" i="4"/>
  <c r="AF281" i="4"/>
  <c r="AE281" i="4"/>
  <c r="AD281" i="4"/>
  <c r="AB281" i="4"/>
  <c r="AA281" i="4"/>
  <c r="AC281" i="4" s="1"/>
  <c r="Z281" i="4"/>
  <c r="Y281" i="4"/>
  <c r="X281" i="4"/>
  <c r="W281" i="4"/>
  <c r="V281" i="4"/>
  <c r="U281" i="4"/>
  <c r="Q281" i="4"/>
  <c r="P281" i="4"/>
  <c r="O281" i="4"/>
  <c r="AL280" i="4"/>
  <c r="AK280" i="4"/>
  <c r="AJ280" i="4"/>
  <c r="AI280" i="4"/>
  <c r="AG280" i="4"/>
  <c r="AF280" i="4"/>
  <c r="AE280" i="4"/>
  <c r="AD280" i="4"/>
  <c r="AB280" i="4"/>
  <c r="AA280" i="4"/>
  <c r="AC280" i="4" s="1"/>
  <c r="Z280" i="4"/>
  <c r="Y280" i="4"/>
  <c r="X280" i="4"/>
  <c r="W280" i="4"/>
  <c r="V280" i="4"/>
  <c r="U280" i="4"/>
  <c r="Q280" i="4"/>
  <c r="P280" i="4"/>
  <c r="O280" i="4"/>
  <c r="AL279" i="4"/>
  <c r="AK279" i="4"/>
  <c r="AJ279" i="4"/>
  <c r="AI279" i="4"/>
  <c r="AH279" i="4"/>
  <c r="AG279" i="4"/>
  <c r="AF279" i="4"/>
  <c r="AE279" i="4"/>
  <c r="AD279" i="4"/>
  <c r="AB279" i="4"/>
  <c r="AA279" i="4"/>
  <c r="AC279" i="4" s="1"/>
  <c r="Z279" i="4"/>
  <c r="Y279" i="4"/>
  <c r="X279" i="4"/>
  <c r="W279" i="4"/>
  <c r="V279" i="4"/>
  <c r="U279" i="4"/>
  <c r="Q279" i="4"/>
  <c r="P279" i="4"/>
  <c r="O279" i="4"/>
  <c r="AL278" i="4"/>
  <c r="AK278" i="4"/>
  <c r="AJ278" i="4"/>
  <c r="AI278" i="4"/>
  <c r="AH278" i="4"/>
  <c r="AG278" i="4"/>
  <c r="AF278" i="4"/>
  <c r="AE278" i="4"/>
  <c r="AD278" i="4"/>
  <c r="AB278" i="4"/>
  <c r="AA278" i="4"/>
  <c r="AC278" i="4" s="1"/>
  <c r="Z278" i="4"/>
  <c r="Y278" i="4"/>
  <c r="X278" i="4"/>
  <c r="W278" i="4"/>
  <c r="V278" i="4"/>
  <c r="U278" i="4"/>
  <c r="Q278" i="4"/>
  <c r="P278" i="4"/>
  <c r="O278" i="4"/>
  <c r="AL277" i="4"/>
  <c r="AK277" i="4"/>
  <c r="AJ277" i="4"/>
  <c r="AI277" i="4"/>
  <c r="AH277" i="4"/>
  <c r="AG277" i="4"/>
  <c r="AF277" i="4"/>
  <c r="AE277" i="4"/>
  <c r="AD277" i="4"/>
  <c r="AB277" i="4"/>
  <c r="AA277" i="4"/>
  <c r="AC277" i="4" s="1"/>
  <c r="Z277" i="4"/>
  <c r="Y277" i="4"/>
  <c r="X277" i="4"/>
  <c r="W277" i="4"/>
  <c r="V277" i="4"/>
  <c r="U277" i="4"/>
  <c r="Q277" i="4"/>
  <c r="P277" i="4"/>
  <c r="O277" i="4"/>
  <c r="AL276" i="4"/>
  <c r="AK276" i="4"/>
  <c r="AJ276" i="4"/>
  <c r="AI276" i="4"/>
  <c r="AH276" i="4"/>
  <c r="AG276" i="4"/>
  <c r="AF276" i="4"/>
  <c r="AE276" i="4"/>
  <c r="AD276" i="4"/>
  <c r="AB276" i="4"/>
  <c r="AA276" i="4"/>
  <c r="AC276" i="4" s="1"/>
  <c r="Z276" i="4"/>
  <c r="Y276" i="4"/>
  <c r="X276" i="4"/>
  <c r="W276" i="4"/>
  <c r="V276" i="4"/>
  <c r="U276" i="4"/>
  <c r="Q276" i="4"/>
  <c r="P276" i="4"/>
  <c r="O276" i="4"/>
  <c r="AL275" i="4"/>
  <c r="AK275" i="4"/>
  <c r="AJ275" i="4"/>
  <c r="AI275" i="4"/>
  <c r="AH275" i="4"/>
  <c r="AG275" i="4"/>
  <c r="AF275" i="4"/>
  <c r="AE275" i="4"/>
  <c r="AD275" i="4"/>
  <c r="AB275" i="4"/>
  <c r="AA275" i="4"/>
  <c r="AC275" i="4" s="1"/>
  <c r="Z275" i="4"/>
  <c r="Y275" i="4"/>
  <c r="X275" i="4"/>
  <c r="W275" i="4"/>
  <c r="V275" i="4"/>
  <c r="U275" i="4"/>
  <c r="Q275" i="4"/>
  <c r="P275" i="4"/>
  <c r="O275" i="4"/>
  <c r="AL274" i="4"/>
  <c r="AK274" i="4"/>
  <c r="AJ274" i="4"/>
  <c r="AI274" i="4"/>
  <c r="AH274" i="4"/>
  <c r="AG274" i="4"/>
  <c r="AF274" i="4"/>
  <c r="AE274" i="4"/>
  <c r="AD274" i="4"/>
  <c r="AB274" i="4"/>
  <c r="AA274" i="4"/>
  <c r="AC274" i="4" s="1"/>
  <c r="Z274" i="4"/>
  <c r="Y274" i="4"/>
  <c r="X274" i="4"/>
  <c r="W274" i="4"/>
  <c r="V274" i="4"/>
  <c r="U274" i="4"/>
  <c r="Q274" i="4"/>
  <c r="P274" i="4"/>
  <c r="O274" i="4"/>
  <c r="AL273" i="4"/>
  <c r="AK273" i="4"/>
  <c r="AJ273" i="4"/>
  <c r="AI273" i="4"/>
  <c r="AH273" i="4"/>
  <c r="AG273" i="4"/>
  <c r="AF273" i="4"/>
  <c r="AE273" i="4"/>
  <c r="AD273" i="4"/>
  <c r="AB273" i="4"/>
  <c r="AA273" i="4"/>
  <c r="AC273" i="4" s="1"/>
  <c r="Z273" i="4"/>
  <c r="Y273" i="4"/>
  <c r="X273" i="4"/>
  <c r="W273" i="4"/>
  <c r="V273" i="4"/>
  <c r="U273" i="4"/>
  <c r="Q273" i="4"/>
  <c r="P273" i="4"/>
  <c r="O273" i="4"/>
  <c r="AL272" i="4"/>
  <c r="AK272" i="4"/>
  <c r="AJ272" i="4"/>
  <c r="AI272" i="4"/>
  <c r="AH272" i="4"/>
  <c r="AG272" i="4"/>
  <c r="AF272" i="4"/>
  <c r="AE272" i="4"/>
  <c r="AD272" i="4"/>
  <c r="AB272" i="4"/>
  <c r="AA272" i="4"/>
  <c r="AC272" i="4" s="1"/>
  <c r="Z272" i="4"/>
  <c r="Y272" i="4"/>
  <c r="X272" i="4"/>
  <c r="W272" i="4"/>
  <c r="V272" i="4"/>
  <c r="U272" i="4"/>
  <c r="Q272" i="4"/>
  <c r="P272" i="4"/>
  <c r="O272" i="4"/>
  <c r="AL271" i="4"/>
  <c r="AK271" i="4"/>
  <c r="AJ271" i="4"/>
  <c r="AI271" i="4"/>
  <c r="AH271" i="4"/>
  <c r="AG271" i="4"/>
  <c r="AF271" i="4"/>
  <c r="AE271" i="4"/>
  <c r="AD271" i="4"/>
  <c r="AB271" i="4"/>
  <c r="AA271" i="4"/>
  <c r="AC271" i="4" s="1"/>
  <c r="Z271" i="4"/>
  <c r="Y271" i="4"/>
  <c r="X271" i="4"/>
  <c r="W271" i="4"/>
  <c r="V271" i="4"/>
  <c r="U271" i="4"/>
  <c r="Q271" i="4"/>
  <c r="P271" i="4"/>
  <c r="O271" i="4"/>
  <c r="AL270" i="4"/>
  <c r="AK270" i="4"/>
  <c r="AJ270" i="4"/>
  <c r="AI270" i="4"/>
  <c r="AH270" i="4"/>
  <c r="AG270" i="4"/>
  <c r="AF270" i="4"/>
  <c r="AE270" i="4"/>
  <c r="AD270" i="4"/>
  <c r="AB270" i="4"/>
  <c r="AA270" i="4"/>
  <c r="AC270" i="4" s="1"/>
  <c r="Z270" i="4"/>
  <c r="Y270" i="4"/>
  <c r="X270" i="4"/>
  <c r="W270" i="4"/>
  <c r="V270" i="4"/>
  <c r="U270" i="4"/>
  <c r="Q270" i="4"/>
  <c r="P270" i="4"/>
  <c r="O270" i="4"/>
  <c r="AL269" i="4"/>
  <c r="AK269" i="4"/>
  <c r="AJ269" i="4"/>
  <c r="AI269" i="4"/>
  <c r="AH269" i="4"/>
  <c r="AG269" i="4"/>
  <c r="AF269" i="4"/>
  <c r="AE269" i="4"/>
  <c r="AD269" i="4"/>
  <c r="AB269" i="4"/>
  <c r="AA269" i="4"/>
  <c r="AC269" i="4" s="1"/>
  <c r="Z269" i="4"/>
  <c r="Y269" i="4"/>
  <c r="X269" i="4"/>
  <c r="W269" i="4"/>
  <c r="V269" i="4"/>
  <c r="U269" i="4"/>
  <c r="Q269" i="4"/>
  <c r="P269" i="4"/>
  <c r="O269" i="4"/>
  <c r="AL268" i="4"/>
  <c r="AK268" i="4"/>
  <c r="AJ268" i="4"/>
  <c r="AI268" i="4"/>
  <c r="AG268" i="4"/>
  <c r="AF268" i="4"/>
  <c r="AE268" i="4"/>
  <c r="AD268" i="4"/>
  <c r="AB268" i="4"/>
  <c r="AA268" i="4"/>
  <c r="AC268" i="4" s="1"/>
  <c r="Z268" i="4"/>
  <c r="Y268" i="4"/>
  <c r="X268" i="4"/>
  <c r="W268" i="4"/>
  <c r="V268" i="4"/>
  <c r="U268" i="4"/>
  <c r="Q268" i="4"/>
  <c r="P268" i="4"/>
  <c r="O268" i="4"/>
  <c r="AL267" i="4"/>
  <c r="AK267" i="4"/>
  <c r="AJ267" i="4"/>
  <c r="AI267" i="4"/>
  <c r="AH267" i="4"/>
  <c r="AG267" i="4"/>
  <c r="AF267" i="4"/>
  <c r="AE267" i="4"/>
  <c r="AD267" i="4"/>
  <c r="AB267" i="4"/>
  <c r="AA267" i="4"/>
  <c r="AC267" i="4" s="1"/>
  <c r="Z267" i="4"/>
  <c r="Y267" i="4"/>
  <c r="X267" i="4"/>
  <c r="W267" i="4"/>
  <c r="V267" i="4"/>
  <c r="U267" i="4"/>
  <c r="Q267" i="4"/>
  <c r="P267" i="4"/>
  <c r="O267" i="4"/>
  <c r="AL266" i="4"/>
  <c r="AK266" i="4"/>
  <c r="AJ266" i="4"/>
  <c r="AI266" i="4"/>
  <c r="AH266" i="4"/>
  <c r="AG266" i="4"/>
  <c r="AF266" i="4"/>
  <c r="AE266" i="4"/>
  <c r="AD266" i="4"/>
  <c r="AB266" i="4"/>
  <c r="AA266" i="4"/>
  <c r="AC266" i="4" s="1"/>
  <c r="Z266" i="4"/>
  <c r="Y266" i="4"/>
  <c r="X266" i="4"/>
  <c r="W266" i="4"/>
  <c r="V266" i="4"/>
  <c r="U266" i="4"/>
  <c r="Q266" i="4"/>
  <c r="P266" i="4"/>
  <c r="O266" i="4"/>
  <c r="AL265" i="4"/>
  <c r="AK265" i="4"/>
  <c r="AJ265" i="4"/>
  <c r="AI265" i="4"/>
  <c r="AH265" i="4"/>
  <c r="AG265" i="4"/>
  <c r="AF265" i="4"/>
  <c r="AE265" i="4"/>
  <c r="AD265" i="4"/>
  <c r="AB265" i="4"/>
  <c r="AA265" i="4"/>
  <c r="AC265" i="4" s="1"/>
  <c r="Z265" i="4"/>
  <c r="Y265" i="4"/>
  <c r="X265" i="4"/>
  <c r="W265" i="4"/>
  <c r="V265" i="4"/>
  <c r="U265" i="4"/>
  <c r="Q265" i="4"/>
  <c r="P265" i="4"/>
  <c r="O265" i="4"/>
  <c r="AL264" i="4"/>
  <c r="AK264" i="4"/>
  <c r="AJ264" i="4"/>
  <c r="AI264" i="4"/>
  <c r="AH264" i="4"/>
  <c r="AG264" i="4"/>
  <c r="AF264" i="4"/>
  <c r="AE264" i="4"/>
  <c r="AD264" i="4"/>
  <c r="AB264" i="4"/>
  <c r="AA264" i="4"/>
  <c r="AC264" i="4" s="1"/>
  <c r="Z264" i="4"/>
  <c r="Y264" i="4"/>
  <c r="X264" i="4"/>
  <c r="W264" i="4"/>
  <c r="V264" i="4"/>
  <c r="U264" i="4"/>
  <c r="Q264" i="4"/>
  <c r="P264" i="4"/>
  <c r="O264" i="4"/>
  <c r="AL263" i="4"/>
  <c r="AK263" i="4"/>
  <c r="AJ263" i="4"/>
  <c r="AI263" i="4"/>
  <c r="AH263" i="4"/>
  <c r="AG263" i="4"/>
  <c r="AF263" i="4"/>
  <c r="AE263" i="4"/>
  <c r="AD263" i="4"/>
  <c r="AB263" i="4"/>
  <c r="AA263" i="4"/>
  <c r="AC263" i="4" s="1"/>
  <c r="Z263" i="4"/>
  <c r="Y263" i="4"/>
  <c r="X263" i="4"/>
  <c r="W263" i="4"/>
  <c r="V263" i="4"/>
  <c r="U263" i="4"/>
  <c r="Q263" i="4"/>
  <c r="P263" i="4"/>
  <c r="O263" i="4"/>
  <c r="AL262" i="4"/>
  <c r="AK262" i="4"/>
  <c r="AJ262" i="4"/>
  <c r="AI262" i="4"/>
  <c r="AH262" i="4"/>
  <c r="AG262" i="4"/>
  <c r="AF262" i="4"/>
  <c r="AE262" i="4"/>
  <c r="AD262" i="4"/>
  <c r="AB262" i="4"/>
  <c r="AA262" i="4"/>
  <c r="AC262" i="4" s="1"/>
  <c r="Z262" i="4"/>
  <c r="Y262" i="4"/>
  <c r="X262" i="4"/>
  <c r="W262" i="4"/>
  <c r="V262" i="4"/>
  <c r="U262" i="4"/>
  <c r="Q262" i="4"/>
  <c r="P262" i="4"/>
  <c r="O262" i="4"/>
  <c r="AL261" i="4"/>
  <c r="AK261" i="4"/>
  <c r="AJ261" i="4"/>
  <c r="AI261" i="4"/>
  <c r="AG261" i="4"/>
  <c r="AF261" i="4"/>
  <c r="AE261" i="4"/>
  <c r="AD261" i="4"/>
  <c r="AB261" i="4"/>
  <c r="AA261" i="4"/>
  <c r="AC261" i="4" s="1"/>
  <c r="Z261" i="4"/>
  <c r="Y261" i="4"/>
  <c r="X261" i="4"/>
  <c r="W261" i="4"/>
  <c r="V261" i="4"/>
  <c r="U261" i="4"/>
  <c r="Q261" i="4"/>
  <c r="P261" i="4"/>
  <c r="O261" i="4"/>
  <c r="AL260" i="4"/>
  <c r="AK260" i="4"/>
  <c r="AJ260" i="4"/>
  <c r="AI260" i="4"/>
  <c r="AH260" i="4"/>
  <c r="AG260" i="4"/>
  <c r="AF260" i="4"/>
  <c r="AE260" i="4"/>
  <c r="AD260" i="4"/>
  <c r="AB260" i="4"/>
  <c r="AA260" i="4"/>
  <c r="AC260" i="4" s="1"/>
  <c r="Z260" i="4"/>
  <c r="Y260" i="4"/>
  <c r="X260" i="4"/>
  <c r="W260" i="4"/>
  <c r="V260" i="4"/>
  <c r="U260" i="4"/>
  <c r="Q260" i="4"/>
  <c r="P260" i="4"/>
  <c r="O260" i="4"/>
  <c r="AL259" i="4"/>
  <c r="AK259" i="4"/>
  <c r="AJ259" i="4"/>
  <c r="AI259" i="4"/>
  <c r="AH259" i="4"/>
  <c r="AG259" i="4"/>
  <c r="AF259" i="4"/>
  <c r="AE259" i="4"/>
  <c r="AD259" i="4"/>
  <c r="AB259" i="4"/>
  <c r="AA259" i="4"/>
  <c r="AC259" i="4" s="1"/>
  <c r="Z259" i="4"/>
  <c r="Y259" i="4"/>
  <c r="X259" i="4"/>
  <c r="W259" i="4"/>
  <c r="V259" i="4"/>
  <c r="U259" i="4"/>
  <c r="Q259" i="4"/>
  <c r="P259" i="4"/>
  <c r="O259" i="4"/>
  <c r="AL258" i="4"/>
  <c r="AK258" i="4"/>
  <c r="AJ258" i="4"/>
  <c r="AI258" i="4"/>
  <c r="AH258" i="4"/>
  <c r="AG258" i="4"/>
  <c r="AF258" i="4"/>
  <c r="AE258" i="4"/>
  <c r="AD258" i="4"/>
  <c r="AB258" i="4"/>
  <c r="AA258" i="4"/>
  <c r="AC258" i="4" s="1"/>
  <c r="Z258" i="4"/>
  <c r="Y258" i="4"/>
  <c r="X258" i="4"/>
  <c r="W258" i="4"/>
  <c r="V258" i="4"/>
  <c r="U258" i="4"/>
  <c r="Q258" i="4"/>
  <c r="P258" i="4"/>
  <c r="O258" i="4"/>
  <c r="AL257" i="4"/>
  <c r="AK257" i="4"/>
  <c r="AJ257" i="4"/>
  <c r="AI257" i="4"/>
  <c r="AH257" i="4"/>
  <c r="AG257" i="4"/>
  <c r="AF257" i="4"/>
  <c r="AE257" i="4"/>
  <c r="AD257" i="4"/>
  <c r="AB257" i="4"/>
  <c r="AA257" i="4"/>
  <c r="AC257" i="4" s="1"/>
  <c r="Z257" i="4"/>
  <c r="Y257" i="4"/>
  <c r="X257" i="4"/>
  <c r="W257" i="4"/>
  <c r="V257" i="4"/>
  <c r="U257" i="4"/>
  <c r="Q257" i="4"/>
  <c r="P257" i="4"/>
  <c r="O257" i="4"/>
  <c r="AL256" i="4"/>
  <c r="AK256" i="4"/>
  <c r="AJ256" i="4"/>
  <c r="AI256" i="4"/>
  <c r="AH256" i="4"/>
  <c r="AG256" i="4"/>
  <c r="AF256" i="4"/>
  <c r="AE256" i="4"/>
  <c r="AD256" i="4"/>
  <c r="AB256" i="4"/>
  <c r="AA256" i="4"/>
  <c r="AC256" i="4" s="1"/>
  <c r="Z256" i="4"/>
  <c r="Y256" i="4"/>
  <c r="X256" i="4"/>
  <c r="W256" i="4"/>
  <c r="V256" i="4"/>
  <c r="U256" i="4"/>
  <c r="Q256" i="4"/>
  <c r="P256" i="4"/>
  <c r="O256" i="4"/>
  <c r="AL255" i="4"/>
  <c r="AK255" i="4"/>
  <c r="AJ255" i="4"/>
  <c r="AI255" i="4"/>
  <c r="AH255" i="4"/>
  <c r="AG255" i="4"/>
  <c r="AF255" i="4"/>
  <c r="AE255" i="4"/>
  <c r="AD255" i="4"/>
  <c r="AB255" i="4"/>
  <c r="AA255" i="4"/>
  <c r="AC255" i="4" s="1"/>
  <c r="Z255" i="4"/>
  <c r="Y255" i="4"/>
  <c r="X255" i="4"/>
  <c r="W255" i="4"/>
  <c r="V255" i="4"/>
  <c r="U255" i="4"/>
  <c r="Q255" i="4"/>
  <c r="P255" i="4"/>
  <c r="O255" i="4"/>
  <c r="AL254" i="4"/>
  <c r="AK254" i="4"/>
  <c r="AJ254" i="4"/>
  <c r="AI254" i="4"/>
  <c r="AH254" i="4"/>
  <c r="AG254" i="4"/>
  <c r="AF254" i="4"/>
  <c r="AE254" i="4"/>
  <c r="AD254" i="4"/>
  <c r="AB254" i="4"/>
  <c r="AA254" i="4"/>
  <c r="AC254" i="4" s="1"/>
  <c r="Z254" i="4"/>
  <c r="Y254" i="4"/>
  <c r="X254" i="4"/>
  <c r="W254" i="4"/>
  <c r="V254" i="4"/>
  <c r="U254" i="4"/>
  <c r="Q254" i="4"/>
  <c r="P254" i="4"/>
  <c r="O254" i="4"/>
  <c r="AL253" i="4"/>
  <c r="AK253" i="4"/>
  <c r="AJ253" i="4"/>
  <c r="AI253" i="4"/>
  <c r="AH253" i="4"/>
  <c r="AG253" i="4"/>
  <c r="AF253" i="4"/>
  <c r="AE253" i="4"/>
  <c r="AD253" i="4"/>
  <c r="AB253" i="4"/>
  <c r="AA253" i="4"/>
  <c r="AC253" i="4" s="1"/>
  <c r="Z253" i="4"/>
  <c r="Y253" i="4"/>
  <c r="X253" i="4"/>
  <c r="W253" i="4"/>
  <c r="V253" i="4"/>
  <c r="U253" i="4"/>
  <c r="Q253" i="4"/>
  <c r="P253" i="4"/>
  <c r="O253" i="4"/>
  <c r="AL252" i="4"/>
  <c r="AK252" i="4"/>
  <c r="AJ252" i="4"/>
  <c r="AI252" i="4"/>
  <c r="AH252" i="4"/>
  <c r="AG252" i="4"/>
  <c r="AF252" i="4"/>
  <c r="AE252" i="4"/>
  <c r="AD252" i="4"/>
  <c r="AB252" i="4"/>
  <c r="AA252" i="4"/>
  <c r="AC252" i="4" s="1"/>
  <c r="Z252" i="4"/>
  <c r="Y252" i="4"/>
  <c r="X252" i="4"/>
  <c r="W252" i="4"/>
  <c r="V252" i="4"/>
  <c r="U252" i="4"/>
  <c r="Q252" i="4"/>
  <c r="P252" i="4"/>
  <c r="O252" i="4"/>
  <c r="AL251" i="4"/>
  <c r="AK251" i="4"/>
  <c r="AJ251" i="4"/>
  <c r="AI251" i="4"/>
  <c r="AH251" i="4"/>
  <c r="AG251" i="4"/>
  <c r="AF251" i="4"/>
  <c r="AE251" i="4"/>
  <c r="AD251" i="4"/>
  <c r="AB251" i="4"/>
  <c r="AA251" i="4"/>
  <c r="AC251" i="4" s="1"/>
  <c r="Z251" i="4"/>
  <c r="Y251" i="4"/>
  <c r="X251" i="4"/>
  <c r="W251" i="4"/>
  <c r="V251" i="4"/>
  <c r="U251" i="4"/>
  <c r="Q251" i="4"/>
  <c r="P251" i="4"/>
  <c r="O251" i="4"/>
  <c r="AL250" i="4"/>
  <c r="AK250" i="4"/>
  <c r="AJ250" i="4"/>
  <c r="AI250" i="4"/>
  <c r="AH250" i="4"/>
  <c r="AG250" i="4"/>
  <c r="AF250" i="4"/>
  <c r="AE250" i="4"/>
  <c r="AD250" i="4"/>
  <c r="AB250" i="4"/>
  <c r="AA250" i="4"/>
  <c r="AC250" i="4" s="1"/>
  <c r="Z250" i="4"/>
  <c r="Y250" i="4"/>
  <c r="X250" i="4"/>
  <c r="W250" i="4"/>
  <c r="V250" i="4"/>
  <c r="U250" i="4"/>
  <c r="Q250" i="4"/>
  <c r="P250" i="4"/>
  <c r="O250" i="4"/>
  <c r="AL249" i="4"/>
  <c r="AK249" i="4"/>
  <c r="AJ249" i="4"/>
  <c r="AI249" i="4"/>
  <c r="AH249" i="4"/>
  <c r="AG249" i="4"/>
  <c r="AF249" i="4"/>
  <c r="AE249" i="4"/>
  <c r="AD249" i="4"/>
  <c r="AB249" i="4"/>
  <c r="AA249" i="4"/>
  <c r="AC249" i="4" s="1"/>
  <c r="Z249" i="4"/>
  <c r="Y249" i="4"/>
  <c r="X249" i="4"/>
  <c r="W249" i="4"/>
  <c r="V249" i="4"/>
  <c r="U249" i="4"/>
  <c r="Q249" i="4"/>
  <c r="P249" i="4"/>
  <c r="O249" i="4"/>
  <c r="AL248" i="4"/>
  <c r="AK248" i="4"/>
  <c r="AJ248" i="4"/>
  <c r="AI248" i="4"/>
  <c r="AH248" i="4"/>
  <c r="AG248" i="4"/>
  <c r="AF248" i="4"/>
  <c r="AE248" i="4"/>
  <c r="AD248" i="4"/>
  <c r="AB248" i="4"/>
  <c r="AA248" i="4"/>
  <c r="AC248" i="4" s="1"/>
  <c r="Z248" i="4"/>
  <c r="Y248" i="4"/>
  <c r="X248" i="4"/>
  <c r="W248" i="4"/>
  <c r="V248" i="4"/>
  <c r="U248" i="4"/>
  <c r="Q248" i="4"/>
  <c r="P248" i="4"/>
  <c r="O248" i="4"/>
  <c r="AL247" i="4"/>
  <c r="AK247" i="4"/>
  <c r="AJ247" i="4"/>
  <c r="AI247" i="4"/>
  <c r="AH247" i="4"/>
  <c r="AG247" i="4"/>
  <c r="AF247" i="4"/>
  <c r="AE247" i="4"/>
  <c r="AD247" i="4"/>
  <c r="AB247" i="4"/>
  <c r="AA247" i="4"/>
  <c r="AC247" i="4" s="1"/>
  <c r="Z247" i="4"/>
  <c r="Y247" i="4"/>
  <c r="X247" i="4"/>
  <c r="W247" i="4"/>
  <c r="V247" i="4"/>
  <c r="U247" i="4"/>
  <c r="Q247" i="4"/>
  <c r="P247" i="4"/>
  <c r="O247" i="4"/>
  <c r="AL246" i="4"/>
  <c r="AK246" i="4"/>
  <c r="AJ246" i="4"/>
  <c r="AI246" i="4"/>
  <c r="AH246" i="4"/>
  <c r="AG246" i="4"/>
  <c r="AF246" i="4"/>
  <c r="AE246" i="4"/>
  <c r="AD246" i="4"/>
  <c r="AB246" i="4"/>
  <c r="AA246" i="4"/>
  <c r="AC246" i="4" s="1"/>
  <c r="Z246" i="4"/>
  <c r="Y246" i="4"/>
  <c r="X246" i="4"/>
  <c r="W246" i="4"/>
  <c r="V246" i="4"/>
  <c r="U246" i="4"/>
  <c r="Q246" i="4"/>
  <c r="P246" i="4"/>
  <c r="O246" i="4"/>
  <c r="AL245" i="4"/>
  <c r="AK245" i="4"/>
  <c r="AJ245" i="4"/>
  <c r="AI245" i="4"/>
  <c r="AH245" i="4"/>
  <c r="AG245" i="4"/>
  <c r="AF245" i="4"/>
  <c r="AE245" i="4"/>
  <c r="AD245" i="4"/>
  <c r="AB245" i="4"/>
  <c r="AA245" i="4"/>
  <c r="AC245" i="4" s="1"/>
  <c r="Z245" i="4"/>
  <c r="Y245" i="4"/>
  <c r="X245" i="4"/>
  <c r="W245" i="4"/>
  <c r="V245" i="4"/>
  <c r="U245" i="4"/>
  <c r="Q245" i="4"/>
  <c r="P245" i="4"/>
  <c r="O245" i="4"/>
  <c r="AL244" i="4"/>
  <c r="AK244" i="4"/>
  <c r="AJ244" i="4"/>
  <c r="AI244" i="4"/>
  <c r="AH244" i="4"/>
  <c r="AG244" i="4"/>
  <c r="AF244" i="4"/>
  <c r="AE244" i="4"/>
  <c r="AD244" i="4"/>
  <c r="AB244" i="4"/>
  <c r="AA244" i="4"/>
  <c r="AC244" i="4" s="1"/>
  <c r="Z244" i="4"/>
  <c r="Y244" i="4"/>
  <c r="X244" i="4"/>
  <c r="W244" i="4"/>
  <c r="V244" i="4"/>
  <c r="U244" i="4"/>
  <c r="Q244" i="4"/>
  <c r="P244" i="4"/>
  <c r="O244" i="4"/>
  <c r="AL243" i="4"/>
  <c r="AK243" i="4"/>
  <c r="AJ243" i="4"/>
  <c r="AI243" i="4"/>
  <c r="AH243" i="4"/>
  <c r="AG243" i="4"/>
  <c r="AF243" i="4"/>
  <c r="AE243" i="4"/>
  <c r="AD243" i="4"/>
  <c r="AB243" i="4"/>
  <c r="AA243" i="4"/>
  <c r="AC243" i="4" s="1"/>
  <c r="Z243" i="4"/>
  <c r="Y243" i="4"/>
  <c r="X243" i="4"/>
  <c r="W243" i="4"/>
  <c r="V243" i="4"/>
  <c r="U243" i="4"/>
  <c r="Q243" i="4"/>
  <c r="P243" i="4"/>
  <c r="O243" i="4"/>
  <c r="AL242" i="4"/>
  <c r="AK242" i="4"/>
  <c r="AJ242" i="4"/>
  <c r="AI242" i="4"/>
  <c r="AH242" i="4"/>
  <c r="AG242" i="4"/>
  <c r="AF242" i="4"/>
  <c r="AE242" i="4"/>
  <c r="AD242" i="4"/>
  <c r="AB242" i="4"/>
  <c r="AA242" i="4"/>
  <c r="AC242" i="4" s="1"/>
  <c r="Z242" i="4"/>
  <c r="Y242" i="4"/>
  <c r="X242" i="4"/>
  <c r="W242" i="4"/>
  <c r="V242" i="4"/>
  <c r="U242" i="4"/>
  <c r="Q242" i="4"/>
  <c r="P242" i="4"/>
  <c r="O242" i="4"/>
  <c r="AL241" i="4"/>
  <c r="AK241" i="4"/>
  <c r="AJ241" i="4"/>
  <c r="AI241" i="4"/>
  <c r="AH241" i="4"/>
  <c r="AG241" i="4"/>
  <c r="AF241" i="4"/>
  <c r="AE241" i="4"/>
  <c r="AD241" i="4"/>
  <c r="AB241" i="4"/>
  <c r="AA241" i="4"/>
  <c r="AC241" i="4" s="1"/>
  <c r="Z241" i="4"/>
  <c r="Y241" i="4"/>
  <c r="X241" i="4"/>
  <c r="W241" i="4"/>
  <c r="V241" i="4"/>
  <c r="U241" i="4"/>
  <c r="Q241" i="4"/>
  <c r="P241" i="4"/>
  <c r="O241" i="4"/>
  <c r="AL240" i="4"/>
  <c r="AK240" i="4"/>
  <c r="AJ240" i="4"/>
  <c r="AI240" i="4"/>
  <c r="AG240" i="4"/>
  <c r="AF240" i="4"/>
  <c r="AE240" i="4"/>
  <c r="AD240" i="4"/>
  <c r="AB240" i="4"/>
  <c r="AA240" i="4"/>
  <c r="AC240" i="4" s="1"/>
  <c r="Z240" i="4"/>
  <c r="Y240" i="4"/>
  <c r="X240" i="4"/>
  <c r="W240" i="4"/>
  <c r="V240" i="4"/>
  <c r="U240" i="4"/>
  <c r="Q240" i="4"/>
  <c r="P240" i="4"/>
  <c r="O240" i="4"/>
  <c r="AL239" i="4"/>
  <c r="AK239" i="4"/>
  <c r="AJ239" i="4"/>
  <c r="AI239" i="4"/>
  <c r="AH239" i="4"/>
  <c r="AG239" i="4"/>
  <c r="AF239" i="4"/>
  <c r="AE239" i="4"/>
  <c r="AD239" i="4"/>
  <c r="AB239" i="4"/>
  <c r="AA239" i="4"/>
  <c r="AC239" i="4" s="1"/>
  <c r="Z239" i="4"/>
  <c r="Y239" i="4"/>
  <c r="X239" i="4"/>
  <c r="W239" i="4"/>
  <c r="V239" i="4"/>
  <c r="U239" i="4"/>
  <c r="Q239" i="4"/>
  <c r="P239" i="4"/>
  <c r="O239" i="4"/>
  <c r="AL238" i="4"/>
  <c r="AK238" i="4"/>
  <c r="AJ238" i="4"/>
  <c r="AI238" i="4"/>
  <c r="AH238" i="4"/>
  <c r="AG238" i="4"/>
  <c r="AF238" i="4"/>
  <c r="AE238" i="4"/>
  <c r="AD238" i="4"/>
  <c r="AB238" i="4"/>
  <c r="AA238" i="4"/>
  <c r="AC238" i="4" s="1"/>
  <c r="Z238" i="4"/>
  <c r="Y238" i="4"/>
  <c r="X238" i="4"/>
  <c r="W238" i="4"/>
  <c r="V238" i="4"/>
  <c r="U238" i="4"/>
  <c r="Q238" i="4"/>
  <c r="P238" i="4"/>
  <c r="O238" i="4"/>
  <c r="AL237" i="4"/>
  <c r="AK237" i="4"/>
  <c r="AJ237" i="4"/>
  <c r="AI237" i="4"/>
  <c r="AH237" i="4"/>
  <c r="AG237" i="4"/>
  <c r="AF237" i="4"/>
  <c r="AE237" i="4"/>
  <c r="AD237" i="4"/>
  <c r="AB237" i="4"/>
  <c r="AA237" i="4"/>
  <c r="AC237" i="4" s="1"/>
  <c r="Z237" i="4"/>
  <c r="Y237" i="4"/>
  <c r="X237" i="4"/>
  <c r="W237" i="4"/>
  <c r="V237" i="4"/>
  <c r="U237" i="4"/>
  <c r="Q237" i="4"/>
  <c r="P237" i="4"/>
  <c r="O237" i="4"/>
  <c r="AL236" i="4"/>
  <c r="AK236" i="4"/>
  <c r="AJ236" i="4"/>
  <c r="AI236" i="4"/>
  <c r="AH236" i="4"/>
  <c r="AG236" i="4"/>
  <c r="AF236" i="4"/>
  <c r="AE236" i="4"/>
  <c r="AD236" i="4"/>
  <c r="AB236" i="4"/>
  <c r="AA236" i="4"/>
  <c r="AC236" i="4" s="1"/>
  <c r="Z236" i="4"/>
  <c r="Y236" i="4"/>
  <c r="X236" i="4"/>
  <c r="W236" i="4"/>
  <c r="V236" i="4"/>
  <c r="U236" i="4"/>
  <c r="Q236" i="4"/>
  <c r="P236" i="4"/>
  <c r="O236" i="4"/>
  <c r="AL235" i="4"/>
  <c r="AK235" i="4"/>
  <c r="AJ235" i="4"/>
  <c r="AI235" i="4"/>
  <c r="AH235" i="4"/>
  <c r="AG235" i="4"/>
  <c r="AF235" i="4"/>
  <c r="AE235" i="4"/>
  <c r="AD235" i="4"/>
  <c r="AB235" i="4"/>
  <c r="AA235" i="4"/>
  <c r="AC235" i="4" s="1"/>
  <c r="Z235" i="4"/>
  <c r="Y235" i="4"/>
  <c r="X235" i="4"/>
  <c r="W235" i="4"/>
  <c r="V235" i="4"/>
  <c r="U235" i="4"/>
  <c r="Q235" i="4"/>
  <c r="P235" i="4"/>
  <c r="O235" i="4"/>
  <c r="AL234" i="4"/>
  <c r="AK234" i="4"/>
  <c r="AJ234" i="4"/>
  <c r="AI234" i="4"/>
  <c r="AH234" i="4"/>
  <c r="AG234" i="4"/>
  <c r="AF234" i="4"/>
  <c r="AE234" i="4"/>
  <c r="AD234" i="4"/>
  <c r="AB234" i="4"/>
  <c r="AA234" i="4"/>
  <c r="AC234" i="4" s="1"/>
  <c r="Z234" i="4"/>
  <c r="Y234" i="4"/>
  <c r="X234" i="4"/>
  <c r="W234" i="4"/>
  <c r="V234" i="4"/>
  <c r="U234" i="4"/>
  <c r="Q234" i="4"/>
  <c r="P234" i="4"/>
  <c r="O234" i="4"/>
  <c r="AL233" i="4"/>
  <c r="AK233" i="4"/>
  <c r="AJ233" i="4"/>
  <c r="AI233" i="4"/>
  <c r="AH233" i="4"/>
  <c r="AG233" i="4"/>
  <c r="AF233" i="4"/>
  <c r="AE233" i="4"/>
  <c r="AD233" i="4"/>
  <c r="AB233" i="4"/>
  <c r="AA233" i="4"/>
  <c r="AC233" i="4" s="1"/>
  <c r="Z233" i="4"/>
  <c r="Y233" i="4"/>
  <c r="X233" i="4"/>
  <c r="W233" i="4"/>
  <c r="V233" i="4"/>
  <c r="U233" i="4"/>
  <c r="Q233" i="4"/>
  <c r="P233" i="4"/>
  <c r="O233" i="4"/>
  <c r="AL232" i="4"/>
  <c r="AK232" i="4"/>
  <c r="AJ232" i="4"/>
  <c r="AI232" i="4"/>
  <c r="AH232" i="4"/>
  <c r="AG232" i="4"/>
  <c r="AF232" i="4"/>
  <c r="AE232" i="4"/>
  <c r="AD232" i="4"/>
  <c r="AB232" i="4"/>
  <c r="AA232" i="4"/>
  <c r="AC232" i="4" s="1"/>
  <c r="Z232" i="4"/>
  <c r="Y232" i="4"/>
  <c r="X232" i="4"/>
  <c r="W232" i="4"/>
  <c r="V232" i="4"/>
  <c r="U232" i="4"/>
  <c r="Q232" i="4"/>
  <c r="P232" i="4"/>
  <c r="O232" i="4"/>
  <c r="AL231" i="4"/>
  <c r="AK231" i="4"/>
  <c r="AJ231" i="4"/>
  <c r="AI231" i="4"/>
  <c r="AH231" i="4"/>
  <c r="AG231" i="4"/>
  <c r="AF231" i="4"/>
  <c r="AE231" i="4"/>
  <c r="AD231" i="4"/>
  <c r="AB231" i="4"/>
  <c r="AA231" i="4"/>
  <c r="AC231" i="4" s="1"/>
  <c r="Z231" i="4"/>
  <c r="Y231" i="4"/>
  <c r="X231" i="4"/>
  <c r="W231" i="4"/>
  <c r="V231" i="4"/>
  <c r="U231" i="4"/>
  <c r="Q231" i="4"/>
  <c r="P231" i="4"/>
  <c r="O231" i="4"/>
  <c r="AL230" i="4"/>
  <c r="AK230" i="4"/>
  <c r="AJ230" i="4"/>
  <c r="AI230" i="4"/>
  <c r="AH230" i="4"/>
  <c r="AG230" i="4"/>
  <c r="AF230" i="4"/>
  <c r="AE230" i="4"/>
  <c r="AD230" i="4"/>
  <c r="AB230" i="4"/>
  <c r="AA230" i="4"/>
  <c r="AC230" i="4" s="1"/>
  <c r="Z230" i="4"/>
  <c r="Y230" i="4"/>
  <c r="X230" i="4"/>
  <c r="W230" i="4"/>
  <c r="V230" i="4"/>
  <c r="U230" i="4"/>
  <c r="Q230" i="4"/>
  <c r="P230" i="4"/>
  <c r="O230" i="4"/>
  <c r="AL229" i="4"/>
  <c r="AK229" i="4"/>
  <c r="AJ229" i="4"/>
  <c r="AI229" i="4"/>
  <c r="AH229" i="4"/>
  <c r="AG229" i="4"/>
  <c r="AF229" i="4"/>
  <c r="AE229" i="4"/>
  <c r="AD229" i="4"/>
  <c r="AB229" i="4"/>
  <c r="AA229" i="4"/>
  <c r="AC229" i="4" s="1"/>
  <c r="Z229" i="4"/>
  <c r="Y229" i="4"/>
  <c r="X229" i="4"/>
  <c r="W229" i="4"/>
  <c r="V229" i="4"/>
  <c r="U229" i="4"/>
  <c r="Q229" i="4"/>
  <c r="P229" i="4"/>
  <c r="O229" i="4"/>
  <c r="AL228" i="4"/>
  <c r="AK228" i="4"/>
  <c r="AJ228" i="4"/>
  <c r="AI228" i="4"/>
  <c r="AH228" i="4"/>
  <c r="AG228" i="4"/>
  <c r="AF228" i="4"/>
  <c r="AE228" i="4"/>
  <c r="AD228" i="4"/>
  <c r="AB228" i="4"/>
  <c r="AA228" i="4"/>
  <c r="AC228" i="4" s="1"/>
  <c r="Z228" i="4"/>
  <c r="Y228" i="4"/>
  <c r="X228" i="4"/>
  <c r="W228" i="4"/>
  <c r="V228" i="4"/>
  <c r="U228" i="4"/>
  <c r="Q228" i="4"/>
  <c r="P228" i="4"/>
  <c r="O228" i="4"/>
  <c r="AL227" i="4"/>
  <c r="AK227" i="4"/>
  <c r="AJ227" i="4"/>
  <c r="AI227" i="4"/>
  <c r="AH227" i="4"/>
  <c r="AG227" i="4"/>
  <c r="AF227" i="4"/>
  <c r="AE227" i="4"/>
  <c r="AD227" i="4"/>
  <c r="AB227" i="4"/>
  <c r="AA227" i="4"/>
  <c r="AC227" i="4" s="1"/>
  <c r="Z227" i="4"/>
  <c r="Y227" i="4"/>
  <c r="X227" i="4"/>
  <c r="W227" i="4"/>
  <c r="V227" i="4"/>
  <c r="U227" i="4"/>
  <c r="Q227" i="4"/>
  <c r="P227" i="4"/>
  <c r="O227" i="4"/>
  <c r="AL226" i="4"/>
  <c r="AK226" i="4"/>
  <c r="AJ226" i="4"/>
  <c r="AI226" i="4"/>
  <c r="AG226" i="4"/>
  <c r="AF226" i="4"/>
  <c r="AE226" i="4"/>
  <c r="AD226" i="4"/>
  <c r="AB226" i="4"/>
  <c r="AA226" i="4"/>
  <c r="AC226" i="4" s="1"/>
  <c r="Z226" i="4"/>
  <c r="Y226" i="4"/>
  <c r="X226" i="4"/>
  <c r="W226" i="4"/>
  <c r="V226" i="4"/>
  <c r="U226" i="4"/>
  <c r="Q226" i="4"/>
  <c r="P226" i="4"/>
  <c r="O226" i="4"/>
  <c r="AL225" i="4"/>
  <c r="AK225" i="4"/>
  <c r="AJ225" i="4"/>
  <c r="AI225" i="4"/>
  <c r="AH225" i="4"/>
  <c r="AG225" i="4"/>
  <c r="AF225" i="4"/>
  <c r="AE225" i="4"/>
  <c r="AD225" i="4"/>
  <c r="AB225" i="4"/>
  <c r="AA225" i="4"/>
  <c r="AC225" i="4" s="1"/>
  <c r="Z225" i="4"/>
  <c r="Y225" i="4"/>
  <c r="X225" i="4"/>
  <c r="W225" i="4"/>
  <c r="V225" i="4"/>
  <c r="U225" i="4"/>
  <c r="Q225" i="4"/>
  <c r="P225" i="4"/>
  <c r="O225" i="4"/>
  <c r="AL224" i="4"/>
  <c r="AK224" i="4"/>
  <c r="AJ224" i="4"/>
  <c r="AI224" i="4"/>
  <c r="AH224" i="4"/>
  <c r="AG224" i="4"/>
  <c r="AF224" i="4"/>
  <c r="AE224" i="4"/>
  <c r="AD224" i="4"/>
  <c r="AB224" i="4"/>
  <c r="AA224" i="4"/>
  <c r="AC224" i="4" s="1"/>
  <c r="Z224" i="4"/>
  <c r="Y224" i="4"/>
  <c r="X224" i="4"/>
  <c r="W224" i="4"/>
  <c r="V224" i="4"/>
  <c r="U224" i="4"/>
  <c r="Q224" i="4"/>
  <c r="P224" i="4"/>
  <c r="O224" i="4"/>
  <c r="AL223" i="4"/>
  <c r="AK223" i="4"/>
  <c r="AJ223" i="4"/>
  <c r="AI223" i="4"/>
  <c r="AH223" i="4"/>
  <c r="AG223" i="4"/>
  <c r="AF223" i="4"/>
  <c r="AE223" i="4"/>
  <c r="AD223" i="4"/>
  <c r="AB223" i="4"/>
  <c r="AA223" i="4"/>
  <c r="AC223" i="4" s="1"/>
  <c r="Z223" i="4"/>
  <c r="Y223" i="4"/>
  <c r="X223" i="4"/>
  <c r="W223" i="4"/>
  <c r="V223" i="4"/>
  <c r="U223" i="4"/>
  <c r="Q223" i="4"/>
  <c r="P223" i="4"/>
  <c r="O223" i="4"/>
  <c r="AL222" i="4"/>
  <c r="AK222" i="4"/>
  <c r="AJ222" i="4"/>
  <c r="AI222" i="4"/>
  <c r="AH222" i="4"/>
  <c r="AG222" i="4"/>
  <c r="AF222" i="4"/>
  <c r="AE222" i="4"/>
  <c r="AD222" i="4"/>
  <c r="AB222" i="4"/>
  <c r="AA222" i="4"/>
  <c r="AC222" i="4" s="1"/>
  <c r="Z222" i="4"/>
  <c r="Y222" i="4"/>
  <c r="X222" i="4"/>
  <c r="W222" i="4"/>
  <c r="V222" i="4"/>
  <c r="U222" i="4"/>
  <c r="Q222" i="4"/>
  <c r="P222" i="4"/>
  <c r="O222" i="4"/>
  <c r="AL221" i="4"/>
  <c r="AK221" i="4"/>
  <c r="AJ221" i="4"/>
  <c r="AI221" i="4"/>
  <c r="AH221" i="4"/>
  <c r="AG221" i="4"/>
  <c r="AF221" i="4"/>
  <c r="AE221" i="4"/>
  <c r="AD221" i="4"/>
  <c r="AB221" i="4"/>
  <c r="AA221" i="4"/>
  <c r="AC221" i="4" s="1"/>
  <c r="Z221" i="4"/>
  <c r="Y221" i="4"/>
  <c r="X221" i="4"/>
  <c r="W221" i="4"/>
  <c r="V221" i="4"/>
  <c r="U221" i="4"/>
  <c r="Q221" i="4"/>
  <c r="P221" i="4"/>
  <c r="O221" i="4"/>
  <c r="AL220" i="4"/>
  <c r="AK220" i="4"/>
  <c r="AJ220" i="4"/>
  <c r="AI220" i="4"/>
  <c r="AH220" i="4"/>
  <c r="AG220" i="4"/>
  <c r="AF220" i="4"/>
  <c r="AE220" i="4"/>
  <c r="AD220" i="4"/>
  <c r="AB220" i="4"/>
  <c r="AA220" i="4"/>
  <c r="AC220" i="4" s="1"/>
  <c r="Z220" i="4"/>
  <c r="Y220" i="4"/>
  <c r="X220" i="4"/>
  <c r="W220" i="4"/>
  <c r="V220" i="4"/>
  <c r="U220" i="4"/>
  <c r="Q220" i="4"/>
  <c r="P220" i="4"/>
  <c r="O220" i="4"/>
  <c r="AL219" i="4"/>
  <c r="AK219" i="4"/>
  <c r="AJ219" i="4"/>
  <c r="AI219" i="4"/>
  <c r="AH219" i="4"/>
  <c r="AG219" i="4"/>
  <c r="AF219" i="4"/>
  <c r="AE219" i="4"/>
  <c r="AD219" i="4"/>
  <c r="AB219" i="4"/>
  <c r="AA219" i="4"/>
  <c r="AC219" i="4" s="1"/>
  <c r="Z219" i="4"/>
  <c r="Y219" i="4"/>
  <c r="X219" i="4"/>
  <c r="W219" i="4"/>
  <c r="V219" i="4"/>
  <c r="U219" i="4"/>
  <c r="Q219" i="4"/>
  <c r="P219" i="4"/>
  <c r="O219" i="4"/>
  <c r="AL218" i="4"/>
  <c r="AK218" i="4"/>
  <c r="AJ218" i="4"/>
  <c r="AI218" i="4"/>
  <c r="AH218" i="4"/>
  <c r="AG218" i="4"/>
  <c r="AF218" i="4"/>
  <c r="AE218" i="4"/>
  <c r="AD218" i="4"/>
  <c r="AB218" i="4"/>
  <c r="AA218" i="4"/>
  <c r="AC218" i="4" s="1"/>
  <c r="Z218" i="4"/>
  <c r="Y218" i="4"/>
  <c r="X218" i="4"/>
  <c r="W218" i="4"/>
  <c r="V218" i="4"/>
  <c r="U218" i="4"/>
  <c r="Q218" i="4"/>
  <c r="P218" i="4"/>
  <c r="O218" i="4"/>
  <c r="AL217" i="4"/>
  <c r="AK217" i="4"/>
  <c r="AJ217" i="4"/>
  <c r="AI217" i="4"/>
  <c r="AG217" i="4"/>
  <c r="AF217" i="4"/>
  <c r="AE217" i="4"/>
  <c r="AD217" i="4"/>
  <c r="AB217" i="4"/>
  <c r="AA217" i="4"/>
  <c r="AC217" i="4" s="1"/>
  <c r="Z217" i="4"/>
  <c r="Y217" i="4"/>
  <c r="X217" i="4"/>
  <c r="W217" i="4"/>
  <c r="V217" i="4"/>
  <c r="U217" i="4"/>
  <c r="Q217" i="4"/>
  <c r="P217" i="4"/>
  <c r="O217" i="4"/>
  <c r="AL216" i="4"/>
  <c r="AK216" i="4"/>
  <c r="AJ216" i="4"/>
  <c r="AI216" i="4"/>
  <c r="AH216" i="4"/>
  <c r="AG216" i="4"/>
  <c r="AF216" i="4"/>
  <c r="AE216" i="4"/>
  <c r="AD216" i="4"/>
  <c r="AB216" i="4"/>
  <c r="AA216" i="4"/>
  <c r="AC216" i="4" s="1"/>
  <c r="Z216" i="4"/>
  <c r="Y216" i="4"/>
  <c r="X216" i="4"/>
  <c r="W216" i="4"/>
  <c r="V216" i="4"/>
  <c r="U216" i="4"/>
  <c r="Q216" i="4"/>
  <c r="P216" i="4"/>
  <c r="O216" i="4"/>
  <c r="AL215" i="4"/>
  <c r="AK215" i="4"/>
  <c r="AJ215" i="4"/>
  <c r="AI215" i="4"/>
  <c r="AH215" i="4"/>
  <c r="AG215" i="4"/>
  <c r="AF215" i="4"/>
  <c r="AE215" i="4"/>
  <c r="AD215" i="4"/>
  <c r="AB215" i="4"/>
  <c r="AA215" i="4"/>
  <c r="AC215" i="4" s="1"/>
  <c r="Z215" i="4"/>
  <c r="Y215" i="4"/>
  <c r="X215" i="4"/>
  <c r="W215" i="4"/>
  <c r="V215" i="4"/>
  <c r="U215" i="4"/>
  <c r="Q215" i="4"/>
  <c r="P215" i="4"/>
  <c r="O215" i="4"/>
  <c r="AL214" i="4"/>
  <c r="AK214" i="4"/>
  <c r="AJ214" i="4"/>
  <c r="AI214" i="4"/>
  <c r="AH214" i="4"/>
  <c r="AG214" i="4"/>
  <c r="AF214" i="4"/>
  <c r="AE214" i="4"/>
  <c r="AD214" i="4"/>
  <c r="AB214" i="4"/>
  <c r="AA214" i="4"/>
  <c r="AC214" i="4" s="1"/>
  <c r="Z214" i="4"/>
  <c r="Y214" i="4"/>
  <c r="X214" i="4"/>
  <c r="W214" i="4"/>
  <c r="V214" i="4"/>
  <c r="U214" i="4"/>
  <c r="Q214" i="4"/>
  <c r="P214" i="4"/>
  <c r="O214" i="4"/>
  <c r="AL213" i="4"/>
  <c r="AK213" i="4"/>
  <c r="AJ213" i="4"/>
  <c r="AI213" i="4"/>
  <c r="AH213" i="4"/>
  <c r="AG213" i="4"/>
  <c r="AF213" i="4"/>
  <c r="AE213" i="4"/>
  <c r="AD213" i="4"/>
  <c r="AB213" i="4"/>
  <c r="AA213" i="4"/>
  <c r="AC213" i="4" s="1"/>
  <c r="Z213" i="4"/>
  <c r="Y213" i="4"/>
  <c r="X213" i="4"/>
  <c r="W213" i="4"/>
  <c r="V213" i="4"/>
  <c r="U213" i="4"/>
  <c r="Q213" i="4"/>
  <c r="P213" i="4"/>
  <c r="O213" i="4"/>
  <c r="AL212" i="4"/>
  <c r="AK212" i="4"/>
  <c r="AJ212" i="4"/>
  <c r="AI212" i="4"/>
  <c r="AH212" i="4"/>
  <c r="AG212" i="4"/>
  <c r="AF212" i="4"/>
  <c r="AE212" i="4"/>
  <c r="AD212" i="4"/>
  <c r="AB212" i="4"/>
  <c r="AA212" i="4"/>
  <c r="AC212" i="4" s="1"/>
  <c r="Z212" i="4"/>
  <c r="Y212" i="4"/>
  <c r="X212" i="4"/>
  <c r="W212" i="4"/>
  <c r="V212" i="4"/>
  <c r="U212" i="4"/>
  <c r="Q212" i="4"/>
  <c r="P212" i="4"/>
  <c r="O212" i="4"/>
  <c r="AL211" i="4"/>
  <c r="AK211" i="4"/>
  <c r="AJ211" i="4"/>
  <c r="AI211" i="4"/>
  <c r="AH211" i="4"/>
  <c r="AG211" i="4"/>
  <c r="AF211" i="4"/>
  <c r="AE211" i="4"/>
  <c r="AD211" i="4"/>
  <c r="AB211" i="4"/>
  <c r="AA211" i="4"/>
  <c r="AC211" i="4" s="1"/>
  <c r="Z211" i="4"/>
  <c r="Y211" i="4"/>
  <c r="X211" i="4"/>
  <c r="W211" i="4"/>
  <c r="V211" i="4"/>
  <c r="U211" i="4"/>
  <c r="Q211" i="4"/>
  <c r="P211" i="4"/>
  <c r="O211" i="4"/>
  <c r="AL210" i="4"/>
  <c r="AK210" i="4"/>
  <c r="AJ210" i="4"/>
  <c r="AI210" i="4"/>
  <c r="AH210" i="4"/>
  <c r="AG210" i="4"/>
  <c r="AF210" i="4"/>
  <c r="AE210" i="4"/>
  <c r="AD210" i="4"/>
  <c r="AB210" i="4"/>
  <c r="AA210" i="4"/>
  <c r="AC210" i="4" s="1"/>
  <c r="Z210" i="4"/>
  <c r="Y210" i="4"/>
  <c r="X210" i="4"/>
  <c r="W210" i="4"/>
  <c r="V210" i="4"/>
  <c r="U210" i="4"/>
  <c r="Q210" i="4"/>
  <c r="P210" i="4"/>
  <c r="O210" i="4"/>
  <c r="AL209" i="4"/>
  <c r="AK209" i="4"/>
  <c r="AJ209" i="4"/>
  <c r="AI209" i="4"/>
  <c r="AH209" i="4"/>
  <c r="AG209" i="4"/>
  <c r="AF209" i="4"/>
  <c r="AE209" i="4"/>
  <c r="AD209" i="4"/>
  <c r="AB209" i="4"/>
  <c r="AA209" i="4"/>
  <c r="AC209" i="4" s="1"/>
  <c r="Z209" i="4"/>
  <c r="Y209" i="4"/>
  <c r="X209" i="4"/>
  <c r="W209" i="4"/>
  <c r="V209" i="4"/>
  <c r="U209" i="4"/>
  <c r="Q209" i="4"/>
  <c r="P209" i="4"/>
  <c r="O209" i="4"/>
  <c r="AL208" i="4"/>
  <c r="AK208" i="4"/>
  <c r="AJ208" i="4"/>
  <c r="AI208" i="4"/>
  <c r="AG208" i="4"/>
  <c r="AF208" i="4"/>
  <c r="AE208" i="4"/>
  <c r="AD208" i="4"/>
  <c r="AB208" i="4"/>
  <c r="AA208" i="4"/>
  <c r="AC208" i="4" s="1"/>
  <c r="Z208" i="4"/>
  <c r="Y208" i="4"/>
  <c r="X208" i="4"/>
  <c r="W208" i="4"/>
  <c r="V208" i="4"/>
  <c r="U208" i="4"/>
  <c r="Q208" i="4"/>
  <c r="P208" i="4"/>
  <c r="O208" i="4"/>
  <c r="AL207" i="4"/>
  <c r="AK207" i="4"/>
  <c r="AJ207" i="4"/>
  <c r="AI207" i="4"/>
  <c r="AH207" i="4"/>
  <c r="AG207" i="4"/>
  <c r="AF207" i="4"/>
  <c r="AE207" i="4"/>
  <c r="AD207" i="4"/>
  <c r="AB207" i="4"/>
  <c r="AA207" i="4"/>
  <c r="AC207" i="4" s="1"/>
  <c r="Z207" i="4"/>
  <c r="Y207" i="4"/>
  <c r="X207" i="4"/>
  <c r="W207" i="4"/>
  <c r="V207" i="4"/>
  <c r="U207" i="4"/>
  <c r="Q207" i="4"/>
  <c r="P207" i="4"/>
  <c r="O207" i="4"/>
  <c r="AL206" i="4"/>
  <c r="AK206" i="4"/>
  <c r="AJ206" i="4"/>
  <c r="AI206" i="4"/>
  <c r="AH206" i="4"/>
  <c r="AG206" i="4"/>
  <c r="AF206" i="4"/>
  <c r="AE206" i="4"/>
  <c r="AD206" i="4"/>
  <c r="AB206" i="4"/>
  <c r="AA206" i="4"/>
  <c r="AC206" i="4" s="1"/>
  <c r="Z206" i="4"/>
  <c r="Y206" i="4"/>
  <c r="X206" i="4"/>
  <c r="W206" i="4"/>
  <c r="V206" i="4"/>
  <c r="U206" i="4"/>
  <c r="Q206" i="4"/>
  <c r="P206" i="4"/>
  <c r="O206" i="4"/>
  <c r="AL205" i="4"/>
  <c r="AK205" i="4"/>
  <c r="AJ205" i="4"/>
  <c r="AI205" i="4"/>
  <c r="AH205" i="4"/>
  <c r="AG205" i="4"/>
  <c r="AF205" i="4"/>
  <c r="AE205" i="4"/>
  <c r="AD205" i="4"/>
  <c r="AB205" i="4"/>
  <c r="AA205" i="4"/>
  <c r="AC205" i="4" s="1"/>
  <c r="Z205" i="4"/>
  <c r="Y205" i="4"/>
  <c r="X205" i="4"/>
  <c r="W205" i="4"/>
  <c r="V205" i="4"/>
  <c r="U205" i="4"/>
  <c r="Q205" i="4"/>
  <c r="P205" i="4"/>
  <c r="O205" i="4"/>
  <c r="AL204" i="4"/>
  <c r="AK204" i="4"/>
  <c r="AJ204" i="4"/>
  <c r="AI204" i="4"/>
  <c r="AH204" i="4"/>
  <c r="AG204" i="4"/>
  <c r="AF204" i="4"/>
  <c r="AE204" i="4"/>
  <c r="AD204" i="4"/>
  <c r="AB204" i="4"/>
  <c r="AA204" i="4"/>
  <c r="AC204" i="4" s="1"/>
  <c r="Z204" i="4"/>
  <c r="Y204" i="4"/>
  <c r="X204" i="4"/>
  <c r="W204" i="4"/>
  <c r="V204" i="4"/>
  <c r="U204" i="4"/>
  <c r="Q204" i="4"/>
  <c r="P204" i="4"/>
  <c r="O204" i="4"/>
  <c r="AL203" i="4"/>
  <c r="AK203" i="4"/>
  <c r="AJ203" i="4"/>
  <c r="AI203" i="4"/>
  <c r="AH203" i="4"/>
  <c r="AG203" i="4"/>
  <c r="AF203" i="4"/>
  <c r="AE203" i="4"/>
  <c r="AD203" i="4"/>
  <c r="AB203" i="4"/>
  <c r="AA203" i="4"/>
  <c r="AC203" i="4" s="1"/>
  <c r="Z203" i="4"/>
  <c r="Y203" i="4"/>
  <c r="X203" i="4"/>
  <c r="W203" i="4"/>
  <c r="V203" i="4"/>
  <c r="U203" i="4"/>
  <c r="R203" i="4"/>
  <c r="Q203" i="4"/>
  <c r="P203" i="4"/>
  <c r="O203" i="4"/>
  <c r="AL202" i="4"/>
  <c r="AK202" i="4"/>
  <c r="AJ202" i="4"/>
  <c r="AI202" i="4"/>
  <c r="AH202" i="4"/>
  <c r="AG202" i="4"/>
  <c r="AF202" i="4"/>
  <c r="AE202" i="4"/>
  <c r="AD202" i="4"/>
  <c r="AB202" i="4"/>
  <c r="AA202" i="4"/>
  <c r="AC202" i="4" s="1"/>
  <c r="Z202" i="4"/>
  <c r="Y202" i="4"/>
  <c r="X202" i="4"/>
  <c r="W202" i="4"/>
  <c r="U202" i="4"/>
  <c r="Q202" i="4"/>
  <c r="P202" i="4"/>
  <c r="O202" i="4"/>
  <c r="AL201" i="4"/>
  <c r="AK201" i="4"/>
  <c r="AJ201" i="4"/>
  <c r="AI201" i="4"/>
  <c r="AH201" i="4"/>
  <c r="AG201" i="4"/>
  <c r="AF201" i="4"/>
  <c r="AE201" i="4"/>
  <c r="AD201" i="4"/>
  <c r="AB201" i="4"/>
  <c r="AA201" i="4"/>
  <c r="AC201" i="4" s="1"/>
  <c r="Z201" i="4"/>
  <c r="Y201" i="4"/>
  <c r="X201" i="4"/>
  <c r="W201" i="4"/>
  <c r="U201" i="4"/>
  <c r="Q201" i="4"/>
  <c r="P201" i="4"/>
  <c r="O201" i="4"/>
  <c r="AL200" i="4"/>
  <c r="AK200" i="4"/>
  <c r="AJ200" i="4"/>
  <c r="AI200" i="4"/>
  <c r="AH200" i="4"/>
  <c r="AG200" i="4"/>
  <c r="AF200" i="4"/>
  <c r="AE200" i="4"/>
  <c r="AD200" i="4"/>
  <c r="AB200" i="4"/>
  <c r="AA200" i="4"/>
  <c r="AC200" i="4" s="1"/>
  <c r="Z200" i="4"/>
  <c r="Y200" i="4"/>
  <c r="X200" i="4"/>
  <c r="W200" i="4"/>
  <c r="U200" i="4"/>
  <c r="Q200" i="4"/>
  <c r="P200" i="4"/>
  <c r="O200" i="4"/>
  <c r="AL199" i="4"/>
  <c r="AK199" i="4"/>
  <c r="AJ199" i="4"/>
  <c r="AI199" i="4"/>
  <c r="AH199" i="4"/>
  <c r="AG199" i="4"/>
  <c r="AF199" i="4"/>
  <c r="AE199" i="4"/>
  <c r="AD199" i="4"/>
  <c r="AB199" i="4"/>
  <c r="AA199" i="4"/>
  <c r="AC199" i="4" s="1"/>
  <c r="Z199" i="4"/>
  <c r="Y199" i="4"/>
  <c r="X199" i="4"/>
  <c r="W199" i="4"/>
  <c r="U199" i="4"/>
  <c r="Q199" i="4"/>
  <c r="P199" i="4"/>
  <c r="O199" i="4"/>
  <c r="AL198" i="4"/>
  <c r="AK198" i="4"/>
  <c r="AJ198" i="4"/>
  <c r="AI198" i="4"/>
  <c r="AG198" i="4"/>
  <c r="AF198" i="4"/>
  <c r="AE198" i="4"/>
  <c r="AD198" i="4"/>
  <c r="AB198" i="4"/>
  <c r="AA198" i="4"/>
  <c r="AC198" i="4" s="1"/>
  <c r="Z198" i="4"/>
  <c r="Y198" i="4"/>
  <c r="X198" i="4"/>
  <c r="W198" i="4"/>
  <c r="U198" i="4"/>
  <c r="Q198" i="4"/>
  <c r="P198" i="4"/>
  <c r="O198" i="4"/>
  <c r="AL197" i="4"/>
  <c r="AK197" i="4"/>
  <c r="AJ197" i="4"/>
  <c r="AI197" i="4"/>
  <c r="AG197" i="4"/>
  <c r="AF197" i="4"/>
  <c r="AE197" i="4"/>
  <c r="AD197" i="4"/>
  <c r="AB197" i="4"/>
  <c r="AA197" i="4"/>
  <c r="AC197" i="4" s="1"/>
  <c r="Z197" i="4"/>
  <c r="Y197" i="4"/>
  <c r="X197" i="4"/>
  <c r="W197" i="4"/>
  <c r="U197" i="4"/>
  <c r="Q197" i="4"/>
  <c r="P197" i="4"/>
  <c r="O197" i="4"/>
  <c r="AL196" i="4"/>
  <c r="AK196" i="4"/>
  <c r="AJ196" i="4"/>
  <c r="AI196" i="4"/>
  <c r="AH196" i="4"/>
  <c r="AG196" i="4"/>
  <c r="AF196" i="4"/>
  <c r="AE196" i="4"/>
  <c r="AD196" i="4"/>
  <c r="AB196" i="4"/>
  <c r="AA196" i="4"/>
  <c r="AC196" i="4" s="1"/>
  <c r="Z196" i="4"/>
  <c r="Y196" i="4"/>
  <c r="X196" i="4"/>
  <c r="W196" i="4"/>
  <c r="U196" i="4"/>
  <c r="Q196" i="4"/>
  <c r="P196" i="4"/>
  <c r="O196" i="4"/>
  <c r="AL195" i="4"/>
  <c r="AK195" i="4"/>
  <c r="AJ195" i="4"/>
  <c r="AI195" i="4"/>
  <c r="AH195" i="4"/>
  <c r="AG195" i="4"/>
  <c r="AF195" i="4"/>
  <c r="AE195" i="4"/>
  <c r="AD195" i="4"/>
  <c r="AB195" i="4"/>
  <c r="AA195" i="4"/>
  <c r="AC195" i="4" s="1"/>
  <c r="Z195" i="4"/>
  <c r="Y195" i="4"/>
  <c r="X195" i="4"/>
  <c r="W195" i="4"/>
  <c r="U195" i="4"/>
  <c r="Q195" i="4"/>
  <c r="P195" i="4"/>
  <c r="O195" i="4"/>
  <c r="AL194" i="4"/>
  <c r="AK194" i="4"/>
  <c r="AJ194" i="4"/>
  <c r="AI194" i="4"/>
  <c r="AH194" i="4"/>
  <c r="AG194" i="4"/>
  <c r="AF194" i="4"/>
  <c r="AE194" i="4"/>
  <c r="AD194" i="4"/>
  <c r="AB194" i="4"/>
  <c r="AA194" i="4"/>
  <c r="AC194" i="4" s="1"/>
  <c r="Z194" i="4"/>
  <c r="Y194" i="4"/>
  <c r="X194" i="4"/>
  <c r="W194" i="4"/>
  <c r="U194" i="4"/>
  <c r="Q194" i="4"/>
  <c r="P194" i="4"/>
  <c r="O194" i="4"/>
  <c r="AL193" i="4"/>
  <c r="AK193" i="4"/>
  <c r="AJ193" i="4"/>
  <c r="AI193" i="4"/>
  <c r="AH193" i="4"/>
  <c r="AG193" i="4"/>
  <c r="AF193" i="4"/>
  <c r="AE193" i="4"/>
  <c r="AD193" i="4"/>
  <c r="AB193" i="4"/>
  <c r="AA193" i="4"/>
  <c r="AC193" i="4" s="1"/>
  <c r="Z193" i="4"/>
  <c r="Y193" i="4"/>
  <c r="X193" i="4"/>
  <c r="W193" i="4"/>
  <c r="U193" i="4"/>
  <c r="Q193" i="4"/>
  <c r="P193" i="4"/>
  <c r="O193" i="4"/>
  <c r="AL192" i="4"/>
  <c r="AK192" i="4"/>
  <c r="AJ192" i="4"/>
  <c r="AI192" i="4"/>
  <c r="AH192" i="4"/>
  <c r="AG192" i="4"/>
  <c r="AF192" i="4"/>
  <c r="AE192" i="4"/>
  <c r="AD192" i="4"/>
  <c r="AB192" i="4"/>
  <c r="AA192" i="4"/>
  <c r="AC192" i="4" s="1"/>
  <c r="Z192" i="4"/>
  <c r="Y192" i="4"/>
  <c r="X192" i="4"/>
  <c r="W192" i="4"/>
  <c r="U192" i="4"/>
  <c r="Q192" i="4"/>
  <c r="P192" i="4"/>
  <c r="O192" i="4"/>
  <c r="AL191" i="4"/>
  <c r="AK191" i="4"/>
  <c r="AJ191" i="4"/>
  <c r="AI191" i="4"/>
  <c r="AG191" i="4"/>
  <c r="AF191" i="4"/>
  <c r="AE191" i="4"/>
  <c r="AD191" i="4"/>
  <c r="AB191" i="4"/>
  <c r="AA191" i="4"/>
  <c r="AC191" i="4" s="1"/>
  <c r="Z191" i="4"/>
  <c r="Y191" i="4"/>
  <c r="X191" i="4"/>
  <c r="W191" i="4"/>
  <c r="U191" i="4"/>
  <c r="Q191" i="4"/>
  <c r="P191" i="4"/>
  <c r="O191" i="4"/>
  <c r="AL190" i="4"/>
  <c r="AK190" i="4"/>
  <c r="AJ190" i="4"/>
  <c r="AI190" i="4"/>
  <c r="AG190" i="4"/>
  <c r="AF190" i="4"/>
  <c r="AE190" i="4"/>
  <c r="AD190" i="4"/>
  <c r="AB190" i="4"/>
  <c r="AA190" i="4"/>
  <c r="AC190" i="4" s="1"/>
  <c r="Z190" i="4"/>
  <c r="Y190" i="4"/>
  <c r="X190" i="4"/>
  <c r="W190" i="4"/>
  <c r="U190" i="4"/>
  <c r="Q190" i="4"/>
  <c r="P190" i="4"/>
  <c r="O190" i="4"/>
  <c r="AL189" i="4"/>
  <c r="AK189" i="4"/>
  <c r="AJ189" i="4"/>
  <c r="AI189" i="4"/>
  <c r="AH189" i="4"/>
  <c r="AG189" i="4"/>
  <c r="AF189" i="4"/>
  <c r="AE189" i="4"/>
  <c r="AD189" i="4"/>
  <c r="AB189" i="4"/>
  <c r="AA189" i="4"/>
  <c r="AC189" i="4" s="1"/>
  <c r="Z189" i="4"/>
  <c r="Y189" i="4"/>
  <c r="X189" i="4"/>
  <c r="W189" i="4"/>
  <c r="U189" i="4"/>
  <c r="Q189" i="4"/>
  <c r="P189" i="4"/>
  <c r="O189" i="4"/>
  <c r="AL188" i="4"/>
  <c r="AK188" i="4"/>
  <c r="AJ188" i="4"/>
  <c r="AI188" i="4"/>
  <c r="AH188" i="4"/>
  <c r="AG188" i="4"/>
  <c r="AF188" i="4"/>
  <c r="AE188" i="4"/>
  <c r="AD188" i="4"/>
  <c r="AB188" i="4"/>
  <c r="AA188" i="4"/>
  <c r="AC188" i="4" s="1"/>
  <c r="Z188" i="4"/>
  <c r="Y188" i="4"/>
  <c r="X188" i="4"/>
  <c r="W188" i="4"/>
  <c r="U188" i="4"/>
  <c r="Q188" i="4"/>
  <c r="P188" i="4"/>
  <c r="O188" i="4"/>
  <c r="AL187" i="4"/>
  <c r="AK187" i="4"/>
  <c r="AJ187" i="4"/>
  <c r="AI187" i="4"/>
  <c r="AH187" i="4"/>
  <c r="AG187" i="4"/>
  <c r="AF187" i="4"/>
  <c r="AE187" i="4"/>
  <c r="AD187" i="4"/>
  <c r="AB187" i="4"/>
  <c r="AA187" i="4"/>
  <c r="AC187" i="4" s="1"/>
  <c r="Z187" i="4"/>
  <c r="Y187" i="4"/>
  <c r="X187" i="4"/>
  <c r="W187" i="4"/>
  <c r="U187" i="4"/>
  <c r="Q187" i="4"/>
  <c r="P187" i="4"/>
  <c r="O187" i="4"/>
  <c r="AL186" i="4"/>
  <c r="AK186" i="4"/>
  <c r="AJ186" i="4"/>
  <c r="AI186" i="4"/>
  <c r="AH186" i="4"/>
  <c r="AG186" i="4"/>
  <c r="AF186" i="4"/>
  <c r="AE186" i="4"/>
  <c r="AD186" i="4"/>
  <c r="AB186" i="4"/>
  <c r="AA186" i="4"/>
  <c r="AC186" i="4" s="1"/>
  <c r="Z186" i="4"/>
  <c r="Y186" i="4"/>
  <c r="X186" i="4"/>
  <c r="W186" i="4"/>
  <c r="U186" i="4"/>
  <c r="Q186" i="4"/>
  <c r="P186" i="4"/>
  <c r="O186" i="4"/>
  <c r="AL185" i="4"/>
  <c r="AK185" i="4"/>
  <c r="AJ185" i="4"/>
  <c r="AI185" i="4"/>
  <c r="AH185" i="4"/>
  <c r="AG185" i="4"/>
  <c r="AF185" i="4"/>
  <c r="AE185" i="4"/>
  <c r="AD185" i="4"/>
  <c r="AB185" i="4"/>
  <c r="AA185" i="4"/>
  <c r="AC185" i="4" s="1"/>
  <c r="Z185" i="4"/>
  <c r="Y185" i="4"/>
  <c r="X185" i="4"/>
  <c r="W185" i="4"/>
  <c r="U185" i="4"/>
  <c r="Q185" i="4"/>
  <c r="P185" i="4"/>
  <c r="O185" i="4"/>
  <c r="AL184" i="4"/>
  <c r="AK184" i="4"/>
  <c r="AJ184" i="4"/>
  <c r="AI184" i="4"/>
  <c r="AH184" i="4"/>
  <c r="AG184" i="4"/>
  <c r="AF184" i="4"/>
  <c r="AE184" i="4"/>
  <c r="AD184" i="4"/>
  <c r="AB184" i="4"/>
  <c r="AA184" i="4"/>
  <c r="AC184" i="4" s="1"/>
  <c r="Z184" i="4"/>
  <c r="Y184" i="4"/>
  <c r="X184" i="4"/>
  <c r="W184" i="4"/>
  <c r="U184" i="4"/>
  <c r="Q184" i="4"/>
  <c r="P184" i="4"/>
  <c r="O184" i="4"/>
  <c r="AL183" i="4"/>
  <c r="AK183" i="4"/>
  <c r="AJ183" i="4"/>
  <c r="AI183" i="4"/>
  <c r="AH183" i="4"/>
  <c r="AG183" i="4"/>
  <c r="AF183" i="4"/>
  <c r="AE183" i="4"/>
  <c r="AD183" i="4"/>
  <c r="AB183" i="4"/>
  <c r="AA183" i="4"/>
  <c r="AC183" i="4" s="1"/>
  <c r="Z183" i="4"/>
  <c r="Y183" i="4"/>
  <c r="X183" i="4"/>
  <c r="W183" i="4"/>
  <c r="U183" i="4"/>
  <c r="Q183" i="4"/>
  <c r="P183" i="4"/>
  <c r="O183" i="4"/>
  <c r="AL182" i="4"/>
  <c r="AK182" i="4"/>
  <c r="AJ182" i="4"/>
  <c r="AI182" i="4"/>
  <c r="AH182" i="4"/>
  <c r="AG182" i="4"/>
  <c r="AF182" i="4"/>
  <c r="AE182" i="4"/>
  <c r="AD182" i="4"/>
  <c r="AB182" i="4"/>
  <c r="AA182" i="4"/>
  <c r="AC182" i="4" s="1"/>
  <c r="Z182" i="4"/>
  <c r="Y182" i="4"/>
  <c r="X182" i="4"/>
  <c r="W182" i="4"/>
  <c r="U182" i="4"/>
  <c r="Q182" i="4"/>
  <c r="P182" i="4"/>
  <c r="O182" i="4"/>
  <c r="AL181" i="4"/>
  <c r="AK181" i="4"/>
  <c r="AJ181" i="4"/>
  <c r="AI181" i="4"/>
  <c r="AH181" i="4"/>
  <c r="AG181" i="4"/>
  <c r="AF181" i="4"/>
  <c r="AE181" i="4"/>
  <c r="AD181" i="4"/>
  <c r="AB181" i="4"/>
  <c r="AA181" i="4"/>
  <c r="AC181" i="4" s="1"/>
  <c r="Z181" i="4"/>
  <c r="Y181" i="4"/>
  <c r="X181" i="4"/>
  <c r="W181" i="4"/>
  <c r="U181" i="4"/>
  <c r="Q181" i="4"/>
  <c r="P181" i="4"/>
  <c r="O181" i="4"/>
  <c r="AL180" i="4"/>
  <c r="AK180" i="4"/>
  <c r="AJ180" i="4"/>
  <c r="AI180" i="4"/>
  <c r="AH180" i="4"/>
  <c r="AG180" i="4"/>
  <c r="AF180" i="4"/>
  <c r="AE180" i="4"/>
  <c r="AD180" i="4"/>
  <c r="AB180" i="4"/>
  <c r="AA180" i="4"/>
  <c r="AC180" i="4" s="1"/>
  <c r="Z180" i="4"/>
  <c r="Y180" i="4"/>
  <c r="X180" i="4"/>
  <c r="W180" i="4"/>
  <c r="U180" i="4"/>
  <c r="Q180" i="4"/>
  <c r="P180" i="4"/>
  <c r="O180" i="4"/>
  <c r="AL179" i="4"/>
  <c r="AK179" i="4"/>
  <c r="AJ179" i="4"/>
  <c r="AI179" i="4"/>
  <c r="AH179" i="4"/>
  <c r="AG179" i="4"/>
  <c r="AF179" i="4"/>
  <c r="AE179" i="4"/>
  <c r="AD179" i="4"/>
  <c r="AB179" i="4"/>
  <c r="AA179" i="4"/>
  <c r="AC179" i="4" s="1"/>
  <c r="Z179" i="4"/>
  <c r="Y179" i="4"/>
  <c r="X179" i="4"/>
  <c r="W179" i="4"/>
  <c r="U179" i="4"/>
  <c r="Q179" i="4"/>
  <c r="P179" i="4"/>
  <c r="O179" i="4"/>
  <c r="AL178" i="4"/>
  <c r="AK178" i="4"/>
  <c r="AJ178" i="4"/>
  <c r="AI178" i="4"/>
  <c r="AH178" i="4"/>
  <c r="AG178" i="4"/>
  <c r="AF178" i="4"/>
  <c r="AE178" i="4"/>
  <c r="AD178" i="4"/>
  <c r="AB178" i="4"/>
  <c r="AA178" i="4"/>
  <c r="AC178" i="4" s="1"/>
  <c r="Z178" i="4"/>
  <c r="Y178" i="4"/>
  <c r="X178" i="4"/>
  <c r="W178" i="4"/>
  <c r="U178" i="4"/>
  <c r="Q178" i="4"/>
  <c r="P178" i="4"/>
  <c r="O178" i="4"/>
  <c r="AL177" i="4"/>
  <c r="AK177" i="4"/>
  <c r="AJ177" i="4"/>
  <c r="AI177" i="4"/>
  <c r="AH177" i="4"/>
  <c r="AG177" i="4"/>
  <c r="AF177" i="4"/>
  <c r="AE177" i="4"/>
  <c r="AD177" i="4"/>
  <c r="AB177" i="4"/>
  <c r="AA177" i="4"/>
  <c r="AC177" i="4" s="1"/>
  <c r="Z177" i="4"/>
  <c r="Y177" i="4"/>
  <c r="X177" i="4"/>
  <c r="W177" i="4"/>
  <c r="U177" i="4"/>
  <c r="Q177" i="4"/>
  <c r="P177" i="4"/>
  <c r="O177" i="4"/>
  <c r="AL176" i="4"/>
  <c r="AK176" i="4"/>
  <c r="AJ176" i="4"/>
  <c r="AI176" i="4"/>
  <c r="AH176" i="4"/>
  <c r="AG176" i="4"/>
  <c r="AF176" i="4"/>
  <c r="AE176" i="4"/>
  <c r="AD176" i="4"/>
  <c r="AB176" i="4"/>
  <c r="AA176" i="4"/>
  <c r="AC176" i="4" s="1"/>
  <c r="Z176" i="4"/>
  <c r="Y176" i="4"/>
  <c r="X176" i="4"/>
  <c r="W176" i="4"/>
  <c r="U176" i="4"/>
  <c r="Q176" i="4"/>
  <c r="P176" i="4"/>
  <c r="O176" i="4"/>
  <c r="AL175" i="4"/>
  <c r="AK175" i="4"/>
  <c r="AJ175" i="4"/>
  <c r="AI175" i="4"/>
  <c r="AG175" i="4"/>
  <c r="AF175" i="4"/>
  <c r="AE175" i="4"/>
  <c r="AD175" i="4"/>
  <c r="AB175" i="4"/>
  <c r="AA175" i="4"/>
  <c r="AC175" i="4" s="1"/>
  <c r="Z175" i="4"/>
  <c r="Y175" i="4"/>
  <c r="X175" i="4"/>
  <c r="W175" i="4"/>
  <c r="U175" i="4"/>
  <c r="Q175" i="4"/>
  <c r="P175" i="4"/>
  <c r="O175" i="4"/>
  <c r="AL174" i="4"/>
  <c r="AK174" i="4"/>
  <c r="AJ174" i="4"/>
  <c r="AI174" i="4"/>
  <c r="AH174" i="4"/>
  <c r="AG174" i="4"/>
  <c r="AF174" i="4"/>
  <c r="AE174" i="4"/>
  <c r="AD174" i="4"/>
  <c r="AB174" i="4"/>
  <c r="AA174" i="4"/>
  <c r="AC174" i="4" s="1"/>
  <c r="Z174" i="4"/>
  <c r="Y174" i="4"/>
  <c r="X174" i="4"/>
  <c r="W174" i="4"/>
  <c r="U174" i="4"/>
  <c r="Q174" i="4"/>
  <c r="P174" i="4"/>
  <c r="O174" i="4"/>
  <c r="AL173" i="4"/>
  <c r="AK173" i="4"/>
  <c r="AJ173" i="4"/>
  <c r="AI173" i="4"/>
  <c r="AH173" i="4"/>
  <c r="AG173" i="4"/>
  <c r="AF173" i="4"/>
  <c r="AE173" i="4"/>
  <c r="AD173" i="4"/>
  <c r="AB173" i="4"/>
  <c r="AA173" i="4"/>
  <c r="AC173" i="4" s="1"/>
  <c r="Z173" i="4"/>
  <c r="Y173" i="4"/>
  <c r="X173" i="4"/>
  <c r="W173" i="4"/>
  <c r="U173" i="4"/>
  <c r="Q173" i="4"/>
  <c r="P173" i="4"/>
  <c r="O173" i="4"/>
  <c r="AL172" i="4"/>
  <c r="AK172" i="4"/>
  <c r="AJ172" i="4"/>
  <c r="AI172" i="4"/>
  <c r="AH172" i="4"/>
  <c r="AG172" i="4"/>
  <c r="AF172" i="4"/>
  <c r="AE172" i="4"/>
  <c r="AD172" i="4"/>
  <c r="AB172" i="4"/>
  <c r="AA172" i="4"/>
  <c r="AC172" i="4" s="1"/>
  <c r="Z172" i="4"/>
  <c r="Y172" i="4"/>
  <c r="X172" i="4"/>
  <c r="W172" i="4"/>
  <c r="U172" i="4"/>
  <c r="Q172" i="4"/>
  <c r="P172" i="4"/>
  <c r="O172" i="4"/>
  <c r="AL171" i="4"/>
  <c r="AK171" i="4"/>
  <c r="AJ171" i="4"/>
  <c r="AI171" i="4"/>
  <c r="AH171" i="4"/>
  <c r="AG171" i="4"/>
  <c r="AF171" i="4"/>
  <c r="AE171" i="4"/>
  <c r="AD171" i="4"/>
  <c r="AB171" i="4"/>
  <c r="AA171" i="4"/>
  <c r="AC171" i="4" s="1"/>
  <c r="Z171" i="4"/>
  <c r="Y171" i="4"/>
  <c r="X171" i="4"/>
  <c r="W171" i="4"/>
  <c r="U171" i="4"/>
  <c r="Q171" i="4"/>
  <c r="P171" i="4"/>
  <c r="O171" i="4"/>
  <c r="AL170" i="4"/>
  <c r="AK170" i="4"/>
  <c r="AJ170" i="4"/>
  <c r="AI170" i="4"/>
  <c r="AH170" i="4"/>
  <c r="AG170" i="4"/>
  <c r="AF170" i="4"/>
  <c r="AE170" i="4"/>
  <c r="AD170" i="4"/>
  <c r="AB170" i="4"/>
  <c r="AA170" i="4"/>
  <c r="AC170" i="4" s="1"/>
  <c r="Z170" i="4"/>
  <c r="Y170" i="4"/>
  <c r="X170" i="4"/>
  <c r="W170" i="4"/>
  <c r="U170" i="4"/>
  <c r="Q170" i="4"/>
  <c r="P170" i="4"/>
  <c r="O170" i="4"/>
  <c r="AL169" i="4"/>
  <c r="AK169" i="4"/>
  <c r="AJ169" i="4"/>
  <c r="AI169" i="4"/>
  <c r="AH169" i="4"/>
  <c r="AG169" i="4"/>
  <c r="AF169" i="4"/>
  <c r="AE169" i="4"/>
  <c r="AD169" i="4"/>
  <c r="AB169" i="4"/>
  <c r="AA169" i="4"/>
  <c r="AC169" i="4" s="1"/>
  <c r="Z169" i="4"/>
  <c r="Y169" i="4"/>
  <c r="X169" i="4"/>
  <c r="W169" i="4"/>
  <c r="U169" i="4"/>
  <c r="Q169" i="4"/>
  <c r="P169" i="4"/>
  <c r="O169" i="4"/>
  <c r="AL168" i="4"/>
  <c r="AK168" i="4"/>
  <c r="AJ168" i="4"/>
  <c r="AI168" i="4"/>
  <c r="AH168" i="4"/>
  <c r="AG168" i="4"/>
  <c r="AF168" i="4"/>
  <c r="AE168" i="4"/>
  <c r="AD168" i="4"/>
  <c r="AB168" i="4"/>
  <c r="AA168" i="4"/>
  <c r="AC168" i="4" s="1"/>
  <c r="Z168" i="4"/>
  <c r="Y168" i="4"/>
  <c r="X168" i="4"/>
  <c r="W168" i="4"/>
  <c r="U168" i="4"/>
  <c r="Q168" i="4"/>
  <c r="P168" i="4"/>
  <c r="O168" i="4"/>
  <c r="AL167" i="4"/>
  <c r="AK167" i="4"/>
  <c r="AJ167" i="4"/>
  <c r="AI167" i="4"/>
  <c r="AH167" i="4"/>
  <c r="AG167" i="4"/>
  <c r="AF167" i="4"/>
  <c r="AE167" i="4"/>
  <c r="AD167" i="4"/>
  <c r="AB167" i="4"/>
  <c r="AA167" i="4"/>
  <c r="AC167" i="4" s="1"/>
  <c r="Z167" i="4"/>
  <c r="Y167" i="4"/>
  <c r="X167" i="4"/>
  <c r="W167" i="4"/>
  <c r="U167" i="4"/>
  <c r="Q167" i="4"/>
  <c r="P167" i="4"/>
  <c r="O167" i="4"/>
  <c r="AL166" i="4"/>
  <c r="AK166" i="4"/>
  <c r="AJ166" i="4"/>
  <c r="AI166" i="4"/>
  <c r="AH166" i="4"/>
  <c r="AG166" i="4"/>
  <c r="AF166" i="4"/>
  <c r="AE166" i="4"/>
  <c r="AD166" i="4"/>
  <c r="AB166" i="4"/>
  <c r="AA166" i="4"/>
  <c r="AC166" i="4" s="1"/>
  <c r="Z166" i="4"/>
  <c r="Y166" i="4"/>
  <c r="X166" i="4"/>
  <c r="W166" i="4"/>
  <c r="U166" i="4"/>
  <c r="Q166" i="4"/>
  <c r="P166" i="4"/>
  <c r="O166" i="4"/>
  <c r="AL165" i="4"/>
  <c r="AK165" i="4"/>
  <c r="AJ165" i="4"/>
  <c r="AI165" i="4"/>
  <c r="AH165" i="4"/>
  <c r="AG165" i="4"/>
  <c r="AF165" i="4"/>
  <c r="AE165" i="4"/>
  <c r="AD165" i="4"/>
  <c r="AB165" i="4"/>
  <c r="AA165" i="4"/>
  <c r="AC165" i="4" s="1"/>
  <c r="Z165" i="4"/>
  <c r="Y165" i="4"/>
  <c r="X165" i="4"/>
  <c r="W165" i="4"/>
  <c r="U165" i="4"/>
  <c r="Q165" i="4"/>
  <c r="P165" i="4"/>
  <c r="O165" i="4"/>
  <c r="AL164" i="4"/>
  <c r="AK164" i="4"/>
  <c r="AJ164" i="4"/>
  <c r="AI164" i="4"/>
  <c r="AH164" i="4"/>
  <c r="AG164" i="4"/>
  <c r="AF164" i="4"/>
  <c r="AE164" i="4"/>
  <c r="AD164" i="4"/>
  <c r="AB164" i="4"/>
  <c r="AA164" i="4"/>
  <c r="AC164" i="4" s="1"/>
  <c r="Z164" i="4"/>
  <c r="Y164" i="4"/>
  <c r="X164" i="4"/>
  <c r="W164" i="4"/>
  <c r="U164" i="4"/>
  <c r="Q164" i="4"/>
  <c r="P164" i="4"/>
  <c r="O164" i="4"/>
  <c r="AL163" i="4"/>
  <c r="AK163" i="4"/>
  <c r="AJ163" i="4"/>
  <c r="AI163" i="4"/>
  <c r="AH163" i="4"/>
  <c r="AG163" i="4"/>
  <c r="AF163" i="4"/>
  <c r="AE163" i="4"/>
  <c r="AD163" i="4"/>
  <c r="AB163" i="4"/>
  <c r="AA163" i="4"/>
  <c r="AC163" i="4" s="1"/>
  <c r="Z163" i="4"/>
  <c r="Y163" i="4"/>
  <c r="X163" i="4"/>
  <c r="W163" i="4"/>
  <c r="U163" i="4"/>
  <c r="Q163" i="4"/>
  <c r="P163" i="4"/>
  <c r="O163" i="4"/>
  <c r="AL162" i="4"/>
  <c r="AK162" i="4"/>
  <c r="AJ162" i="4"/>
  <c r="AI162" i="4"/>
  <c r="AH162" i="4"/>
  <c r="AG162" i="4"/>
  <c r="AF162" i="4"/>
  <c r="AE162" i="4"/>
  <c r="AD162" i="4"/>
  <c r="AB162" i="4"/>
  <c r="AA162" i="4"/>
  <c r="AC162" i="4" s="1"/>
  <c r="Z162" i="4"/>
  <c r="Y162" i="4"/>
  <c r="X162" i="4"/>
  <c r="W162" i="4"/>
  <c r="U162" i="4"/>
  <c r="Q162" i="4"/>
  <c r="P162" i="4"/>
  <c r="O162" i="4"/>
  <c r="AL161" i="4"/>
  <c r="AK161" i="4"/>
  <c r="AJ161" i="4"/>
  <c r="AI161" i="4"/>
  <c r="AH161" i="4"/>
  <c r="AG161" i="4"/>
  <c r="AF161" i="4"/>
  <c r="AE161" i="4"/>
  <c r="AD161" i="4"/>
  <c r="AB161" i="4"/>
  <c r="AA161" i="4"/>
  <c r="AC161" i="4" s="1"/>
  <c r="Z161" i="4"/>
  <c r="Y161" i="4"/>
  <c r="X161" i="4"/>
  <c r="W161" i="4"/>
  <c r="U161" i="4"/>
  <c r="Q161" i="4"/>
  <c r="P161" i="4"/>
  <c r="O161" i="4"/>
  <c r="AL160" i="4"/>
  <c r="AK160" i="4"/>
  <c r="AJ160" i="4"/>
  <c r="AI160" i="4"/>
  <c r="AG160" i="4"/>
  <c r="AF160" i="4"/>
  <c r="AE160" i="4"/>
  <c r="AD160" i="4"/>
  <c r="AB160" i="4"/>
  <c r="AA160" i="4"/>
  <c r="AC160" i="4" s="1"/>
  <c r="Z160" i="4"/>
  <c r="Y160" i="4"/>
  <c r="X160" i="4"/>
  <c r="W160" i="4"/>
  <c r="U160" i="4"/>
  <c r="Q160" i="4"/>
  <c r="P160" i="4"/>
  <c r="O160" i="4"/>
  <c r="AL159" i="4"/>
  <c r="AK159" i="4"/>
  <c r="AJ159" i="4"/>
  <c r="AI159" i="4"/>
  <c r="AH159" i="4"/>
  <c r="AG159" i="4"/>
  <c r="AF159" i="4"/>
  <c r="AE159" i="4"/>
  <c r="AD159" i="4"/>
  <c r="AB159" i="4"/>
  <c r="AA159" i="4"/>
  <c r="AC159" i="4" s="1"/>
  <c r="Z159" i="4"/>
  <c r="Y159" i="4"/>
  <c r="X159" i="4"/>
  <c r="W159" i="4"/>
  <c r="U159" i="4"/>
  <c r="Q159" i="4"/>
  <c r="P159" i="4"/>
  <c r="O159" i="4"/>
  <c r="AL158" i="4"/>
  <c r="AK158" i="4"/>
  <c r="AJ158" i="4"/>
  <c r="AI158" i="4"/>
  <c r="AG158" i="4"/>
  <c r="AF158" i="4"/>
  <c r="AE158" i="4"/>
  <c r="AD158" i="4"/>
  <c r="AB158" i="4"/>
  <c r="AA158" i="4"/>
  <c r="AC158" i="4" s="1"/>
  <c r="Z158" i="4"/>
  <c r="Y158" i="4"/>
  <c r="X158" i="4"/>
  <c r="W158" i="4"/>
  <c r="U158" i="4"/>
  <c r="Q158" i="4"/>
  <c r="P158" i="4"/>
  <c r="O158" i="4"/>
  <c r="AL157" i="4"/>
  <c r="AK157" i="4"/>
  <c r="AJ157" i="4"/>
  <c r="AI157" i="4"/>
  <c r="AG157" i="4"/>
  <c r="AF157" i="4"/>
  <c r="AE157" i="4"/>
  <c r="AD157" i="4"/>
  <c r="AB157" i="4"/>
  <c r="AA157" i="4"/>
  <c r="AC157" i="4" s="1"/>
  <c r="Z157" i="4"/>
  <c r="Y157" i="4"/>
  <c r="X157" i="4"/>
  <c r="W157" i="4"/>
  <c r="U157" i="4"/>
  <c r="Q157" i="4"/>
  <c r="P157" i="4"/>
  <c r="O157" i="4"/>
  <c r="AL156" i="4"/>
  <c r="AK156" i="4"/>
  <c r="AJ156" i="4"/>
  <c r="AI156" i="4"/>
  <c r="AG156" i="4"/>
  <c r="AF156" i="4"/>
  <c r="AE156" i="4"/>
  <c r="AD156" i="4"/>
  <c r="AB156" i="4"/>
  <c r="AA156" i="4"/>
  <c r="AC156" i="4" s="1"/>
  <c r="Z156" i="4"/>
  <c r="Y156" i="4"/>
  <c r="X156" i="4"/>
  <c r="W156" i="4"/>
  <c r="U156" i="4"/>
  <c r="Q156" i="4"/>
  <c r="P156" i="4"/>
  <c r="O156" i="4"/>
  <c r="AL155" i="4"/>
  <c r="AK155" i="4"/>
  <c r="AJ155" i="4"/>
  <c r="AI155" i="4"/>
  <c r="AH155" i="4"/>
  <c r="AG155" i="4"/>
  <c r="AF155" i="4"/>
  <c r="AE155" i="4"/>
  <c r="AD155" i="4"/>
  <c r="AB155" i="4"/>
  <c r="AA155" i="4"/>
  <c r="AC155" i="4" s="1"/>
  <c r="Z155" i="4"/>
  <c r="Y155" i="4"/>
  <c r="X155" i="4"/>
  <c r="W155" i="4"/>
  <c r="U155" i="4"/>
  <c r="Q155" i="4"/>
  <c r="P155" i="4"/>
  <c r="O155" i="4"/>
  <c r="AL154" i="4"/>
  <c r="AK154" i="4"/>
  <c r="AJ154" i="4"/>
  <c r="AI154" i="4"/>
  <c r="AH154" i="4"/>
  <c r="AG154" i="4"/>
  <c r="AF154" i="4"/>
  <c r="AE154" i="4"/>
  <c r="AD154" i="4"/>
  <c r="AB154" i="4"/>
  <c r="AA154" i="4"/>
  <c r="AC154" i="4" s="1"/>
  <c r="Z154" i="4"/>
  <c r="Y154" i="4"/>
  <c r="X154" i="4"/>
  <c r="W154" i="4"/>
  <c r="U154" i="4"/>
  <c r="Q154" i="4"/>
  <c r="P154" i="4"/>
  <c r="O154" i="4"/>
  <c r="AL153" i="4"/>
  <c r="AK153" i="4"/>
  <c r="AJ153" i="4"/>
  <c r="AI153" i="4"/>
  <c r="AG153" i="4"/>
  <c r="AF153" i="4"/>
  <c r="AE153" i="4"/>
  <c r="AD153" i="4"/>
  <c r="AB153" i="4"/>
  <c r="AA153" i="4"/>
  <c r="AC153" i="4" s="1"/>
  <c r="Z153" i="4"/>
  <c r="Y153" i="4"/>
  <c r="X153" i="4"/>
  <c r="W153" i="4"/>
  <c r="U153" i="4"/>
  <c r="Q153" i="4"/>
  <c r="P153" i="4"/>
  <c r="O153" i="4"/>
  <c r="AL152" i="4"/>
  <c r="AK152" i="4"/>
  <c r="AJ152" i="4"/>
  <c r="AI152" i="4"/>
  <c r="AH152" i="4"/>
  <c r="AG152" i="4"/>
  <c r="AF152" i="4"/>
  <c r="AE152" i="4"/>
  <c r="AD152" i="4"/>
  <c r="AB152" i="4"/>
  <c r="AA152" i="4"/>
  <c r="AC152" i="4" s="1"/>
  <c r="Z152" i="4"/>
  <c r="Y152" i="4"/>
  <c r="X152" i="4"/>
  <c r="W152" i="4"/>
  <c r="U152" i="4"/>
  <c r="Q152" i="4"/>
  <c r="P152" i="4"/>
  <c r="O152" i="4"/>
  <c r="AL151" i="4"/>
  <c r="AK151" i="4"/>
  <c r="AJ151" i="4"/>
  <c r="AI151" i="4"/>
  <c r="AH151" i="4"/>
  <c r="AG151" i="4"/>
  <c r="AF151" i="4"/>
  <c r="AE151" i="4"/>
  <c r="AD151" i="4"/>
  <c r="AB151" i="4"/>
  <c r="AA151" i="4"/>
  <c r="AC151" i="4" s="1"/>
  <c r="Z151" i="4"/>
  <c r="Y151" i="4"/>
  <c r="X151" i="4"/>
  <c r="W151" i="4"/>
  <c r="U151" i="4"/>
  <c r="Q151" i="4"/>
  <c r="P151" i="4"/>
  <c r="O151" i="4"/>
  <c r="AL150" i="4"/>
  <c r="AK150" i="4"/>
  <c r="AJ150" i="4"/>
  <c r="AI150" i="4"/>
  <c r="AH150" i="4"/>
  <c r="AG150" i="4"/>
  <c r="AF150" i="4"/>
  <c r="AE150" i="4"/>
  <c r="AD150" i="4"/>
  <c r="AB150" i="4"/>
  <c r="AA150" i="4"/>
  <c r="AC150" i="4" s="1"/>
  <c r="Z150" i="4"/>
  <c r="Y150" i="4"/>
  <c r="X150" i="4"/>
  <c r="W150" i="4"/>
  <c r="U150" i="4"/>
  <c r="Q150" i="4"/>
  <c r="P150" i="4"/>
  <c r="O150" i="4"/>
  <c r="AL149" i="4"/>
  <c r="AK149" i="4"/>
  <c r="AJ149" i="4"/>
  <c r="AI149" i="4"/>
  <c r="AH149" i="4"/>
  <c r="AG149" i="4"/>
  <c r="AF149" i="4"/>
  <c r="AE149" i="4"/>
  <c r="AD149" i="4"/>
  <c r="AB149" i="4"/>
  <c r="AA149" i="4"/>
  <c r="AC149" i="4" s="1"/>
  <c r="Z149" i="4"/>
  <c r="Y149" i="4"/>
  <c r="X149" i="4"/>
  <c r="W149" i="4"/>
  <c r="U149" i="4"/>
  <c r="Q149" i="4"/>
  <c r="P149" i="4"/>
  <c r="O149" i="4"/>
  <c r="AL148" i="4"/>
  <c r="AK148" i="4"/>
  <c r="AJ148" i="4"/>
  <c r="AI148" i="4"/>
  <c r="AH148" i="4"/>
  <c r="AG148" i="4"/>
  <c r="AF148" i="4"/>
  <c r="AE148" i="4"/>
  <c r="AD148" i="4"/>
  <c r="AB148" i="4"/>
  <c r="AA148" i="4"/>
  <c r="AC148" i="4" s="1"/>
  <c r="Z148" i="4"/>
  <c r="Y148" i="4"/>
  <c r="X148" i="4"/>
  <c r="W148" i="4"/>
  <c r="U148" i="4"/>
  <c r="Q148" i="4"/>
  <c r="P148" i="4"/>
  <c r="O148" i="4"/>
  <c r="AL147" i="4"/>
  <c r="AK147" i="4"/>
  <c r="AJ147" i="4"/>
  <c r="AI147" i="4"/>
  <c r="AH147" i="4"/>
  <c r="AG147" i="4"/>
  <c r="AF147" i="4"/>
  <c r="AE147" i="4"/>
  <c r="AD147" i="4"/>
  <c r="AB147" i="4"/>
  <c r="AA147" i="4"/>
  <c r="AC147" i="4" s="1"/>
  <c r="Z147" i="4"/>
  <c r="Y147" i="4"/>
  <c r="X147" i="4"/>
  <c r="W147" i="4"/>
  <c r="U147" i="4"/>
  <c r="Q147" i="4"/>
  <c r="P147" i="4"/>
  <c r="O147" i="4"/>
  <c r="AL146" i="4"/>
  <c r="AK146" i="4"/>
  <c r="AJ146" i="4"/>
  <c r="AI146" i="4"/>
  <c r="AG146" i="4"/>
  <c r="AF146" i="4"/>
  <c r="AE146" i="4"/>
  <c r="AD146" i="4"/>
  <c r="AB146" i="4"/>
  <c r="AA146" i="4"/>
  <c r="AC146" i="4" s="1"/>
  <c r="Z146" i="4"/>
  <c r="Y146" i="4"/>
  <c r="X146" i="4"/>
  <c r="W146" i="4"/>
  <c r="U146" i="4"/>
  <c r="Q146" i="4"/>
  <c r="P146" i="4"/>
  <c r="O146" i="4"/>
  <c r="AL145" i="4"/>
  <c r="AK145" i="4"/>
  <c r="AJ145" i="4"/>
  <c r="AI145" i="4"/>
  <c r="AH145" i="4"/>
  <c r="AG145" i="4"/>
  <c r="AF145" i="4"/>
  <c r="AE145" i="4"/>
  <c r="AD145" i="4"/>
  <c r="AB145" i="4"/>
  <c r="AA145" i="4"/>
  <c r="AC145" i="4" s="1"/>
  <c r="Z145" i="4"/>
  <c r="Y145" i="4"/>
  <c r="X145" i="4"/>
  <c r="W145" i="4"/>
  <c r="U145" i="4"/>
  <c r="Q145" i="4"/>
  <c r="P145" i="4"/>
  <c r="O145" i="4"/>
  <c r="AL144" i="4"/>
  <c r="AK144" i="4"/>
  <c r="AJ144" i="4"/>
  <c r="AI144" i="4"/>
  <c r="AG144" i="4"/>
  <c r="AF144" i="4"/>
  <c r="AE144" i="4"/>
  <c r="AD144" i="4"/>
  <c r="AB144" i="4"/>
  <c r="AA144" i="4"/>
  <c r="AC144" i="4" s="1"/>
  <c r="Z144" i="4"/>
  <c r="Y144" i="4"/>
  <c r="X144" i="4"/>
  <c r="W144" i="4"/>
  <c r="U144" i="4"/>
  <c r="Q144" i="4"/>
  <c r="P144" i="4"/>
  <c r="O144" i="4"/>
  <c r="AL143" i="4"/>
  <c r="AK143" i="4"/>
  <c r="AJ143" i="4"/>
  <c r="AI143" i="4"/>
  <c r="AG143" i="4"/>
  <c r="AF143" i="4"/>
  <c r="AE143" i="4"/>
  <c r="AD143" i="4"/>
  <c r="AB143" i="4"/>
  <c r="AA143" i="4"/>
  <c r="AC143" i="4" s="1"/>
  <c r="Z143" i="4"/>
  <c r="Y143" i="4"/>
  <c r="X143" i="4"/>
  <c r="W143" i="4"/>
  <c r="U143" i="4"/>
  <c r="Q143" i="4"/>
  <c r="P143" i="4"/>
  <c r="O143" i="4"/>
  <c r="AL142" i="4"/>
  <c r="AK142" i="4"/>
  <c r="AJ142" i="4"/>
  <c r="AI142" i="4"/>
  <c r="AH142" i="4"/>
  <c r="AG142" i="4"/>
  <c r="AF142" i="4"/>
  <c r="AE142" i="4"/>
  <c r="AD142" i="4"/>
  <c r="AB142" i="4"/>
  <c r="AA142" i="4"/>
  <c r="AC142" i="4" s="1"/>
  <c r="Z142" i="4"/>
  <c r="Y142" i="4"/>
  <c r="X142" i="4"/>
  <c r="W142" i="4"/>
  <c r="U142" i="4"/>
  <c r="Q142" i="4"/>
  <c r="P142" i="4"/>
  <c r="O142" i="4"/>
  <c r="AL141" i="4"/>
  <c r="AK141" i="4"/>
  <c r="AJ141" i="4"/>
  <c r="AI141" i="4"/>
  <c r="AG141" i="4"/>
  <c r="AF141" i="4"/>
  <c r="AE141" i="4"/>
  <c r="AD141" i="4"/>
  <c r="AB141" i="4"/>
  <c r="AA141" i="4"/>
  <c r="AC141" i="4" s="1"/>
  <c r="Z141" i="4"/>
  <c r="Y141" i="4"/>
  <c r="X141" i="4"/>
  <c r="W141" i="4"/>
  <c r="U141" i="4"/>
  <c r="Q141" i="4"/>
  <c r="P141" i="4"/>
  <c r="O141" i="4"/>
  <c r="AL140" i="4"/>
  <c r="AK140" i="4"/>
  <c r="AJ140" i="4"/>
  <c r="AI140" i="4"/>
  <c r="AH140" i="4"/>
  <c r="AG140" i="4"/>
  <c r="AF140" i="4"/>
  <c r="AE140" i="4"/>
  <c r="AD140" i="4"/>
  <c r="AB140" i="4"/>
  <c r="AA140" i="4"/>
  <c r="AC140" i="4" s="1"/>
  <c r="Z140" i="4"/>
  <c r="Y140" i="4"/>
  <c r="X140" i="4"/>
  <c r="W140" i="4"/>
  <c r="U140" i="4"/>
  <c r="Q140" i="4"/>
  <c r="P140" i="4"/>
  <c r="O140" i="4"/>
  <c r="AL139" i="4"/>
  <c r="AK139" i="4"/>
  <c r="AJ139" i="4"/>
  <c r="AI139" i="4"/>
  <c r="AH139" i="4"/>
  <c r="AG139" i="4"/>
  <c r="AF139" i="4"/>
  <c r="AE139" i="4"/>
  <c r="AD139" i="4"/>
  <c r="AB139" i="4"/>
  <c r="AA139" i="4"/>
  <c r="AC139" i="4" s="1"/>
  <c r="Z139" i="4"/>
  <c r="Y139" i="4"/>
  <c r="X139" i="4"/>
  <c r="W139" i="4"/>
  <c r="U139" i="4"/>
  <c r="Q139" i="4"/>
  <c r="P139" i="4"/>
  <c r="O139" i="4"/>
  <c r="AL138" i="4"/>
  <c r="AK138" i="4"/>
  <c r="AJ138" i="4"/>
  <c r="AI138" i="4"/>
  <c r="AH138" i="4"/>
  <c r="AG138" i="4"/>
  <c r="AF138" i="4"/>
  <c r="AE138" i="4"/>
  <c r="AD138" i="4"/>
  <c r="AB138" i="4"/>
  <c r="AA138" i="4"/>
  <c r="AC138" i="4" s="1"/>
  <c r="Z138" i="4"/>
  <c r="Y138" i="4"/>
  <c r="X138" i="4"/>
  <c r="W138" i="4"/>
  <c r="U138" i="4"/>
  <c r="Q138" i="4"/>
  <c r="P138" i="4"/>
  <c r="O138" i="4"/>
  <c r="AL137" i="4"/>
  <c r="AK137" i="4"/>
  <c r="AJ137" i="4"/>
  <c r="AI137" i="4"/>
  <c r="AG137" i="4"/>
  <c r="AF137" i="4"/>
  <c r="AE137" i="4"/>
  <c r="AD137" i="4"/>
  <c r="AB137" i="4"/>
  <c r="AA137" i="4"/>
  <c r="AC137" i="4" s="1"/>
  <c r="Z137" i="4"/>
  <c r="Y137" i="4"/>
  <c r="X137" i="4"/>
  <c r="W137" i="4"/>
  <c r="U137" i="4"/>
  <c r="Q137" i="4"/>
  <c r="P137" i="4"/>
  <c r="O137" i="4"/>
  <c r="AL136" i="4"/>
  <c r="AK136" i="4"/>
  <c r="AJ136" i="4"/>
  <c r="AI136" i="4"/>
  <c r="AH136" i="4"/>
  <c r="AG136" i="4"/>
  <c r="AF136" i="4"/>
  <c r="AE136" i="4"/>
  <c r="AD136" i="4"/>
  <c r="AB136" i="4"/>
  <c r="AA136" i="4"/>
  <c r="AC136" i="4" s="1"/>
  <c r="Z136" i="4"/>
  <c r="Y136" i="4"/>
  <c r="X136" i="4"/>
  <c r="W136" i="4"/>
  <c r="U136" i="4"/>
  <c r="Q136" i="4"/>
  <c r="P136" i="4"/>
  <c r="O136" i="4"/>
  <c r="AL135" i="4"/>
  <c r="AK135" i="4"/>
  <c r="AJ135" i="4"/>
  <c r="AI135" i="4"/>
  <c r="AH135" i="4"/>
  <c r="AG135" i="4"/>
  <c r="AF135" i="4"/>
  <c r="AE135" i="4"/>
  <c r="AD135" i="4"/>
  <c r="AB135" i="4"/>
  <c r="AA135" i="4"/>
  <c r="AC135" i="4" s="1"/>
  <c r="Z135" i="4"/>
  <c r="Y135" i="4"/>
  <c r="X135" i="4"/>
  <c r="W135" i="4"/>
  <c r="U135" i="4"/>
  <c r="Q135" i="4"/>
  <c r="P135" i="4"/>
  <c r="O135" i="4"/>
  <c r="AL134" i="4"/>
  <c r="AK134" i="4"/>
  <c r="AJ134" i="4"/>
  <c r="AI134" i="4"/>
  <c r="AH134" i="4"/>
  <c r="AG134" i="4"/>
  <c r="AF134" i="4"/>
  <c r="AE134" i="4"/>
  <c r="AD134" i="4"/>
  <c r="AB134" i="4"/>
  <c r="AA134" i="4"/>
  <c r="AC134" i="4" s="1"/>
  <c r="Z134" i="4"/>
  <c r="Y134" i="4"/>
  <c r="X134" i="4"/>
  <c r="W134" i="4"/>
  <c r="U134" i="4"/>
  <c r="Q134" i="4"/>
  <c r="P134" i="4"/>
  <c r="O134" i="4"/>
  <c r="AL133" i="4"/>
  <c r="AK133" i="4"/>
  <c r="AJ133" i="4"/>
  <c r="AI133" i="4"/>
  <c r="AH133" i="4"/>
  <c r="AG133" i="4"/>
  <c r="AF133" i="4"/>
  <c r="AE133" i="4"/>
  <c r="AD133" i="4"/>
  <c r="AB133" i="4"/>
  <c r="AA133" i="4"/>
  <c r="AC133" i="4" s="1"/>
  <c r="Z133" i="4"/>
  <c r="Y133" i="4"/>
  <c r="X133" i="4"/>
  <c r="W133" i="4"/>
  <c r="U133" i="4"/>
  <c r="Q133" i="4"/>
  <c r="P133" i="4"/>
  <c r="O133" i="4"/>
  <c r="AL132" i="4"/>
  <c r="AK132" i="4"/>
  <c r="AJ132" i="4"/>
  <c r="AI132" i="4"/>
  <c r="AH132" i="4"/>
  <c r="AG132" i="4"/>
  <c r="AF132" i="4"/>
  <c r="AE132" i="4"/>
  <c r="AD132" i="4"/>
  <c r="AB132" i="4"/>
  <c r="AA132" i="4"/>
  <c r="AC132" i="4" s="1"/>
  <c r="Z132" i="4"/>
  <c r="Y132" i="4"/>
  <c r="X132" i="4"/>
  <c r="W132" i="4"/>
  <c r="U132" i="4"/>
  <c r="Q132" i="4"/>
  <c r="P132" i="4"/>
  <c r="O132" i="4"/>
  <c r="AL131" i="4"/>
  <c r="AK131" i="4"/>
  <c r="AJ131" i="4"/>
  <c r="AI131" i="4"/>
  <c r="AH131" i="4"/>
  <c r="AG131" i="4"/>
  <c r="AF131" i="4"/>
  <c r="AE131" i="4"/>
  <c r="AD131" i="4"/>
  <c r="AB131" i="4"/>
  <c r="AA131" i="4"/>
  <c r="AC131" i="4" s="1"/>
  <c r="Z131" i="4"/>
  <c r="Y131" i="4"/>
  <c r="X131" i="4"/>
  <c r="W131" i="4"/>
  <c r="U131" i="4"/>
  <c r="Q131" i="4"/>
  <c r="P131" i="4"/>
  <c r="O131" i="4"/>
  <c r="AL130" i="4"/>
  <c r="AK130" i="4"/>
  <c r="AJ130" i="4"/>
  <c r="AI130" i="4"/>
  <c r="AH130" i="4"/>
  <c r="AG130" i="4"/>
  <c r="AF130" i="4"/>
  <c r="AE130" i="4"/>
  <c r="AD130" i="4"/>
  <c r="AB130" i="4"/>
  <c r="AA130" i="4"/>
  <c r="AC130" i="4" s="1"/>
  <c r="Z130" i="4"/>
  <c r="Y130" i="4"/>
  <c r="X130" i="4"/>
  <c r="W130" i="4"/>
  <c r="U130" i="4"/>
  <c r="Q130" i="4"/>
  <c r="P130" i="4"/>
  <c r="O130" i="4"/>
  <c r="AL129" i="4"/>
  <c r="AK129" i="4"/>
  <c r="AJ129" i="4"/>
  <c r="AI129" i="4"/>
  <c r="AH129" i="4"/>
  <c r="AG129" i="4"/>
  <c r="AF129" i="4"/>
  <c r="AE129" i="4"/>
  <c r="AD129" i="4"/>
  <c r="AB129" i="4"/>
  <c r="AA129" i="4"/>
  <c r="AC129" i="4" s="1"/>
  <c r="Z129" i="4"/>
  <c r="Y129" i="4"/>
  <c r="X129" i="4"/>
  <c r="W129" i="4"/>
  <c r="U129" i="4"/>
  <c r="Q129" i="4"/>
  <c r="P129" i="4"/>
  <c r="O129" i="4"/>
  <c r="AL128" i="4"/>
  <c r="AK128" i="4"/>
  <c r="AJ128" i="4"/>
  <c r="AI128" i="4"/>
  <c r="AH128" i="4"/>
  <c r="AG128" i="4"/>
  <c r="AF128" i="4"/>
  <c r="AE128" i="4"/>
  <c r="AD128" i="4"/>
  <c r="AB128" i="4"/>
  <c r="AA128" i="4"/>
  <c r="AC128" i="4" s="1"/>
  <c r="Z128" i="4"/>
  <c r="Y128" i="4"/>
  <c r="X128" i="4"/>
  <c r="W128" i="4"/>
  <c r="U128" i="4"/>
  <c r="Q128" i="4"/>
  <c r="P128" i="4"/>
  <c r="O128" i="4"/>
  <c r="AL127" i="4"/>
  <c r="AK127" i="4"/>
  <c r="AJ127" i="4"/>
  <c r="AI127" i="4"/>
  <c r="AH127" i="4"/>
  <c r="AG127" i="4"/>
  <c r="AF127" i="4"/>
  <c r="AE127" i="4"/>
  <c r="AD127" i="4"/>
  <c r="AB127" i="4"/>
  <c r="AA127" i="4"/>
  <c r="AC127" i="4" s="1"/>
  <c r="Z127" i="4"/>
  <c r="Y127" i="4"/>
  <c r="X127" i="4"/>
  <c r="W127" i="4"/>
  <c r="U127" i="4"/>
  <c r="Q127" i="4"/>
  <c r="P127" i="4"/>
  <c r="O127" i="4"/>
  <c r="AL126" i="4"/>
  <c r="AK126" i="4"/>
  <c r="AJ126" i="4"/>
  <c r="AI126" i="4"/>
  <c r="AH126" i="4"/>
  <c r="AG126" i="4"/>
  <c r="AF126" i="4"/>
  <c r="AE126" i="4"/>
  <c r="AD126" i="4"/>
  <c r="AB126" i="4"/>
  <c r="AA126" i="4"/>
  <c r="AC126" i="4" s="1"/>
  <c r="Z126" i="4"/>
  <c r="Y126" i="4"/>
  <c r="X126" i="4"/>
  <c r="W126" i="4"/>
  <c r="U126" i="4"/>
  <c r="Q126" i="4"/>
  <c r="P126" i="4"/>
  <c r="O126" i="4"/>
  <c r="AL125" i="4"/>
  <c r="AK125" i="4"/>
  <c r="AJ125" i="4"/>
  <c r="AI125" i="4"/>
  <c r="AH125" i="4"/>
  <c r="AG125" i="4"/>
  <c r="AF125" i="4"/>
  <c r="AE125" i="4"/>
  <c r="AD125" i="4"/>
  <c r="AB125" i="4"/>
  <c r="AA125" i="4"/>
  <c r="AC125" i="4" s="1"/>
  <c r="Z125" i="4"/>
  <c r="Y125" i="4"/>
  <c r="X125" i="4"/>
  <c r="W125" i="4"/>
  <c r="U125" i="4"/>
  <c r="Q125" i="4"/>
  <c r="P125" i="4"/>
  <c r="O125" i="4"/>
  <c r="AL124" i="4"/>
  <c r="AK124" i="4"/>
  <c r="AJ124" i="4"/>
  <c r="AI124" i="4"/>
  <c r="AH124" i="4"/>
  <c r="AG124" i="4"/>
  <c r="AF124" i="4"/>
  <c r="AE124" i="4"/>
  <c r="AD124" i="4"/>
  <c r="AB124" i="4"/>
  <c r="AA124" i="4"/>
  <c r="AC124" i="4" s="1"/>
  <c r="Z124" i="4"/>
  <c r="Y124" i="4"/>
  <c r="X124" i="4"/>
  <c r="W124" i="4"/>
  <c r="U124" i="4"/>
  <c r="Q124" i="4"/>
  <c r="P124" i="4"/>
  <c r="O124" i="4"/>
  <c r="AL123" i="4"/>
  <c r="AK123" i="4"/>
  <c r="AJ123" i="4"/>
  <c r="AI123" i="4"/>
  <c r="AH123" i="4"/>
  <c r="AG123" i="4"/>
  <c r="AF123" i="4"/>
  <c r="AE123" i="4"/>
  <c r="AD123" i="4"/>
  <c r="AB123" i="4"/>
  <c r="AA123" i="4"/>
  <c r="AC123" i="4" s="1"/>
  <c r="Z123" i="4"/>
  <c r="Y123" i="4"/>
  <c r="X123" i="4"/>
  <c r="W123" i="4"/>
  <c r="U123" i="4"/>
  <c r="Q123" i="4"/>
  <c r="P123" i="4"/>
  <c r="O123" i="4"/>
  <c r="AL122" i="4"/>
  <c r="AK122" i="4"/>
  <c r="AJ122" i="4"/>
  <c r="AI122" i="4"/>
  <c r="AH122" i="4"/>
  <c r="AG122" i="4"/>
  <c r="AF122" i="4"/>
  <c r="AE122" i="4"/>
  <c r="AD122" i="4"/>
  <c r="AB122" i="4"/>
  <c r="AA122" i="4"/>
  <c r="AC122" i="4" s="1"/>
  <c r="Z122" i="4"/>
  <c r="Y122" i="4"/>
  <c r="X122" i="4"/>
  <c r="W122" i="4"/>
  <c r="U122" i="4"/>
  <c r="Q122" i="4"/>
  <c r="P122" i="4"/>
  <c r="O122" i="4"/>
  <c r="AL121" i="4"/>
  <c r="AK121" i="4"/>
  <c r="AJ121" i="4"/>
  <c r="AI121" i="4"/>
  <c r="AH121" i="4"/>
  <c r="AG121" i="4"/>
  <c r="AF121" i="4"/>
  <c r="AE121" i="4"/>
  <c r="AD121" i="4"/>
  <c r="AB121" i="4"/>
  <c r="AA121" i="4"/>
  <c r="AC121" i="4" s="1"/>
  <c r="Z121" i="4"/>
  <c r="Y121" i="4"/>
  <c r="X121" i="4"/>
  <c r="W121" i="4"/>
  <c r="U121" i="4"/>
  <c r="Q121" i="4"/>
  <c r="P121" i="4"/>
  <c r="O121" i="4"/>
  <c r="AL120" i="4"/>
  <c r="AK120" i="4"/>
  <c r="AJ120" i="4"/>
  <c r="AI120" i="4"/>
  <c r="AG120" i="4"/>
  <c r="AF120" i="4"/>
  <c r="AE120" i="4"/>
  <c r="AD120" i="4"/>
  <c r="AB120" i="4"/>
  <c r="AA120" i="4"/>
  <c r="AC120" i="4" s="1"/>
  <c r="Z120" i="4"/>
  <c r="Y120" i="4"/>
  <c r="X120" i="4"/>
  <c r="W120" i="4"/>
  <c r="U120" i="4"/>
  <c r="Q120" i="4"/>
  <c r="P120" i="4"/>
  <c r="O120" i="4"/>
  <c r="AL119" i="4"/>
  <c r="AK119" i="4"/>
  <c r="AJ119" i="4"/>
  <c r="AI119" i="4"/>
  <c r="AH119" i="4"/>
  <c r="AG119" i="4"/>
  <c r="AF119" i="4"/>
  <c r="AE119" i="4"/>
  <c r="AD119" i="4"/>
  <c r="AB119" i="4"/>
  <c r="AA119" i="4"/>
  <c r="AC119" i="4" s="1"/>
  <c r="Z119" i="4"/>
  <c r="Y119" i="4"/>
  <c r="X119" i="4"/>
  <c r="W119" i="4"/>
  <c r="U119" i="4"/>
  <c r="Q119" i="4"/>
  <c r="P119" i="4"/>
  <c r="O119" i="4"/>
  <c r="AL118" i="4"/>
  <c r="AK118" i="4"/>
  <c r="AJ118" i="4"/>
  <c r="AI118" i="4"/>
  <c r="AH118" i="4"/>
  <c r="AG118" i="4"/>
  <c r="AF118" i="4"/>
  <c r="AE118" i="4"/>
  <c r="AD118" i="4"/>
  <c r="AB118" i="4"/>
  <c r="AA118" i="4"/>
  <c r="AC118" i="4" s="1"/>
  <c r="Z118" i="4"/>
  <c r="Y118" i="4"/>
  <c r="X118" i="4"/>
  <c r="W118" i="4"/>
  <c r="U118" i="4"/>
  <c r="Q118" i="4"/>
  <c r="P118" i="4"/>
  <c r="O118" i="4"/>
  <c r="AL117" i="4"/>
  <c r="AK117" i="4"/>
  <c r="AJ117" i="4"/>
  <c r="AI117" i="4"/>
  <c r="AH117" i="4"/>
  <c r="AG117" i="4"/>
  <c r="AF117" i="4"/>
  <c r="AE117" i="4"/>
  <c r="AD117" i="4"/>
  <c r="AB117" i="4"/>
  <c r="AA117" i="4"/>
  <c r="AC117" i="4" s="1"/>
  <c r="Z117" i="4"/>
  <c r="Y117" i="4"/>
  <c r="X117" i="4"/>
  <c r="W117" i="4"/>
  <c r="U117" i="4"/>
  <c r="Q117" i="4"/>
  <c r="P117" i="4"/>
  <c r="O117" i="4"/>
  <c r="AL116" i="4"/>
  <c r="AK116" i="4"/>
  <c r="AJ116" i="4"/>
  <c r="AI116" i="4"/>
  <c r="AH116" i="4"/>
  <c r="AG116" i="4"/>
  <c r="AF116" i="4"/>
  <c r="AE116" i="4"/>
  <c r="AD116" i="4"/>
  <c r="AB116" i="4"/>
  <c r="AA116" i="4"/>
  <c r="AC116" i="4" s="1"/>
  <c r="Z116" i="4"/>
  <c r="Y116" i="4"/>
  <c r="X116" i="4"/>
  <c r="W116" i="4"/>
  <c r="U116" i="4"/>
  <c r="Q116" i="4"/>
  <c r="P116" i="4"/>
  <c r="O116" i="4"/>
  <c r="AL115" i="4"/>
  <c r="AK115" i="4"/>
  <c r="AJ115" i="4"/>
  <c r="AI115" i="4"/>
  <c r="AH115" i="4"/>
  <c r="AG115" i="4"/>
  <c r="AF115" i="4"/>
  <c r="AE115" i="4"/>
  <c r="AD115" i="4"/>
  <c r="AB115" i="4"/>
  <c r="AA115" i="4"/>
  <c r="AC115" i="4" s="1"/>
  <c r="Z115" i="4"/>
  <c r="Y115" i="4"/>
  <c r="X115" i="4"/>
  <c r="W115" i="4"/>
  <c r="U115" i="4"/>
  <c r="Q115" i="4"/>
  <c r="P115" i="4"/>
  <c r="O115" i="4"/>
  <c r="AL114" i="4"/>
  <c r="AK114" i="4"/>
  <c r="AJ114" i="4"/>
  <c r="AI114" i="4"/>
  <c r="AH114" i="4"/>
  <c r="AG114" i="4"/>
  <c r="AF114" i="4"/>
  <c r="AE114" i="4"/>
  <c r="AD114" i="4"/>
  <c r="AB114" i="4"/>
  <c r="AA114" i="4"/>
  <c r="AC114" i="4" s="1"/>
  <c r="Z114" i="4"/>
  <c r="Y114" i="4"/>
  <c r="X114" i="4"/>
  <c r="W114" i="4"/>
  <c r="U114" i="4"/>
  <c r="Q114" i="4"/>
  <c r="P114" i="4"/>
  <c r="O114" i="4"/>
  <c r="AL113" i="4"/>
  <c r="AK113" i="4"/>
  <c r="AJ113" i="4"/>
  <c r="AI113" i="4"/>
  <c r="AH113" i="4"/>
  <c r="AG113" i="4"/>
  <c r="AF113" i="4"/>
  <c r="AE113" i="4"/>
  <c r="AD113" i="4"/>
  <c r="AB113" i="4"/>
  <c r="AA113" i="4"/>
  <c r="AC113" i="4" s="1"/>
  <c r="Z113" i="4"/>
  <c r="Y113" i="4"/>
  <c r="X113" i="4"/>
  <c r="W113" i="4"/>
  <c r="U113" i="4"/>
  <c r="Q113" i="4"/>
  <c r="P113" i="4"/>
  <c r="O113" i="4"/>
  <c r="AL112" i="4"/>
  <c r="AK112" i="4"/>
  <c r="AJ112" i="4"/>
  <c r="AI112" i="4"/>
  <c r="AH112" i="4"/>
  <c r="AG112" i="4"/>
  <c r="AF112" i="4"/>
  <c r="AE112" i="4"/>
  <c r="AD112" i="4"/>
  <c r="AB112" i="4"/>
  <c r="AA112" i="4"/>
  <c r="AC112" i="4" s="1"/>
  <c r="Z112" i="4"/>
  <c r="Y112" i="4"/>
  <c r="X112" i="4"/>
  <c r="W112" i="4"/>
  <c r="U112" i="4"/>
  <c r="Q112" i="4"/>
  <c r="P112" i="4"/>
  <c r="O112" i="4"/>
  <c r="AL111" i="4"/>
  <c r="AK111" i="4"/>
  <c r="AJ111" i="4"/>
  <c r="AI111" i="4"/>
  <c r="AH111" i="4"/>
  <c r="AG111" i="4"/>
  <c r="AF111" i="4"/>
  <c r="AE111" i="4"/>
  <c r="AD111" i="4"/>
  <c r="AB111" i="4"/>
  <c r="AA111" i="4"/>
  <c r="AC111" i="4" s="1"/>
  <c r="Z111" i="4"/>
  <c r="Y111" i="4"/>
  <c r="X111" i="4"/>
  <c r="W111" i="4"/>
  <c r="U111" i="4"/>
  <c r="Q111" i="4"/>
  <c r="P111" i="4"/>
  <c r="O111" i="4"/>
  <c r="AL110" i="4"/>
  <c r="AK110" i="4"/>
  <c r="AJ110" i="4"/>
  <c r="AI110" i="4"/>
  <c r="AH110" i="4"/>
  <c r="AG110" i="4"/>
  <c r="AF110" i="4"/>
  <c r="AE110" i="4"/>
  <c r="AD110" i="4"/>
  <c r="AB110" i="4"/>
  <c r="AA110" i="4"/>
  <c r="AC110" i="4" s="1"/>
  <c r="Z110" i="4"/>
  <c r="Y110" i="4"/>
  <c r="X110" i="4"/>
  <c r="W110" i="4"/>
  <c r="U110" i="4"/>
  <c r="Q110" i="4"/>
  <c r="P110" i="4"/>
  <c r="O110" i="4"/>
  <c r="AL109" i="4"/>
  <c r="AK109" i="4"/>
  <c r="AJ109" i="4"/>
  <c r="AI109" i="4"/>
  <c r="AG109" i="4"/>
  <c r="AF109" i="4"/>
  <c r="AE109" i="4"/>
  <c r="AD109" i="4"/>
  <c r="AB109" i="4"/>
  <c r="AA109" i="4"/>
  <c r="AC109" i="4" s="1"/>
  <c r="Z109" i="4"/>
  <c r="Y109" i="4"/>
  <c r="X109" i="4"/>
  <c r="W109" i="4"/>
  <c r="U109" i="4"/>
  <c r="Q109" i="4"/>
  <c r="P109" i="4"/>
  <c r="O109" i="4"/>
  <c r="AL108" i="4"/>
  <c r="AK108" i="4"/>
  <c r="AJ108" i="4"/>
  <c r="AI108" i="4"/>
  <c r="AH108" i="4"/>
  <c r="AG108" i="4"/>
  <c r="AF108" i="4"/>
  <c r="AE108" i="4"/>
  <c r="AD108" i="4"/>
  <c r="AB108" i="4"/>
  <c r="AA108" i="4"/>
  <c r="AC108" i="4" s="1"/>
  <c r="Z108" i="4"/>
  <c r="Y108" i="4"/>
  <c r="X108" i="4"/>
  <c r="W108" i="4"/>
  <c r="U108" i="4"/>
  <c r="Q108" i="4"/>
  <c r="P108" i="4"/>
  <c r="O108" i="4"/>
  <c r="AL107" i="4"/>
  <c r="AK107" i="4"/>
  <c r="AJ107" i="4"/>
  <c r="AI107" i="4"/>
  <c r="AH107" i="4"/>
  <c r="AG107" i="4"/>
  <c r="AF107" i="4"/>
  <c r="AE107" i="4"/>
  <c r="AD107" i="4"/>
  <c r="AB107" i="4"/>
  <c r="AA107" i="4"/>
  <c r="AC107" i="4" s="1"/>
  <c r="Z107" i="4"/>
  <c r="Y107" i="4"/>
  <c r="X107" i="4"/>
  <c r="W107" i="4"/>
  <c r="U107" i="4"/>
  <c r="Q107" i="4"/>
  <c r="P107" i="4"/>
  <c r="O107" i="4"/>
  <c r="AL106" i="4"/>
  <c r="AK106" i="4"/>
  <c r="AJ106" i="4"/>
  <c r="AI106" i="4"/>
  <c r="AH106" i="4"/>
  <c r="AG106" i="4"/>
  <c r="AF106" i="4"/>
  <c r="AE106" i="4"/>
  <c r="AD106" i="4"/>
  <c r="AB106" i="4"/>
  <c r="AA106" i="4"/>
  <c r="AC106" i="4" s="1"/>
  <c r="Z106" i="4"/>
  <c r="Y106" i="4"/>
  <c r="X106" i="4"/>
  <c r="W106" i="4"/>
  <c r="U106" i="4"/>
  <c r="Q106" i="4"/>
  <c r="P106" i="4"/>
  <c r="O106" i="4"/>
  <c r="AL105" i="4"/>
  <c r="AK105" i="4"/>
  <c r="AJ105" i="4"/>
  <c r="AI105" i="4"/>
  <c r="AH105" i="4"/>
  <c r="AG105" i="4"/>
  <c r="AF105" i="4"/>
  <c r="AE105" i="4"/>
  <c r="AD105" i="4"/>
  <c r="AB105" i="4"/>
  <c r="AA105" i="4"/>
  <c r="AC105" i="4" s="1"/>
  <c r="Z105" i="4"/>
  <c r="Y105" i="4"/>
  <c r="X105" i="4"/>
  <c r="W105" i="4"/>
  <c r="U105" i="4"/>
  <c r="Q105" i="4"/>
  <c r="P105" i="4"/>
  <c r="O105" i="4"/>
  <c r="AL104" i="4"/>
  <c r="AK104" i="4"/>
  <c r="AJ104" i="4"/>
  <c r="AI104" i="4"/>
  <c r="AH104" i="4"/>
  <c r="AG104" i="4"/>
  <c r="AF104" i="4"/>
  <c r="AE104" i="4"/>
  <c r="AD104" i="4"/>
  <c r="AB104" i="4"/>
  <c r="AA104" i="4"/>
  <c r="AC104" i="4" s="1"/>
  <c r="Z104" i="4"/>
  <c r="Y104" i="4"/>
  <c r="X104" i="4"/>
  <c r="W104" i="4"/>
  <c r="U104" i="4"/>
  <c r="Q104" i="4"/>
  <c r="P104" i="4"/>
  <c r="O104" i="4"/>
  <c r="AL103" i="4"/>
  <c r="AK103" i="4"/>
  <c r="AJ103" i="4"/>
  <c r="AI103" i="4"/>
  <c r="AH103" i="4"/>
  <c r="AG103" i="4"/>
  <c r="AF103" i="4"/>
  <c r="AE103" i="4"/>
  <c r="AD103" i="4"/>
  <c r="AB103" i="4"/>
  <c r="AA103" i="4"/>
  <c r="AC103" i="4" s="1"/>
  <c r="Z103" i="4"/>
  <c r="Y103" i="4"/>
  <c r="X103" i="4"/>
  <c r="W103" i="4"/>
  <c r="U103" i="4"/>
  <c r="Q103" i="4"/>
  <c r="P103" i="4"/>
  <c r="O103" i="4"/>
  <c r="AL102" i="4"/>
  <c r="AK102" i="4"/>
  <c r="AJ102" i="4"/>
  <c r="AI102" i="4"/>
  <c r="AH102" i="4"/>
  <c r="AG102" i="4"/>
  <c r="AF102" i="4"/>
  <c r="AE102" i="4"/>
  <c r="AD102" i="4"/>
  <c r="AB102" i="4"/>
  <c r="AA102" i="4"/>
  <c r="AC102" i="4" s="1"/>
  <c r="Z102" i="4"/>
  <c r="Y102" i="4"/>
  <c r="X102" i="4"/>
  <c r="W102" i="4"/>
  <c r="U102" i="4"/>
  <c r="Q102" i="4"/>
  <c r="P102" i="4"/>
  <c r="O102" i="4"/>
  <c r="AL101" i="4"/>
  <c r="AK101" i="4"/>
  <c r="AJ101" i="4"/>
  <c r="AI101" i="4"/>
  <c r="AH101" i="4"/>
  <c r="AG101" i="4"/>
  <c r="AF101" i="4"/>
  <c r="AE101" i="4"/>
  <c r="AD101" i="4"/>
  <c r="AB101" i="4"/>
  <c r="AA101" i="4"/>
  <c r="AC101" i="4" s="1"/>
  <c r="Z101" i="4"/>
  <c r="Y101" i="4"/>
  <c r="X101" i="4"/>
  <c r="W101" i="4"/>
  <c r="U101" i="4"/>
  <c r="Q101" i="4"/>
  <c r="P101" i="4"/>
  <c r="O101" i="4"/>
  <c r="AL100" i="4"/>
  <c r="AK100" i="4"/>
  <c r="AJ100" i="4"/>
  <c r="AI100" i="4"/>
  <c r="AH100" i="4"/>
  <c r="AG100" i="4"/>
  <c r="AF100" i="4"/>
  <c r="AE100" i="4"/>
  <c r="AD100" i="4"/>
  <c r="AB100" i="4"/>
  <c r="AA100" i="4"/>
  <c r="AC100" i="4" s="1"/>
  <c r="Z100" i="4"/>
  <c r="Y100" i="4"/>
  <c r="X100" i="4"/>
  <c r="W100" i="4"/>
  <c r="U100" i="4"/>
  <c r="Q100" i="4"/>
  <c r="P100" i="4"/>
  <c r="O100" i="4"/>
  <c r="AL99" i="4"/>
  <c r="AK99" i="4"/>
  <c r="AJ99" i="4"/>
  <c r="AI99" i="4"/>
  <c r="AH99" i="4"/>
  <c r="AG99" i="4"/>
  <c r="AF99" i="4"/>
  <c r="AE99" i="4"/>
  <c r="AD99" i="4"/>
  <c r="AB99" i="4"/>
  <c r="AA99" i="4"/>
  <c r="AC99" i="4" s="1"/>
  <c r="Z99" i="4"/>
  <c r="Y99" i="4"/>
  <c r="X99" i="4"/>
  <c r="W99" i="4"/>
  <c r="U99" i="4"/>
  <c r="Q99" i="4"/>
  <c r="P99" i="4"/>
  <c r="O99" i="4"/>
  <c r="AL98" i="4"/>
  <c r="AK98" i="4"/>
  <c r="AJ98" i="4"/>
  <c r="AI98" i="4"/>
  <c r="AH98" i="4"/>
  <c r="AG98" i="4"/>
  <c r="AF98" i="4"/>
  <c r="AE98" i="4"/>
  <c r="AD98" i="4"/>
  <c r="AB98" i="4"/>
  <c r="AA98" i="4"/>
  <c r="AC98" i="4" s="1"/>
  <c r="Z98" i="4"/>
  <c r="Y98" i="4"/>
  <c r="X98" i="4"/>
  <c r="W98" i="4"/>
  <c r="U98" i="4"/>
  <c r="Q98" i="4"/>
  <c r="P98" i="4"/>
  <c r="O98" i="4"/>
  <c r="AL97" i="4"/>
  <c r="AK97" i="4"/>
  <c r="AJ97" i="4"/>
  <c r="AI97" i="4"/>
  <c r="AH97" i="4"/>
  <c r="AG97" i="4"/>
  <c r="AF97" i="4"/>
  <c r="AE97" i="4"/>
  <c r="AD97" i="4"/>
  <c r="AB97" i="4"/>
  <c r="AA97" i="4"/>
  <c r="AC97" i="4" s="1"/>
  <c r="Z97" i="4"/>
  <c r="Y97" i="4"/>
  <c r="X97" i="4"/>
  <c r="W97" i="4"/>
  <c r="U97" i="4"/>
  <c r="Q97" i="4"/>
  <c r="P97" i="4"/>
  <c r="O97" i="4"/>
  <c r="AL96" i="4"/>
  <c r="AK96" i="4"/>
  <c r="AJ96" i="4"/>
  <c r="AI96" i="4"/>
  <c r="AH96" i="4"/>
  <c r="AG96" i="4"/>
  <c r="AF96" i="4"/>
  <c r="AE96" i="4"/>
  <c r="AD96" i="4"/>
  <c r="AB96" i="4"/>
  <c r="AA96" i="4"/>
  <c r="AC96" i="4" s="1"/>
  <c r="Z96" i="4"/>
  <c r="Y96" i="4"/>
  <c r="X96" i="4"/>
  <c r="W96" i="4"/>
  <c r="U96" i="4"/>
  <c r="Q96" i="4"/>
  <c r="P96" i="4"/>
  <c r="O96" i="4"/>
  <c r="AL95" i="4"/>
  <c r="AK95" i="4"/>
  <c r="AJ95" i="4"/>
  <c r="AI95" i="4"/>
  <c r="AH95" i="4"/>
  <c r="AG95" i="4"/>
  <c r="AF95" i="4"/>
  <c r="AE95" i="4"/>
  <c r="AD95" i="4"/>
  <c r="AB95" i="4"/>
  <c r="AA95" i="4"/>
  <c r="AC95" i="4" s="1"/>
  <c r="Z95" i="4"/>
  <c r="Y95" i="4"/>
  <c r="X95" i="4"/>
  <c r="W95" i="4"/>
  <c r="U95" i="4"/>
  <c r="Q95" i="4"/>
  <c r="P95" i="4"/>
  <c r="O95" i="4"/>
  <c r="AL94" i="4"/>
  <c r="AK94" i="4"/>
  <c r="AJ94" i="4"/>
  <c r="AI94" i="4"/>
  <c r="AH94" i="4"/>
  <c r="AG94" i="4"/>
  <c r="AF94" i="4"/>
  <c r="AE94" i="4"/>
  <c r="AD94" i="4"/>
  <c r="AB94" i="4"/>
  <c r="AA94" i="4"/>
  <c r="AC94" i="4" s="1"/>
  <c r="Z94" i="4"/>
  <c r="Y94" i="4"/>
  <c r="X94" i="4"/>
  <c r="W94" i="4"/>
  <c r="U94" i="4"/>
  <c r="Q94" i="4"/>
  <c r="P94" i="4"/>
  <c r="O94" i="4"/>
  <c r="AL93" i="4"/>
  <c r="AK93" i="4"/>
  <c r="AJ93" i="4"/>
  <c r="AI93" i="4"/>
  <c r="AG93" i="4"/>
  <c r="AF93" i="4"/>
  <c r="AE93" i="4"/>
  <c r="AD93" i="4"/>
  <c r="AB93" i="4"/>
  <c r="AA93" i="4"/>
  <c r="AC93" i="4" s="1"/>
  <c r="Z93" i="4"/>
  <c r="Y93" i="4"/>
  <c r="X93" i="4"/>
  <c r="W93" i="4"/>
  <c r="U93" i="4"/>
  <c r="Q93" i="4"/>
  <c r="P93" i="4"/>
  <c r="O93" i="4"/>
  <c r="AL92" i="4"/>
  <c r="AK92" i="4"/>
  <c r="AJ92" i="4"/>
  <c r="AI92" i="4"/>
  <c r="AH92" i="4"/>
  <c r="AG92" i="4"/>
  <c r="AF92" i="4"/>
  <c r="AE92" i="4"/>
  <c r="AD92" i="4"/>
  <c r="AB92" i="4"/>
  <c r="AA92" i="4"/>
  <c r="AC92" i="4" s="1"/>
  <c r="Z92" i="4"/>
  <c r="Y92" i="4"/>
  <c r="X92" i="4"/>
  <c r="W92" i="4"/>
  <c r="U92" i="4"/>
  <c r="Q92" i="4"/>
  <c r="P92" i="4"/>
  <c r="O92" i="4"/>
  <c r="AL91" i="4"/>
  <c r="AK91" i="4"/>
  <c r="AJ91" i="4"/>
  <c r="AI91" i="4"/>
  <c r="AG91" i="4"/>
  <c r="AF91" i="4"/>
  <c r="AE91" i="4"/>
  <c r="AD91" i="4"/>
  <c r="AB91" i="4"/>
  <c r="AA91" i="4"/>
  <c r="AC91" i="4" s="1"/>
  <c r="Z91" i="4"/>
  <c r="Y91" i="4"/>
  <c r="X91" i="4"/>
  <c r="W91" i="4"/>
  <c r="U91" i="4"/>
  <c r="Q91" i="4"/>
  <c r="P91" i="4"/>
  <c r="O91" i="4"/>
  <c r="AL90" i="4"/>
  <c r="AK90" i="4"/>
  <c r="AJ90" i="4"/>
  <c r="AI90" i="4"/>
  <c r="AH90" i="4"/>
  <c r="AG90" i="4"/>
  <c r="AF90" i="4"/>
  <c r="AE90" i="4"/>
  <c r="AD90" i="4"/>
  <c r="AB90" i="4"/>
  <c r="AA90" i="4"/>
  <c r="AC90" i="4" s="1"/>
  <c r="Z90" i="4"/>
  <c r="Y90" i="4"/>
  <c r="X90" i="4"/>
  <c r="W90" i="4"/>
  <c r="U90" i="4"/>
  <c r="Q90" i="4"/>
  <c r="P90" i="4"/>
  <c r="O90" i="4"/>
  <c r="AL89" i="4"/>
  <c r="AK89" i="4"/>
  <c r="AJ89" i="4"/>
  <c r="AI89" i="4"/>
  <c r="AG89" i="4"/>
  <c r="AF89" i="4"/>
  <c r="AE89" i="4"/>
  <c r="AD89" i="4"/>
  <c r="AB89" i="4"/>
  <c r="AA89" i="4"/>
  <c r="AC89" i="4" s="1"/>
  <c r="Z89" i="4"/>
  <c r="Y89" i="4"/>
  <c r="X89" i="4"/>
  <c r="W89" i="4"/>
  <c r="U89" i="4"/>
  <c r="Q89" i="4"/>
  <c r="P89" i="4"/>
  <c r="O89" i="4"/>
  <c r="AL88" i="4"/>
  <c r="AK88" i="4"/>
  <c r="AJ88" i="4"/>
  <c r="AI88" i="4"/>
  <c r="AG88" i="4"/>
  <c r="AF88" i="4"/>
  <c r="AE88" i="4"/>
  <c r="AD88" i="4"/>
  <c r="AB88" i="4"/>
  <c r="AA88" i="4"/>
  <c r="AC88" i="4" s="1"/>
  <c r="Z88" i="4"/>
  <c r="Y88" i="4"/>
  <c r="X88" i="4"/>
  <c r="W88" i="4"/>
  <c r="U88" i="4"/>
  <c r="Q88" i="4"/>
  <c r="P88" i="4"/>
  <c r="O88" i="4"/>
  <c r="AL87" i="4"/>
  <c r="AK87" i="4"/>
  <c r="AJ87" i="4"/>
  <c r="AI87" i="4"/>
  <c r="AH87" i="4"/>
  <c r="AG87" i="4"/>
  <c r="AF87" i="4"/>
  <c r="AE87" i="4"/>
  <c r="AD87" i="4"/>
  <c r="AB87" i="4"/>
  <c r="AA87" i="4"/>
  <c r="AC87" i="4" s="1"/>
  <c r="Z87" i="4"/>
  <c r="Y87" i="4"/>
  <c r="X87" i="4"/>
  <c r="W87" i="4"/>
  <c r="U87" i="4"/>
  <c r="Q87" i="4"/>
  <c r="P87" i="4"/>
  <c r="O87" i="4"/>
  <c r="AL86" i="4"/>
  <c r="AK86" i="4"/>
  <c r="AJ86" i="4"/>
  <c r="AI86" i="4"/>
  <c r="AH86" i="4"/>
  <c r="AG86" i="4"/>
  <c r="AF86" i="4"/>
  <c r="AE86" i="4"/>
  <c r="AD86" i="4"/>
  <c r="AB86" i="4"/>
  <c r="AA86" i="4"/>
  <c r="AC86" i="4" s="1"/>
  <c r="Z86" i="4"/>
  <c r="Y86" i="4"/>
  <c r="X86" i="4"/>
  <c r="W86" i="4"/>
  <c r="U86" i="4"/>
  <c r="Q86" i="4"/>
  <c r="P86" i="4"/>
  <c r="O86" i="4"/>
  <c r="AL85" i="4"/>
  <c r="AK85" i="4"/>
  <c r="AJ85" i="4"/>
  <c r="AI85" i="4"/>
  <c r="AH85" i="4"/>
  <c r="AG85" i="4"/>
  <c r="AF85" i="4"/>
  <c r="AE85" i="4"/>
  <c r="AD85" i="4"/>
  <c r="AB85" i="4"/>
  <c r="AA85" i="4"/>
  <c r="AC85" i="4" s="1"/>
  <c r="Z85" i="4"/>
  <c r="Y85" i="4"/>
  <c r="X85" i="4"/>
  <c r="W85" i="4"/>
  <c r="U85" i="4"/>
  <c r="Q85" i="4"/>
  <c r="P85" i="4"/>
  <c r="O85" i="4"/>
  <c r="AL84" i="4"/>
  <c r="AK84" i="4"/>
  <c r="AJ84" i="4"/>
  <c r="AI84" i="4"/>
  <c r="AH84" i="4"/>
  <c r="AG84" i="4"/>
  <c r="AF84" i="4"/>
  <c r="AE84" i="4"/>
  <c r="AD84" i="4"/>
  <c r="AB84" i="4"/>
  <c r="AA84" i="4"/>
  <c r="AC84" i="4" s="1"/>
  <c r="Z84" i="4"/>
  <c r="Y84" i="4"/>
  <c r="X84" i="4"/>
  <c r="W84" i="4"/>
  <c r="U84" i="4"/>
  <c r="Q84" i="4"/>
  <c r="P84" i="4"/>
  <c r="O84" i="4"/>
  <c r="AL83" i="4"/>
  <c r="AK83" i="4"/>
  <c r="AJ83" i="4"/>
  <c r="AI83" i="4"/>
  <c r="AH83" i="4"/>
  <c r="AG83" i="4"/>
  <c r="AF83" i="4"/>
  <c r="AE83" i="4"/>
  <c r="AD83" i="4"/>
  <c r="AB83" i="4"/>
  <c r="AA83" i="4"/>
  <c r="AC83" i="4" s="1"/>
  <c r="Z83" i="4"/>
  <c r="Y83" i="4"/>
  <c r="X83" i="4"/>
  <c r="W83" i="4"/>
  <c r="U83" i="4"/>
  <c r="Q83" i="4"/>
  <c r="P83" i="4"/>
  <c r="O83" i="4"/>
  <c r="AL82" i="4"/>
  <c r="AK82" i="4"/>
  <c r="AJ82" i="4"/>
  <c r="AI82" i="4"/>
  <c r="AH82" i="4"/>
  <c r="AG82" i="4"/>
  <c r="AF82" i="4"/>
  <c r="AE82" i="4"/>
  <c r="AD82" i="4"/>
  <c r="AB82" i="4"/>
  <c r="AA82" i="4"/>
  <c r="AC82" i="4" s="1"/>
  <c r="Z82" i="4"/>
  <c r="Y82" i="4"/>
  <c r="X82" i="4"/>
  <c r="W82" i="4"/>
  <c r="U82" i="4"/>
  <c r="Q82" i="4"/>
  <c r="P82" i="4"/>
  <c r="O82" i="4"/>
  <c r="AL81" i="4"/>
  <c r="AK81" i="4"/>
  <c r="AJ81" i="4"/>
  <c r="AI81" i="4"/>
  <c r="AH81" i="4"/>
  <c r="AG81" i="4"/>
  <c r="AF81" i="4"/>
  <c r="AE81" i="4"/>
  <c r="AD81" i="4"/>
  <c r="AB81" i="4"/>
  <c r="AA81" i="4"/>
  <c r="AC81" i="4" s="1"/>
  <c r="Z81" i="4"/>
  <c r="Y81" i="4"/>
  <c r="X81" i="4"/>
  <c r="W81" i="4"/>
  <c r="U81" i="4"/>
  <c r="Q81" i="4"/>
  <c r="P81" i="4"/>
  <c r="O81" i="4"/>
  <c r="AL80" i="4"/>
  <c r="AK80" i="4"/>
  <c r="AJ80" i="4"/>
  <c r="AI80" i="4"/>
  <c r="AH80" i="4"/>
  <c r="AG80" i="4"/>
  <c r="AF80" i="4"/>
  <c r="AE80" i="4"/>
  <c r="AD80" i="4"/>
  <c r="AB80" i="4"/>
  <c r="AA80" i="4"/>
  <c r="AC80" i="4" s="1"/>
  <c r="Z80" i="4"/>
  <c r="Y80" i="4"/>
  <c r="X80" i="4"/>
  <c r="W80" i="4"/>
  <c r="U80" i="4"/>
  <c r="Q80" i="4"/>
  <c r="P80" i="4"/>
  <c r="O80" i="4"/>
  <c r="AL79" i="4"/>
  <c r="AK79" i="4"/>
  <c r="AJ79" i="4"/>
  <c r="AI79" i="4"/>
  <c r="AH79" i="4"/>
  <c r="AG79" i="4"/>
  <c r="AF79" i="4"/>
  <c r="AE79" i="4"/>
  <c r="AD79" i="4"/>
  <c r="AB79" i="4"/>
  <c r="AA79" i="4"/>
  <c r="AC79" i="4" s="1"/>
  <c r="Z79" i="4"/>
  <c r="Y79" i="4"/>
  <c r="X79" i="4"/>
  <c r="W79" i="4"/>
  <c r="U79" i="4"/>
  <c r="Q79" i="4"/>
  <c r="P79" i="4"/>
  <c r="O79" i="4"/>
  <c r="AL78" i="4"/>
  <c r="AK78" i="4"/>
  <c r="AJ78" i="4"/>
  <c r="AI78" i="4"/>
  <c r="AH78" i="4"/>
  <c r="AG78" i="4"/>
  <c r="AF78" i="4"/>
  <c r="AE78" i="4"/>
  <c r="AD78" i="4"/>
  <c r="AB78" i="4"/>
  <c r="AA78" i="4"/>
  <c r="AC78" i="4" s="1"/>
  <c r="Z78" i="4"/>
  <c r="Y78" i="4"/>
  <c r="X78" i="4"/>
  <c r="W78" i="4"/>
  <c r="U78" i="4"/>
  <c r="Q78" i="4"/>
  <c r="P78" i="4"/>
  <c r="O78" i="4"/>
  <c r="AL77" i="4"/>
  <c r="AK77" i="4"/>
  <c r="AJ77" i="4"/>
  <c r="AI77" i="4"/>
  <c r="AH77" i="4"/>
  <c r="AG77" i="4"/>
  <c r="AF77" i="4"/>
  <c r="AE77" i="4"/>
  <c r="AD77" i="4"/>
  <c r="AB77" i="4"/>
  <c r="AA77" i="4"/>
  <c r="AC77" i="4" s="1"/>
  <c r="Z77" i="4"/>
  <c r="Y77" i="4"/>
  <c r="X77" i="4"/>
  <c r="W77" i="4"/>
  <c r="U77" i="4"/>
  <c r="Q77" i="4"/>
  <c r="P77" i="4"/>
  <c r="O77" i="4"/>
  <c r="AL76" i="4"/>
  <c r="AK76" i="4"/>
  <c r="AJ76" i="4"/>
  <c r="AI76" i="4"/>
  <c r="AH76" i="4"/>
  <c r="AG76" i="4"/>
  <c r="AF76" i="4"/>
  <c r="AE76" i="4"/>
  <c r="AD76" i="4"/>
  <c r="AB76" i="4"/>
  <c r="AA76" i="4"/>
  <c r="AC76" i="4" s="1"/>
  <c r="Z76" i="4"/>
  <c r="Y76" i="4"/>
  <c r="X76" i="4"/>
  <c r="W76" i="4"/>
  <c r="U76" i="4"/>
  <c r="Q76" i="4"/>
  <c r="P76" i="4"/>
  <c r="O76" i="4"/>
  <c r="AL75" i="4"/>
  <c r="AK75" i="4"/>
  <c r="AJ75" i="4"/>
  <c r="AI75" i="4"/>
  <c r="AH75" i="4"/>
  <c r="AG75" i="4"/>
  <c r="AF75" i="4"/>
  <c r="AE75" i="4"/>
  <c r="AD75" i="4"/>
  <c r="AB75" i="4"/>
  <c r="AA75" i="4"/>
  <c r="AC75" i="4" s="1"/>
  <c r="Z75" i="4"/>
  <c r="Y75" i="4"/>
  <c r="X75" i="4"/>
  <c r="W75" i="4"/>
  <c r="U75" i="4"/>
  <c r="Q75" i="4"/>
  <c r="P75" i="4"/>
  <c r="O75" i="4"/>
  <c r="AL74" i="4"/>
  <c r="AK74" i="4"/>
  <c r="AJ74" i="4"/>
  <c r="AI74" i="4"/>
  <c r="AH74" i="4"/>
  <c r="AG74" i="4"/>
  <c r="AF74" i="4"/>
  <c r="AE74" i="4"/>
  <c r="AD74" i="4"/>
  <c r="AB74" i="4"/>
  <c r="AA74" i="4"/>
  <c r="AC74" i="4" s="1"/>
  <c r="Z74" i="4"/>
  <c r="Y74" i="4"/>
  <c r="X74" i="4"/>
  <c r="W74" i="4"/>
  <c r="U74" i="4"/>
  <c r="Q74" i="4"/>
  <c r="P74" i="4"/>
  <c r="O74" i="4"/>
  <c r="AL73" i="4"/>
  <c r="AK73" i="4"/>
  <c r="AJ73" i="4"/>
  <c r="AI73" i="4"/>
  <c r="AH73" i="4"/>
  <c r="AG73" i="4"/>
  <c r="AF73" i="4"/>
  <c r="AE73" i="4"/>
  <c r="AD73" i="4"/>
  <c r="AB73" i="4"/>
  <c r="AA73" i="4"/>
  <c r="AC73" i="4" s="1"/>
  <c r="Z73" i="4"/>
  <c r="Y73" i="4"/>
  <c r="X73" i="4"/>
  <c r="W73" i="4"/>
  <c r="U73" i="4"/>
  <c r="Q73" i="4"/>
  <c r="P73" i="4"/>
  <c r="O73" i="4"/>
  <c r="AL72" i="4"/>
  <c r="AK72" i="4"/>
  <c r="AJ72" i="4"/>
  <c r="AI72" i="4"/>
  <c r="AG72" i="4"/>
  <c r="AF72" i="4"/>
  <c r="AE72" i="4"/>
  <c r="AD72" i="4"/>
  <c r="AB72" i="4"/>
  <c r="AA72" i="4"/>
  <c r="AC72" i="4" s="1"/>
  <c r="Z72" i="4"/>
  <c r="Y72" i="4"/>
  <c r="X72" i="4"/>
  <c r="W72" i="4"/>
  <c r="U72" i="4"/>
  <c r="Q72" i="4"/>
  <c r="P72" i="4"/>
  <c r="O72" i="4"/>
  <c r="AL71" i="4"/>
  <c r="AK71" i="4"/>
  <c r="AJ71" i="4"/>
  <c r="AI71" i="4"/>
  <c r="AH71" i="4"/>
  <c r="AG71" i="4"/>
  <c r="AF71" i="4"/>
  <c r="AE71" i="4"/>
  <c r="AD71" i="4"/>
  <c r="AB71" i="4"/>
  <c r="AA71" i="4"/>
  <c r="AC71" i="4" s="1"/>
  <c r="Z71" i="4"/>
  <c r="Y71" i="4"/>
  <c r="X71" i="4"/>
  <c r="W71" i="4"/>
  <c r="U71" i="4"/>
  <c r="Q71" i="4"/>
  <c r="P71" i="4"/>
  <c r="O71" i="4"/>
  <c r="AL70" i="4"/>
  <c r="AK70" i="4"/>
  <c r="AJ70" i="4"/>
  <c r="AI70" i="4"/>
  <c r="AH70" i="4"/>
  <c r="AG70" i="4"/>
  <c r="AF70" i="4"/>
  <c r="AE70" i="4"/>
  <c r="AD70" i="4"/>
  <c r="AB70" i="4"/>
  <c r="AA70" i="4"/>
  <c r="AC70" i="4" s="1"/>
  <c r="Z70" i="4"/>
  <c r="Y70" i="4"/>
  <c r="X70" i="4"/>
  <c r="W70" i="4"/>
  <c r="U70" i="4"/>
  <c r="Q70" i="4"/>
  <c r="P70" i="4"/>
  <c r="O70" i="4"/>
  <c r="AL69" i="4"/>
  <c r="AK69" i="4"/>
  <c r="AJ69" i="4"/>
  <c r="AI69" i="4"/>
  <c r="AH69" i="4"/>
  <c r="AG69" i="4"/>
  <c r="AF69" i="4"/>
  <c r="AE69" i="4"/>
  <c r="AD69" i="4"/>
  <c r="AB69" i="4"/>
  <c r="AA69" i="4"/>
  <c r="AC69" i="4" s="1"/>
  <c r="Z69" i="4"/>
  <c r="Y69" i="4"/>
  <c r="X69" i="4"/>
  <c r="W69" i="4"/>
  <c r="U69" i="4"/>
  <c r="Q69" i="4"/>
  <c r="P69" i="4"/>
  <c r="O69" i="4"/>
  <c r="AL68" i="4"/>
  <c r="AK68" i="4"/>
  <c r="AJ68" i="4"/>
  <c r="AI68" i="4"/>
  <c r="AH68" i="4"/>
  <c r="AG68" i="4"/>
  <c r="AF68" i="4"/>
  <c r="AE68" i="4"/>
  <c r="AD68" i="4"/>
  <c r="AB68" i="4"/>
  <c r="AA68" i="4"/>
  <c r="AC68" i="4" s="1"/>
  <c r="Z68" i="4"/>
  <c r="Y68" i="4"/>
  <c r="X68" i="4"/>
  <c r="W68" i="4"/>
  <c r="U68" i="4"/>
  <c r="Q68" i="4"/>
  <c r="P68" i="4"/>
  <c r="O68" i="4"/>
  <c r="AL67" i="4"/>
  <c r="AK67" i="4"/>
  <c r="AJ67" i="4"/>
  <c r="AI67" i="4"/>
  <c r="AH67" i="4"/>
  <c r="AG67" i="4"/>
  <c r="AF67" i="4"/>
  <c r="AE67" i="4"/>
  <c r="AD67" i="4"/>
  <c r="AB67" i="4"/>
  <c r="AA67" i="4"/>
  <c r="AC67" i="4" s="1"/>
  <c r="Z67" i="4"/>
  <c r="Y67" i="4"/>
  <c r="X67" i="4"/>
  <c r="W67" i="4"/>
  <c r="U67" i="4"/>
  <c r="Q67" i="4"/>
  <c r="P67" i="4"/>
  <c r="O67" i="4"/>
  <c r="AL66" i="4"/>
  <c r="AK66" i="4"/>
  <c r="AJ66" i="4"/>
  <c r="AI66" i="4"/>
  <c r="AH66" i="4"/>
  <c r="AG66" i="4"/>
  <c r="AF66" i="4"/>
  <c r="AE66" i="4"/>
  <c r="AD66" i="4"/>
  <c r="AB66" i="4"/>
  <c r="AA66" i="4"/>
  <c r="AC66" i="4" s="1"/>
  <c r="Z66" i="4"/>
  <c r="Y66" i="4"/>
  <c r="X66" i="4"/>
  <c r="W66" i="4"/>
  <c r="U66" i="4"/>
  <c r="Q66" i="4"/>
  <c r="P66" i="4"/>
  <c r="O66" i="4"/>
  <c r="AL65" i="4"/>
  <c r="AK65" i="4"/>
  <c r="AJ65" i="4"/>
  <c r="AI65" i="4"/>
  <c r="AH65" i="4"/>
  <c r="AG65" i="4"/>
  <c r="AF65" i="4"/>
  <c r="AE65" i="4"/>
  <c r="AD65" i="4"/>
  <c r="AB65" i="4"/>
  <c r="AA65" i="4"/>
  <c r="AC65" i="4" s="1"/>
  <c r="Z65" i="4"/>
  <c r="Y65" i="4"/>
  <c r="X65" i="4"/>
  <c r="W65" i="4"/>
  <c r="U65" i="4"/>
  <c r="Q65" i="4"/>
  <c r="P65" i="4"/>
  <c r="O65" i="4"/>
  <c r="AL64" i="4"/>
  <c r="AK64" i="4"/>
  <c r="AJ64" i="4"/>
  <c r="AI64" i="4"/>
  <c r="AH64" i="4"/>
  <c r="AG64" i="4"/>
  <c r="AF64" i="4"/>
  <c r="AE64" i="4"/>
  <c r="AD64" i="4"/>
  <c r="AB64" i="4"/>
  <c r="AA64" i="4"/>
  <c r="AC64" i="4" s="1"/>
  <c r="Z64" i="4"/>
  <c r="Y64" i="4"/>
  <c r="X64" i="4"/>
  <c r="W64" i="4"/>
  <c r="U64" i="4"/>
  <c r="Q64" i="4"/>
  <c r="P64" i="4"/>
  <c r="O64" i="4"/>
  <c r="AL63" i="4"/>
  <c r="AK63" i="4"/>
  <c r="AJ63" i="4"/>
  <c r="AI63" i="4"/>
  <c r="AH63" i="4"/>
  <c r="AG63" i="4"/>
  <c r="AF63" i="4"/>
  <c r="AE63" i="4"/>
  <c r="AD63" i="4"/>
  <c r="AB63" i="4"/>
  <c r="AA63" i="4"/>
  <c r="AC63" i="4" s="1"/>
  <c r="Z63" i="4"/>
  <c r="Y63" i="4"/>
  <c r="X63" i="4"/>
  <c r="W63" i="4"/>
  <c r="U63" i="4"/>
  <c r="Q63" i="4"/>
  <c r="P63" i="4"/>
  <c r="O63" i="4"/>
  <c r="AL62" i="4"/>
  <c r="AK62" i="4"/>
  <c r="AJ62" i="4"/>
  <c r="AI62" i="4"/>
  <c r="AH62" i="4"/>
  <c r="AG62" i="4"/>
  <c r="AF62" i="4"/>
  <c r="AE62" i="4"/>
  <c r="AD62" i="4"/>
  <c r="AB62" i="4"/>
  <c r="AA62" i="4"/>
  <c r="AC62" i="4" s="1"/>
  <c r="Z62" i="4"/>
  <c r="Y62" i="4"/>
  <c r="X62" i="4"/>
  <c r="W62" i="4"/>
  <c r="U62" i="4"/>
  <c r="Q62" i="4"/>
  <c r="P62" i="4"/>
  <c r="O62" i="4"/>
  <c r="AL61" i="4"/>
  <c r="AK61" i="4"/>
  <c r="AJ61" i="4"/>
  <c r="AI61" i="4"/>
  <c r="AH61" i="4"/>
  <c r="AG61" i="4"/>
  <c r="AF61" i="4"/>
  <c r="AE61" i="4"/>
  <c r="AD61" i="4"/>
  <c r="AB61" i="4"/>
  <c r="AA61" i="4"/>
  <c r="AC61" i="4" s="1"/>
  <c r="Z61" i="4"/>
  <c r="Y61" i="4"/>
  <c r="X61" i="4"/>
  <c r="W61" i="4"/>
  <c r="U61" i="4"/>
  <c r="Q61" i="4"/>
  <c r="P61" i="4"/>
  <c r="O61" i="4"/>
  <c r="AL60" i="4"/>
  <c r="AK60" i="4"/>
  <c r="AJ60" i="4"/>
  <c r="AI60" i="4"/>
  <c r="AH60" i="4"/>
  <c r="AG60" i="4"/>
  <c r="AF60" i="4"/>
  <c r="AE60" i="4"/>
  <c r="AD60" i="4"/>
  <c r="AB60" i="4"/>
  <c r="AA60" i="4"/>
  <c r="AC60" i="4" s="1"/>
  <c r="Z60" i="4"/>
  <c r="Y60" i="4"/>
  <c r="X60" i="4"/>
  <c r="W60" i="4"/>
  <c r="V60" i="4"/>
  <c r="U60" i="4"/>
  <c r="Q60" i="4"/>
  <c r="P60" i="4"/>
  <c r="O60" i="4"/>
  <c r="AL59" i="4"/>
  <c r="AK59" i="4"/>
  <c r="AJ59" i="4"/>
  <c r="AI59" i="4"/>
  <c r="AH59" i="4"/>
  <c r="AG59" i="4"/>
  <c r="AF59" i="4"/>
  <c r="AE59" i="4"/>
  <c r="AD59" i="4"/>
  <c r="AB59" i="4"/>
  <c r="AA59" i="4"/>
  <c r="AC59" i="4" s="1"/>
  <c r="Z59" i="4"/>
  <c r="Y59" i="4"/>
  <c r="X59" i="4"/>
  <c r="W59" i="4"/>
  <c r="V59" i="4"/>
  <c r="U59" i="4"/>
  <c r="Q59" i="4"/>
  <c r="P59" i="4"/>
  <c r="O59" i="4"/>
  <c r="AL58" i="4"/>
  <c r="AK58" i="4"/>
  <c r="AJ58" i="4"/>
  <c r="AI58" i="4"/>
  <c r="AH58" i="4"/>
  <c r="AG58" i="4"/>
  <c r="AF58" i="4"/>
  <c r="AE58" i="4"/>
  <c r="AD58" i="4"/>
  <c r="AB58" i="4"/>
  <c r="AA58" i="4"/>
  <c r="AC58" i="4" s="1"/>
  <c r="Z58" i="4"/>
  <c r="Y58" i="4"/>
  <c r="X58" i="4"/>
  <c r="W58" i="4"/>
  <c r="V58" i="4"/>
  <c r="U58" i="4"/>
  <c r="Q58" i="4"/>
  <c r="P58" i="4"/>
  <c r="O58" i="4"/>
  <c r="AL57" i="4"/>
  <c r="AK57" i="4"/>
  <c r="AJ57" i="4"/>
  <c r="AI57" i="4"/>
  <c r="AH57" i="4"/>
  <c r="AG57" i="4"/>
  <c r="AF57" i="4"/>
  <c r="AE57" i="4"/>
  <c r="AD57" i="4"/>
  <c r="AB57" i="4"/>
  <c r="AA57" i="4"/>
  <c r="AC57" i="4" s="1"/>
  <c r="Z57" i="4"/>
  <c r="Y57" i="4"/>
  <c r="X57" i="4"/>
  <c r="W57" i="4"/>
  <c r="V57" i="4"/>
  <c r="U57" i="4"/>
  <c r="Q57" i="4"/>
  <c r="P57" i="4"/>
  <c r="O57" i="4"/>
  <c r="AL56" i="4"/>
  <c r="AK56" i="4"/>
  <c r="AJ56" i="4"/>
  <c r="AI56" i="4"/>
  <c r="AG56" i="4"/>
  <c r="AF56" i="4"/>
  <c r="AE56" i="4"/>
  <c r="AD56" i="4"/>
  <c r="AB56" i="4"/>
  <c r="AA56" i="4"/>
  <c r="AC56" i="4" s="1"/>
  <c r="Z56" i="4"/>
  <c r="Y56" i="4"/>
  <c r="X56" i="4"/>
  <c r="W56" i="4"/>
  <c r="V56" i="4"/>
  <c r="U56" i="4"/>
  <c r="Q56" i="4"/>
  <c r="P56" i="4"/>
  <c r="O56" i="4"/>
  <c r="AL55" i="4"/>
  <c r="AK55" i="4"/>
  <c r="AJ55" i="4"/>
  <c r="AI55" i="4"/>
  <c r="AH55" i="4"/>
  <c r="AG55" i="4"/>
  <c r="AF55" i="4"/>
  <c r="AE55" i="4"/>
  <c r="AD55" i="4"/>
  <c r="AB55" i="4"/>
  <c r="AA55" i="4"/>
  <c r="AC55" i="4" s="1"/>
  <c r="Z55" i="4"/>
  <c r="Y55" i="4"/>
  <c r="X55" i="4"/>
  <c r="W55" i="4"/>
  <c r="V55" i="4"/>
  <c r="U55" i="4"/>
  <c r="Q55" i="4"/>
  <c r="P55" i="4"/>
  <c r="O55" i="4"/>
  <c r="AL54" i="4"/>
  <c r="AK54" i="4"/>
  <c r="AJ54" i="4"/>
  <c r="AI54" i="4"/>
  <c r="AH54" i="4"/>
  <c r="AG54" i="4"/>
  <c r="AF54" i="4"/>
  <c r="AE54" i="4"/>
  <c r="AD54" i="4"/>
  <c r="AB54" i="4"/>
  <c r="AA54" i="4"/>
  <c r="AC54" i="4" s="1"/>
  <c r="Z54" i="4"/>
  <c r="Y54" i="4"/>
  <c r="X54" i="4"/>
  <c r="W54" i="4"/>
  <c r="V54" i="4"/>
  <c r="U54" i="4"/>
  <c r="Q54" i="4"/>
  <c r="P54" i="4"/>
  <c r="O54" i="4"/>
  <c r="AL53" i="4"/>
  <c r="AK53" i="4"/>
  <c r="AJ53" i="4"/>
  <c r="AI53" i="4"/>
  <c r="AH53" i="4"/>
  <c r="AG53" i="4"/>
  <c r="AF53" i="4"/>
  <c r="AE53" i="4"/>
  <c r="AD53" i="4"/>
  <c r="AB53" i="4"/>
  <c r="AA53" i="4"/>
  <c r="AC53" i="4" s="1"/>
  <c r="Z53" i="4"/>
  <c r="Y53" i="4"/>
  <c r="X53" i="4"/>
  <c r="W53" i="4"/>
  <c r="V53" i="4"/>
  <c r="U53" i="4"/>
  <c r="Q53" i="4"/>
  <c r="P53" i="4"/>
  <c r="O53" i="4"/>
  <c r="AL52" i="4"/>
  <c r="AK52" i="4"/>
  <c r="AJ52" i="4"/>
  <c r="AI52" i="4"/>
  <c r="AH52" i="4"/>
  <c r="AG52" i="4"/>
  <c r="AF52" i="4"/>
  <c r="AE52" i="4"/>
  <c r="AD52" i="4"/>
  <c r="AB52" i="4"/>
  <c r="AA52" i="4"/>
  <c r="AC52" i="4" s="1"/>
  <c r="Z52" i="4"/>
  <c r="Y52" i="4"/>
  <c r="X52" i="4"/>
  <c r="W52" i="4"/>
  <c r="V52" i="4"/>
  <c r="U52" i="4"/>
  <c r="Q52" i="4"/>
  <c r="P52" i="4"/>
  <c r="O52" i="4"/>
  <c r="AL51" i="4"/>
  <c r="AK51" i="4"/>
  <c r="AJ51" i="4"/>
  <c r="AI51" i="4"/>
  <c r="AH51" i="4"/>
  <c r="AG51" i="4"/>
  <c r="AF51" i="4"/>
  <c r="AE51" i="4"/>
  <c r="AD51" i="4"/>
  <c r="AB51" i="4"/>
  <c r="AA51" i="4"/>
  <c r="AC51" i="4" s="1"/>
  <c r="Z51" i="4"/>
  <c r="Y51" i="4"/>
  <c r="X51" i="4"/>
  <c r="W51" i="4"/>
  <c r="V51" i="4"/>
  <c r="U51" i="4"/>
  <c r="Q51" i="4"/>
  <c r="P51" i="4"/>
  <c r="O51" i="4"/>
  <c r="AL50" i="4"/>
  <c r="AK50" i="4"/>
  <c r="AJ50" i="4"/>
  <c r="AI50" i="4"/>
  <c r="AH50" i="4"/>
  <c r="AG50" i="4"/>
  <c r="AF50" i="4"/>
  <c r="AE50" i="4"/>
  <c r="AD50" i="4"/>
  <c r="AB50" i="4"/>
  <c r="AA50" i="4"/>
  <c r="AC50" i="4" s="1"/>
  <c r="Z50" i="4"/>
  <c r="Y50" i="4"/>
  <c r="X50" i="4"/>
  <c r="W50" i="4"/>
  <c r="V50" i="4"/>
  <c r="U50" i="4"/>
  <c r="Q50" i="4"/>
  <c r="P50" i="4"/>
  <c r="O50" i="4"/>
  <c r="AL49" i="4"/>
  <c r="AK49" i="4"/>
  <c r="AJ49" i="4"/>
  <c r="AI49" i="4"/>
  <c r="AG49" i="4"/>
  <c r="AF49" i="4"/>
  <c r="AE49" i="4"/>
  <c r="AD49" i="4"/>
  <c r="AB49" i="4"/>
  <c r="AA49" i="4"/>
  <c r="AC49" i="4" s="1"/>
  <c r="Z49" i="4"/>
  <c r="Y49" i="4"/>
  <c r="X49" i="4"/>
  <c r="W49" i="4"/>
  <c r="V49" i="4"/>
  <c r="U49" i="4"/>
  <c r="Q49" i="4"/>
  <c r="P49" i="4"/>
  <c r="O49" i="4"/>
  <c r="AL48" i="4"/>
  <c r="AK48" i="4"/>
  <c r="AJ48" i="4"/>
  <c r="AI48" i="4"/>
  <c r="AH48" i="4"/>
  <c r="AG48" i="4"/>
  <c r="AF48" i="4"/>
  <c r="AE48" i="4"/>
  <c r="AD48" i="4"/>
  <c r="AB48" i="4"/>
  <c r="AA48" i="4"/>
  <c r="AC48" i="4" s="1"/>
  <c r="Z48" i="4"/>
  <c r="Y48" i="4"/>
  <c r="X48" i="4"/>
  <c r="W48" i="4"/>
  <c r="V48" i="4"/>
  <c r="U48" i="4"/>
  <c r="Q48" i="4"/>
  <c r="P48" i="4"/>
  <c r="O48" i="4"/>
  <c r="AL47" i="4"/>
  <c r="AK47" i="4"/>
  <c r="AJ47" i="4"/>
  <c r="AI47" i="4"/>
  <c r="AH47" i="4"/>
  <c r="AG47" i="4"/>
  <c r="AF47" i="4"/>
  <c r="AE47" i="4"/>
  <c r="AD47" i="4"/>
  <c r="AB47" i="4"/>
  <c r="AA47" i="4"/>
  <c r="AC47" i="4" s="1"/>
  <c r="Z47" i="4"/>
  <c r="Y47" i="4"/>
  <c r="X47" i="4"/>
  <c r="W47" i="4"/>
  <c r="V47" i="4"/>
  <c r="U47" i="4"/>
  <c r="Q47" i="4"/>
  <c r="P47" i="4"/>
  <c r="O47" i="4"/>
  <c r="AL46" i="4"/>
  <c r="AK46" i="4"/>
  <c r="AJ46" i="4"/>
  <c r="AI46" i="4"/>
  <c r="AH46" i="4"/>
  <c r="AG46" i="4"/>
  <c r="AF46" i="4"/>
  <c r="AE46" i="4"/>
  <c r="AD46" i="4"/>
  <c r="AB46" i="4"/>
  <c r="AA46" i="4"/>
  <c r="AC46" i="4" s="1"/>
  <c r="Z46" i="4"/>
  <c r="Y46" i="4"/>
  <c r="X46" i="4"/>
  <c r="W46" i="4"/>
  <c r="V46" i="4"/>
  <c r="U46" i="4"/>
  <c r="Q46" i="4"/>
  <c r="P46" i="4"/>
  <c r="O46" i="4"/>
  <c r="AL45" i="4"/>
  <c r="AK45" i="4"/>
  <c r="AJ45" i="4"/>
  <c r="AI45" i="4"/>
  <c r="AH45" i="4"/>
  <c r="AG45" i="4"/>
  <c r="AF45" i="4"/>
  <c r="AE45" i="4"/>
  <c r="AD45" i="4"/>
  <c r="AB45" i="4"/>
  <c r="AA45" i="4"/>
  <c r="AC45" i="4" s="1"/>
  <c r="Z45" i="4"/>
  <c r="Y45" i="4"/>
  <c r="X45" i="4"/>
  <c r="W45" i="4"/>
  <c r="V45" i="4"/>
  <c r="U45" i="4"/>
  <c r="Q45" i="4"/>
  <c r="P45" i="4"/>
  <c r="O45" i="4"/>
  <c r="AL44" i="4"/>
  <c r="AK44" i="4"/>
  <c r="AJ44" i="4"/>
  <c r="AI44" i="4"/>
  <c r="AH44" i="4"/>
  <c r="AG44" i="4"/>
  <c r="AF44" i="4"/>
  <c r="AE44" i="4"/>
  <c r="AD44" i="4"/>
  <c r="AB44" i="4"/>
  <c r="AA44" i="4"/>
  <c r="AC44" i="4" s="1"/>
  <c r="Z44" i="4"/>
  <c r="Y44" i="4"/>
  <c r="X44" i="4"/>
  <c r="W44" i="4"/>
  <c r="V44" i="4"/>
  <c r="U44" i="4"/>
  <c r="Q44" i="4"/>
  <c r="P44" i="4"/>
  <c r="O44" i="4"/>
  <c r="AL43" i="4"/>
  <c r="AK43" i="4"/>
  <c r="AJ43" i="4"/>
  <c r="AI43" i="4"/>
  <c r="AH43" i="4"/>
  <c r="AG43" i="4"/>
  <c r="AF43" i="4"/>
  <c r="AE43" i="4"/>
  <c r="AD43" i="4"/>
  <c r="AB43" i="4"/>
  <c r="AA43" i="4"/>
  <c r="AC43" i="4" s="1"/>
  <c r="Z43" i="4"/>
  <c r="Y43" i="4"/>
  <c r="X43" i="4"/>
  <c r="W43" i="4"/>
  <c r="V43" i="4"/>
  <c r="U43" i="4"/>
  <c r="Q43" i="4"/>
  <c r="P43" i="4"/>
  <c r="O43" i="4"/>
  <c r="AL42" i="4"/>
  <c r="AK42" i="4"/>
  <c r="AJ42" i="4"/>
  <c r="AI42" i="4"/>
  <c r="AH42" i="4"/>
  <c r="AG42" i="4"/>
  <c r="AF42" i="4"/>
  <c r="AE42" i="4"/>
  <c r="AD42" i="4"/>
  <c r="AB42" i="4"/>
  <c r="AA42" i="4"/>
  <c r="AC42" i="4" s="1"/>
  <c r="Z42" i="4"/>
  <c r="Y42" i="4"/>
  <c r="X42" i="4"/>
  <c r="W42" i="4"/>
  <c r="V42" i="4"/>
  <c r="U42" i="4"/>
  <c r="Q42" i="4"/>
  <c r="P42" i="4"/>
  <c r="O42" i="4"/>
  <c r="AL41" i="4"/>
  <c r="AK41" i="4"/>
  <c r="AJ41" i="4"/>
  <c r="AI41" i="4"/>
  <c r="AH41" i="4"/>
  <c r="AG41" i="4"/>
  <c r="AF41" i="4"/>
  <c r="AE41" i="4"/>
  <c r="AD41" i="4"/>
  <c r="AB41" i="4"/>
  <c r="AA41" i="4"/>
  <c r="AC41" i="4" s="1"/>
  <c r="Z41" i="4"/>
  <c r="Y41" i="4"/>
  <c r="X41" i="4"/>
  <c r="W41" i="4"/>
  <c r="V41" i="4"/>
  <c r="U41" i="4"/>
  <c r="Q41" i="4"/>
  <c r="P41" i="4"/>
  <c r="O41" i="4"/>
  <c r="AL40" i="4"/>
  <c r="AK40" i="4"/>
  <c r="AJ40" i="4"/>
  <c r="AI40" i="4"/>
  <c r="AH40" i="4"/>
  <c r="AG40" i="4"/>
  <c r="AF40" i="4"/>
  <c r="AE40" i="4"/>
  <c r="AD40" i="4"/>
  <c r="AB40" i="4"/>
  <c r="AA40" i="4"/>
  <c r="AC40" i="4" s="1"/>
  <c r="Z40" i="4"/>
  <c r="Y40" i="4"/>
  <c r="X40" i="4"/>
  <c r="W40" i="4"/>
  <c r="V40" i="4"/>
  <c r="U40" i="4"/>
  <c r="Q40" i="4"/>
  <c r="P40" i="4"/>
  <c r="O40" i="4"/>
  <c r="AL39" i="4"/>
  <c r="AK39" i="4"/>
  <c r="AJ39" i="4"/>
  <c r="AI39" i="4"/>
  <c r="AH39" i="4"/>
  <c r="AG39" i="4"/>
  <c r="AF39" i="4"/>
  <c r="AE39" i="4"/>
  <c r="AD39" i="4"/>
  <c r="AB39" i="4"/>
  <c r="AA39" i="4"/>
  <c r="AC39" i="4" s="1"/>
  <c r="Z39" i="4"/>
  <c r="Y39" i="4"/>
  <c r="X39" i="4"/>
  <c r="W39" i="4"/>
  <c r="V39" i="4"/>
  <c r="U39" i="4"/>
  <c r="Q39" i="4"/>
  <c r="P39" i="4"/>
  <c r="O39" i="4"/>
  <c r="AL38" i="4"/>
  <c r="AK38" i="4"/>
  <c r="AJ38" i="4"/>
  <c r="AI38" i="4"/>
  <c r="AH38" i="4"/>
  <c r="AG38" i="4"/>
  <c r="AF38" i="4"/>
  <c r="AE38" i="4"/>
  <c r="AD38" i="4"/>
  <c r="AB38" i="4"/>
  <c r="AA38" i="4"/>
  <c r="AC38" i="4" s="1"/>
  <c r="Z38" i="4"/>
  <c r="Y38" i="4"/>
  <c r="X38" i="4"/>
  <c r="W38" i="4"/>
  <c r="V38" i="4"/>
  <c r="U38" i="4"/>
  <c r="Q38" i="4"/>
  <c r="P38" i="4"/>
  <c r="O38" i="4"/>
  <c r="AL37" i="4"/>
  <c r="AK37" i="4"/>
  <c r="AJ37" i="4"/>
  <c r="AI37" i="4"/>
  <c r="AH37" i="4"/>
  <c r="AG37" i="4"/>
  <c r="AF37" i="4"/>
  <c r="AE37" i="4"/>
  <c r="AD37" i="4"/>
  <c r="AB37" i="4"/>
  <c r="AA37" i="4"/>
  <c r="AC37" i="4" s="1"/>
  <c r="Z37" i="4"/>
  <c r="Y37" i="4"/>
  <c r="X37" i="4"/>
  <c r="W37" i="4"/>
  <c r="V37" i="4"/>
  <c r="U37" i="4"/>
  <c r="Q37" i="4"/>
  <c r="P37" i="4"/>
  <c r="O37" i="4"/>
  <c r="AL36" i="4"/>
  <c r="AK36" i="4"/>
  <c r="AJ36" i="4"/>
  <c r="AI36" i="4"/>
  <c r="AH36" i="4"/>
  <c r="AG36" i="4"/>
  <c r="AF36" i="4"/>
  <c r="AE36" i="4"/>
  <c r="AD36" i="4"/>
  <c r="AB36" i="4"/>
  <c r="AA36" i="4"/>
  <c r="AC36" i="4" s="1"/>
  <c r="Z36" i="4"/>
  <c r="Y36" i="4"/>
  <c r="X36" i="4"/>
  <c r="W36" i="4"/>
  <c r="V36" i="4"/>
  <c r="U36" i="4"/>
  <c r="Q36" i="4"/>
  <c r="P36" i="4"/>
  <c r="O36" i="4"/>
  <c r="AL35" i="4"/>
  <c r="AK35" i="4"/>
  <c r="AJ35" i="4"/>
  <c r="AI35" i="4"/>
  <c r="AH35" i="4"/>
  <c r="AG35" i="4"/>
  <c r="AF35" i="4"/>
  <c r="AE35" i="4"/>
  <c r="AD35" i="4"/>
  <c r="AB35" i="4"/>
  <c r="AA35" i="4"/>
  <c r="AC35" i="4" s="1"/>
  <c r="Z35" i="4"/>
  <c r="Y35" i="4"/>
  <c r="X35" i="4"/>
  <c r="W35" i="4"/>
  <c r="V35" i="4"/>
  <c r="U35" i="4"/>
  <c r="Q35" i="4"/>
  <c r="P35" i="4"/>
  <c r="O35" i="4"/>
  <c r="AL34" i="4"/>
  <c r="AK34" i="4"/>
  <c r="AJ34" i="4"/>
  <c r="AI34" i="4"/>
  <c r="AH34" i="4"/>
  <c r="AG34" i="4"/>
  <c r="AF34" i="4"/>
  <c r="AE34" i="4"/>
  <c r="AD34" i="4"/>
  <c r="AB34" i="4"/>
  <c r="AA34" i="4"/>
  <c r="AC34" i="4" s="1"/>
  <c r="Z34" i="4"/>
  <c r="Y34" i="4"/>
  <c r="X34" i="4"/>
  <c r="W34" i="4"/>
  <c r="V34" i="4"/>
  <c r="U34" i="4"/>
  <c r="Q34" i="4"/>
  <c r="P34" i="4"/>
  <c r="O34" i="4"/>
  <c r="AL33" i="4"/>
  <c r="AK33" i="4"/>
  <c r="AJ33" i="4"/>
  <c r="AI33" i="4"/>
  <c r="AH33" i="4"/>
  <c r="AG33" i="4"/>
  <c r="AF33" i="4"/>
  <c r="AE33" i="4"/>
  <c r="AD33" i="4"/>
  <c r="AB33" i="4"/>
  <c r="AA33" i="4"/>
  <c r="AC33" i="4" s="1"/>
  <c r="Z33" i="4"/>
  <c r="Y33" i="4"/>
  <c r="X33" i="4"/>
  <c r="W33" i="4"/>
  <c r="V33" i="4"/>
  <c r="U33" i="4"/>
  <c r="Q33" i="4"/>
  <c r="P33" i="4"/>
  <c r="O33" i="4"/>
  <c r="AL32" i="4"/>
  <c r="AK32" i="4"/>
  <c r="AJ32" i="4"/>
  <c r="AI32" i="4"/>
  <c r="AH32" i="4"/>
  <c r="AG32" i="4"/>
  <c r="AF32" i="4"/>
  <c r="AE32" i="4"/>
  <c r="AD32" i="4"/>
  <c r="AB32" i="4"/>
  <c r="AA32" i="4"/>
  <c r="AC32" i="4" s="1"/>
  <c r="Z32" i="4"/>
  <c r="Y32" i="4"/>
  <c r="X32" i="4"/>
  <c r="W32" i="4"/>
  <c r="V32" i="4"/>
  <c r="U32" i="4"/>
  <c r="Q32" i="4"/>
  <c r="P32" i="4"/>
  <c r="O32" i="4"/>
  <c r="AL31" i="4"/>
  <c r="AK31" i="4"/>
  <c r="AJ31" i="4"/>
  <c r="AI31" i="4"/>
  <c r="AH31" i="4"/>
  <c r="AG31" i="4"/>
  <c r="AF31" i="4"/>
  <c r="AE31" i="4"/>
  <c r="AD31" i="4"/>
  <c r="AB31" i="4"/>
  <c r="AA31" i="4"/>
  <c r="AC31" i="4" s="1"/>
  <c r="Z31" i="4"/>
  <c r="Y31" i="4"/>
  <c r="X31" i="4"/>
  <c r="W31" i="4"/>
  <c r="V31" i="4"/>
  <c r="U31" i="4"/>
  <c r="Q31" i="4"/>
  <c r="P31" i="4"/>
  <c r="O31" i="4"/>
  <c r="AL30" i="4"/>
  <c r="AK30" i="4"/>
  <c r="AJ30" i="4"/>
  <c r="AI30" i="4"/>
  <c r="AH30" i="4"/>
  <c r="AG30" i="4"/>
  <c r="AF30" i="4"/>
  <c r="AE30" i="4"/>
  <c r="AD30" i="4"/>
  <c r="AB30" i="4"/>
  <c r="AA30" i="4"/>
  <c r="AC30" i="4" s="1"/>
  <c r="Z30" i="4"/>
  <c r="Y30" i="4"/>
  <c r="X30" i="4"/>
  <c r="W30" i="4"/>
  <c r="V30" i="4"/>
  <c r="U30" i="4"/>
  <c r="Q30" i="4"/>
  <c r="P30" i="4"/>
  <c r="O30" i="4"/>
  <c r="AL29" i="4"/>
  <c r="AK29" i="4"/>
  <c r="AJ29" i="4"/>
  <c r="AI29" i="4"/>
  <c r="AH29" i="4"/>
  <c r="AG29" i="4"/>
  <c r="AF29" i="4"/>
  <c r="AE29" i="4"/>
  <c r="AD29" i="4"/>
  <c r="AB29" i="4"/>
  <c r="AA29" i="4"/>
  <c r="AC29" i="4" s="1"/>
  <c r="Z29" i="4"/>
  <c r="Y29" i="4"/>
  <c r="X29" i="4"/>
  <c r="W29" i="4"/>
  <c r="V29" i="4"/>
  <c r="U29" i="4"/>
  <c r="Q29" i="4"/>
  <c r="P29" i="4"/>
  <c r="O29" i="4"/>
  <c r="AL28" i="4"/>
  <c r="AK28" i="4"/>
  <c r="AJ28" i="4"/>
  <c r="AI28" i="4"/>
  <c r="AH28" i="4"/>
  <c r="AG28" i="4"/>
  <c r="AF28" i="4"/>
  <c r="AE28" i="4"/>
  <c r="AD28" i="4"/>
  <c r="AB28" i="4"/>
  <c r="AA28" i="4"/>
  <c r="AC28" i="4" s="1"/>
  <c r="Z28" i="4"/>
  <c r="Y28" i="4"/>
  <c r="X28" i="4"/>
  <c r="W28" i="4"/>
  <c r="V28" i="4"/>
  <c r="U28" i="4"/>
  <c r="Q28" i="4"/>
  <c r="P28" i="4"/>
  <c r="O28" i="4"/>
  <c r="AL27" i="4"/>
  <c r="AK27" i="4"/>
  <c r="AJ27" i="4"/>
  <c r="AI27" i="4"/>
  <c r="AH27" i="4"/>
  <c r="AG27" i="4"/>
  <c r="AF27" i="4"/>
  <c r="AE27" i="4"/>
  <c r="AD27" i="4"/>
  <c r="AB27" i="4"/>
  <c r="AA27" i="4"/>
  <c r="AC27" i="4" s="1"/>
  <c r="Z27" i="4"/>
  <c r="Y27" i="4"/>
  <c r="X27" i="4"/>
  <c r="W27" i="4"/>
  <c r="V27" i="4"/>
  <c r="U27" i="4"/>
  <c r="Q27" i="4"/>
  <c r="P27" i="4"/>
  <c r="O27" i="4"/>
  <c r="AL26" i="4"/>
  <c r="AK26" i="4"/>
  <c r="AJ26" i="4"/>
  <c r="AI26" i="4"/>
  <c r="AH26" i="4"/>
  <c r="AG26" i="4"/>
  <c r="AF26" i="4"/>
  <c r="AE26" i="4"/>
  <c r="AD26" i="4"/>
  <c r="AB26" i="4"/>
  <c r="AA26" i="4"/>
  <c r="AC26" i="4" s="1"/>
  <c r="Z26" i="4"/>
  <c r="Y26" i="4"/>
  <c r="X26" i="4"/>
  <c r="W26" i="4"/>
  <c r="V26" i="4"/>
  <c r="U26" i="4"/>
  <c r="Q26" i="4"/>
  <c r="P26" i="4"/>
  <c r="O26" i="4"/>
  <c r="AL25" i="4"/>
  <c r="AK25" i="4"/>
  <c r="AJ25" i="4"/>
  <c r="AI25" i="4"/>
  <c r="AH25" i="4"/>
  <c r="AG25" i="4"/>
  <c r="AF25" i="4"/>
  <c r="AE25" i="4"/>
  <c r="AD25" i="4"/>
  <c r="AB25" i="4"/>
  <c r="AA25" i="4"/>
  <c r="AC25" i="4" s="1"/>
  <c r="Z25" i="4"/>
  <c r="Y25" i="4"/>
  <c r="X25" i="4"/>
  <c r="W25" i="4"/>
  <c r="V25" i="4"/>
  <c r="U25" i="4"/>
  <c r="Q25" i="4"/>
  <c r="P25" i="4"/>
  <c r="O25" i="4"/>
  <c r="AL24" i="4"/>
  <c r="AK24" i="4"/>
  <c r="AJ24" i="4"/>
  <c r="AI24" i="4"/>
  <c r="AH24" i="4"/>
  <c r="AG24" i="4"/>
  <c r="AF24" i="4"/>
  <c r="AE24" i="4"/>
  <c r="AD24" i="4"/>
  <c r="AB24" i="4"/>
  <c r="AA24" i="4"/>
  <c r="AC24" i="4" s="1"/>
  <c r="Z24" i="4"/>
  <c r="Y24" i="4"/>
  <c r="X24" i="4"/>
  <c r="W24" i="4"/>
  <c r="V24" i="4"/>
  <c r="U24" i="4"/>
  <c r="Q24" i="4"/>
  <c r="P24" i="4"/>
  <c r="O24" i="4"/>
  <c r="AL23" i="4"/>
  <c r="AK23" i="4"/>
  <c r="AJ23" i="4"/>
  <c r="AI23" i="4"/>
  <c r="AH23" i="4"/>
  <c r="AG23" i="4"/>
  <c r="AF23" i="4"/>
  <c r="AE23" i="4"/>
  <c r="AD23" i="4"/>
  <c r="AB23" i="4"/>
  <c r="AA23" i="4"/>
  <c r="AC23" i="4" s="1"/>
  <c r="Z23" i="4"/>
  <c r="Y23" i="4"/>
  <c r="X23" i="4"/>
  <c r="W23" i="4"/>
  <c r="V23" i="4"/>
  <c r="U23" i="4"/>
  <c r="Q23" i="4"/>
  <c r="P23" i="4"/>
  <c r="O23" i="4"/>
  <c r="AL22" i="4"/>
  <c r="AK22" i="4"/>
  <c r="AJ22" i="4"/>
  <c r="AI22" i="4"/>
  <c r="AH22" i="4"/>
  <c r="AG22" i="4"/>
  <c r="AF22" i="4"/>
  <c r="AE22" i="4"/>
  <c r="AD22" i="4"/>
  <c r="AB22" i="4"/>
  <c r="AA22" i="4"/>
  <c r="AC22" i="4" s="1"/>
  <c r="Z22" i="4"/>
  <c r="Y22" i="4"/>
  <c r="X22" i="4"/>
  <c r="W22" i="4"/>
  <c r="V22" i="4"/>
  <c r="U22" i="4"/>
  <c r="Q22" i="4"/>
  <c r="P22" i="4"/>
  <c r="O22" i="4"/>
  <c r="AL21" i="4"/>
  <c r="AK21" i="4"/>
  <c r="AJ21" i="4"/>
  <c r="AI21" i="4"/>
  <c r="AH21" i="4"/>
  <c r="AG21" i="4"/>
  <c r="AF21" i="4"/>
  <c r="AE21" i="4"/>
  <c r="AD21" i="4"/>
  <c r="AB21" i="4"/>
  <c r="AA21" i="4"/>
  <c r="AC21" i="4" s="1"/>
  <c r="Z21" i="4"/>
  <c r="Y21" i="4"/>
  <c r="X21" i="4"/>
  <c r="W21" i="4"/>
  <c r="V21" i="4"/>
  <c r="U21" i="4"/>
  <c r="Q21" i="4"/>
  <c r="P21" i="4"/>
  <c r="O21" i="4"/>
  <c r="AL20" i="4"/>
  <c r="AK20" i="4"/>
  <c r="AJ20" i="4"/>
  <c r="AI20" i="4"/>
  <c r="AH20" i="4"/>
  <c r="AG20" i="4"/>
  <c r="AF20" i="4"/>
  <c r="AE20" i="4"/>
  <c r="AD20" i="4"/>
  <c r="AB20" i="4"/>
  <c r="AA20" i="4"/>
  <c r="AC20" i="4" s="1"/>
  <c r="Z20" i="4"/>
  <c r="Y20" i="4"/>
  <c r="X20" i="4"/>
  <c r="W20" i="4"/>
  <c r="V20" i="4"/>
  <c r="U20" i="4"/>
  <c r="Q20" i="4"/>
  <c r="P20" i="4"/>
  <c r="O20" i="4"/>
  <c r="AL19" i="4"/>
  <c r="AK19" i="4"/>
  <c r="AJ19" i="4"/>
  <c r="AI19" i="4"/>
  <c r="AH19" i="4"/>
  <c r="AG19" i="4"/>
  <c r="AF19" i="4"/>
  <c r="AE19" i="4"/>
  <c r="AD19" i="4"/>
  <c r="AB19" i="4"/>
  <c r="AA19" i="4"/>
  <c r="AC19" i="4" s="1"/>
  <c r="Z19" i="4"/>
  <c r="Y19" i="4"/>
  <c r="X19" i="4"/>
  <c r="W19" i="4"/>
  <c r="V19" i="4"/>
  <c r="U19" i="4"/>
  <c r="Q19" i="4"/>
  <c r="P19" i="4"/>
  <c r="O19" i="4"/>
  <c r="AL18" i="4"/>
  <c r="AK18" i="4"/>
  <c r="AJ18" i="4"/>
  <c r="AI18" i="4"/>
  <c r="AH18" i="4"/>
  <c r="AG18" i="4"/>
  <c r="AF18" i="4"/>
  <c r="AE18" i="4"/>
  <c r="AD18" i="4"/>
  <c r="AB18" i="4"/>
  <c r="AA18" i="4"/>
  <c r="AC18" i="4" s="1"/>
  <c r="Z18" i="4"/>
  <c r="Y18" i="4"/>
  <c r="X18" i="4"/>
  <c r="W18" i="4"/>
  <c r="V18" i="4"/>
  <c r="U18" i="4"/>
  <c r="Q18" i="4"/>
  <c r="P18" i="4"/>
  <c r="O18" i="4"/>
  <c r="AL17" i="4"/>
  <c r="AK17" i="4"/>
  <c r="AJ17" i="4"/>
  <c r="AI17" i="4"/>
  <c r="AH17" i="4"/>
  <c r="AG17" i="4"/>
  <c r="AF17" i="4"/>
  <c r="AE17" i="4"/>
  <c r="AD17" i="4"/>
  <c r="AB17" i="4"/>
  <c r="AA17" i="4"/>
  <c r="AC17" i="4" s="1"/>
  <c r="Z17" i="4"/>
  <c r="Y17" i="4"/>
  <c r="X17" i="4"/>
  <c r="W17" i="4"/>
  <c r="V17" i="4"/>
  <c r="U17" i="4"/>
  <c r="Q17" i="4"/>
  <c r="P17" i="4"/>
  <c r="O17" i="4"/>
  <c r="AL16" i="4"/>
  <c r="AK16" i="4"/>
  <c r="AJ16" i="4"/>
  <c r="AI16" i="4"/>
  <c r="AH16" i="4"/>
  <c r="AG16" i="4"/>
  <c r="AF16" i="4"/>
  <c r="AE16" i="4"/>
  <c r="AD16" i="4"/>
  <c r="AB16" i="4"/>
  <c r="AA16" i="4"/>
  <c r="AC16" i="4" s="1"/>
  <c r="Z16" i="4"/>
  <c r="Y16" i="4"/>
  <c r="X16" i="4"/>
  <c r="W16" i="4"/>
  <c r="V16" i="4"/>
  <c r="U16" i="4"/>
  <c r="Q16" i="4"/>
  <c r="P16" i="4"/>
  <c r="O16" i="4"/>
  <c r="AL15" i="4"/>
  <c r="AK15" i="4"/>
  <c r="AJ15" i="4"/>
  <c r="AI15" i="4"/>
  <c r="AH15" i="4"/>
  <c r="AG15" i="4"/>
  <c r="AF15" i="4"/>
  <c r="AE15" i="4"/>
  <c r="AD15" i="4"/>
  <c r="AB15" i="4"/>
  <c r="AA15" i="4"/>
  <c r="AC15" i="4" s="1"/>
  <c r="Z15" i="4"/>
  <c r="Y15" i="4"/>
  <c r="X15" i="4"/>
  <c r="W15" i="4"/>
  <c r="V15" i="4"/>
  <c r="U15" i="4"/>
  <c r="Q15" i="4"/>
  <c r="P15" i="4"/>
  <c r="O15" i="4"/>
  <c r="AL14" i="4"/>
  <c r="AK14" i="4"/>
  <c r="AJ14" i="4"/>
  <c r="AI14" i="4"/>
  <c r="AH14" i="4"/>
  <c r="AG14" i="4"/>
  <c r="AF14" i="4"/>
  <c r="AE14" i="4"/>
  <c r="AD14" i="4"/>
  <c r="AB14" i="4"/>
  <c r="AA14" i="4"/>
  <c r="AC14" i="4" s="1"/>
  <c r="Z14" i="4"/>
  <c r="Y14" i="4"/>
  <c r="X14" i="4"/>
  <c r="W14" i="4"/>
  <c r="V14" i="4"/>
  <c r="U14" i="4"/>
  <c r="Q14" i="4"/>
  <c r="P14" i="4"/>
  <c r="O14" i="4"/>
  <c r="AL13" i="4"/>
  <c r="AK13" i="4"/>
  <c r="AJ13" i="4"/>
  <c r="AI13" i="4"/>
  <c r="AH13" i="4"/>
  <c r="AG13" i="4"/>
  <c r="AF13" i="4"/>
  <c r="AE13" i="4"/>
  <c r="AD13" i="4"/>
  <c r="AB13" i="4"/>
  <c r="AA13" i="4"/>
  <c r="AC13" i="4" s="1"/>
  <c r="Z13" i="4"/>
  <c r="Y13" i="4"/>
  <c r="X13" i="4"/>
  <c r="W13" i="4"/>
  <c r="V13" i="4"/>
  <c r="U13" i="4"/>
  <c r="Q13" i="4"/>
  <c r="P13" i="4"/>
  <c r="O13" i="4"/>
  <c r="AL12" i="4"/>
  <c r="AK12" i="4"/>
  <c r="AJ12" i="4"/>
  <c r="AI12" i="4"/>
  <c r="AH12" i="4"/>
  <c r="AG12" i="4"/>
  <c r="AF12" i="4"/>
  <c r="AE12" i="4"/>
  <c r="AD12" i="4"/>
  <c r="AB12" i="4"/>
  <c r="AA12" i="4"/>
  <c r="AC12" i="4" s="1"/>
  <c r="Z12" i="4"/>
  <c r="Y12" i="4"/>
  <c r="X12" i="4"/>
  <c r="W12" i="4"/>
  <c r="V12" i="4"/>
  <c r="U12" i="4"/>
  <c r="Q12" i="4"/>
  <c r="P12" i="4"/>
  <c r="O12" i="4"/>
  <c r="AL11" i="4"/>
  <c r="AK11" i="4"/>
  <c r="AJ11" i="4"/>
  <c r="AI11" i="4"/>
  <c r="AH11" i="4"/>
  <c r="AG11" i="4"/>
  <c r="AF11" i="4"/>
  <c r="AE11" i="4"/>
  <c r="AD11" i="4"/>
  <c r="AB11" i="4"/>
  <c r="AA11" i="4"/>
  <c r="AC11" i="4" s="1"/>
  <c r="Z11" i="4"/>
  <c r="Y11" i="4"/>
  <c r="X11" i="4"/>
  <c r="W11" i="4"/>
  <c r="V11" i="4"/>
  <c r="U11" i="4"/>
  <c r="Q11" i="4"/>
  <c r="P11" i="4"/>
  <c r="O11" i="4"/>
  <c r="AL10" i="4"/>
  <c r="AK10" i="4"/>
  <c r="AJ10" i="4"/>
  <c r="AI10" i="4"/>
  <c r="AH10" i="4"/>
  <c r="AG10" i="4"/>
  <c r="AF10" i="4"/>
  <c r="AE10" i="4"/>
  <c r="AD10" i="4"/>
  <c r="AB10" i="4"/>
  <c r="AA10" i="4"/>
  <c r="AC10" i="4" s="1"/>
  <c r="Z10" i="4"/>
  <c r="Y10" i="4"/>
  <c r="X10" i="4"/>
  <c r="W10" i="4"/>
  <c r="V10" i="4"/>
  <c r="U10" i="4"/>
  <c r="Q10" i="4"/>
  <c r="P10" i="4"/>
  <c r="O10" i="4"/>
  <c r="AL9" i="4"/>
  <c r="AK9" i="4"/>
  <c r="AJ9" i="4"/>
  <c r="AI9" i="4"/>
  <c r="AH9" i="4"/>
  <c r="AG9" i="4"/>
  <c r="AF9" i="4"/>
  <c r="AE9" i="4"/>
  <c r="AD9" i="4"/>
  <c r="AB9" i="4"/>
  <c r="AA9" i="4"/>
  <c r="AC9" i="4" s="1"/>
  <c r="Z9" i="4"/>
  <c r="Y9" i="4"/>
  <c r="X9" i="4"/>
  <c r="W9" i="4"/>
  <c r="V9" i="4"/>
  <c r="U9" i="4"/>
  <c r="Q9" i="4"/>
  <c r="P9" i="4"/>
  <c r="O9" i="4"/>
  <c r="AL8" i="4"/>
  <c r="AK8" i="4"/>
  <c r="AJ8" i="4"/>
  <c r="AI8" i="4"/>
  <c r="AH8" i="4"/>
  <c r="AG8" i="4"/>
  <c r="AF8" i="4"/>
  <c r="AE8" i="4"/>
  <c r="AD8" i="4"/>
  <c r="AB8" i="4"/>
  <c r="AA8" i="4"/>
  <c r="AC8" i="4" s="1"/>
  <c r="Z8" i="4"/>
  <c r="Y8" i="4"/>
  <c r="X8" i="4"/>
  <c r="W8" i="4"/>
  <c r="V8" i="4"/>
  <c r="U8" i="4"/>
  <c r="Q8" i="4"/>
  <c r="P8" i="4"/>
  <c r="O8" i="4"/>
  <c r="AL7" i="4"/>
  <c r="AK7" i="4"/>
  <c r="AJ7" i="4"/>
  <c r="AI7" i="4"/>
  <c r="AH7" i="4"/>
  <c r="AG7" i="4"/>
  <c r="AF7" i="4"/>
  <c r="AE7" i="4"/>
  <c r="AD7" i="4"/>
  <c r="AB7" i="4"/>
  <c r="AA7" i="4"/>
  <c r="AC7" i="4" s="1"/>
  <c r="Z7" i="4"/>
  <c r="Y7" i="4"/>
  <c r="X7" i="4"/>
  <c r="W7" i="4"/>
  <c r="V7" i="4"/>
  <c r="U7" i="4"/>
  <c r="Q7" i="4"/>
  <c r="P7" i="4"/>
  <c r="O7" i="4"/>
  <c r="AL6" i="4"/>
  <c r="AK6" i="4"/>
  <c r="AJ6" i="4"/>
  <c r="AI6" i="4"/>
  <c r="AH6" i="4"/>
  <c r="AG6" i="4"/>
  <c r="AF6" i="4"/>
  <c r="AE6" i="4"/>
  <c r="AD6" i="4"/>
  <c r="AB6" i="4"/>
  <c r="AA6" i="4"/>
  <c r="AC6" i="4" s="1"/>
  <c r="Z6" i="4"/>
  <c r="Y6" i="4"/>
  <c r="X6" i="4"/>
  <c r="W6" i="4"/>
  <c r="V6" i="4"/>
  <c r="U6" i="4"/>
  <c r="Q6" i="4"/>
  <c r="P6" i="4"/>
  <c r="O6" i="4"/>
  <c r="AL5" i="4"/>
  <c r="AK5" i="4"/>
  <c r="AJ5" i="4"/>
  <c r="AI5" i="4"/>
  <c r="AH5" i="4"/>
  <c r="AG5" i="4"/>
  <c r="AF5" i="4"/>
  <c r="AE5" i="4"/>
  <c r="AD5" i="4"/>
  <c r="AB5" i="4"/>
  <c r="AA5" i="4"/>
  <c r="AC5" i="4" s="1"/>
  <c r="Z5" i="4"/>
  <c r="Y5" i="4"/>
  <c r="X5" i="4"/>
  <c r="W5" i="4"/>
  <c r="V5" i="4"/>
  <c r="U5" i="4"/>
  <c r="Q5" i="4"/>
  <c r="P5" i="4"/>
  <c r="O5" i="4"/>
  <c r="AL4" i="4"/>
  <c r="AK4" i="4"/>
  <c r="AJ4" i="4"/>
  <c r="AI4" i="4"/>
  <c r="AH4" i="4"/>
  <c r="AG4" i="4"/>
  <c r="AF4" i="4"/>
  <c r="AE4" i="4"/>
  <c r="AD4" i="4"/>
  <c r="AB4" i="4"/>
  <c r="AA4" i="4"/>
  <c r="AC4" i="4" s="1"/>
  <c r="Z4" i="4"/>
  <c r="Y4" i="4"/>
  <c r="X4" i="4"/>
  <c r="W4" i="4"/>
  <c r="V4" i="4"/>
  <c r="U4" i="4"/>
  <c r="Q4" i="4"/>
  <c r="P4" i="4"/>
  <c r="O4" i="4"/>
  <c r="AL3" i="4"/>
  <c r="AK3" i="4"/>
  <c r="AJ3" i="4"/>
  <c r="AI3" i="4"/>
  <c r="AH3" i="4"/>
  <c r="AG3" i="4"/>
  <c r="AF3" i="4"/>
  <c r="AE3" i="4"/>
  <c r="AD3" i="4"/>
  <c r="AB3" i="4"/>
  <c r="AA3" i="4"/>
  <c r="AC3" i="4" s="1"/>
  <c r="Z3" i="4"/>
  <c r="Y3" i="4"/>
  <c r="X3" i="4"/>
  <c r="W3" i="4"/>
  <c r="V3" i="4"/>
  <c r="U3" i="4"/>
  <c r="Q3" i="4"/>
  <c r="P3" i="4"/>
  <c r="O3" i="4"/>
  <c r="AL2" i="4"/>
  <c r="AK2" i="4"/>
  <c r="AJ2" i="4"/>
  <c r="AI2" i="4"/>
  <c r="AH2" i="4"/>
  <c r="AG2" i="4"/>
  <c r="AF2" i="4"/>
  <c r="AE2" i="4"/>
  <c r="AD2" i="4"/>
  <c r="AB2" i="4"/>
  <c r="AA2" i="4"/>
  <c r="Z2" i="4"/>
  <c r="Y2" i="4"/>
  <c r="X2" i="4"/>
  <c r="W2" i="4"/>
  <c r="V2" i="4"/>
  <c r="U2" i="4"/>
  <c r="Q2" i="4"/>
  <c r="B44" i="5" s="1"/>
  <c r="P2" i="4"/>
  <c r="O2" i="4"/>
  <c r="B41" i="5" s="1"/>
  <c r="K60" i="2"/>
  <c r="K59" i="2"/>
  <c r="K58" i="2"/>
  <c r="K57" i="2"/>
  <c r="K56" i="2"/>
  <c r="K55" i="2"/>
  <c r="K54" i="2"/>
  <c r="K53" i="2"/>
  <c r="D53" i="2"/>
  <c r="H53" i="2" s="1"/>
  <c r="K52" i="2"/>
  <c r="D52" i="2"/>
  <c r="H52" i="2" s="1"/>
  <c r="K51" i="2"/>
  <c r="D51" i="2"/>
  <c r="H51" i="2" s="1"/>
  <c r="H7" i="2"/>
  <c r="N6" i="2"/>
  <c r="K6" i="2"/>
  <c r="H6" i="2"/>
  <c r="E6" i="2"/>
  <c r="B6" i="2"/>
  <c r="B2" i="2"/>
  <c r="B69" i="14" l="1"/>
  <c r="K14" i="2" s="1"/>
  <c r="B68" i="14"/>
  <c r="H14" i="2" s="1"/>
  <c r="B67" i="14"/>
  <c r="E14" i="2" s="1"/>
  <c r="B66" i="14"/>
  <c r="B14" i="2" s="1"/>
  <c r="B61" i="14"/>
  <c r="B60" i="14"/>
  <c r="B59" i="14"/>
  <c r="C55" i="14"/>
  <c r="B55" i="14"/>
  <c r="C54" i="14"/>
  <c r="B54" i="14"/>
  <c r="C51" i="14"/>
  <c r="B51" i="14"/>
  <c r="C50" i="14"/>
  <c r="B50" i="14"/>
  <c r="C49" i="14"/>
  <c r="B49" i="14"/>
  <c r="C48" i="14"/>
  <c r="B48" i="14"/>
  <c r="C47" i="14"/>
  <c r="B47" i="14"/>
  <c r="C44" i="14"/>
  <c r="B44" i="14"/>
  <c r="C43" i="14"/>
  <c r="B43" i="14"/>
  <c r="C42" i="14"/>
  <c r="B42" i="14"/>
  <c r="C41" i="14"/>
  <c r="B41" i="14"/>
  <c r="C38" i="14"/>
  <c r="B38" i="14"/>
  <c r="C37" i="14"/>
  <c r="B37" i="14"/>
  <c r="C36" i="14"/>
  <c r="B36" i="14"/>
  <c r="C35" i="14"/>
  <c r="B35" i="14"/>
  <c r="B51" i="10"/>
  <c r="B50" i="10"/>
  <c r="L4" i="7"/>
  <c r="K4" i="7"/>
  <c r="P12" i="7"/>
  <c r="B29" i="3" s="1"/>
  <c r="P10" i="7"/>
  <c r="P9" i="7"/>
  <c r="P11" i="7"/>
  <c r="P13" i="7"/>
  <c r="P5" i="7"/>
  <c r="H23" i="6"/>
  <c r="J23" i="6"/>
  <c r="I23" i="6"/>
  <c r="H22" i="6"/>
  <c r="J22" i="6"/>
  <c r="I22" i="6"/>
  <c r="H21" i="6"/>
  <c r="I21" i="6"/>
  <c r="J21" i="6"/>
  <c r="J20" i="6"/>
  <c r="I20" i="6"/>
  <c r="H20" i="6"/>
  <c r="H19" i="6"/>
  <c r="I19" i="6"/>
  <c r="J19" i="6"/>
  <c r="H18" i="6"/>
  <c r="I18" i="6"/>
  <c r="J18" i="6"/>
  <c r="J17" i="6"/>
  <c r="I17" i="6"/>
  <c r="H17" i="6"/>
  <c r="J16" i="6"/>
  <c r="I16" i="6"/>
  <c r="H16" i="6"/>
  <c r="J15" i="6"/>
  <c r="I15" i="6"/>
  <c r="H15" i="6"/>
  <c r="H14" i="6"/>
  <c r="J14" i="6"/>
  <c r="I14" i="6"/>
  <c r="J13" i="6"/>
  <c r="I13" i="6"/>
  <c r="H13" i="6"/>
  <c r="J12" i="6"/>
  <c r="I12" i="6"/>
  <c r="H12" i="6"/>
  <c r="H11" i="6"/>
  <c r="I11" i="6"/>
  <c r="J11" i="6"/>
  <c r="J10" i="6"/>
  <c r="I10" i="6"/>
  <c r="H10" i="6"/>
  <c r="I9" i="6"/>
  <c r="J9" i="6"/>
  <c r="H9" i="6"/>
  <c r="J8" i="6"/>
  <c r="I8" i="6"/>
  <c r="H8" i="6"/>
  <c r="H7" i="6"/>
  <c r="J7" i="6"/>
  <c r="I7" i="6"/>
  <c r="H6" i="6"/>
  <c r="I6" i="6"/>
  <c r="J6" i="6"/>
  <c r="J5" i="6"/>
  <c r="I5" i="6"/>
  <c r="H5" i="6"/>
  <c r="H4" i="6"/>
  <c r="J4" i="6"/>
  <c r="I4" i="6"/>
  <c r="C169" i="5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B167" i="5"/>
  <c r="E167" i="5"/>
  <c r="D167" i="5"/>
  <c r="B19" i="14"/>
  <c r="A168" i="5"/>
  <c r="G157" i="5"/>
  <c r="B163" i="5"/>
  <c r="G156" i="5"/>
  <c r="B162" i="5"/>
  <c r="B161" i="5"/>
  <c r="G155" i="5"/>
  <c r="B158" i="5"/>
  <c r="G154" i="5"/>
  <c r="G158" i="5" s="1"/>
  <c r="B160" i="5"/>
  <c r="I105" i="5"/>
  <c r="D105" i="5"/>
  <c r="I104" i="5"/>
  <c r="D104" i="5"/>
  <c r="D103" i="5"/>
  <c r="D106" i="5" s="1"/>
  <c r="B108" i="5"/>
  <c r="B107" i="5"/>
  <c r="C106" i="5"/>
  <c r="I103" i="5"/>
  <c r="E103" i="5"/>
  <c r="B106" i="5"/>
  <c r="I96" i="5"/>
  <c r="D96" i="5"/>
  <c r="B14" i="3" s="1"/>
  <c r="B99" i="5"/>
  <c r="D95" i="5"/>
  <c r="D97" i="5" s="1"/>
  <c r="B98" i="5"/>
  <c r="C97" i="5"/>
  <c r="I95" i="5"/>
  <c r="E95" i="5"/>
  <c r="B97" i="5"/>
  <c r="I88" i="5"/>
  <c r="D88" i="5"/>
  <c r="B91" i="5"/>
  <c r="B90" i="5"/>
  <c r="C89" i="5"/>
  <c r="D87" i="5"/>
  <c r="D89" i="5" s="1"/>
  <c r="I87" i="5"/>
  <c r="B89" i="5"/>
  <c r="E87" i="5"/>
  <c r="D80" i="5"/>
  <c r="I80" i="5"/>
  <c r="D79" i="5"/>
  <c r="I79" i="5"/>
  <c r="I78" i="5"/>
  <c r="D78" i="5"/>
  <c r="I77" i="5"/>
  <c r="D77" i="5"/>
  <c r="I76" i="5"/>
  <c r="E51" i="12"/>
  <c r="D76" i="5"/>
  <c r="D81" i="5" s="1"/>
  <c r="B83" i="5"/>
  <c r="B82" i="5"/>
  <c r="C81" i="5"/>
  <c r="E76" i="5"/>
  <c r="B81" i="5"/>
  <c r="I69" i="5"/>
  <c r="D69" i="5"/>
  <c r="D68" i="5"/>
  <c r="I68" i="5"/>
  <c r="I67" i="5"/>
  <c r="D67" i="5"/>
  <c r="D66" i="5"/>
  <c r="D70" i="5" s="1"/>
  <c r="I66" i="5"/>
  <c r="B72" i="5"/>
  <c r="B71" i="5"/>
  <c r="C70" i="5"/>
  <c r="E66" i="5"/>
  <c r="B70" i="5"/>
  <c r="I59" i="5"/>
  <c r="D59" i="5"/>
  <c r="I58" i="5"/>
  <c r="D58" i="5"/>
  <c r="D57" i="5"/>
  <c r="I57" i="5"/>
  <c r="B62" i="5"/>
  <c r="B61" i="5"/>
  <c r="B8" i="3" s="1"/>
  <c r="I56" i="5"/>
  <c r="C60" i="5"/>
  <c r="D56" i="5"/>
  <c r="D60" i="5" s="1"/>
  <c r="B60" i="5"/>
  <c r="E56" i="5"/>
  <c r="B71" i="14"/>
  <c r="C214" i="5"/>
  <c r="D214" i="5"/>
  <c r="E214" i="5"/>
  <c r="F214" i="5"/>
  <c r="B214" i="5"/>
  <c r="B15" i="5"/>
  <c r="B22" i="5"/>
  <c r="B20" i="5"/>
  <c r="B19" i="5"/>
  <c r="B23" i="5"/>
  <c r="B14" i="5"/>
  <c r="B72" i="14"/>
  <c r="Q14" i="2" s="1"/>
  <c r="B21" i="5"/>
  <c r="B16" i="5"/>
  <c r="V76" i="4"/>
  <c r="V197" i="4"/>
  <c r="V710" i="4"/>
  <c r="V462" i="4"/>
  <c r="V463" i="4"/>
  <c r="V78" i="4"/>
  <c r="V73" i="4"/>
  <c r="V72" i="4"/>
  <c r="V71" i="4"/>
  <c r="V79" i="4"/>
  <c r="V70" i="4"/>
  <c r="V69" i="4"/>
  <c r="V68" i="4"/>
  <c r="V80" i="4"/>
  <c r="V67" i="4"/>
  <c r="V66" i="4"/>
  <c r="V65" i="4"/>
  <c r="V81" i="4"/>
  <c r="V64" i="4"/>
  <c r="V63" i="4"/>
  <c r="V62" i="4"/>
  <c r="V133" i="4"/>
  <c r="V134" i="4"/>
  <c r="V464" i="4"/>
  <c r="V130" i="4"/>
  <c r="V135" i="4"/>
  <c r="V461" i="4"/>
  <c r="V465" i="4"/>
  <c r="V136" i="4"/>
  <c r="V129" i="4"/>
  <c r="V466" i="4"/>
  <c r="V137" i="4"/>
  <c r="V460" i="4"/>
  <c r="V128" i="4"/>
  <c r="V467" i="4"/>
  <c r="V468" i="4"/>
  <c r="V127" i="4"/>
  <c r="V459" i="4"/>
  <c r="V469" i="4"/>
  <c r="V138" i="4"/>
  <c r="V126" i="4"/>
  <c r="V470" i="4"/>
  <c r="V458" i="4"/>
  <c r="V125" i="4"/>
  <c r="V471" i="4"/>
  <c r="V139" i="4"/>
  <c r="V472" i="4"/>
  <c r="V124" i="4"/>
  <c r="V457" i="4"/>
  <c r="V473" i="4"/>
  <c r="V123" i="4"/>
  <c r="V474" i="4"/>
  <c r="V456" i="4"/>
  <c r="V140" i="4"/>
  <c r="V122" i="4"/>
  <c r="V475" i="4"/>
  <c r="V455" i="4"/>
  <c r="V476" i="4"/>
  <c r="V121" i="4"/>
  <c r="V141" i="4"/>
  <c r="V477" i="4"/>
  <c r="V454" i="4"/>
  <c r="V120" i="4"/>
  <c r="V478" i="4"/>
  <c r="V479" i="4"/>
  <c r="V119" i="4"/>
  <c r="V453" i="4"/>
  <c r="V142" i="4"/>
  <c r="V480" i="4"/>
  <c r="V118" i="4"/>
  <c r="V481" i="4"/>
  <c r="V452" i="4"/>
  <c r="V117" i="4"/>
  <c r="V482" i="4"/>
  <c r="V143" i="4"/>
  <c r="V483" i="4"/>
  <c r="V116" i="4"/>
  <c r="V451" i="4"/>
  <c r="V484" i="4"/>
  <c r="V115" i="4"/>
  <c r="V485" i="4"/>
  <c r="V450" i="4"/>
  <c r="V144" i="4"/>
  <c r="V114" i="4"/>
  <c r="V486" i="4"/>
  <c r="V487" i="4"/>
  <c r="V113" i="4"/>
  <c r="V488" i="4"/>
  <c r="V112" i="4"/>
  <c r="V489" i="4"/>
  <c r="V111" i="4"/>
  <c r="V490" i="4"/>
  <c r="V491" i="4"/>
  <c r="V110" i="4"/>
  <c r="V492" i="4"/>
  <c r="V493" i="4"/>
  <c r="V109" i="4"/>
  <c r="V494" i="4"/>
  <c r="V108" i="4"/>
  <c r="V495" i="4"/>
  <c r="V107" i="4"/>
  <c r="V496" i="4"/>
  <c r="V497" i="4"/>
  <c r="V106" i="4"/>
  <c r="V498" i="4"/>
  <c r="V105" i="4"/>
  <c r="V499" i="4"/>
  <c r="V104" i="4"/>
  <c r="V500" i="4"/>
  <c r="V501" i="4"/>
  <c r="V103" i="4"/>
  <c r="V502" i="4"/>
  <c r="V102" i="4"/>
  <c r="V503" i="4"/>
  <c r="V101" i="4"/>
  <c r="V504" i="4"/>
  <c r="V449" i="4"/>
  <c r="V145" i="4"/>
  <c r="V448" i="4"/>
  <c r="V447" i="4"/>
  <c r="V146" i="4"/>
  <c r="V446" i="4"/>
  <c r="V147" i="4"/>
  <c r="V445" i="4"/>
  <c r="V444" i="4"/>
  <c r="V148" i="4"/>
  <c r="V443" i="4"/>
  <c r="V100" i="4"/>
  <c r="V99" i="4"/>
  <c r="V98" i="4"/>
  <c r="V97" i="4"/>
  <c r="V96" i="4"/>
  <c r="V149" i="4"/>
  <c r="V442" i="4"/>
  <c r="V150" i="4"/>
  <c r="V441" i="4"/>
  <c r="V440" i="4"/>
  <c r="V151" i="4"/>
  <c r="V439" i="4"/>
  <c r="V152" i="4"/>
  <c r="V438" i="4"/>
  <c r="V153" i="4"/>
  <c r="V437" i="4"/>
  <c r="V436" i="4"/>
  <c r="V154" i="4"/>
  <c r="V435" i="4"/>
  <c r="V155" i="4"/>
  <c r="V434" i="4"/>
  <c r="V433" i="4"/>
  <c r="V156" i="4"/>
  <c r="V432" i="4"/>
  <c r="V157" i="4"/>
  <c r="V431" i="4"/>
  <c r="V430" i="4"/>
  <c r="V158" i="4"/>
  <c r="V429" i="4"/>
  <c r="V428" i="4"/>
  <c r="V159" i="4"/>
  <c r="V427" i="4"/>
  <c r="V160" i="4"/>
  <c r="V426" i="4"/>
  <c r="V425" i="4"/>
  <c r="V161" i="4"/>
  <c r="V424" i="4"/>
  <c r="V162" i="4"/>
  <c r="V423" i="4"/>
  <c r="V163" i="4"/>
  <c r="V422" i="4"/>
  <c r="V421" i="4"/>
  <c r="V164" i="4"/>
  <c r="V420" i="4"/>
  <c r="V165" i="4"/>
  <c r="V419" i="4"/>
  <c r="V166" i="4"/>
  <c r="V82" i="4"/>
  <c r="V61" i="4"/>
  <c r="V418" i="4"/>
  <c r="V417" i="4"/>
  <c r="V83" i="4"/>
  <c r="V167" i="4"/>
  <c r="V416" i="4"/>
  <c r="V168" i="4"/>
  <c r="V84" i="4"/>
  <c r="V415" i="4"/>
  <c r="V169" i="4"/>
  <c r="V414" i="4"/>
  <c r="V85" i="4"/>
  <c r="V413" i="4"/>
  <c r="V170" i="4"/>
  <c r="V412" i="4"/>
  <c r="V86" i="4"/>
  <c r="V171" i="4"/>
  <c r="V411" i="4"/>
  <c r="V172" i="4"/>
  <c r="V87" i="4"/>
  <c r="V410" i="4"/>
  <c r="V409" i="4"/>
  <c r="V173" i="4"/>
  <c r="V88" i="4"/>
  <c r="V408" i="4"/>
  <c r="V174" i="4"/>
  <c r="V407" i="4"/>
  <c r="V175" i="4"/>
  <c r="V89" i="4"/>
  <c r="V406" i="4"/>
  <c r="V405" i="4"/>
  <c r="V176" i="4"/>
  <c r="V404" i="4"/>
  <c r="V177" i="4"/>
  <c r="V403" i="4"/>
  <c r="V178" i="4"/>
  <c r="V402" i="4"/>
  <c r="V179" i="4"/>
  <c r="V180" i="4"/>
  <c r="V181" i="4"/>
  <c r="V401" i="4"/>
  <c r="V182" i="4"/>
  <c r="V183" i="4"/>
  <c r="V184" i="4"/>
  <c r="V400" i="4"/>
  <c r="V399" i="4"/>
  <c r="V74" i="4"/>
  <c r="V77" i="4"/>
  <c r="V75" i="4"/>
  <c r="V700" i="4"/>
  <c r="V701" i="4"/>
  <c r="V702" i="4"/>
  <c r="V703" i="4"/>
  <c r="V704" i="4"/>
  <c r="V705" i="4"/>
  <c r="V706" i="4"/>
  <c r="V707" i="4"/>
  <c r="V185" i="4"/>
  <c r="V708" i="4"/>
  <c r="V709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186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13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187" i="4"/>
  <c r="V795" i="4"/>
  <c r="V796" i="4"/>
  <c r="V797" i="4"/>
  <c r="V798" i="4"/>
  <c r="V799" i="4"/>
  <c r="V800" i="4"/>
  <c r="V801" i="4"/>
  <c r="V802" i="4"/>
  <c r="V803" i="4"/>
  <c r="V202" i="4"/>
  <c r="V804" i="4"/>
  <c r="V805" i="4"/>
  <c r="V806" i="4"/>
  <c r="V201" i="4"/>
  <c r="V188" i="4"/>
  <c r="V189" i="4"/>
  <c r="V190" i="4"/>
  <c r="V200" i="4"/>
  <c r="V191" i="4"/>
  <c r="V192" i="4"/>
  <c r="V95" i="4"/>
  <c r="V199" i="4"/>
  <c r="V94" i="4"/>
  <c r="V93" i="4"/>
  <c r="V92" i="4"/>
  <c r="V91" i="4"/>
  <c r="V198" i="4"/>
  <c r="V90" i="4"/>
  <c r="V193" i="4"/>
  <c r="V194" i="4"/>
  <c r="V195" i="4"/>
  <c r="V196" i="4"/>
  <c r="V131" i="4"/>
  <c r="R1001" i="4"/>
  <c r="R1000" i="4"/>
  <c r="T1000" i="4" s="1"/>
  <c r="S1000" i="4"/>
  <c r="R999" i="4"/>
  <c r="T999" i="4" s="1"/>
  <c r="S999" i="4"/>
  <c r="R998" i="4"/>
  <c r="R997" i="4"/>
  <c r="T997" i="4" s="1"/>
  <c r="S997" i="4"/>
  <c r="R996" i="4"/>
  <c r="R995" i="4"/>
  <c r="S994" i="4"/>
  <c r="R994" i="4"/>
  <c r="T994" i="4" s="1"/>
  <c r="S993" i="4"/>
  <c r="R993" i="4"/>
  <c r="T993" i="4" s="1"/>
  <c r="R992" i="4"/>
  <c r="T992" i="4" s="1"/>
  <c r="S992" i="4"/>
  <c r="R991" i="4"/>
  <c r="R990" i="4"/>
  <c r="T990" i="4" s="1"/>
  <c r="S990" i="4"/>
  <c r="R989" i="4"/>
  <c r="T989" i="4" s="1"/>
  <c r="S989" i="4"/>
  <c r="R988" i="4"/>
  <c r="T988" i="4" s="1"/>
  <c r="S988" i="4"/>
  <c r="R987" i="4"/>
  <c r="S986" i="4"/>
  <c r="R986" i="4"/>
  <c r="T986" i="4" s="1"/>
  <c r="R985" i="4"/>
  <c r="T985" i="4" s="1"/>
  <c r="S985" i="4"/>
  <c r="R984" i="4"/>
  <c r="R983" i="4"/>
  <c r="T983" i="4" s="1"/>
  <c r="S983" i="4"/>
  <c r="R982" i="4"/>
  <c r="T982" i="4" s="1"/>
  <c r="S982" i="4"/>
  <c r="R981" i="4"/>
  <c r="R980" i="4"/>
  <c r="T980" i="4" s="1"/>
  <c r="S980" i="4"/>
  <c r="R979" i="4"/>
  <c r="R978" i="4"/>
  <c r="R977" i="4"/>
  <c r="T977" i="4" s="1"/>
  <c r="S977" i="4"/>
  <c r="R976" i="4"/>
  <c r="T976" i="4" s="1"/>
  <c r="S976" i="4"/>
  <c r="R975" i="4"/>
  <c r="T975" i="4" s="1"/>
  <c r="S975" i="4"/>
  <c r="R974" i="4"/>
  <c r="R973" i="4"/>
  <c r="T973" i="4" s="1"/>
  <c r="S973" i="4"/>
  <c r="R972" i="4"/>
  <c r="R971" i="4"/>
  <c r="R970" i="4"/>
  <c r="R969" i="4"/>
  <c r="S969" i="4"/>
  <c r="R968" i="4"/>
  <c r="S967" i="4"/>
  <c r="R967" i="4"/>
  <c r="R966" i="4"/>
  <c r="T966" i="4" s="1"/>
  <c r="S966" i="4"/>
  <c r="R965" i="4"/>
  <c r="R964" i="4"/>
  <c r="S964" i="4"/>
  <c r="R963" i="4"/>
  <c r="R962" i="4"/>
  <c r="R961" i="4"/>
  <c r="R960" i="4"/>
  <c r="T960" i="4" s="1"/>
  <c r="S960" i="4"/>
  <c r="R959" i="4"/>
  <c r="R958" i="4"/>
  <c r="R957" i="4"/>
  <c r="T957" i="4" s="1"/>
  <c r="S957" i="4"/>
  <c r="R956" i="4"/>
  <c r="T956" i="4" s="1"/>
  <c r="S956" i="4"/>
  <c r="R955" i="4"/>
  <c r="R954" i="4"/>
  <c r="T954" i="4" s="1"/>
  <c r="S954" i="4"/>
  <c r="R953" i="4"/>
  <c r="T953" i="4" s="1"/>
  <c r="S953" i="4"/>
  <c r="R952" i="4"/>
  <c r="R951" i="4"/>
  <c r="R950" i="4"/>
  <c r="R949" i="4"/>
  <c r="T949" i="4" s="1"/>
  <c r="S949" i="4"/>
  <c r="R948" i="4"/>
  <c r="T948" i="4" s="1"/>
  <c r="S948" i="4"/>
  <c r="R947" i="4"/>
  <c r="R946" i="4"/>
  <c r="R945" i="4"/>
  <c r="T945" i="4" s="1"/>
  <c r="S945" i="4"/>
  <c r="R944" i="4"/>
  <c r="T944" i="4" s="1"/>
  <c r="S944" i="4"/>
  <c r="R943" i="4"/>
  <c r="T943" i="4" s="1"/>
  <c r="S943" i="4"/>
  <c r="R942" i="4"/>
  <c r="T942" i="4" s="1"/>
  <c r="S942" i="4"/>
  <c r="R941" i="4"/>
  <c r="T941" i="4" s="1"/>
  <c r="S941" i="4"/>
  <c r="R940" i="4"/>
  <c r="R939" i="4"/>
  <c r="R938" i="4"/>
  <c r="R937" i="4"/>
  <c r="T937" i="4" s="1"/>
  <c r="S937" i="4"/>
  <c r="R936" i="4"/>
  <c r="R935" i="4"/>
  <c r="R934" i="4"/>
  <c r="R933" i="4"/>
  <c r="R932" i="4"/>
  <c r="R931" i="4"/>
  <c r="T931" i="4" s="1"/>
  <c r="S931" i="4"/>
  <c r="R930" i="4"/>
  <c r="R929" i="4"/>
  <c r="T929" i="4" s="1"/>
  <c r="S929" i="4"/>
  <c r="R928" i="4"/>
  <c r="R927" i="4"/>
  <c r="R926" i="4"/>
  <c r="R925" i="4"/>
  <c r="R924" i="4"/>
  <c r="R923" i="4"/>
  <c r="T923" i="4" s="1"/>
  <c r="S923" i="4"/>
  <c r="R922" i="4"/>
  <c r="R921" i="4"/>
  <c r="T921" i="4" s="1"/>
  <c r="S921" i="4"/>
  <c r="R920" i="4"/>
  <c r="T920" i="4" s="1"/>
  <c r="S920" i="4"/>
  <c r="R919" i="4"/>
  <c r="R918" i="4"/>
  <c r="R917" i="4"/>
  <c r="T917" i="4" s="1"/>
  <c r="S917" i="4"/>
  <c r="R916" i="4"/>
  <c r="R915" i="4"/>
  <c r="R914" i="4"/>
  <c r="R913" i="4"/>
  <c r="R912" i="4"/>
  <c r="R911" i="4"/>
  <c r="T911" i="4" s="1"/>
  <c r="S911" i="4"/>
  <c r="R910" i="4"/>
  <c r="T910" i="4" s="1"/>
  <c r="S910" i="4"/>
  <c r="R909" i="4"/>
  <c r="R908" i="4"/>
  <c r="T908" i="4" s="1"/>
  <c r="S908" i="4"/>
  <c r="R907" i="4"/>
  <c r="T907" i="4" s="1"/>
  <c r="S907" i="4"/>
  <c r="R906" i="4"/>
  <c r="R905" i="4"/>
  <c r="T905" i="4" s="1"/>
  <c r="S905" i="4"/>
  <c r="R904" i="4"/>
  <c r="R903" i="4"/>
  <c r="R902" i="4"/>
  <c r="R901" i="4"/>
  <c r="R900" i="4"/>
  <c r="T900" i="4" s="1"/>
  <c r="S900" i="4"/>
  <c r="R899" i="4"/>
  <c r="T899" i="4" s="1"/>
  <c r="S899" i="4"/>
  <c r="R898" i="4"/>
  <c r="T898" i="4" s="1"/>
  <c r="S898" i="4"/>
  <c r="R897" i="4"/>
  <c r="R896" i="4"/>
  <c r="R895" i="4"/>
  <c r="T895" i="4" s="1"/>
  <c r="S895" i="4"/>
  <c r="R894" i="4"/>
  <c r="R893" i="4"/>
  <c r="T893" i="4" s="1"/>
  <c r="S893" i="4"/>
  <c r="R892" i="4"/>
  <c r="R891" i="4"/>
  <c r="T891" i="4" s="1"/>
  <c r="S891" i="4"/>
  <c r="R890" i="4"/>
  <c r="T890" i="4" s="1"/>
  <c r="S890" i="4"/>
  <c r="R889" i="4"/>
  <c r="T889" i="4" s="1"/>
  <c r="S889" i="4"/>
  <c r="R888" i="4"/>
  <c r="R887" i="4"/>
  <c r="T887" i="4" s="1"/>
  <c r="S887" i="4"/>
  <c r="R886" i="4"/>
  <c r="T886" i="4" s="1"/>
  <c r="S886" i="4"/>
  <c r="R885" i="4"/>
  <c r="T885" i="4" s="1"/>
  <c r="S885" i="4"/>
  <c r="R884" i="4"/>
  <c r="R883" i="4"/>
  <c r="T883" i="4" s="1"/>
  <c r="S883" i="4"/>
  <c r="R882" i="4"/>
  <c r="R881" i="4"/>
  <c r="T881" i="4" s="1"/>
  <c r="S881" i="4"/>
  <c r="R880" i="4"/>
  <c r="T880" i="4" s="1"/>
  <c r="S880" i="4"/>
  <c r="R879" i="4"/>
  <c r="T879" i="4" s="1"/>
  <c r="S879" i="4"/>
  <c r="R878" i="4"/>
  <c r="T878" i="4" s="1"/>
  <c r="S878" i="4"/>
  <c r="R877" i="4"/>
  <c r="R876" i="4"/>
  <c r="T876" i="4" s="1"/>
  <c r="S876" i="4"/>
  <c r="R875" i="4"/>
  <c r="T875" i="4" s="1"/>
  <c r="S875" i="4"/>
  <c r="R874" i="4"/>
  <c r="R873" i="4"/>
  <c r="T873" i="4" s="1"/>
  <c r="S873" i="4"/>
  <c r="R872" i="4"/>
  <c r="R871" i="4"/>
  <c r="R870" i="4"/>
  <c r="R869" i="4"/>
  <c r="T869" i="4" s="1"/>
  <c r="S869" i="4"/>
  <c r="R868" i="4"/>
  <c r="R867" i="4"/>
  <c r="T867" i="4" s="1"/>
  <c r="S867" i="4"/>
  <c r="R866" i="4"/>
  <c r="T866" i="4" s="1"/>
  <c r="S866" i="4"/>
  <c r="R865" i="4"/>
  <c r="R864" i="4"/>
  <c r="R863" i="4"/>
  <c r="T863" i="4" s="1"/>
  <c r="S863" i="4"/>
  <c r="R862" i="4"/>
  <c r="T862" i="4" s="1"/>
  <c r="S862" i="4"/>
  <c r="R861" i="4"/>
  <c r="R860" i="4"/>
  <c r="R859" i="4"/>
  <c r="R858" i="4"/>
  <c r="R857" i="4"/>
  <c r="T857" i="4" s="1"/>
  <c r="S857" i="4"/>
  <c r="R856" i="4"/>
  <c r="R855" i="4"/>
  <c r="T855" i="4" s="1"/>
  <c r="S855" i="4"/>
  <c r="R854" i="4"/>
  <c r="T854" i="4" s="1"/>
  <c r="S854" i="4"/>
  <c r="R853" i="4"/>
  <c r="T853" i="4" s="1"/>
  <c r="S853" i="4"/>
  <c r="R852" i="4"/>
  <c r="R851" i="4"/>
  <c r="R850" i="4"/>
  <c r="T850" i="4" s="1"/>
  <c r="S850" i="4"/>
  <c r="R849" i="4"/>
  <c r="R848" i="4"/>
  <c r="R847" i="4"/>
  <c r="R846" i="4"/>
  <c r="R845" i="4"/>
  <c r="R844" i="4"/>
  <c r="R843" i="4"/>
  <c r="R842" i="4"/>
  <c r="T842" i="4" s="1"/>
  <c r="S842" i="4"/>
  <c r="R841" i="4"/>
  <c r="R840" i="4"/>
  <c r="T840" i="4" s="1"/>
  <c r="S840" i="4"/>
  <c r="R839" i="4"/>
  <c r="T839" i="4" s="1"/>
  <c r="S839" i="4"/>
  <c r="R838" i="4"/>
  <c r="R837" i="4"/>
  <c r="R836" i="4"/>
  <c r="T836" i="4" s="1"/>
  <c r="S836" i="4"/>
  <c r="R835" i="4"/>
  <c r="T835" i="4" s="1"/>
  <c r="S835" i="4"/>
  <c r="R834" i="4"/>
  <c r="T834" i="4" s="1"/>
  <c r="S834" i="4"/>
  <c r="R833" i="4"/>
  <c r="T833" i="4" s="1"/>
  <c r="S833" i="4"/>
  <c r="R832" i="4"/>
  <c r="T832" i="4" s="1"/>
  <c r="S832" i="4"/>
  <c r="R831" i="4"/>
  <c r="R830" i="4"/>
  <c r="T830" i="4" s="1"/>
  <c r="S830" i="4"/>
  <c r="R829" i="4"/>
  <c r="T829" i="4" s="1"/>
  <c r="S829" i="4"/>
  <c r="R828" i="4"/>
  <c r="R827" i="4"/>
  <c r="R826" i="4"/>
  <c r="T826" i="4" s="1"/>
  <c r="S826" i="4"/>
  <c r="R825" i="4"/>
  <c r="R824" i="4"/>
  <c r="R823" i="4"/>
  <c r="R822" i="4"/>
  <c r="R821" i="4"/>
  <c r="T821" i="4" s="1"/>
  <c r="S821" i="4"/>
  <c r="R820" i="4"/>
  <c r="T820" i="4" s="1"/>
  <c r="S820" i="4"/>
  <c r="R819" i="4"/>
  <c r="T819" i="4" s="1"/>
  <c r="S819" i="4"/>
  <c r="R818" i="4"/>
  <c r="T818" i="4" s="1"/>
  <c r="S818" i="4"/>
  <c r="R817" i="4"/>
  <c r="T817" i="4" s="1"/>
  <c r="S817" i="4"/>
  <c r="R816" i="4"/>
  <c r="R815" i="4"/>
  <c r="R814" i="4"/>
  <c r="R813" i="4"/>
  <c r="T813" i="4" s="1"/>
  <c r="S813" i="4"/>
  <c r="R812" i="4"/>
  <c r="R811" i="4"/>
  <c r="R810" i="4"/>
  <c r="R809" i="4"/>
  <c r="R808" i="4"/>
  <c r="T808" i="4" s="1"/>
  <c r="S808" i="4"/>
  <c r="R807" i="4"/>
  <c r="R806" i="4"/>
  <c r="T806" i="4" s="1"/>
  <c r="S806" i="4"/>
  <c r="R805" i="4"/>
  <c r="T805" i="4" s="1"/>
  <c r="S805" i="4"/>
  <c r="R804" i="4"/>
  <c r="T804" i="4" s="1"/>
  <c r="S804" i="4"/>
  <c r="R803" i="4"/>
  <c r="R802" i="4"/>
  <c r="T802" i="4" s="1"/>
  <c r="S802" i="4"/>
  <c r="R801" i="4"/>
  <c r="T801" i="4" s="1"/>
  <c r="S801" i="4"/>
  <c r="R800" i="4"/>
  <c r="T800" i="4" s="1"/>
  <c r="S800" i="4"/>
  <c r="R799" i="4"/>
  <c r="T799" i="4" s="1"/>
  <c r="S799" i="4"/>
  <c r="R798" i="4"/>
  <c r="R797" i="4"/>
  <c r="R796" i="4"/>
  <c r="R795" i="4"/>
  <c r="R794" i="4"/>
  <c r="R793" i="4"/>
  <c r="R792" i="4"/>
  <c r="R791" i="4"/>
  <c r="T791" i="4" s="1"/>
  <c r="S791" i="4"/>
  <c r="R790" i="4"/>
  <c r="R789" i="4"/>
  <c r="R788" i="4"/>
  <c r="T788" i="4" s="1"/>
  <c r="S788" i="4"/>
  <c r="R787" i="4"/>
  <c r="T787" i="4" s="1"/>
  <c r="S787" i="4"/>
  <c r="R786" i="4"/>
  <c r="T786" i="4" s="1"/>
  <c r="S786" i="4"/>
  <c r="R785" i="4"/>
  <c r="T785" i="4" s="1"/>
  <c r="S785" i="4"/>
  <c r="R784" i="4"/>
  <c r="R783" i="4"/>
  <c r="T783" i="4" s="1"/>
  <c r="S783" i="4"/>
  <c r="R782" i="4"/>
  <c r="T782" i="4" s="1"/>
  <c r="S782" i="4"/>
  <c r="R781" i="4"/>
  <c r="T781" i="4" s="1"/>
  <c r="S781" i="4"/>
  <c r="R780" i="4"/>
  <c r="T780" i="4" s="1"/>
  <c r="S780" i="4"/>
  <c r="R779" i="4"/>
  <c r="R778" i="4"/>
  <c r="R777" i="4"/>
  <c r="T777" i="4" s="1"/>
  <c r="S777" i="4"/>
  <c r="R776" i="4"/>
  <c r="R775" i="4"/>
  <c r="R774" i="4"/>
  <c r="R773" i="4"/>
  <c r="R772" i="4"/>
  <c r="R771" i="4"/>
  <c r="R770" i="4"/>
  <c r="T770" i="4" s="1"/>
  <c r="S770" i="4"/>
  <c r="R769" i="4"/>
  <c r="T769" i="4" s="1"/>
  <c r="S769" i="4"/>
  <c r="R768" i="4"/>
  <c r="T768" i="4" s="1"/>
  <c r="S768" i="4"/>
  <c r="R767" i="4"/>
  <c r="T767" i="4" s="1"/>
  <c r="S767" i="4"/>
  <c r="R766" i="4"/>
  <c r="T766" i="4" s="1"/>
  <c r="S766" i="4"/>
  <c r="R765" i="4"/>
  <c r="T765" i="4" s="1"/>
  <c r="S765" i="4"/>
  <c r="R764" i="4"/>
  <c r="T764" i="4" s="1"/>
  <c r="S764" i="4"/>
  <c r="R763" i="4"/>
  <c r="T763" i="4" s="1"/>
  <c r="S763" i="4"/>
  <c r="R762" i="4"/>
  <c r="T762" i="4" s="1"/>
  <c r="S762" i="4"/>
  <c r="R761" i="4"/>
  <c r="R760" i="4"/>
  <c r="R759" i="4"/>
  <c r="T759" i="4" s="1"/>
  <c r="S759" i="4"/>
  <c r="R758" i="4"/>
  <c r="R757" i="4"/>
  <c r="R756" i="4"/>
  <c r="R755" i="4"/>
  <c r="T755" i="4" s="1"/>
  <c r="S755" i="4"/>
  <c r="R754" i="4"/>
  <c r="R753" i="4"/>
  <c r="R752" i="4"/>
  <c r="R751" i="4"/>
  <c r="R750" i="4"/>
  <c r="R749" i="4"/>
  <c r="R748" i="4"/>
  <c r="R747" i="4"/>
  <c r="R746" i="4"/>
  <c r="R745" i="4"/>
  <c r="T745" i="4" s="1"/>
  <c r="S745" i="4"/>
  <c r="R744" i="4"/>
  <c r="R743" i="4"/>
  <c r="T743" i="4" s="1"/>
  <c r="S743" i="4"/>
  <c r="R742" i="4"/>
  <c r="R741" i="4"/>
  <c r="R740" i="4"/>
  <c r="R739" i="4"/>
  <c r="R738" i="4"/>
  <c r="T738" i="4" s="1"/>
  <c r="S738" i="4"/>
  <c r="R737" i="4"/>
  <c r="R736" i="4"/>
  <c r="R735" i="4"/>
  <c r="R734" i="4"/>
  <c r="R733" i="4"/>
  <c r="R732" i="4"/>
  <c r="R731" i="4"/>
  <c r="T731" i="4" s="1"/>
  <c r="S731" i="4"/>
  <c r="R730" i="4"/>
  <c r="R729" i="4"/>
  <c r="R728" i="4"/>
  <c r="R727" i="4"/>
  <c r="R726" i="4"/>
  <c r="R725" i="4"/>
  <c r="R724" i="4"/>
  <c r="R723" i="4"/>
  <c r="T723" i="4" s="1"/>
  <c r="S723" i="4"/>
  <c r="R722" i="4"/>
  <c r="R721" i="4"/>
  <c r="R720" i="4"/>
  <c r="R719" i="4"/>
  <c r="R718" i="4"/>
  <c r="T718" i="4" s="1"/>
  <c r="S718" i="4"/>
  <c r="R717" i="4"/>
  <c r="R716" i="4"/>
  <c r="R715" i="4"/>
  <c r="T715" i="4" s="1"/>
  <c r="S715" i="4"/>
  <c r="R714" i="4"/>
  <c r="T714" i="4" s="1"/>
  <c r="S714" i="4"/>
  <c r="R713" i="4"/>
  <c r="R712" i="4"/>
  <c r="R711" i="4"/>
  <c r="R710" i="4"/>
  <c r="T710" i="4" s="1"/>
  <c r="S710" i="4"/>
  <c r="R709" i="4"/>
  <c r="R708" i="4"/>
  <c r="R707" i="4"/>
  <c r="R706" i="4"/>
  <c r="R705" i="4"/>
  <c r="R704" i="4"/>
  <c r="R703" i="4"/>
  <c r="T703" i="4" s="1"/>
  <c r="S703" i="4"/>
  <c r="R702" i="4"/>
  <c r="T702" i="4" s="1"/>
  <c r="S702" i="4"/>
  <c r="R701" i="4"/>
  <c r="T701" i="4" s="1"/>
  <c r="S701" i="4"/>
  <c r="R700" i="4"/>
  <c r="T700" i="4" s="1"/>
  <c r="S700" i="4"/>
  <c r="R699" i="4"/>
  <c r="T699" i="4" s="1"/>
  <c r="S699" i="4"/>
  <c r="R698" i="4"/>
  <c r="T698" i="4" s="1"/>
  <c r="S698" i="4"/>
  <c r="R697" i="4"/>
  <c r="R696" i="4"/>
  <c r="T696" i="4" s="1"/>
  <c r="S696" i="4"/>
  <c r="R695" i="4"/>
  <c r="R694" i="4"/>
  <c r="R693" i="4"/>
  <c r="R692" i="4"/>
  <c r="R691" i="4"/>
  <c r="R690" i="4"/>
  <c r="R689" i="4"/>
  <c r="R688" i="4"/>
  <c r="T688" i="4" s="1"/>
  <c r="S688" i="4"/>
  <c r="R687" i="4"/>
  <c r="R686" i="4"/>
  <c r="R685" i="4"/>
  <c r="R684" i="4"/>
  <c r="R683" i="4"/>
  <c r="R682" i="4"/>
  <c r="T682" i="4" s="1"/>
  <c r="S682" i="4"/>
  <c r="R681" i="4"/>
  <c r="R680" i="4"/>
  <c r="R679" i="4"/>
  <c r="R678" i="4"/>
  <c r="T678" i="4" s="1"/>
  <c r="S678" i="4"/>
  <c r="R677" i="4"/>
  <c r="R676" i="4"/>
  <c r="R675" i="4"/>
  <c r="R674" i="4"/>
  <c r="R673" i="4"/>
  <c r="T673" i="4" s="1"/>
  <c r="S673" i="4"/>
  <c r="R672" i="4"/>
  <c r="R671" i="4"/>
  <c r="R670" i="4"/>
  <c r="R669" i="4"/>
  <c r="R668" i="4"/>
  <c r="R667" i="4"/>
  <c r="T667" i="4" s="1"/>
  <c r="S667" i="4"/>
  <c r="R666" i="4"/>
  <c r="T666" i="4" s="1"/>
  <c r="S666" i="4"/>
  <c r="R665" i="4"/>
  <c r="R664" i="4"/>
  <c r="T664" i="4" s="1"/>
  <c r="S664" i="4"/>
  <c r="R663" i="4"/>
  <c r="R662" i="4"/>
  <c r="R661" i="4"/>
  <c r="R660" i="4"/>
  <c r="T660" i="4" s="1"/>
  <c r="S660" i="4"/>
  <c r="R659" i="4"/>
  <c r="R658" i="4"/>
  <c r="T658" i="4" s="1"/>
  <c r="S658" i="4"/>
  <c r="R657" i="4"/>
  <c r="T657" i="4" s="1"/>
  <c r="S657" i="4"/>
  <c r="R656" i="4"/>
  <c r="T656" i="4" s="1"/>
  <c r="S656" i="4"/>
  <c r="R655" i="4"/>
  <c r="R654" i="4"/>
  <c r="T654" i="4" s="1"/>
  <c r="S654" i="4"/>
  <c r="R653" i="4"/>
  <c r="T653" i="4" s="1"/>
  <c r="S653" i="4"/>
  <c r="R652" i="4"/>
  <c r="R651" i="4"/>
  <c r="R650" i="4"/>
  <c r="R649" i="4"/>
  <c r="T649" i="4" s="1"/>
  <c r="S649" i="4"/>
  <c r="R648" i="4"/>
  <c r="R647" i="4"/>
  <c r="T647" i="4" s="1"/>
  <c r="S647" i="4"/>
  <c r="R646" i="4"/>
  <c r="T646" i="4" s="1"/>
  <c r="S646" i="4"/>
  <c r="R645" i="4"/>
  <c r="T645" i="4" s="1"/>
  <c r="S645" i="4"/>
  <c r="R644" i="4"/>
  <c r="R643" i="4"/>
  <c r="R642" i="4"/>
  <c r="R641" i="4"/>
  <c r="R640" i="4"/>
  <c r="T640" i="4" s="1"/>
  <c r="S640" i="4"/>
  <c r="R639" i="4"/>
  <c r="T639" i="4" s="1"/>
  <c r="S639" i="4"/>
  <c r="R638" i="4"/>
  <c r="T638" i="4" s="1"/>
  <c r="S638" i="4"/>
  <c r="R637" i="4"/>
  <c r="T637" i="4" s="1"/>
  <c r="S637" i="4"/>
  <c r="R636" i="4"/>
  <c r="R635" i="4"/>
  <c r="R634" i="4"/>
  <c r="T634" i="4" s="1"/>
  <c r="S634" i="4"/>
  <c r="R633" i="4"/>
  <c r="R632" i="4"/>
  <c r="R631" i="4"/>
  <c r="T631" i="4" s="1"/>
  <c r="S631" i="4"/>
  <c r="R630" i="4"/>
  <c r="R629" i="4"/>
  <c r="R628" i="4"/>
  <c r="R627" i="4"/>
  <c r="R626" i="4"/>
  <c r="T626" i="4" s="1"/>
  <c r="S626" i="4"/>
  <c r="R625" i="4"/>
  <c r="R624" i="4"/>
  <c r="R623" i="4"/>
  <c r="R622" i="4"/>
  <c r="T622" i="4" s="1"/>
  <c r="S622" i="4"/>
  <c r="R621" i="4"/>
  <c r="R620" i="4"/>
  <c r="T620" i="4" s="1"/>
  <c r="S620" i="4"/>
  <c r="R619" i="4"/>
  <c r="R618" i="4"/>
  <c r="T618" i="4" s="1"/>
  <c r="S618" i="4"/>
  <c r="R617" i="4"/>
  <c r="R616" i="4"/>
  <c r="T616" i="4" s="1"/>
  <c r="S616" i="4"/>
  <c r="R615" i="4"/>
  <c r="R614" i="4"/>
  <c r="R613" i="4"/>
  <c r="T613" i="4" s="1"/>
  <c r="S613" i="4"/>
  <c r="R612" i="4"/>
  <c r="T612" i="4" s="1"/>
  <c r="S612" i="4"/>
  <c r="S611" i="4"/>
  <c r="R611" i="4"/>
  <c r="T611" i="4" s="1"/>
  <c r="R610" i="4"/>
  <c r="R609" i="4"/>
  <c r="R608" i="4"/>
  <c r="R607" i="4"/>
  <c r="R606" i="4"/>
  <c r="R605" i="4"/>
  <c r="T605" i="4" s="1"/>
  <c r="S605" i="4"/>
  <c r="R604" i="4"/>
  <c r="R603" i="4"/>
  <c r="R602" i="4"/>
  <c r="T602" i="4" s="1"/>
  <c r="S602" i="4"/>
  <c r="R601" i="4"/>
  <c r="R600" i="4"/>
  <c r="R599" i="4"/>
  <c r="R598" i="4"/>
  <c r="T598" i="4" s="1"/>
  <c r="S598" i="4"/>
  <c r="R597" i="4"/>
  <c r="R596" i="4"/>
  <c r="R595" i="4"/>
  <c r="T595" i="4" s="1"/>
  <c r="S595" i="4"/>
  <c r="R594" i="4"/>
  <c r="R593" i="4"/>
  <c r="R592" i="4"/>
  <c r="R591" i="4"/>
  <c r="R590" i="4"/>
  <c r="R589" i="4"/>
  <c r="R588" i="4"/>
  <c r="R587" i="4"/>
  <c r="T587" i="4" s="1"/>
  <c r="S587" i="4"/>
  <c r="S586" i="4"/>
  <c r="T586" i="4"/>
  <c r="R585" i="4"/>
  <c r="T585" i="4" s="1"/>
  <c r="S585" i="4"/>
  <c r="R584" i="4"/>
  <c r="T584" i="4" s="1"/>
  <c r="S584" i="4"/>
  <c r="R583" i="4"/>
  <c r="T583" i="4" s="1"/>
  <c r="S583" i="4"/>
  <c r="R582" i="4"/>
  <c r="R581" i="4"/>
  <c r="T581" i="4" s="1"/>
  <c r="S581" i="4"/>
  <c r="R580" i="4"/>
  <c r="T580" i="4" s="1"/>
  <c r="S580" i="4"/>
  <c r="R579" i="4"/>
  <c r="R578" i="4"/>
  <c r="R577" i="4"/>
  <c r="T577" i="4" s="1"/>
  <c r="S577" i="4"/>
  <c r="R576" i="4"/>
  <c r="T576" i="4" s="1"/>
  <c r="S576" i="4"/>
  <c r="R575" i="4"/>
  <c r="T575" i="4" s="1"/>
  <c r="S575" i="4"/>
  <c r="R574" i="4"/>
  <c r="T574" i="4" s="1"/>
  <c r="S574" i="4"/>
  <c r="R573" i="4"/>
  <c r="T573" i="4" s="1"/>
  <c r="S573" i="4"/>
  <c r="R572" i="4"/>
  <c r="R571" i="4"/>
  <c r="R570" i="4"/>
  <c r="T570" i="4" s="1"/>
  <c r="S570" i="4"/>
  <c r="R569" i="4"/>
  <c r="R568" i="4"/>
  <c r="R567" i="4"/>
  <c r="T567" i="4" s="1"/>
  <c r="S567" i="4"/>
  <c r="R566" i="4"/>
  <c r="R565" i="4"/>
  <c r="R564" i="4"/>
  <c r="R563" i="4"/>
  <c r="T563" i="4" s="1"/>
  <c r="S563" i="4"/>
  <c r="R562" i="4"/>
  <c r="T562" i="4" s="1"/>
  <c r="S562" i="4"/>
  <c r="R561" i="4"/>
  <c r="T561" i="4" s="1"/>
  <c r="S561" i="4"/>
  <c r="R560" i="4"/>
  <c r="T560" i="4" s="1"/>
  <c r="S560" i="4"/>
  <c r="R559" i="4"/>
  <c r="R558" i="4"/>
  <c r="R557" i="4"/>
  <c r="T557" i="4" s="1"/>
  <c r="S557" i="4"/>
  <c r="R556" i="4"/>
  <c r="R555" i="4"/>
  <c r="T555" i="4" s="1"/>
  <c r="S555" i="4"/>
  <c r="R554" i="4"/>
  <c r="T554" i="4" s="1"/>
  <c r="S554" i="4"/>
  <c r="R553" i="4"/>
  <c r="R552" i="4"/>
  <c r="R551" i="4"/>
  <c r="T551" i="4" s="1"/>
  <c r="S551" i="4"/>
  <c r="R550" i="4"/>
  <c r="T550" i="4" s="1"/>
  <c r="S550" i="4"/>
  <c r="R549" i="4"/>
  <c r="T549" i="4" s="1"/>
  <c r="S549" i="4"/>
  <c r="R548" i="4"/>
  <c r="R547" i="4"/>
  <c r="T547" i="4" s="1"/>
  <c r="S547" i="4"/>
  <c r="R546" i="4"/>
  <c r="R545" i="4"/>
  <c r="T545" i="4" s="1"/>
  <c r="S545" i="4"/>
  <c r="R544" i="4"/>
  <c r="T544" i="4" s="1"/>
  <c r="S544" i="4"/>
  <c r="R543" i="4"/>
  <c r="R541" i="4"/>
  <c r="T541" i="4" s="1"/>
  <c r="S541" i="4"/>
  <c r="R540" i="4"/>
  <c r="T540" i="4" s="1"/>
  <c r="S540" i="4"/>
  <c r="R539" i="4"/>
  <c r="R538" i="4"/>
  <c r="T538" i="4" s="1"/>
  <c r="S538" i="4"/>
  <c r="R537" i="4"/>
  <c r="T537" i="4" s="1"/>
  <c r="S537" i="4"/>
  <c r="R536" i="4"/>
  <c r="R535" i="4"/>
  <c r="T535" i="4" s="1"/>
  <c r="S535" i="4"/>
  <c r="R534" i="4"/>
  <c r="R533" i="4"/>
  <c r="R532" i="4"/>
  <c r="R531" i="4"/>
  <c r="R530" i="4"/>
  <c r="R529" i="4"/>
  <c r="R528" i="4"/>
  <c r="T528" i="4" s="1"/>
  <c r="S528" i="4"/>
  <c r="R527" i="4"/>
  <c r="R526" i="4"/>
  <c r="R525" i="4"/>
  <c r="T525" i="4" s="1"/>
  <c r="S525" i="4"/>
  <c r="R524" i="4"/>
  <c r="T524" i="4" s="1"/>
  <c r="S524" i="4"/>
  <c r="R523" i="4"/>
  <c r="T523" i="4" s="1"/>
  <c r="S523" i="4"/>
  <c r="R522" i="4"/>
  <c r="R521" i="4"/>
  <c r="R520" i="4"/>
  <c r="R519" i="4"/>
  <c r="R518" i="4"/>
  <c r="R517" i="4"/>
  <c r="R516" i="4"/>
  <c r="T516" i="4" s="1"/>
  <c r="S516" i="4"/>
  <c r="R515" i="4"/>
  <c r="R514" i="4"/>
  <c r="T514" i="4" s="1"/>
  <c r="S514" i="4"/>
  <c r="R513" i="4"/>
  <c r="T513" i="4" s="1"/>
  <c r="S513" i="4"/>
  <c r="R512" i="4"/>
  <c r="T512" i="4" s="1"/>
  <c r="S512" i="4"/>
  <c r="R511" i="4"/>
  <c r="T511" i="4" s="1"/>
  <c r="S511" i="4"/>
  <c r="R510" i="4"/>
  <c r="T510" i="4" s="1"/>
  <c r="S510" i="4"/>
  <c r="R509" i="4"/>
  <c r="R508" i="4"/>
  <c r="R507" i="4"/>
  <c r="R506" i="4"/>
  <c r="R505" i="4"/>
  <c r="R504" i="4"/>
  <c r="T504" i="4" s="1"/>
  <c r="S504" i="4"/>
  <c r="R503" i="4"/>
  <c r="T503" i="4" s="1"/>
  <c r="S503" i="4"/>
  <c r="R502" i="4"/>
  <c r="R501" i="4"/>
  <c r="R500" i="4"/>
  <c r="T500" i="4" s="1"/>
  <c r="S500" i="4"/>
  <c r="R499" i="4"/>
  <c r="T499" i="4" s="1"/>
  <c r="S499" i="4"/>
  <c r="R498" i="4"/>
  <c r="T498" i="4" s="1"/>
  <c r="S498" i="4"/>
  <c r="R497" i="4"/>
  <c r="T497" i="4" s="1"/>
  <c r="S497" i="4"/>
  <c r="R496" i="4"/>
  <c r="T496" i="4" s="1"/>
  <c r="S496" i="4"/>
  <c r="R495" i="4"/>
  <c r="T495" i="4" s="1"/>
  <c r="S495" i="4"/>
  <c r="R494" i="4"/>
  <c r="T494" i="4" s="1"/>
  <c r="S494" i="4"/>
  <c r="R493" i="4"/>
  <c r="R492" i="4"/>
  <c r="R491" i="4"/>
  <c r="R490" i="4"/>
  <c r="R489" i="4"/>
  <c r="R488" i="4"/>
  <c r="R487" i="4"/>
  <c r="R486" i="4"/>
  <c r="T486" i="4" s="1"/>
  <c r="S486" i="4"/>
  <c r="R485" i="4"/>
  <c r="T485" i="4" s="1"/>
  <c r="S485" i="4"/>
  <c r="R484" i="4"/>
  <c r="T484" i="4" s="1"/>
  <c r="S484" i="4"/>
  <c r="R483" i="4"/>
  <c r="T483" i="4" s="1"/>
  <c r="S483" i="4"/>
  <c r="R482" i="4"/>
  <c r="T482" i="4" s="1"/>
  <c r="S482" i="4"/>
  <c r="R481" i="4"/>
  <c r="T481" i="4" s="1"/>
  <c r="S481" i="4"/>
  <c r="R480" i="4"/>
  <c r="T480" i="4" s="1"/>
  <c r="S480" i="4"/>
  <c r="R479" i="4"/>
  <c r="T479" i="4" s="1"/>
  <c r="S479" i="4"/>
  <c r="R478" i="4"/>
  <c r="T478" i="4" s="1"/>
  <c r="S478" i="4"/>
  <c r="R477" i="4"/>
  <c r="T477" i="4" s="1"/>
  <c r="S477" i="4"/>
  <c r="R476" i="4"/>
  <c r="T476" i="4" s="1"/>
  <c r="S476" i="4"/>
  <c r="R475" i="4"/>
  <c r="T475" i="4" s="1"/>
  <c r="S475" i="4"/>
  <c r="R474" i="4"/>
  <c r="T474" i="4" s="1"/>
  <c r="S474" i="4"/>
  <c r="R473" i="4"/>
  <c r="R472" i="4"/>
  <c r="R471" i="4"/>
  <c r="R470" i="4"/>
  <c r="R469" i="4"/>
  <c r="R468" i="4"/>
  <c r="T468" i="4" s="1"/>
  <c r="S468" i="4"/>
  <c r="R467" i="4"/>
  <c r="R466" i="4"/>
  <c r="T466" i="4" s="1"/>
  <c r="S466" i="4"/>
  <c r="R465" i="4"/>
  <c r="T465" i="4" s="1"/>
  <c r="S465" i="4"/>
  <c r="R464" i="4"/>
  <c r="R463" i="4"/>
  <c r="R462" i="4"/>
  <c r="R461" i="4"/>
  <c r="T461" i="4" s="1"/>
  <c r="S461" i="4"/>
  <c r="R460" i="4"/>
  <c r="R459" i="4"/>
  <c r="R458" i="4"/>
  <c r="R457" i="4"/>
  <c r="R456" i="4"/>
  <c r="R455" i="4"/>
  <c r="T455" i="4" s="1"/>
  <c r="S455" i="4"/>
  <c r="R454" i="4"/>
  <c r="T454" i="4" s="1"/>
  <c r="S454" i="4"/>
  <c r="R453" i="4"/>
  <c r="R452" i="4"/>
  <c r="R451" i="4"/>
  <c r="R450" i="4"/>
  <c r="R449" i="4"/>
  <c r="T449" i="4" s="1"/>
  <c r="S449" i="4"/>
  <c r="R448" i="4"/>
  <c r="R447" i="4"/>
  <c r="R446" i="4"/>
  <c r="R445" i="4"/>
  <c r="R444" i="4"/>
  <c r="T444" i="4" s="1"/>
  <c r="S444" i="4"/>
  <c r="R443" i="4"/>
  <c r="R442" i="4"/>
  <c r="R441" i="4"/>
  <c r="R440" i="4"/>
  <c r="R439" i="4"/>
  <c r="R438" i="4"/>
  <c r="R437" i="4"/>
  <c r="T437" i="4" s="1"/>
  <c r="S437" i="4"/>
  <c r="R436" i="4"/>
  <c r="R435" i="4"/>
  <c r="R434" i="4"/>
  <c r="T434" i="4" s="1"/>
  <c r="S434" i="4"/>
  <c r="R433" i="4"/>
  <c r="T433" i="4" s="1"/>
  <c r="S433" i="4"/>
  <c r="R432" i="4"/>
  <c r="T432" i="4" s="1"/>
  <c r="S432" i="4"/>
  <c r="R431" i="4"/>
  <c r="T431" i="4" s="1"/>
  <c r="S431" i="4"/>
  <c r="R430" i="4"/>
  <c r="T430" i="4" s="1"/>
  <c r="S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T417" i="4" s="1"/>
  <c r="S417" i="4"/>
  <c r="R416" i="4"/>
  <c r="R415" i="4"/>
  <c r="R414" i="4"/>
  <c r="R413" i="4"/>
  <c r="R412" i="4"/>
  <c r="R411" i="4"/>
  <c r="R410" i="4"/>
  <c r="T410" i="4" s="1"/>
  <c r="S410" i="4"/>
  <c r="R409" i="4"/>
  <c r="R408" i="4"/>
  <c r="R407" i="4"/>
  <c r="R406" i="4"/>
  <c r="R405" i="4"/>
  <c r="R404" i="4"/>
  <c r="R403" i="4"/>
  <c r="T403" i="4" s="1"/>
  <c r="S403" i="4"/>
  <c r="R402" i="4"/>
  <c r="T402" i="4" s="1"/>
  <c r="S402" i="4"/>
  <c r="R401" i="4"/>
  <c r="T401" i="4" s="1"/>
  <c r="S401" i="4"/>
  <c r="R400" i="4"/>
  <c r="T400" i="4" s="1"/>
  <c r="S400" i="4"/>
  <c r="R399" i="4"/>
  <c r="T399" i="4" s="1"/>
  <c r="S399" i="4"/>
  <c r="R398" i="4"/>
  <c r="T398" i="4" s="1"/>
  <c r="S398" i="4"/>
  <c r="R397" i="4"/>
  <c r="R396" i="4"/>
  <c r="R395" i="4"/>
  <c r="R394" i="4"/>
  <c r="R393" i="4"/>
  <c r="R392" i="4"/>
  <c r="R391" i="4"/>
  <c r="T391" i="4" s="1"/>
  <c r="S391" i="4"/>
  <c r="R390" i="4"/>
  <c r="R389" i="4"/>
  <c r="R388" i="4"/>
  <c r="R387" i="4"/>
  <c r="R386" i="4"/>
  <c r="R385" i="4"/>
  <c r="R384" i="4"/>
  <c r="R383" i="4"/>
  <c r="R382" i="4"/>
  <c r="R381" i="4"/>
  <c r="T381" i="4" s="1"/>
  <c r="S381" i="4"/>
  <c r="R380" i="4"/>
  <c r="R379" i="4"/>
  <c r="R378" i="4"/>
  <c r="R377" i="4"/>
  <c r="T377" i="4" s="1"/>
  <c r="S377" i="4"/>
  <c r="R376" i="4"/>
  <c r="R375" i="4"/>
  <c r="R374" i="4"/>
  <c r="T374" i="4" s="1"/>
  <c r="S374" i="4"/>
  <c r="R373" i="4"/>
  <c r="R372" i="4"/>
  <c r="R371" i="4"/>
  <c r="R370" i="4"/>
  <c r="R369" i="4"/>
  <c r="R368" i="4"/>
  <c r="T368" i="4" s="1"/>
  <c r="S368" i="4"/>
  <c r="R367" i="4"/>
  <c r="R366" i="4"/>
  <c r="R365" i="4"/>
  <c r="R364" i="4"/>
  <c r="T364" i="4" s="1"/>
  <c r="S364" i="4"/>
  <c r="R363" i="4"/>
  <c r="T363" i="4" s="1"/>
  <c r="S363" i="4"/>
  <c r="R362" i="4"/>
  <c r="T362" i="4" s="1"/>
  <c r="S362" i="4"/>
  <c r="R361" i="4"/>
  <c r="R360" i="4"/>
  <c r="R359" i="4"/>
  <c r="R358" i="4"/>
  <c r="R357" i="4"/>
  <c r="R356" i="4"/>
  <c r="R355" i="4"/>
  <c r="R354" i="4"/>
  <c r="T354" i="4" s="1"/>
  <c r="S354" i="4"/>
  <c r="R353" i="4"/>
  <c r="T353" i="4" s="1"/>
  <c r="S353" i="4"/>
  <c r="R352" i="4"/>
  <c r="R351" i="4"/>
  <c r="R350" i="4"/>
  <c r="T350" i="4" s="1"/>
  <c r="S350" i="4"/>
  <c r="R349" i="4"/>
  <c r="T349" i="4" s="1"/>
  <c r="S349" i="4"/>
  <c r="R348" i="4"/>
  <c r="R347" i="4"/>
  <c r="T347" i="4" s="1"/>
  <c r="S347" i="4"/>
  <c r="R346" i="4"/>
  <c r="R345" i="4"/>
  <c r="R344" i="4"/>
  <c r="R343" i="4"/>
  <c r="R342" i="4"/>
  <c r="T342" i="4" s="1"/>
  <c r="S342" i="4"/>
  <c r="R341" i="4"/>
  <c r="T341" i="4" s="1"/>
  <c r="S341" i="4"/>
  <c r="R340" i="4"/>
  <c r="T340" i="4" s="1"/>
  <c r="S340" i="4"/>
  <c r="R339" i="4"/>
  <c r="R338" i="4"/>
  <c r="R337" i="4"/>
  <c r="R336" i="4"/>
  <c r="T336" i="4" s="1"/>
  <c r="S336" i="4"/>
  <c r="R335" i="4"/>
  <c r="R334" i="4"/>
  <c r="T334" i="4" s="1"/>
  <c r="S334" i="4"/>
  <c r="R333" i="4"/>
  <c r="T333" i="4" s="1"/>
  <c r="S333" i="4"/>
  <c r="R332" i="4"/>
  <c r="T332" i="4" s="1"/>
  <c r="S332" i="4"/>
  <c r="R331" i="4"/>
  <c r="T331" i="4" s="1"/>
  <c r="S331" i="4"/>
  <c r="R330" i="4"/>
  <c r="T330" i="4" s="1"/>
  <c r="S330" i="4"/>
  <c r="R329" i="4"/>
  <c r="T329" i="4" s="1"/>
  <c r="S329" i="4"/>
  <c r="R328" i="4"/>
  <c r="R327" i="4"/>
  <c r="T327" i="4" s="1"/>
  <c r="S327" i="4"/>
  <c r="R326" i="4"/>
  <c r="R325" i="4"/>
  <c r="T325" i="4" s="1"/>
  <c r="S325" i="4"/>
  <c r="R324" i="4"/>
  <c r="R323" i="4"/>
  <c r="T323" i="4" s="1"/>
  <c r="S323" i="4"/>
  <c r="R322" i="4"/>
  <c r="T322" i="4" s="1"/>
  <c r="S322" i="4"/>
  <c r="R321" i="4"/>
  <c r="R320" i="4"/>
  <c r="T320" i="4" s="1"/>
  <c r="S320" i="4"/>
  <c r="R319" i="4"/>
  <c r="T319" i="4" s="1"/>
  <c r="S319" i="4"/>
  <c r="R318" i="4"/>
  <c r="R317" i="4"/>
  <c r="T317" i="4" s="1"/>
  <c r="S317" i="4"/>
  <c r="R316" i="4"/>
  <c r="T316" i="4" s="1"/>
  <c r="S316" i="4"/>
  <c r="R315" i="4"/>
  <c r="T315" i="4" s="1"/>
  <c r="S315" i="4"/>
  <c r="R314" i="4"/>
  <c r="T314" i="4" s="1"/>
  <c r="S314" i="4"/>
  <c r="R313" i="4"/>
  <c r="R312" i="4"/>
  <c r="T312" i="4" s="1"/>
  <c r="S312" i="4"/>
  <c r="R311" i="4"/>
  <c r="R310" i="4"/>
  <c r="T310" i="4" s="1"/>
  <c r="S310" i="4"/>
  <c r="R309" i="4"/>
  <c r="R308" i="4"/>
  <c r="T308" i="4" s="1"/>
  <c r="S308" i="4"/>
  <c r="R307" i="4"/>
  <c r="R306" i="4"/>
  <c r="R305" i="4"/>
  <c r="T305" i="4" s="1"/>
  <c r="S305" i="4"/>
  <c r="R304" i="4"/>
  <c r="R303" i="4"/>
  <c r="R302" i="4"/>
  <c r="T302" i="4" s="1"/>
  <c r="S302" i="4"/>
  <c r="R301" i="4"/>
  <c r="T301" i="4" s="1"/>
  <c r="S301" i="4"/>
  <c r="R300" i="4"/>
  <c r="R299" i="4"/>
  <c r="T299" i="4" s="1"/>
  <c r="S299" i="4"/>
  <c r="R298" i="4"/>
  <c r="R297" i="4"/>
  <c r="R296" i="4"/>
  <c r="R295" i="4"/>
  <c r="R294" i="4"/>
  <c r="R293" i="4"/>
  <c r="T293" i="4" s="1"/>
  <c r="S293" i="4"/>
  <c r="R292" i="4"/>
  <c r="R291" i="4"/>
  <c r="T291" i="4" s="1"/>
  <c r="S291" i="4"/>
  <c r="R290" i="4"/>
  <c r="R289" i="4"/>
  <c r="R288" i="4"/>
  <c r="R287" i="4"/>
  <c r="T287" i="4" s="1"/>
  <c r="S287" i="4"/>
  <c r="R286" i="4"/>
  <c r="T286" i="4" s="1"/>
  <c r="S286" i="4"/>
  <c r="R285" i="4"/>
  <c r="R284" i="4"/>
  <c r="T284" i="4" s="1"/>
  <c r="S284" i="4"/>
  <c r="R283" i="4"/>
  <c r="T283" i="4" s="1"/>
  <c r="S283" i="4"/>
  <c r="R282" i="4"/>
  <c r="T282" i="4" s="1"/>
  <c r="S282" i="4"/>
  <c r="R281" i="4"/>
  <c r="R280" i="4"/>
  <c r="T280" i="4" s="1"/>
  <c r="S280" i="4"/>
  <c r="R279" i="4"/>
  <c r="R278" i="4"/>
  <c r="R277" i="4"/>
  <c r="T277" i="4" s="1"/>
  <c r="S277" i="4"/>
  <c r="R276" i="4"/>
  <c r="T276" i="4" s="1"/>
  <c r="S276" i="4"/>
  <c r="R275" i="4"/>
  <c r="T275" i="4" s="1"/>
  <c r="S275" i="4"/>
  <c r="R274" i="4"/>
  <c r="R273" i="4"/>
  <c r="R272" i="4"/>
  <c r="T272" i="4" s="1"/>
  <c r="S272" i="4"/>
  <c r="R271" i="4"/>
  <c r="R270" i="4"/>
  <c r="T270" i="4" s="1"/>
  <c r="S270" i="4"/>
  <c r="R269" i="4"/>
  <c r="T269" i="4" s="1"/>
  <c r="S269" i="4"/>
  <c r="R268" i="4"/>
  <c r="T268" i="4" s="1"/>
  <c r="S268" i="4"/>
  <c r="R267" i="4"/>
  <c r="R266" i="4"/>
  <c r="R265" i="4"/>
  <c r="R264" i="4"/>
  <c r="T264" i="4" s="1"/>
  <c r="S264" i="4"/>
  <c r="R263" i="4"/>
  <c r="R262" i="4"/>
  <c r="R261" i="4"/>
  <c r="T261" i="4" s="1"/>
  <c r="S261" i="4"/>
  <c r="R260" i="4"/>
  <c r="T260" i="4" s="1"/>
  <c r="S260" i="4"/>
  <c r="R259" i="4"/>
  <c r="T259" i="4" s="1"/>
  <c r="S259" i="4"/>
  <c r="R258" i="4"/>
  <c r="T258" i="4" s="1"/>
  <c r="S258" i="4"/>
  <c r="R257" i="4"/>
  <c r="T257" i="4" s="1"/>
  <c r="S257" i="4"/>
  <c r="R256" i="4"/>
  <c r="R255" i="4"/>
  <c r="T255" i="4" s="1"/>
  <c r="S255" i="4"/>
  <c r="R254" i="4"/>
  <c r="T254" i="4" s="1"/>
  <c r="S254" i="4"/>
  <c r="R253" i="4"/>
  <c r="T253" i="4" s="1"/>
  <c r="S253" i="4"/>
  <c r="R252" i="4"/>
  <c r="R251" i="4"/>
  <c r="R250" i="4"/>
  <c r="T250" i="4" s="1"/>
  <c r="S250" i="4"/>
  <c r="R249" i="4"/>
  <c r="R248" i="4"/>
  <c r="R247" i="4"/>
  <c r="R246" i="4"/>
  <c r="R245" i="4"/>
  <c r="T245" i="4" s="1"/>
  <c r="S245" i="4"/>
  <c r="R244" i="4"/>
  <c r="R243" i="4"/>
  <c r="R242" i="4"/>
  <c r="R241" i="4"/>
  <c r="T241" i="4" s="1"/>
  <c r="S241" i="4"/>
  <c r="R240" i="4"/>
  <c r="R239" i="4"/>
  <c r="T239" i="4" s="1"/>
  <c r="S239" i="4"/>
  <c r="R238" i="4"/>
  <c r="T238" i="4" s="1"/>
  <c r="S238" i="4"/>
  <c r="R237" i="4"/>
  <c r="R236" i="4"/>
  <c r="T236" i="4" s="1"/>
  <c r="S236" i="4"/>
  <c r="R235" i="4"/>
  <c r="T235" i="4" s="1"/>
  <c r="S235" i="4"/>
  <c r="R234" i="4"/>
  <c r="T234" i="4" s="1"/>
  <c r="S234" i="4"/>
  <c r="R233" i="4"/>
  <c r="R232" i="4"/>
  <c r="T232" i="4" s="1"/>
  <c r="S232" i="4"/>
  <c r="R231" i="4"/>
  <c r="R230" i="4"/>
  <c r="T230" i="4" s="1"/>
  <c r="S230" i="4"/>
  <c r="R229" i="4"/>
  <c r="R228" i="4"/>
  <c r="T228" i="4" s="1"/>
  <c r="S228" i="4"/>
  <c r="R227" i="4"/>
  <c r="T227" i="4" s="1"/>
  <c r="S227" i="4"/>
  <c r="R226" i="4"/>
  <c r="T226" i="4" s="1"/>
  <c r="S226" i="4"/>
  <c r="R225" i="4"/>
  <c r="T225" i="4" s="1"/>
  <c r="S225" i="4"/>
  <c r="R224" i="4"/>
  <c r="R223" i="4"/>
  <c r="R222" i="4"/>
  <c r="T222" i="4" s="1"/>
  <c r="S222" i="4"/>
  <c r="R221" i="4"/>
  <c r="T221" i="4" s="1"/>
  <c r="S221" i="4"/>
  <c r="R220" i="4"/>
  <c r="T220" i="4" s="1"/>
  <c r="S220" i="4"/>
  <c r="R219" i="4"/>
  <c r="T219" i="4" s="1"/>
  <c r="S219" i="4"/>
  <c r="R218" i="4"/>
  <c r="T218" i="4" s="1"/>
  <c r="S218" i="4"/>
  <c r="R217" i="4"/>
  <c r="R216" i="4"/>
  <c r="T216" i="4" s="1"/>
  <c r="S216" i="4"/>
  <c r="R215" i="4"/>
  <c r="R214" i="4"/>
  <c r="R213" i="4"/>
  <c r="T213" i="4" s="1"/>
  <c r="S213" i="4"/>
  <c r="R212" i="4"/>
  <c r="T212" i="4" s="1"/>
  <c r="S212" i="4"/>
  <c r="R211" i="4"/>
  <c r="T211" i="4" s="1"/>
  <c r="S211" i="4"/>
  <c r="R210" i="4"/>
  <c r="T210" i="4" s="1"/>
  <c r="S210" i="4"/>
  <c r="R209" i="4"/>
  <c r="T209" i="4" s="1"/>
  <c r="S209" i="4"/>
  <c r="R208" i="4"/>
  <c r="T208" i="4" s="1"/>
  <c r="S208" i="4"/>
  <c r="R207" i="4"/>
  <c r="T207" i="4" s="1"/>
  <c r="S207" i="4"/>
  <c r="R206" i="4"/>
  <c r="T206" i="4" s="1"/>
  <c r="S206" i="4"/>
  <c r="R205" i="4"/>
  <c r="T205" i="4" s="1"/>
  <c r="S205" i="4"/>
  <c r="R204" i="4"/>
  <c r="T204" i="4" s="1"/>
  <c r="S204" i="4"/>
  <c r="S203" i="4"/>
  <c r="T203" i="4"/>
  <c r="R202" i="4"/>
  <c r="R201" i="4"/>
  <c r="T201" i="4" s="1"/>
  <c r="S201" i="4"/>
  <c r="R200" i="4"/>
  <c r="T200" i="4" s="1"/>
  <c r="S200" i="4"/>
  <c r="R199" i="4"/>
  <c r="T199" i="4" s="1"/>
  <c r="S199" i="4"/>
  <c r="R198" i="4"/>
  <c r="R197" i="4"/>
  <c r="T197" i="4" s="1"/>
  <c r="S197" i="4"/>
  <c r="R196" i="4"/>
  <c r="R195" i="4"/>
  <c r="T195" i="4" s="1"/>
  <c r="S195" i="4"/>
  <c r="R194" i="4"/>
  <c r="R193" i="4"/>
  <c r="R192" i="4"/>
  <c r="R191" i="4"/>
  <c r="R190" i="4"/>
  <c r="T190" i="4" s="1"/>
  <c r="S190" i="4"/>
  <c r="R189" i="4"/>
  <c r="T189" i="4" s="1"/>
  <c r="S189" i="4"/>
  <c r="R188" i="4"/>
  <c r="T188" i="4" s="1"/>
  <c r="S188" i="4"/>
  <c r="R187" i="4"/>
  <c r="R186" i="4"/>
  <c r="R185" i="4"/>
  <c r="R184" i="4"/>
  <c r="R183" i="4"/>
  <c r="T183" i="4" s="1"/>
  <c r="S183" i="4"/>
  <c r="R182" i="4"/>
  <c r="R181" i="4"/>
  <c r="R180" i="4"/>
  <c r="R179" i="4"/>
  <c r="R178" i="4"/>
  <c r="R177" i="4"/>
  <c r="R176" i="4"/>
  <c r="T176" i="4" s="1"/>
  <c r="S176" i="4"/>
  <c r="R175" i="4"/>
  <c r="R174" i="4"/>
  <c r="R173" i="4"/>
  <c r="R172" i="4"/>
  <c r="R171" i="4"/>
  <c r="R170" i="4"/>
  <c r="R169" i="4"/>
  <c r="R168" i="4"/>
  <c r="T168" i="4" s="1"/>
  <c r="S168" i="4"/>
  <c r="R167" i="4"/>
  <c r="R166" i="4"/>
  <c r="R165" i="4"/>
  <c r="R164" i="4"/>
  <c r="R163" i="4"/>
  <c r="R162" i="4"/>
  <c r="R161" i="4"/>
  <c r="R160" i="4"/>
  <c r="T160" i="4" s="1"/>
  <c r="S160" i="4"/>
  <c r="R159" i="4"/>
  <c r="T159" i="4" s="1"/>
  <c r="S159" i="4"/>
  <c r="R158" i="4"/>
  <c r="T158" i="4" s="1"/>
  <c r="S158" i="4"/>
  <c r="R157" i="4"/>
  <c r="T157" i="4" s="1"/>
  <c r="S157" i="4"/>
  <c r="R156" i="4"/>
  <c r="T156" i="4" s="1"/>
  <c r="S156" i="4"/>
  <c r="R155" i="4"/>
  <c r="R154" i="4"/>
  <c r="R153" i="4"/>
  <c r="T153" i="4" s="1"/>
  <c r="S153" i="4"/>
  <c r="R152" i="4"/>
  <c r="T152" i="4" s="1"/>
  <c r="S152" i="4"/>
  <c r="R151" i="4"/>
  <c r="R150" i="4"/>
  <c r="R149" i="4"/>
  <c r="R148" i="4"/>
  <c r="T148" i="4" s="1"/>
  <c r="S148" i="4"/>
  <c r="R147" i="4"/>
  <c r="R146" i="4"/>
  <c r="R145" i="4"/>
  <c r="R144" i="4"/>
  <c r="T144" i="4" s="1"/>
  <c r="S144" i="4"/>
  <c r="R143" i="4"/>
  <c r="R142" i="4"/>
  <c r="T142" i="4" s="1"/>
  <c r="S142" i="4"/>
  <c r="R141" i="4"/>
  <c r="T141" i="4" s="1"/>
  <c r="S141" i="4"/>
  <c r="R140" i="4"/>
  <c r="T140" i="4" s="1"/>
  <c r="S140" i="4"/>
  <c r="R139" i="4"/>
  <c r="T139" i="4" s="1"/>
  <c r="S139" i="4"/>
  <c r="R138" i="4"/>
  <c r="T138" i="4" s="1"/>
  <c r="S138" i="4"/>
  <c r="R137" i="4"/>
  <c r="R136" i="4"/>
  <c r="R135" i="4"/>
  <c r="T135" i="4" s="1"/>
  <c r="S135" i="4"/>
  <c r="R134" i="4"/>
  <c r="T134" i="4" s="1"/>
  <c r="S134" i="4"/>
  <c r="R133" i="4"/>
  <c r="T133" i="4" s="1"/>
  <c r="S133" i="4"/>
  <c r="R132" i="4"/>
  <c r="T132" i="4" s="1"/>
  <c r="S132" i="4"/>
  <c r="R131" i="4"/>
  <c r="T131" i="4" s="1"/>
  <c r="S131" i="4"/>
  <c r="R130" i="4"/>
  <c r="T130" i="4" s="1"/>
  <c r="S130" i="4"/>
  <c r="R129" i="4"/>
  <c r="R128" i="4"/>
  <c r="R127" i="4"/>
  <c r="T127" i="4" s="1"/>
  <c r="S127" i="4"/>
  <c r="R126" i="4"/>
  <c r="T126" i="4" s="1"/>
  <c r="S126" i="4"/>
  <c r="R125" i="4"/>
  <c r="R124" i="4"/>
  <c r="R123" i="4"/>
  <c r="R122" i="4"/>
  <c r="T122" i="4" s="1"/>
  <c r="S122" i="4"/>
  <c r="R121" i="4"/>
  <c r="R120" i="4"/>
  <c r="R119" i="4"/>
  <c r="R118" i="4"/>
  <c r="R117" i="4"/>
  <c r="R116" i="4"/>
  <c r="R115" i="4"/>
  <c r="T115" i="4" s="1"/>
  <c r="S115" i="4"/>
  <c r="R114" i="4"/>
  <c r="T114" i="4" s="1"/>
  <c r="S114" i="4"/>
  <c r="R113" i="4"/>
  <c r="T113" i="4" s="1"/>
  <c r="S113" i="4"/>
  <c r="R112" i="4"/>
  <c r="T112" i="4" s="1"/>
  <c r="S112" i="4"/>
  <c r="R111" i="4"/>
  <c r="T111" i="4" s="1"/>
  <c r="S111" i="4"/>
  <c r="R110" i="4"/>
  <c r="T110" i="4" s="1"/>
  <c r="S110" i="4"/>
  <c r="R109" i="4"/>
  <c r="R108" i="4"/>
  <c r="R107" i="4"/>
  <c r="R106" i="4"/>
  <c r="T106" i="4" s="1"/>
  <c r="S106" i="4"/>
  <c r="R105" i="4"/>
  <c r="T105" i="4" s="1"/>
  <c r="S105" i="4"/>
  <c r="R104" i="4"/>
  <c r="T104" i="4" s="1"/>
  <c r="S104" i="4"/>
  <c r="R103" i="4"/>
  <c r="R102" i="4"/>
  <c r="T102" i="4" s="1"/>
  <c r="S102" i="4"/>
  <c r="R101" i="4"/>
  <c r="T101" i="4" s="1"/>
  <c r="S101" i="4"/>
  <c r="R100" i="4"/>
  <c r="T100" i="4" s="1"/>
  <c r="S100" i="4"/>
  <c r="R99" i="4"/>
  <c r="T99" i="4" s="1"/>
  <c r="S99" i="4"/>
  <c r="R98" i="4"/>
  <c r="T98" i="4" s="1"/>
  <c r="S98" i="4"/>
  <c r="R97" i="4"/>
  <c r="T97" i="4" s="1"/>
  <c r="S97" i="4"/>
  <c r="R96" i="4"/>
  <c r="T96" i="4" s="1"/>
  <c r="S96" i="4"/>
  <c r="R95" i="4"/>
  <c r="R94" i="4"/>
  <c r="R93" i="4"/>
  <c r="T93" i="4" s="1"/>
  <c r="S93" i="4"/>
  <c r="R92" i="4"/>
  <c r="R91" i="4"/>
  <c r="R90" i="4"/>
  <c r="R89" i="4"/>
  <c r="R88" i="4"/>
  <c r="R87" i="4"/>
  <c r="R86" i="4"/>
  <c r="R85" i="4"/>
  <c r="R84" i="4"/>
  <c r="T84" i="4" s="1"/>
  <c r="S84" i="4"/>
  <c r="R83" i="4"/>
  <c r="S83" i="4"/>
  <c r="R82" i="4"/>
  <c r="T82" i="4" s="1"/>
  <c r="S82" i="4"/>
  <c r="R81" i="4"/>
  <c r="T81" i="4" s="1"/>
  <c r="S81" i="4"/>
  <c r="R80" i="4"/>
  <c r="T80" i="4" s="1"/>
  <c r="S80" i="4"/>
  <c r="R79" i="4"/>
  <c r="R78" i="4"/>
  <c r="R77" i="4"/>
  <c r="R76" i="4"/>
  <c r="T76" i="4" s="1"/>
  <c r="S76" i="4"/>
  <c r="R75" i="4"/>
  <c r="T75" i="4" s="1"/>
  <c r="S75" i="4"/>
  <c r="R74" i="4"/>
  <c r="T74" i="4" s="1"/>
  <c r="S74" i="4"/>
  <c r="R73" i="4"/>
  <c r="T73" i="4" s="1"/>
  <c r="S73" i="4"/>
  <c r="R72" i="4"/>
  <c r="T72" i="4" s="1"/>
  <c r="S72" i="4"/>
  <c r="R71" i="4"/>
  <c r="T71" i="4" s="1"/>
  <c r="S71" i="4"/>
  <c r="R70" i="4"/>
  <c r="T70" i="4" s="1"/>
  <c r="S70" i="4"/>
  <c r="R69" i="4"/>
  <c r="R68" i="4"/>
  <c r="R67" i="4"/>
  <c r="T67" i="4" s="1"/>
  <c r="S67" i="4"/>
  <c r="R66" i="4"/>
  <c r="R65" i="4"/>
  <c r="T65" i="4" s="1"/>
  <c r="S65" i="4"/>
  <c r="R64" i="4"/>
  <c r="R63" i="4"/>
  <c r="R62" i="4"/>
  <c r="R61" i="4"/>
  <c r="R60" i="4"/>
  <c r="R59" i="4"/>
  <c r="T59" i="4" s="1"/>
  <c r="S59" i="4"/>
  <c r="R58" i="4"/>
  <c r="R57" i="4"/>
  <c r="T57" i="4" s="1"/>
  <c r="S57" i="4"/>
  <c r="R56" i="4"/>
  <c r="R55" i="4"/>
  <c r="R54" i="4"/>
  <c r="T54" i="4" s="1"/>
  <c r="S54" i="4"/>
  <c r="R53" i="4"/>
  <c r="R52" i="4"/>
  <c r="R51" i="4"/>
  <c r="R50" i="4"/>
  <c r="R49" i="4"/>
  <c r="R48" i="4"/>
  <c r="T48" i="4" s="1"/>
  <c r="S48" i="4"/>
  <c r="R47" i="4"/>
  <c r="R46" i="4"/>
  <c r="R45" i="4"/>
  <c r="R44" i="4"/>
  <c r="R43" i="4"/>
  <c r="R42" i="4"/>
  <c r="R41" i="4"/>
  <c r="T41" i="4" s="1"/>
  <c r="S41" i="4"/>
  <c r="R40" i="4"/>
  <c r="S40" i="4"/>
  <c r="R39" i="4"/>
  <c r="T39" i="4" s="1"/>
  <c r="S39" i="4"/>
  <c r="R38" i="4"/>
  <c r="T38" i="4" s="1"/>
  <c r="S38" i="4"/>
  <c r="R37" i="4"/>
  <c r="T37" i="4" s="1"/>
  <c r="S37" i="4"/>
  <c r="R36" i="4"/>
  <c r="T36" i="4" s="1"/>
  <c r="S36" i="4"/>
  <c r="R35" i="4"/>
  <c r="T35" i="4" s="1"/>
  <c r="S35" i="4"/>
  <c r="R34" i="4"/>
  <c r="R33" i="4"/>
  <c r="R32" i="4"/>
  <c r="R31" i="4"/>
  <c r="S31" i="4" s="1"/>
  <c r="R30" i="4"/>
  <c r="R29" i="4"/>
  <c r="S29" i="4"/>
  <c r="R28" i="4"/>
  <c r="S28" i="4"/>
  <c r="R27" i="4"/>
  <c r="T27" i="4" s="1"/>
  <c r="S27" i="4"/>
  <c r="R26" i="4"/>
  <c r="R25" i="4"/>
  <c r="R24" i="4"/>
  <c r="R23" i="4"/>
  <c r="S23" i="4"/>
  <c r="R22" i="4"/>
  <c r="T22" i="4" s="1"/>
  <c r="S22" i="4"/>
  <c r="R21" i="4"/>
  <c r="R20" i="4"/>
  <c r="S20" i="4"/>
  <c r="R19" i="4"/>
  <c r="S19" i="4" s="1"/>
  <c r="R18" i="4"/>
  <c r="S18" i="4" s="1"/>
  <c r="R17" i="4"/>
  <c r="R16" i="4"/>
  <c r="S16" i="4" s="1"/>
  <c r="R15" i="4"/>
  <c r="S15" i="4" s="1"/>
  <c r="R14" i="4"/>
  <c r="S14" i="4" s="1"/>
  <c r="R13" i="4"/>
  <c r="R12" i="4"/>
  <c r="S12" i="4" s="1"/>
  <c r="R11" i="4"/>
  <c r="T11" i="4" s="1"/>
  <c r="S11" i="4"/>
  <c r="R10" i="4"/>
  <c r="T10" i="4" s="1"/>
  <c r="S10" i="4"/>
  <c r="R9" i="4"/>
  <c r="S9" i="4" s="1"/>
  <c r="R8" i="4"/>
  <c r="R7" i="4"/>
  <c r="S7" i="4"/>
  <c r="R6" i="4"/>
  <c r="S6" i="4" s="1"/>
  <c r="R5" i="4"/>
  <c r="S5" i="4" s="1"/>
  <c r="R4" i="4"/>
  <c r="S4" i="4" s="1"/>
  <c r="R3" i="4"/>
  <c r="S3" i="4" s="1"/>
  <c r="U5" i="6"/>
  <c r="T13" i="6"/>
  <c r="Z11" i="6"/>
  <c r="Y11" i="6"/>
  <c r="X11" i="6"/>
  <c r="Z13" i="6"/>
  <c r="Y13" i="6"/>
  <c r="X13" i="6"/>
  <c r="W13" i="6"/>
  <c r="T4" i="6"/>
  <c r="U4" i="6"/>
  <c r="V4" i="6"/>
  <c r="W4" i="6"/>
  <c r="X4" i="6"/>
  <c r="Y4" i="6"/>
  <c r="Z4" i="6"/>
  <c r="T5" i="6"/>
  <c r="V5" i="6"/>
  <c r="W5" i="6"/>
  <c r="X5" i="6"/>
  <c r="Y5" i="6"/>
  <c r="Z5" i="6"/>
  <c r="T7" i="6"/>
  <c r="V7" i="6"/>
  <c r="W7" i="6"/>
  <c r="X7" i="6"/>
  <c r="Y7" i="6"/>
  <c r="Z7" i="6"/>
  <c r="T9" i="6"/>
  <c r="U9" i="6"/>
  <c r="W9" i="6"/>
  <c r="X9" i="6"/>
  <c r="Y9" i="6"/>
  <c r="Z9" i="6"/>
  <c r="U11" i="6"/>
  <c r="W11" i="6"/>
  <c r="V13" i="6"/>
  <c r="T6" i="6"/>
  <c r="U6" i="6"/>
  <c r="V6" i="6"/>
  <c r="W6" i="6"/>
  <c r="X6" i="6"/>
  <c r="Y6" i="6"/>
  <c r="Z6" i="6"/>
  <c r="U7" i="6"/>
  <c r="T8" i="6"/>
  <c r="U8" i="6"/>
  <c r="V8" i="6"/>
  <c r="W8" i="6"/>
  <c r="X8" i="6"/>
  <c r="Y8" i="6"/>
  <c r="Z8" i="6"/>
  <c r="V9" i="6"/>
  <c r="T10" i="6"/>
  <c r="U10" i="6"/>
  <c r="V10" i="6"/>
  <c r="W10" i="6"/>
  <c r="X10" i="6"/>
  <c r="Y10" i="6"/>
  <c r="Z10" i="6"/>
  <c r="T11" i="6"/>
  <c r="V11" i="6"/>
  <c r="T12" i="6"/>
  <c r="U12" i="6"/>
  <c r="V12" i="6"/>
  <c r="W12" i="6"/>
  <c r="X12" i="6"/>
  <c r="Y12" i="6"/>
  <c r="Z12" i="6"/>
  <c r="U13" i="6"/>
  <c r="C56" i="10"/>
  <c r="B57" i="10"/>
  <c r="B42" i="10"/>
  <c r="B44" i="10"/>
  <c r="C49" i="10"/>
  <c r="C50" i="10"/>
  <c r="D50" i="10" s="1"/>
  <c r="B55" i="10"/>
  <c r="C55" i="10"/>
  <c r="B56" i="10"/>
  <c r="B58" i="10"/>
  <c r="C58" i="10"/>
  <c r="C57" i="10"/>
  <c r="AH49" i="4"/>
  <c r="G12" i="8"/>
  <c r="F12" i="8"/>
  <c r="E12" i="8"/>
  <c r="D12" i="8"/>
  <c r="C12" i="8"/>
  <c r="B12" i="8"/>
  <c r="AH56" i="4"/>
  <c r="H12" i="8"/>
  <c r="F130" i="5"/>
  <c r="F136" i="5"/>
  <c r="B136" i="5"/>
  <c r="G135" i="5"/>
  <c r="C135" i="5"/>
  <c r="B130" i="5"/>
  <c r="C130" i="5"/>
  <c r="G130" i="5"/>
  <c r="B131" i="5"/>
  <c r="F131" i="5"/>
  <c r="C132" i="5"/>
  <c r="F132" i="5"/>
  <c r="F133" i="5"/>
  <c r="B134" i="5"/>
  <c r="C131" i="5"/>
  <c r="G131" i="5"/>
  <c r="B132" i="5"/>
  <c r="E132" i="5" s="1"/>
  <c r="G132" i="5"/>
  <c r="B133" i="5"/>
  <c r="C133" i="5"/>
  <c r="G133" i="5"/>
  <c r="C134" i="5"/>
  <c r="G134" i="5"/>
  <c r="B135" i="5"/>
  <c r="E135" i="5" s="1"/>
  <c r="F135" i="5"/>
  <c r="H135" i="5"/>
  <c r="C136" i="5"/>
  <c r="G136" i="5"/>
  <c r="F134" i="5"/>
  <c r="AC2" i="4"/>
  <c r="C144" i="5"/>
  <c r="F144" i="5"/>
  <c r="H144" i="5"/>
  <c r="B145" i="5"/>
  <c r="C145" i="5"/>
  <c r="F145" i="5"/>
  <c r="H145" i="5"/>
  <c r="B146" i="5"/>
  <c r="C146" i="5"/>
  <c r="C143" i="5"/>
  <c r="B147" i="5"/>
  <c r="B143" i="5"/>
  <c r="G146" i="5"/>
  <c r="F143" i="5"/>
  <c r="G143" i="5"/>
  <c r="B144" i="5"/>
  <c r="E144" i="5" s="1"/>
  <c r="G144" i="5"/>
  <c r="G145" i="5"/>
  <c r="F147" i="5"/>
  <c r="G147" i="5"/>
  <c r="F146" i="5"/>
  <c r="C147" i="5"/>
  <c r="H147" i="5"/>
  <c r="H146" i="5"/>
  <c r="C122" i="5"/>
  <c r="B122" i="5"/>
  <c r="C123" i="5"/>
  <c r="G122" i="5"/>
  <c r="B123" i="5"/>
  <c r="E123" i="5" s="1"/>
  <c r="F123" i="5"/>
  <c r="H123" i="5"/>
  <c r="F122" i="5"/>
  <c r="B121" i="5"/>
  <c r="C121" i="5"/>
  <c r="F121" i="5"/>
  <c r="F124" i="5" s="1"/>
  <c r="G121" i="5"/>
  <c r="H121" i="5"/>
  <c r="G123" i="5"/>
  <c r="B112" i="5"/>
  <c r="G112" i="5"/>
  <c r="H113" i="5"/>
  <c r="H114" i="5"/>
  <c r="C114" i="5"/>
  <c r="F114" i="5"/>
  <c r="G114" i="5"/>
  <c r="B114" i="5"/>
  <c r="E114" i="5" s="1"/>
  <c r="G113" i="5"/>
  <c r="F113" i="5"/>
  <c r="C113" i="5"/>
  <c r="B113" i="5"/>
  <c r="F112" i="5"/>
  <c r="F115" i="5" s="1"/>
  <c r="C112" i="5"/>
  <c r="B47" i="5"/>
  <c r="B49" i="5"/>
  <c r="N7" i="2" s="1"/>
  <c r="B216" i="5"/>
  <c r="C216" i="5"/>
  <c r="D216" i="5"/>
  <c r="E216" i="5"/>
  <c r="F216" i="5"/>
  <c r="R2" i="4"/>
  <c r="B42" i="5"/>
  <c r="B43" i="5"/>
  <c r="B215" i="5"/>
  <c r="C215" i="5"/>
  <c r="D215" i="5"/>
  <c r="E215" i="5"/>
  <c r="F215" i="5"/>
  <c r="I53" i="2"/>
  <c r="K7" i="2"/>
  <c r="I52" i="2"/>
  <c r="E7" i="2"/>
  <c r="I51" i="2"/>
  <c r="B7" i="2"/>
  <c r="H5" i="7"/>
  <c r="G5" i="7"/>
  <c r="M4" i="6" l="1"/>
  <c r="N4" i="6"/>
  <c r="N5" i="6"/>
  <c r="M7" i="6"/>
  <c r="L54" i="2" s="1"/>
  <c r="M9" i="6"/>
  <c r="L56" i="2" s="1"/>
  <c r="N11" i="6"/>
  <c r="M13" i="6"/>
  <c r="L60" i="2" s="1"/>
  <c r="M14" i="6"/>
  <c r="N14" i="6"/>
  <c r="O14" i="6" s="1"/>
  <c r="N15" i="6"/>
  <c r="O15" i="6" s="1"/>
  <c r="M17" i="6"/>
  <c r="N17" i="6"/>
  <c r="O17" i="6" s="1"/>
  <c r="M18" i="6"/>
  <c r="N18" i="6"/>
  <c r="O18" i="6" s="1"/>
  <c r="M19" i="6"/>
  <c r="N19" i="6"/>
  <c r="O19" i="6" s="1"/>
  <c r="M5" i="6"/>
  <c r="L52" i="2" s="1"/>
  <c r="M6" i="6"/>
  <c r="L53" i="2" s="1"/>
  <c r="N6" i="6"/>
  <c r="N7" i="6"/>
  <c r="M8" i="6"/>
  <c r="L55" i="2" s="1"/>
  <c r="N8" i="6"/>
  <c r="N9" i="6"/>
  <c r="M10" i="6"/>
  <c r="L57" i="2" s="1"/>
  <c r="N10" i="6"/>
  <c r="M11" i="6"/>
  <c r="L58" i="2" s="1"/>
  <c r="M12" i="6"/>
  <c r="L59" i="2" s="1"/>
  <c r="N12" i="6"/>
  <c r="N13" i="6"/>
  <c r="M15" i="6"/>
  <c r="M16" i="6"/>
  <c r="N16" i="6"/>
  <c r="O16" i="6" s="1"/>
  <c r="M20" i="6"/>
  <c r="N20" i="6"/>
  <c r="O20" i="6" s="1"/>
  <c r="M21" i="6"/>
  <c r="N21" i="6"/>
  <c r="O21" i="6" s="1"/>
  <c r="M22" i="6"/>
  <c r="N22" i="6"/>
  <c r="O22" i="6" s="1"/>
  <c r="M23" i="6"/>
  <c r="N23" i="6"/>
  <c r="O23" i="6" s="1"/>
  <c r="D58" i="2"/>
  <c r="F58" i="2"/>
  <c r="H58" i="2" s="1"/>
  <c r="D59" i="2"/>
  <c r="F59" i="2"/>
  <c r="H59" i="2" s="1"/>
  <c r="D60" i="2"/>
  <c r="F60" i="2"/>
  <c r="H60" i="2" s="1"/>
  <c r="B25" i="10"/>
  <c r="A19" i="14"/>
  <c r="H167" i="5"/>
  <c r="I167" i="5"/>
  <c r="B168" i="5"/>
  <c r="D168" i="5"/>
  <c r="E168" i="5"/>
  <c r="J168" i="5"/>
  <c r="A169" i="5"/>
  <c r="B20" i="14"/>
  <c r="T83" i="4"/>
  <c r="G11" i="6"/>
  <c r="T40" i="4"/>
  <c r="G4" i="6"/>
  <c r="T31" i="4"/>
  <c r="G19" i="6"/>
  <c r="T29" i="4"/>
  <c r="G7" i="6"/>
  <c r="T28" i="4"/>
  <c r="G9" i="6"/>
  <c r="T23" i="4"/>
  <c r="G8" i="6"/>
  <c r="T20" i="4"/>
  <c r="G22" i="6"/>
  <c r="T19" i="4"/>
  <c r="G5" i="6"/>
  <c r="T18" i="4"/>
  <c r="G12" i="6"/>
  <c r="T16" i="4"/>
  <c r="G16" i="6"/>
  <c r="T15" i="4"/>
  <c r="H76" i="5"/>
  <c r="G14" i="6"/>
  <c r="T14" i="4"/>
  <c r="G23" i="6"/>
  <c r="T12" i="4"/>
  <c r="G13" i="6"/>
  <c r="T9" i="4"/>
  <c r="H80" i="5"/>
  <c r="G18" i="6"/>
  <c r="T7" i="4"/>
  <c r="G21" i="6"/>
  <c r="T6" i="4"/>
  <c r="H67" i="5"/>
  <c r="H78" i="5"/>
  <c r="G6" i="6"/>
  <c r="H56" i="5"/>
  <c r="T5" i="4"/>
  <c r="G15" i="6"/>
  <c r="H66" i="5"/>
  <c r="H95" i="5"/>
  <c r="H105" i="5"/>
  <c r="T4" i="4"/>
  <c r="H68" i="5"/>
  <c r="H79" i="5"/>
  <c r="H103" i="5"/>
  <c r="H58" i="5"/>
  <c r="G17" i="6"/>
  <c r="T3" i="4"/>
  <c r="H59" i="5"/>
  <c r="G20" i="6"/>
  <c r="H88" i="5"/>
  <c r="D57" i="10"/>
  <c r="E57" i="10" s="1"/>
  <c r="F57" i="10"/>
  <c r="G57" i="10"/>
  <c r="B43" i="10"/>
  <c r="B41" i="10"/>
  <c r="D49" i="10"/>
  <c r="E49" i="10" s="1"/>
  <c r="F49" i="10" s="1"/>
  <c r="A91" i="10" s="1"/>
  <c r="C51" i="10"/>
  <c r="D55" i="10"/>
  <c r="E55" i="10" s="1"/>
  <c r="F55" i="10"/>
  <c r="G55" i="10"/>
  <c r="D56" i="10"/>
  <c r="E56" i="10" s="1"/>
  <c r="F56" i="10"/>
  <c r="G56" i="10"/>
  <c r="D58" i="10"/>
  <c r="E58" i="10" s="1"/>
  <c r="F58" i="10"/>
  <c r="G58" i="10"/>
  <c r="D135" i="5"/>
  <c r="I135" i="5"/>
  <c r="E130" i="5"/>
  <c r="B137" i="5"/>
  <c r="D130" i="5"/>
  <c r="I130" i="5"/>
  <c r="C137" i="5"/>
  <c r="B138" i="5"/>
  <c r="B139" i="5"/>
  <c r="D132" i="5"/>
  <c r="I132" i="5"/>
  <c r="D131" i="5"/>
  <c r="I131" i="5"/>
  <c r="D133" i="5"/>
  <c r="I133" i="5"/>
  <c r="D134" i="5"/>
  <c r="I134" i="5"/>
  <c r="D136" i="5"/>
  <c r="I136" i="5"/>
  <c r="D144" i="5"/>
  <c r="I144" i="5"/>
  <c r="D145" i="5"/>
  <c r="I145" i="5"/>
  <c r="D146" i="5"/>
  <c r="I146" i="5"/>
  <c r="D143" i="5"/>
  <c r="I143" i="5"/>
  <c r="C148" i="5"/>
  <c r="B149" i="5"/>
  <c r="B150" i="5"/>
  <c r="E143" i="5"/>
  <c r="B148" i="5"/>
  <c r="D147" i="5"/>
  <c r="I147" i="5"/>
  <c r="D122" i="5"/>
  <c r="I122" i="5"/>
  <c r="D123" i="5"/>
  <c r="I123" i="5"/>
  <c r="E121" i="5"/>
  <c r="B124" i="5"/>
  <c r="D121" i="5"/>
  <c r="D124" i="5" s="1"/>
  <c r="I121" i="5"/>
  <c r="C124" i="5"/>
  <c r="B125" i="5"/>
  <c r="B126" i="5"/>
  <c r="B115" i="5"/>
  <c r="E112" i="5"/>
  <c r="D114" i="5"/>
  <c r="I114" i="5"/>
  <c r="D113" i="5"/>
  <c r="I113" i="5"/>
  <c r="D112" i="5"/>
  <c r="D115" i="5" s="1"/>
  <c r="I112" i="5"/>
  <c r="C115" i="5"/>
  <c r="B116" i="5"/>
  <c r="B117" i="5"/>
  <c r="B225" i="5"/>
  <c r="T2" i="4"/>
  <c r="B50" i="5" s="1"/>
  <c r="B51" i="5" s="1"/>
  <c r="D55" i="2" s="1"/>
  <c r="H55" i="2" s="1"/>
  <c r="I55" i="2" s="1"/>
  <c r="H57" i="5"/>
  <c r="H69" i="5"/>
  <c r="H77" i="5"/>
  <c r="H104" i="5"/>
  <c r="G10" i="6"/>
  <c r="H87" i="5"/>
  <c r="H96" i="5"/>
  <c r="B45" i="5"/>
  <c r="B46" i="5"/>
  <c r="B48" i="5"/>
  <c r="F137" i="5"/>
  <c r="E136" i="5"/>
  <c r="E131" i="5"/>
  <c r="E134" i="5"/>
  <c r="E133" i="5"/>
  <c r="E145" i="5"/>
  <c r="E146" i="5"/>
  <c r="E147" i="5"/>
  <c r="F148" i="5"/>
  <c r="E122" i="5"/>
  <c r="E113" i="5"/>
  <c r="D19" i="14"/>
  <c r="C19" i="14"/>
  <c r="T1001" i="4"/>
  <c r="S1001" i="4"/>
  <c r="T998" i="4"/>
  <c r="S998" i="4"/>
  <c r="T996" i="4"/>
  <c r="S996" i="4"/>
  <c r="T995" i="4"/>
  <c r="S995" i="4"/>
  <c r="T991" i="4"/>
  <c r="S991" i="4"/>
  <c r="T987" i="4"/>
  <c r="J167" i="5"/>
  <c r="S987" i="4"/>
  <c r="T984" i="4"/>
  <c r="S984" i="4"/>
  <c r="T981" i="4"/>
  <c r="S981" i="4"/>
  <c r="T979" i="4"/>
  <c r="S979" i="4"/>
  <c r="T978" i="4"/>
  <c r="S978" i="4"/>
  <c r="T974" i="4"/>
  <c r="S974" i="4"/>
  <c r="T972" i="4"/>
  <c r="S972" i="4"/>
  <c r="H132" i="5"/>
  <c r="T971" i="4"/>
  <c r="S971" i="4"/>
  <c r="T970" i="4"/>
  <c r="S970" i="4"/>
  <c r="H130" i="5"/>
  <c r="T969" i="4"/>
  <c r="H131" i="5"/>
  <c r="C61" i="14"/>
  <c r="T968" i="4"/>
  <c r="S968" i="4"/>
  <c r="T967" i="4"/>
  <c r="H133" i="5"/>
  <c r="T965" i="4"/>
  <c r="C60" i="14"/>
  <c r="S965" i="4"/>
  <c r="T964" i="4"/>
  <c r="H136" i="5"/>
  <c r="T963" i="4"/>
  <c r="S963" i="4"/>
  <c r="T962" i="4"/>
  <c r="S962" i="4"/>
  <c r="T961" i="4"/>
  <c r="S961" i="4"/>
  <c r="T959" i="4"/>
  <c r="S959" i="4"/>
  <c r="T958" i="4"/>
  <c r="S958" i="4"/>
  <c r="T955" i="4"/>
  <c r="S955" i="4"/>
  <c r="T952" i="4"/>
  <c r="S952" i="4"/>
  <c r="T951" i="4"/>
  <c r="S951" i="4"/>
  <c r="T950" i="4"/>
  <c r="S950" i="4"/>
  <c r="T947" i="4"/>
  <c r="S947" i="4"/>
  <c r="T946" i="4"/>
  <c r="S946" i="4"/>
  <c r="T940" i="4"/>
  <c r="S940" i="4"/>
  <c r="T939" i="4"/>
  <c r="S939" i="4"/>
  <c r="T938" i="4"/>
  <c r="S938" i="4"/>
  <c r="T936" i="4"/>
  <c r="S936" i="4"/>
  <c r="T935" i="4"/>
  <c r="S935" i="4"/>
  <c r="T934" i="4"/>
  <c r="S934" i="4"/>
  <c r="T933" i="4"/>
  <c r="S933" i="4"/>
  <c r="T932" i="4"/>
  <c r="S932" i="4"/>
  <c r="T930" i="4"/>
  <c r="S930" i="4"/>
  <c r="T928" i="4"/>
  <c r="S928" i="4"/>
  <c r="T927" i="4"/>
  <c r="S927" i="4"/>
  <c r="T926" i="4"/>
  <c r="S926" i="4"/>
  <c r="T925" i="4"/>
  <c r="S925" i="4"/>
  <c r="T924" i="4"/>
  <c r="S924" i="4"/>
  <c r="T922" i="4"/>
  <c r="S922" i="4"/>
  <c r="T919" i="4"/>
  <c r="S919" i="4"/>
  <c r="T918" i="4"/>
  <c r="S918" i="4"/>
  <c r="T916" i="4"/>
  <c r="S916" i="4"/>
  <c r="T915" i="4"/>
  <c r="S915" i="4"/>
  <c r="T914" i="4"/>
  <c r="S914" i="4"/>
  <c r="T913" i="4"/>
  <c r="S913" i="4"/>
  <c r="T912" i="4"/>
  <c r="S912" i="4"/>
  <c r="T909" i="4"/>
  <c r="S909" i="4"/>
  <c r="T906" i="4"/>
  <c r="S906" i="4"/>
  <c r="T904" i="4"/>
  <c r="S904" i="4"/>
  <c r="T903" i="4"/>
  <c r="S903" i="4"/>
  <c r="T902" i="4"/>
  <c r="S902" i="4"/>
  <c r="T901" i="4"/>
  <c r="S901" i="4"/>
  <c r="T897" i="4"/>
  <c r="S897" i="4"/>
  <c r="T896" i="4"/>
  <c r="S896" i="4"/>
  <c r="T894" i="4"/>
  <c r="S894" i="4"/>
  <c r="T892" i="4"/>
  <c r="S892" i="4"/>
  <c r="T888" i="4"/>
  <c r="S888" i="4"/>
  <c r="T884" i="4"/>
  <c r="S884" i="4"/>
  <c r="T882" i="4"/>
  <c r="S882" i="4"/>
  <c r="T877" i="4"/>
  <c r="S877" i="4"/>
  <c r="T874" i="4"/>
  <c r="S874" i="4"/>
  <c r="T872" i="4"/>
  <c r="S872" i="4"/>
  <c r="T871" i="4"/>
  <c r="S871" i="4"/>
  <c r="T870" i="4"/>
  <c r="S870" i="4"/>
  <c r="T868" i="4"/>
  <c r="S868" i="4"/>
  <c r="T865" i="4"/>
  <c r="S865" i="4"/>
  <c r="T864" i="4"/>
  <c r="S864" i="4"/>
  <c r="T861" i="4"/>
  <c r="S861" i="4"/>
  <c r="T860" i="4"/>
  <c r="S860" i="4"/>
  <c r="T859" i="4"/>
  <c r="S859" i="4"/>
  <c r="T858" i="4"/>
  <c r="S858" i="4"/>
  <c r="T856" i="4"/>
  <c r="S856" i="4"/>
  <c r="T852" i="4"/>
  <c r="S852" i="4"/>
  <c r="T851" i="4"/>
  <c r="S851" i="4"/>
  <c r="T849" i="4"/>
  <c r="S849" i="4"/>
  <c r="T848" i="4"/>
  <c r="S848" i="4"/>
  <c r="T847" i="4"/>
  <c r="S847" i="4"/>
  <c r="T846" i="4"/>
  <c r="S846" i="4"/>
  <c r="T845" i="4"/>
  <c r="S845" i="4"/>
  <c r="T844" i="4"/>
  <c r="S844" i="4"/>
  <c r="T843" i="4"/>
  <c r="S843" i="4"/>
  <c r="T841" i="4"/>
  <c r="S841" i="4"/>
  <c r="T838" i="4"/>
  <c r="S838" i="4"/>
  <c r="T837" i="4"/>
  <c r="S837" i="4"/>
  <c r="T831" i="4"/>
  <c r="S831" i="4"/>
  <c r="T828" i="4"/>
  <c r="S828" i="4"/>
  <c r="T827" i="4"/>
  <c r="S827" i="4"/>
  <c r="T825" i="4"/>
  <c r="S825" i="4"/>
  <c r="T824" i="4"/>
  <c r="S824" i="4"/>
  <c r="T823" i="4"/>
  <c r="S823" i="4"/>
  <c r="T822" i="4"/>
  <c r="S822" i="4"/>
  <c r="T816" i="4"/>
  <c r="S816" i="4"/>
  <c r="T815" i="4"/>
  <c r="S815" i="4"/>
  <c r="T814" i="4"/>
  <c r="S814" i="4"/>
  <c r="T812" i="4"/>
  <c r="S812" i="4"/>
  <c r="T811" i="4"/>
  <c r="S811" i="4"/>
  <c r="T810" i="4"/>
  <c r="S810" i="4"/>
  <c r="T809" i="4"/>
  <c r="S809" i="4"/>
  <c r="T807" i="4"/>
  <c r="S807" i="4"/>
  <c r="T803" i="4"/>
  <c r="S803" i="4"/>
  <c r="T798" i="4"/>
  <c r="S798" i="4"/>
  <c r="T797" i="4"/>
  <c r="S797" i="4"/>
  <c r="T796" i="4"/>
  <c r="S796" i="4"/>
  <c r="T795" i="4"/>
  <c r="S795" i="4"/>
  <c r="T794" i="4"/>
  <c r="S794" i="4"/>
  <c r="T793" i="4"/>
  <c r="S793" i="4"/>
  <c r="T792" i="4"/>
  <c r="S792" i="4"/>
  <c r="T790" i="4"/>
  <c r="S790" i="4"/>
  <c r="T789" i="4"/>
  <c r="S789" i="4"/>
  <c r="T784" i="4"/>
  <c r="S784" i="4"/>
  <c r="T779" i="4"/>
  <c r="S779" i="4"/>
  <c r="T778" i="4"/>
  <c r="S778" i="4"/>
  <c r="T776" i="4"/>
  <c r="S776" i="4"/>
  <c r="T775" i="4"/>
  <c r="S775" i="4"/>
  <c r="T774" i="4"/>
  <c r="S774" i="4"/>
  <c r="T773" i="4"/>
  <c r="S773" i="4"/>
  <c r="T772" i="4"/>
  <c r="S772" i="4"/>
  <c r="T771" i="4"/>
  <c r="S771" i="4"/>
  <c r="T761" i="4"/>
  <c r="S761" i="4"/>
  <c r="T760" i="4"/>
  <c r="S760" i="4"/>
  <c r="T758" i="4"/>
  <c r="S758" i="4"/>
  <c r="T757" i="4"/>
  <c r="S757" i="4"/>
  <c r="T756" i="4"/>
  <c r="S756" i="4"/>
  <c r="T754" i="4"/>
  <c r="S754" i="4"/>
  <c r="T753" i="4"/>
  <c r="S753" i="4"/>
  <c r="T752" i="4"/>
  <c r="S752" i="4"/>
  <c r="T751" i="4"/>
  <c r="S751" i="4"/>
  <c r="T750" i="4"/>
  <c r="S750" i="4"/>
  <c r="T749" i="4"/>
  <c r="S749" i="4"/>
  <c r="T748" i="4"/>
  <c r="S748" i="4"/>
  <c r="T747" i="4"/>
  <c r="S747" i="4"/>
  <c r="T746" i="4"/>
  <c r="S746" i="4"/>
  <c r="T744" i="4"/>
  <c r="S744" i="4"/>
  <c r="T742" i="4"/>
  <c r="S742" i="4"/>
  <c r="T741" i="4"/>
  <c r="S741" i="4"/>
  <c r="T740" i="4"/>
  <c r="S740" i="4"/>
  <c r="T739" i="4"/>
  <c r="S739" i="4"/>
  <c r="T737" i="4"/>
  <c r="S737" i="4"/>
  <c r="T736" i="4"/>
  <c r="S736" i="4"/>
  <c r="T735" i="4"/>
  <c r="S735" i="4"/>
  <c r="T734" i="4"/>
  <c r="S734" i="4"/>
  <c r="T733" i="4"/>
  <c r="S733" i="4"/>
  <c r="T732" i="4"/>
  <c r="S732" i="4"/>
  <c r="T730" i="4"/>
  <c r="S730" i="4"/>
  <c r="T729" i="4"/>
  <c r="S729" i="4"/>
  <c r="T728" i="4"/>
  <c r="S728" i="4"/>
  <c r="T727" i="4"/>
  <c r="S727" i="4"/>
  <c r="T726" i="4"/>
  <c r="S726" i="4"/>
  <c r="T725" i="4"/>
  <c r="S725" i="4"/>
  <c r="T724" i="4"/>
  <c r="S724" i="4"/>
  <c r="T722" i="4"/>
  <c r="S722" i="4"/>
  <c r="T721" i="4"/>
  <c r="S721" i="4"/>
  <c r="T720" i="4"/>
  <c r="S720" i="4"/>
  <c r="T719" i="4"/>
  <c r="S719" i="4"/>
  <c r="T717" i="4"/>
  <c r="S717" i="4"/>
  <c r="T716" i="4"/>
  <c r="S716" i="4"/>
  <c r="T713" i="4"/>
  <c r="S713" i="4"/>
  <c r="T712" i="4"/>
  <c r="S712" i="4"/>
  <c r="T711" i="4"/>
  <c r="S711" i="4"/>
  <c r="T709" i="4"/>
  <c r="S709" i="4"/>
  <c r="T708" i="4"/>
  <c r="S708" i="4"/>
  <c r="T707" i="4"/>
  <c r="S707" i="4"/>
  <c r="T706" i="4"/>
  <c r="S706" i="4"/>
  <c r="T705" i="4"/>
  <c r="S705" i="4"/>
  <c r="T704" i="4"/>
  <c r="S704" i="4"/>
  <c r="T697" i="4"/>
  <c r="S697" i="4"/>
  <c r="T695" i="4"/>
  <c r="S695" i="4"/>
  <c r="T694" i="4"/>
  <c r="S694" i="4"/>
  <c r="T693" i="4"/>
  <c r="S693" i="4"/>
  <c r="T692" i="4"/>
  <c r="S692" i="4"/>
  <c r="T691" i="4"/>
  <c r="S691" i="4"/>
  <c r="T690" i="4"/>
  <c r="S690" i="4"/>
  <c r="T689" i="4"/>
  <c r="S689" i="4"/>
  <c r="T687" i="4"/>
  <c r="S687" i="4"/>
  <c r="T686" i="4"/>
  <c r="S686" i="4"/>
  <c r="T685" i="4"/>
  <c r="S685" i="4"/>
  <c r="T684" i="4"/>
  <c r="S684" i="4"/>
  <c r="T683" i="4"/>
  <c r="S683" i="4"/>
  <c r="T681" i="4"/>
  <c r="S681" i="4"/>
  <c r="T680" i="4"/>
  <c r="S680" i="4"/>
  <c r="T679" i="4"/>
  <c r="S679" i="4"/>
  <c r="T677" i="4"/>
  <c r="S677" i="4"/>
  <c r="T676" i="4"/>
  <c r="S676" i="4"/>
  <c r="T675" i="4"/>
  <c r="S675" i="4"/>
  <c r="T674" i="4"/>
  <c r="S674" i="4"/>
  <c r="T672" i="4"/>
  <c r="S672" i="4"/>
  <c r="T671" i="4"/>
  <c r="S671" i="4"/>
  <c r="T670" i="4"/>
  <c r="S670" i="4"/>
  <c r="T669" i="4"/>
  <c r="S669" i="4"/>
  <c r="T668" i="4"/>
  <c r="S668" i="4"/>
  <c r="T665" i="4"/>
  <c r="S665" i="4"/>
  <c r="T663" i="4"/>
  <c r="S663" i="4"/>
  <c r="T662" i="4"/>
  <c r="S662" i="4"/>
  <c r="T661" i="4"/>
  <c r="S661" i="4"/>
  <c r="T659" i="4"/>
  <c r="S659" i="4"/>
  <c r="T655" i="4"/>
  <c r="S655" i="4"/>
  <c r="T652" i="4"/>
  <c r="S652" i="4"/>
  <c r="T651" i="4"/>
  <c r="S651" i="4"/>
  <c r="T650" i="4"/>
  <c r="S650" i="4"/>
  <c r="T648" i="4"/>
  <c r="S648" i="4"/>
  <c r="T644" i="4"/>
  <c r="S644" i="4"/>
  <c r="T643" i="4"/>
  <c r="S643" i="4"/>
  <c r="T642" i="4"/>
  <c r="S642" i="4"/>
  <c r="T641" i="4"/>
  <c r="S641" i="4"/>
  <c r="T636" i="4"/>
  <c r="S636" i="4"/>
  <c r="T635" i="4"/>
  <c r="S635" i="4"/>
  <c r="T633" i="4"/>
  <c r="S633" i="4"/>
  <c r="T632" i="4"/>
  <c r="S632" i="4"/>
  <c r="T630" i="4"/>
  <c r="S630" i="4"/>
  <c r="T629" i="4"/>
  <c r="S629" i="4"/>
  <c r="T628" i="4"/>
  <c r="S628" i="4"/>
  <c r="T627" i="4"/>
  <c r="S627" i="4"/>
  <c r="T625" i="4"/>
  <c r="S625" i="4"/>
  <c r="T624" i="4"/>
  <c r="S624" i="4"/>
  <c r="T623" i="4"/>
  <c r="S623" i="4"/>
  <c r="T621" i="4"/>
  <c r="S621" i="4"/>
  <c r="T619" i="4"/>
  <c r="S619" i="4"/>
  <c r="T617" i="4"/>
  <c r="S617" i="4"/>
  <c r="T615" i="4"/>
  <c r="S615" i="4"/>
  <c r="T614" i="4"/>
  <c r="S614" i="4"/>
  <c r="T610" i="4"/>
  <c r="S610" i="4"/>
  <c r="T609" i="4"/>
  <c r="S609" i="4"/>
  <c r="T608" i="4"/>
  <c r="S608" i="4"/>
  <c r="T607" i="4"/>
  <c r="S607" i="4"/>
  <c r="T606" i="4"/>
  <c r="S606" i="4"/>
  <c r="T604" i="4"/>
  <c r="S604" i="4"/>
  <c r="T603" i="4"/>
  <c r="S603" i="4"/>
  <c r="T601" i="4"/>
  <c r="S601" i="4"/>
  <c r="T600" i="4"/>
  <c r="S600" i="4"/>
  <c r="T599" i="4"/>
  <c r="S599" i="4"/>
  <c r="T597" i="4"/>
  <c r="S597" i="4"/>
  <c r="T596" i="4"/>
  <c r="S596" i="4"/>
  <c r="T594" i="4"/>
  <c r="S594" i="4"/>
  <c r="T593" i="4"/>
  <c r="S593" i="4"/>
  <c r="T592" i="4"/>
  <c r="S592" i="4"/>
  <c r="T591" i="4"/>
  <c r="S591" i="4"/>
  <c r="T590" i="4"/>
  <c r="S590" i="4"/>
  <c r="T589" i="4"/>
  <c r="S589" i="4"/>
  <c r="T588" i="4"/>
  <c r="S588" i="4"/>
  <c r="T582" i="4"/>
  <c r="S582" i="4"/>
  <c r="T579" i="4"/>
  <c r="S579" i="4"/>
  <c r="T578" i="4"/>
  <c r="S578" i="4"/>
  <c r="T572" i="4"/>
  <c r="S572" i="4"/>
  <c r="T571" i="4"/>
  <c r="S571" i="4"/>
  <c r="T569" i="4"/>
  <c r="S569" i="4"/>
  <c r="T568" i="4"/>
  <c r="S568" i="4"/>
  <c r="T566" i="4"/>
  <c r="S566" i="4"/>
  <c r="T565" i="4"/>
  <c r="S565" i="4"/>
  <c r="T564" i="4"/>
  <c r="S564" i="4"/>
  <c r="T559" i="4"/>
  <c r="S559" i="4"/>
  <c r="T558" i="4"/>
  <c r="S558" i="4"/>
  <c r="T556" i="4"/>
  <c r="S556" i="4"/>
  <c r="T553" i="4"/>
  <c r="S553" i="4"/>
  <c r="T552" i="4"/>
  <c r="S552" i="4"/>
  <c r="T548" i="4"/>
  <c r="S548" i="4"/>
  <c r="T546" i="4"/>
  <c r="S546" i="4"/>
  <c r="T543" i="4"/>
  <c r="S543" i="4"/>
  <c r="T539" i="4"/>
  <c r="S539" i="4"/>
  <c r="T536" i="4"/>
  <c r="S536" i="4"/>
  <c r="T534" i="4"/>
  <c r="S534" i="4"/>
  <c r="T533" i="4"/>
  <c r="S533" i="4"/>
  <c r="T532" i="4"/>
  <c r="S532" i="4"/>
  <c r="T531" i="4"/>
  <c r="S531" i="4"/>
  <c r="T530" i="4"/>
  <c r="S530" i="4"/>
  <c r="T529" i="4"/>
  <c r="S529" i="4"/>
  <c r="T527" i="4"/>
  <c r="S527" i="4"/>
  <c r="T526" i="4"/>
  <c r="S526" i="4"/>
  <c r="T522" i="4"/>
  <c r="S522" i="4"/>
  <c r="T521" i="4"/>
  <c r="S521" i="4"/>
  <c r="T520" i="4"/>
  <c r="S520" i="4"/>
  <c r="T519" i="4"/>
  <c r="S519" i="4"/>
  <c r="T518" i="4"/>
  <c r="S518" i="4"/>
  <c r="T517" i="4"/>
  <c r="S517" i="4"/>
  <c r="T515" i="4"/>
  <c r="S515" i="4"/>
  <c r="T509" i="4"/>
  <c r="S509" i="4"/>
  <c r="T508" i="4"/>
  <c r="S508" i="4"/>
  <c r="T507" i="4"/>
  <c r="S507" i="4"/>
  <c r="T506" i="4"/>
  <c r="S506" i="4"/>
  <c r="T505" i="4"/>
  <c r="S505" i="4"/>
  <c r="T502" i="4"/>
  <c r="S502" i="4"/>
  <c r="T501" i="4"/>
  <c r="S501" i="4"/>
  <c r="T493" i="4"/>
  <c r="S493" i="4"/>
  <c r="T492" i="4"/>
  <c r="S492" i="4"/>
  <c r="T491" i="4"/>
  <c r="S491" i="4"/>
  <c r="T490" i="4"/>
  <c r="S490" i="4"/>
  <c r="T489" i="4"/>
  <c r="S489" i="4"/>
  <c r="T488" i="4"/>
  <c r="S488" i="4"/>
  <c r="T487" i="4"/>
  <c r="S487" i="4"/>
  <c r="T473" i="4"/>
  <c r="S473" i="4"/>
  <c r="T472" i="4"/>
  <c r="S472" i="4"/>
  <c r="T471" i="4"/>
  <c r="S471" i="4"/>
  <c r="T470" i="4"/>
  <c r="S470" i="4"/>
  <c r="T469" i="4"/>
  <c r="S469" i="4"/>
  <c r="T467" i="4"/>
  <c r="S467" i="4"/>
  <c r="T464" i="4"/>
  <c r="S464" i="4"/>
  <c r="T463" i="4"/>
  <c r="S463" i="4"/>
  <c r="T462" i="4"/>
  <c r="S462" i="4"/>
  <c r="T460" i="4"/>
  <c r="S460" i="4"/>
  <c r="T459" i="4"/>
  <c r="S459" i="4"/>
  <c r="T458" i="4"/>
  <c r="S458" i="4"/>
  <c r="T457" i="4"/>
  <c r="S457" i="4"/>
  <c r="T456" i="4"/>
  <c r="S456" i="4"/>
  <c r="T453" i="4"/>
  <c r="S453" i="4"/>
  <c r="T452" i="4"/>
  <c r="S452" i="4"/>
  <c r="T451" i="4"/>
  <c r="S451" i="4"/>
  <c r="T450" i="4"/>
  <c r="S450" i="4"/>
  <c r="T448" i="4"/>
  <c r="S448" i="4"/>
  <c r="T447" i="4"/>
  <c r="S447" i="4"/>
  <c r="T446" i="4"/>
  <c r="S446" i="4"/>
  <c r="T445" i="4"/>
  <c r="S445" i="4"/>
  <c r="T443" i="4"/>
  <c r="S443" i="4"/>
  <c r="T442" i="4"/>
  <c r="S442" i="4"/>
  <c r="T441" i="4"/>
  <c r="S441" i="4"/>
  <c r="T440" i="4"/>
  <c r="S440" i="4"/>
  <c r="T439" i="4"/>
  <c r="S439" i="4"/>
  <c r="T438" i="4"/>
  <c r="S438" i="4"/>
  <c r="T436" i="4"/>
  <c r="S436" i="4"/>
  <c r="T435" i="4"/>
  <c r="S435" i="4"/>
  <c r="T429" i="4"/>
  <c r="S429" i="4"/>
  <c r="T428" i="4"/>
  <c r="S428" i="4"/>
  <c r="T427" i="4"/>
  <c r="S427" i="4"/>
  <c r="T426" i="4"/>
  <c r="S426" i="4"/>
  <c r="T425" i="4"/>
  <c r="S425" i="4"/>
  <c r="T424" i="4"/>
  <c r="S424" i="4"/>
  <c r="T423" i="4"/>
  <c r="S423" i="4"/>
  <c r="T422" i="4"/>
  <c r="S422" i="4"/>
  <c r="T421" i="4"/>
  <c r="S421" i="4"/>
  <c r="T420" i="4"/>
  <c r="S420" i="4"/>
  <c r="T419" i="4"/>
  <c r="S419" i="4"/>
  <c r="T418" i="4"/>
  <c r="S418" i="4"/>
  <c r="T416" i="4"/>
  <c r="S416" i="4"/>
  <c r="T415" i="4"/>
  <c r="S415" i="4"/>
  <c r="T414" i="4"/>
  <c r="S414" i="4"/>
  <c r="T413" i="4"/>
  <c r="S413" i="4"/>
  <c r="T412" i="4"/>
  <c r="S412" i="4"/>
  <c r="T411" i="4"/>
  <c r="S411" i="4"/>
  <c r="T409" i="4"/>
  <c r="S409" i="4"/>
  <c r="T408" i="4"/>
  <c r="S408" i="4"/>
  <c r="T407" i="4"/>
  <c r="S407" i="4"/>
  <c r="T406" i="4"/>
  <c r="S406" i="4"/>
  <c r="T405" i="4"/>
  <c r="S405" i="4"/>
  <c r="T404" i="4"/>
  <c r="S404" i="4"/>
  <c r="T397" i="4"/>
  <c r="S397" i="4"/>
  <c r="T396" i="4"/>
  <c r="S396" i="4"/>
  <c r="T395" i="4"/>
  <c r="S395" i="4"/>
  <c r="T394" i="4"/>
  <c r="S394" i="4"/>
  <c r="T393" i="4"/>
  <c r="S393" i="4"/>
  <c r="T392" i="4"/>
  <c r="S392" i="4"/>
  <c r="T390" i="4"/>
  <c r="S390" i="4"/>
  <c r="T389" i="4"/>
  <c r="S389" i="4"/>
  <c r="T388" i="4"/>
  <c r="S388" i="4"/>
  <c r="T387" i="4"/>
  <c r="S387" i="4"/>
  <c r="T386" i="4"/>
  <c r="S386" i="4"/>
  <c r="T385" i="4"/>
  <c r="S385" i="4"/>
  <c r="T384" i="4"/>
  <c r="S384" i="4"/>
  <c r="T383" i="4"/>
  <c r="S383" i="4"/>
  <c r="T382" i="4"/>
  <c r="S382" i="4"/>
  <c r="T380" i="4"/>
  <c r="S380" i="4"/>
  <c r="T379" i="4"/>
  <c r="S379" i="4"/>
  <c r="T378" i="4"/>
  <c r="S378" i="4"/>
  <c r="T376" i="4"/>
  <c r="S376" i="4"/>
  <c r="T375" i="4"/>
  <c r="S375" i="4"/>
  <c r="T373" i="4"/>
  <c r="S373" i="4"/>
  <c r="T372" i="4"/>
  <c r="S372" i="4"/>
  <c r="T371" i="4"/>
  <c r="S371" i="4"/>
  <c r="T370" i="4"/>
  <c r="S370" i="4"/>
  <c r="T369" i="4"/>
  <c r="S369" i="4"/>
  <c r="T367" i="4"/>
  <c r="S367" i="4"/>
  <c r="T366" i="4"/>
  <c r="S366" i="4"/>
  <c r="T365" i="4"/>
  <c r="S365" i="4"/>
  <c r="T361" i="4"/>
  <c r="S361" i="4"/>
  <c r="T360" i="4"/>
  <c r="S360" i="4"/>
  <c r="T359" i="4"/>
  <c r="S359" i="4"/>
  <c r="T358" i="4"/>
  <c r="S358" i="4"/>
  <c r="T357" i="4"/>
  <c r="S357" i="4"/>
  <c r="T356" i="4"/>
  <c r="S356" i="4"/>
  <c r="T355" i="4"/>
  <c r="S355" i="4"/>
  <c r="T352" i="4"/>
  <c r="S352" i="4"/>
  <c r="T351" i="4"/>
  <c r="S351" i="4"/>
  <c r="T348" i="4"/>
  <c r="S348" i="4"/>
  <c r="T346" i="4"/>
  <c r="S346" i="4"/>
  <c r="T345" i="4"/>
  <c r="S345" i="4"/>
  <c r="T344" i="4"/>
  <c r="S344" i="4"/>
  <c r="T343" i="4"/>
  <c r="S343" i="4"/>
  <c r="T339" i="4"/>
  <c r="S339" i="4"/>
  <c r="T338" i="4"/>
  <c r="S338" i="4"/>
  <c r="T337" i="4"/>
  <c r="S337" i="4"/>
  <c r="T335" i="4"/>
  <c r="S335" i="4"/>
  <c r="T328" i="4"/>
  <c r="S328" i="4"/>
  <c r="T326" i="4"/>
  <c r="S326" i="4"/>
  <c r="T324" i="4"/>
  <c r="S324" i="4"/>
  <c r="T321" i="4"/>
  <c r="S321" i="4"/>
  <c r="T318" i="4"/>
  <c r="S318" i="4"/>
  <c r="T313" i="4"/>
  <c r="S313" i="4"/>
  <c r="T311" i="4"/>
  <c r="S311" i="4"/>
  <c r="T309" i="4"/>
  <c r="S309" i="4"/>
  <c r="T307" i="4"/>
  <c r="S307" i="4"/>
  <c r="T306" i="4"/>
  <c r="S306" i="4"/>
  <c r="T304" i="4"/>
  <c r="S304" i="4"/>
  <c r="T303" i="4"/>
  <c r="S303" i="4"/>
  <c r="T300" i="4"/>
  <c r="S300" i="4"/>
  <c r="T298" i="4"/>
  <c r="S298" i="4"/>
  <c r="T297" i="4"/>
  <c r="S297" i="4"/>
  <c r="T296" i="4"/>
  <c r="S296" i="4"/>
  <c r="T295" i="4"/>
  <c r="S295" i="4"/>
  <c r="T294" i="4"/>
  <c r="S294" i="4"/>
  <c r="T292" i="4"/>
  <c r="S292" i="4"/>
  <c r="T290" i="4"/>
  <c r="S290" i="4"/>
  <c r="T289" i="4"/>
  <c r="S289" i="4"/>
  <c r="T288" i="4"/>
  <c r="S288" i="4"/>
  <c r="T285" i="4"/>
  <c r="S285" i="4"/>
  <c r="T281" i="4"/>
  <c r="S281" i="4"/>
  <c r="T279" i="4"/>
  <c r="S279" i="4"/>
  <c r="T278" i="4"/>
  <c r="S278" i="4"/>
  <c r="T274" i="4"/>
  <c r="S274" i="4"/>
  <c r="T273" i="4"/>
  <c r="S273" i="4"/>
  <c r="T271" i="4"/>
  <c r="S271" i="4"/>
  <c r="T267" i="4"/>
  <c r="S267" i="4"/>
  <c r="T266" i="4"/>
  <c r="S266" i="4"/>
  <c r="T265" i="4"/>
  <c r="S265" i="4"/>
  <c r="T263" i="4"/>
  <c r="S263" i="4"/>
  <c r="T262" i="4"/>
  <c r="S262" i="4"/>
  <c r="T256" i="4"/>
  <c r="S256" i="4"/>
  <c r="T252" i="4"/>
  <c r="S252" i="4"/>
  <c r="T251" i="4"/>
  <c r="S251" i="4"/>
  <c r="T249" i="4"/>
  <c r="S249" i="4"/>
  <c r="T248" i="4"/>
  <c r="S248" i="4"/>
  <c r="T247" i="4"/>
  <c r="S247" i="4"/>
  <c r="T246" i="4"/>
  <c r="S246" i="4"/>
  <c r="T244" i="4"/>
  <c r="S244" i="4"/>
  <c r="T243" i="4"/>
  <c r="S243" i="4"/>
  <c r="T242" i="4"/>
  <c r="S242" i="4"/>
  <c r="T240" i="4"/>
  <c r="S240" i="4"/>
  <c r="T237" i="4"/>
  <c r="S237" i="4"/>
  <c r="T233" i="4"/>
  <c r="S233" i="4"/>
  <c r="T231" i="4"/>
  <c r="S231" i="4"/>
  <c r="T229" i="4"/>
  <c r="S229" i="4"/>
  <c r="T224" i="4"/>
  <c r="S224" i="4"/>
  <c r="T223" i="4"/>
  <c r="S223" i="4"/>
  <c r="T217" i="4"/>
  <c r="S217" i="4"/>
  <c r="T215" i="4"/>
  <c r="S215" i="4"/>
  <c r="T214" i="4"/>
  <c r="S214" i="4"/>
  <c r="T202" i="4"/>
  <c r="S202" i="4"/>
  <c r="T198" i="4"/>
  <c r="S198" i="4"/>
  <c r="T196" i="4"/>
  <c r="S196" i="4"/>
  <c r="T194" i="4"/>
  <c r="S194" i="4"/>
  <c r="T193" i="4"/>
  <c r="S193" i="4"/>
  <c r="T192" i="4"/>
  <c r="S192" i="4"/>
  <c r="T191" i="4"/>
  <c r="S191" i="4"/>
  <c r="T187" i="4"/>
  <c r="S187" i="4"/>
  <c r="T186" i="4"/>
  <c r="S186" i="4"/>
  <c r="T185" i="4"/>
  <c r="S185" i="4"/>
  <c r="T184" i="4"/>
  <c r="S184" i="4"/>
  <c r="T182" i="4"/>
  <c r="S182" i="4"/>
  <c r="T181" i="4"/>
  <c r="S181" i="4"/>
  <c r="T180" i="4"/>
  <c r="S180" i="4"/>
  <c r="T179" i="4"/>
  <c r="S179" i="4"/>
  <c r="T178" i="4"/>
  <c r="S178" i="4"/>
  <c r="T177" i="4"/>
  <c r="S177" i="4"/>
  <c r="T175" i="4"/>
  <c r="S175" i="4"/>
  <c r="T174" i="4"/>
  <c r="S174" i="4"/>
  <c r="T173" i="4"/>
  <c r="S173" i="4"/>
  <c r="T172" i="4"/>
  <c r="S172" i="4"/>
  <c r="T171" i="4"/>
  <c r="S171" i="4"/>
  <c r="T170" i="4"/>
  <c r="S170" i="4"/>
  <c r="T169" i="4"/>
  <c r="S169" i="4"/>
  <c r="T167" i="4"/>
  <c r="S167" i="4"/>
  <c r="T166" i="4"/>
  <c r="S166" i="4"/>
  <c r="T165" i="4"/>
  <c r="S165" i="4"/>
  <c r="T164" i="4"/>
  <c r="S164" i="4"/>
  <c r="T163" i="4"/>
  <c r="S163" i="4"/>
  <c r="T162" i="4"/>
  <c r="S162" i="4"/>
  <c r="T161" i="4"/>
  <c r="S161" i="4"/>
  <c r="T155" i="4"/>
  <c r="S155" i="4"/>
  <c r="T154" i="4"/>
  <c r="S154" i="4"/>
  <c r="T151" i="4"/>
  <c r="S151" i="4"/>
  <c r="T150" i="4"/>
  <c r="S150" i="4"/>
  <c r="T149" i="4"/>
  <c r="S149" i="4"/>
  <c r="T147" i="4"/>
  <c r="S147" i="4"/>
  <c r="T146" i="4"/>
  <c r="S146" i="4"/>
  <c r="T145" i="4"/>
  <c r="S145" i="4"/>
  <c r="T143" i="4"/>
  <c r="S143" i="4"/>
  <c r="T137" i="4"/>
  <c r="S137" i="4"/>
  <c r="T136" i="4"/>
  <c r="S136" i="4"/>
  <c r="T129" i="4"/>
  <c r="S129" i="4"/>
  <c r="T128" i="4"/>
  <c r="S128" i="4"/>
  <c r="T125" i="4"/>
  <c r="S125" i="4"/>
  <c r="T124" i="4"/>
  <c r="S124" i="4"/>
  <c r="T123" i="4"/>
  <c r="S123" i="4"/>
  <c r="T121" i="4"/>
  <c r="S121" i="4"/>
  <c r="T120" i="4"/>
  <c r="S120" i="4"/>
  <c r="T119" i="4"/>
  <c r="S119" i="4"/>
  <c r="T118" i="4"/>
  <c r="S118" i="4"/>
  <c r="T117" i="4"/>
  <c r="S117" i="4"/>
  <c r="T116" i="4"/>
  <c r="S116" i="4"/>
  <c r="T109" i="4"/>
  <c r="S109" i="4"/>
  <c r="T108" i="4"/>
  <c r="S108" i="4"/>
  <c r="T107" i="4"/>
  <c r="S107" i="4"/>
  <c r="T103" i="4"/>
  <c r="S103" i="4"/>
  <c r="T95" i="4"/>
  <c r="S95" i="4"/>
  <c r="T94" i="4"/>
  <c r="S94" i="4"/>
  <c r="T92" i="4"/>
  <c r="S92" i="4"/>
  <c r="T91" i="4"/>
  <c r="S91" i="4"/>
  <c r="T90" i="4"/>
  <c r="S90" i="4"/>
  <c r="T89" i="4"/>
  <c r="S89" i="4"/>
  <c r="T88" i="4"/>
  <c r="S88" i="4"/>
  <c r="T87" i="4"/>
  <c r="S87" i="4"/>
  <c r="T86" i="4"/>
  <c r="S86" i="4"/>
  <c r="T85" i="4"/>
  <c r="S85" i="4"/>
  <c r="T79" i="4"/>
  <c r="S79" i="4"/>
  <c r="T78" i="4"/>
  <c r="S78" i="4"/>
  <c r="T77" i="4"/>
  <c r="S77" i="4"/>
  <c r="T69" i="4"/>
  <c r="S69" i="4"/>
  <c r="T68" i="4"/>
  <c r="S68" i="4"/>
  <c r="T66" i="4"/>
  <c r="S66" i="4"/>
  <c r="T64" i="4"/>
  <c r="S64" i="4"/>
  <c r="T63" i="4"/>
  <c r="S63" i="4"/>
  <c r="T62" i="4"/>
  <c r="S62" i="4"/>
  <c r="T61" i="4"/>
  <c r="S61" i="4"/>
  <c r="T60" i="4"/>
  <c r="S60" i="4"/>
  <c r="T58" i="4"/>
  <c r="S58" i="4"/>
  <c r="T56" i="4"/>
  <c r="S56" i="4"/>
  <c r="T55" i="4"/>
  <c r="S55" i="4"/>
  <c r="T53" i="4"/>
  <c r="S53" i="4"/>
  <c r="T52" i="4"/>
  <c r="S52" i="4"/>
  <c r="T51" i="4"/>
  <c r="S51" i="4"/>
  <c r="T50" i="4"/>
  <c r="S50" i="4"/>
  <c r="T49" i="4"/>
  <c r="S49" i="4"/>
  <c r="T47" i="4"/>
  <c r="S47" i="4"/>
  <c r="T46" i="4"/>
  <c r="S46" i="4"/>
  <c r="T45" i="4"/>
  <c r="S45" i="4"/>
  <c r="T44" i="4"/>
  <c r="S44" i="4"/>
  <c r="T43" i="4"/>
  <c r="S43" i="4"/>
  <c r="T42" i="4"/>
  <c r="S42" i="4"/>
  <c r="T34" i="4"/>
  <c r="S34" i="4"/>
  <c r="T33" i="4"/>
  <c r="S33" i="4"/>
  <c r="T32" i="4"/>
  <c r="S32" i="4"/>
  <c r="T30" i="4"/>
  <c r="S30" i="4"/>
  <c r="T26" i="4"/>
  <c r="S26" i="4"/>
  <c r="T25" i="4"/>
  <c r="S25" i="4"/>
  <c r="T24" i="4"/>
  <c r="S24" i="4"/>
  <c r="T21" i="4"/>
  <c r="S21" i="4"/>
  <c r="T17" i="4"/>
  <c r="S17" i="4"/>
  <c r="T13" i="4"/>
  <c r="S13" i="4"/>
  <c r="T8" i="4"/>
  <c r="S8" i="4"/>
  <c r="AH88" i="4"/>
  <c r="AH89" i="4"/>
  <c r="AH91" i="4"/>
  <c r="AH93" i="4"/>
  <c r="D14" i="8"/>
  <c r="C14" i="8"/>
  <c r="B14" i="8"/>
  <c r="I13" i="8"/>
  <c r="H13" i="8"/>
  <c r="G13" i="8"/>
  <c r="F13" i="8"/>
  <c r="E13" i="8"/>
  <c r="D13" i="8"/>
  <c r="C13" i="8"/>
  <c r="B13" i="8"/>
  <c r="I12" i="8"/>
  <c r="H14" i="8"/>
  <c r="B15" i="8"/>
  <c r="G14" i="8"/>
  <c r="AH72" i="4"/>
  <c r="F14" i="8"/>
  <c r="E14" i="8"/>
  <c r="H112" i="5"/>
  <c r="C59" i="14"/>
  <c r="B70" i="14"/>
  <c r="N14" i="2" s="1"/>
  <c r="S2" i="4"/>
  <c r="H134" i="5"/>
  <c r="H143" i="5"/>
  <c r="H122" i="5"/>
  <c r="L5" i="7"/>
  <c r="H6" i="7"/>
  <c r="K5" i="7"/>
  <c r="G6" i="7"/>
  <c r="G7" i="7"/>
  <c r="K6" i="7"/>
  <c r="K7" i="7"/>
  <c r="L51" i="2" l="1"/>
  <c r="O4" i="6"/>
  <c r="O51" i="2"/>
  <c r="O5" i="6"/>
  <c r="Q52" i="2" s="1"/>
  <c r="O52" i="2"/>
  <c r="O11" i="6"/>
  <c r="Q58" i="2" s="1"/>
  <c r="O58" i="2"/>
  <c r="O6" i="6"/>
  <c r="Q53" i="2" s="1"/>
  <c r="O53" i="2"/>
  <c r="O7" i="6"/>
  <c r="Q54" i="2" s="1"/>
  <c r="O54" i="2"/>
  <c r="O8" i="6"/>
  <c r="Q55" i="2" s="1"/>
  <c r="O55" i="2"/>
  <c r="O9" i="6"/>
  <c r="Q56" i="2" s="1"/>
  <c r="O56" i="2"/>
  <c r="O10" i="6"/>
  <c r="Q57" i="2" s="1"/>
  <c r="O57" i="2"/>
  <c r="O12" i="6"/>
  <c r="Q59" i="2" s="1"/>
  <c r="O59" i="2"/>
  <c r="O13" i="6"/>
  <c r="Q60" i="2" s="1"/>
  <c r="O60" i="2"/>
  <c r="B26" i="10"/>
  <c r="A20" i="14"/>
  <c r="I168" i="5"/>
  <c r="B169" i="5"/>
  <c r="D169" i="5"/>
  <c r="E169" i="5"/>
  <c r="J169" i="5"/>
  <c r="A170" i="5"/>
  <c r="B21" i="14"/>
  <c r="D20" i="14"/>
  <c r="C20" i="14"/>
  <c r="B18" i="11"/>
  <c r="B20" i="11" s="1"/>
  <c r="B21" i="11" s="1"/>
  <c r="B32" i="3"/>
  <c r="Q6" i="2"/>
  <c r="D54" i="2"/>
  <c r="H54" i="2" s="1"/>
  <c r="B20" i="3"/>
  <c r="B217" i="5"/>
  <c r="B226" i="5" s="1"/>
  <c r="B19" i="11" s="1"/>
  <c r="C217" i="5"/>
  <c r="C218" i="5" s="1"/>
  <c r="D217" i="5"/>
  <c r="D218" i="5" s="1"/>
  <c r="E217" i="5"/>
  <c r="E218" i="5" s="1"/>
  <c r="F217" i="5"/>
  <c r="F218" i="5" s="1"/>
  <c r="I14" i="8"/>
  <c r="E56" i="12"/>
  <c r="G88" i="10"/>
  <c r="F88" i="10"/>
  <c r="E88" i="10"/>
  <c r="D88" i="10"/>
  <c r="C88" i="10"/>
  <c r="B88" i="10"/>
  <c r="G87" i="10"/>
  <c r="G86" i="10"/>
  <c r="G85" i="10"/>
  <c r="G84" i="10"/>
  <c r="G83" i="10"/>
  <c r="C78" i="10"/>
  <c r="B78" i="10"/>
  <c r="C77" i="10"/>
  <c r="B77" i="10"/>
  <c r="C72" i="10"/>
  <c r="C71" i="10"/>
  <c r="B67" i="10"/>
  <c r="B66" i="10"/>
  <c r="B64" i="10"/>
  <c r="B206" i="5"/>
  <c r="D137" i="5"/>
  <c r="D148" i="5"/>
  <c r="G169" i="5"/>
  <c r="H168" i="5"/>
  <c r="H169" i="5"/>
  <c r="F168" i="5"/>
  <c r="AH109" i="4"/>
  <c r="C15" i="8"/>
  <c r="D15" i="8"/>
  <c r="E15" i="8"/>
  <c r="F15" i="8"/>
  <c r="G15" i="8"/>
  <c r="H15" i="8"/>
  <c r="I15" i="8"/>
  <c r="B16" i="8"/>
  <c r="C16" i="8"/>
  <c r="D16" i="8"/>
  <c r="E16" i="8"/>
  <c r="F16" i="8"/>
  <c r="G16" i="8"/>
  <c r="H16" i="8"/>
  <c r="I16" i="8"/>
  <c r="B17" i="8"/>
  <c r="C17" i="8"/>
  <c r="D17" i="8"/>
  <c r="E17" i="8"/>
  <c r="F17" i="8"/>
  <c r="G17" i="8"/>
  <c r="H17" i="8"/>
  <c r="I17" i="8"/>
  <c r="B18" i="8"/>
  <c r="C18" i="8"/>
  <c r="D18" i="8"/>
  <c r="E18" i="8"/>
  <c r="F18" i="8"/>
  <c r="G18" i="8"/>
  <c r="I18" i="8"/>
  <c r="B19" i="8"/>
  <c r="C19" i="8"/>
  <c r="D19" i="8"/>
  <c r="E19" i="8"/>
  <c r="F19" i="8"/>
  <c r="H18" i="8"/>
  <c r="H7" i="7"/>
  <c r="L6" i="7"/>
  <c r="G8" i="7"/>
  <c r="P4" i="6" l="1"/>
  <c r="Q4" i="6" s="1"/>
  <c r="B11" i="3" s="1"/>
  <c r="P13" i="6"/>
  <c r="Q13" i="6" s="1"/>
  <c r="P14" i="6"/>
  <c r="Q14" i="6" s="1"/>
  <c r="P15" i="6"/>
  <c r="Q15" i="6" s="1"/>
  <c r="P17" i="6"/>
  <c r="Q17" i="6" s="1"/>
  <c r="P18" i="6"/>
  <c r="Q18" i="6" s="1"/>
  <c r="P19" i="6"/>
  <c r="Q19" i="6" s="1"/>
  <c r="Q51" i="2"/>
  <c r="P5" i="6"/>
  <c r="Q5" i="6" s="1"/>
  <c r="P6" i="6"/>
  <c r="Q6" i="6" s="1"/>
  <c r="P7" i="6"/>
  <c r="Q7" i="6" s="1"/>
  <c r="P8" i="6"/>
  <c r="Q8" i="6" s="1"/>
  <c r="P9" i="6"/>
  <c r="Q9" i="6" s="1"/>
  <c r="P10" i="6"/>
  <c r="Q10" i="6" s="1"/>
  <c r="P11" i="6"/>
  <c r="Q11" i="6" s="1"/>
  <c r="P12" i="6"/>
  <c r="Q12" i="6" s="1"/>
  <c r="P16" i="6"/>
  <c r="Q16" i="6" s="1"/>
  <c r="P20" i="6"/>
  <c r="Q20" i="6" s="1"/>
  <c r="P21" i="6"/>
  <c r="Q21" i="6" s="1"/>
  <c r="P22" i="6"/>
  <c r="Q22" i="6" s="1"/>
  <c r="P23" i="6"/>
  <c r="Q23" i="6" s="1"/>
  <c r="B27" i="10"/>
  <c r="A21" i="14"/>
  <c r="I169" i="5"/>
  <c r="B170" i="5"/>
  <c r="D170" i="5"/>
  <c r="E170" i="5"/>
  <c r="J170" i="5"/>
  <c r="A171" i="5"/>
  <c r="B22" i="14"/>
  <c r="C21" i="14"/>
  <c r="D21" i="14"/>
  <c r="I54" i="2"/>
  <c r="Q7" i="2"/>
  <c r="B218" i="5"/>
  <c r="B17" i="11"/>
  <c r="C220" i="5"/>
  <c r="C219" i="5"/>
  <c r="C10" i="11" s="1"/>
  <c r="C11" i="11" s="1"/>
  <c r="D220" i="5"/>
  <c r="D219" i="5"/>
  <c r="D10" i="11" s="1"/>
  <c r="D11" i="11" s="1"/>
  <c r="E220" i="5"/>
  <c r="E219" i="5"/>
  <c r="E10" i="11" s="1"/>
  <c r="E11" i="11" s="1"/>
  <c r="F220" i="5"/>
  <c r="F219" i="5"/>
  <c r="F10" i="11" s="1"/>
  <c r="F11" i="11" s="1"/>
  <c r="D78" i="10"/>
  <c r="E78" i="10" s="1"/>
  <c r="F78" i="10"/>
  <c r="G78" i="10"/>
  <c r="A92" i="10"/>
  <c r="D77" i="10"/>
  <c r="D71" i="10"/>
  <c r="C73" i="10"/>
  <c r="B72" i="10"/>
  <c r="B73" i="10"/>
  <c r="B65" i="10"/>
  <c r="B63" i="10"/>
  <c r="C20" i="8"/>
  <c r="C21" i="8"/>
  <c r="D21" i="8"/>
  <c r="F21" i="8"/>
  <c r="G21" i="8"/>
  <c r="H21" i="8"/>
  <c r="AH120" i="4"/>
  <c r="L7" i="7"/>
  <c r="K8" i="7"/>
  <c r="F169" i="5"/>
  <c r="H19" i="8"/>
  <c r="I19" i="8"/>
  <c r="G19" i="8"/>
  <c r="AH137" i="4"/>
  <c r="D20" i="8"/>
  <c r="E20" i="8"/>
  <c r="F20" i="8"/>
  <c r="G20" i="8"/>
  <c r="H20" i="8"/>
  <c r="I20" i="8"/>
  <c r="B21" i="8"/>
  <c r="H8" i="7"/>
  <c r="L8" i="7"/>
  <c r="G9" i="7"/>
  <c r="B28" i="10" l="1"/>
  <c r="A22" i="14"/>
  <c r="H170" i="5"/>
  <c r="I170" i="5"/>
  <c r="B171" i="5"/>
  <c r="D171" i="5"/>
  <c r="E171" i="5"/>
  <c r="J171" i="5"/>
  <c r="A172" i="5"/>
  <c r="B23" i="14"/>
  <c r="C22" i="14"/>
  <c r="D22" i="14"/>
  <c r="B220" i="5"/>
  <c r="B219" i="5"/>
  <c r="B10" i="11" s="1"/>
  <c r="B11" i="11" s="1"/>
  <c r="C221" i="5"/>
  <c r="D221" i="5"/>
  <c r="E221" i="5"/>
  <c r="F221" i="5"/>
  <c r="AH141" i="4"/>
  <c r="H9" i="7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30" i="7" s="1"/>
  <c r="H31" i="7" s="1"/>
  <c r="H32" i="7" s="1"/>
  <c r="H33" i="7" s="1"/>
  <c r="H36" i="7" s="1"/>
  <c r="H37" i="7" s="1"/>
  <c r="H38" i="7" s="1"/>
  <c r="H39" i="7" s="1"/>
  <c r="H40" i="7" s="1"/>
  <c r="H41" i="7" s="1"/>
  <c r="H42" i="7" s="1"/>
  <c r="H43" i="7" s="1"/>
  <c r="H45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8" i="7" s="1"/>
  <c r="H69" i="7" s="1"/>
  <c r="H70" i="7" s="1"/>
  <c r="H72" i="7" s="1"/>
  <c r="H73" i="7" s="1"/>
  <c r="H74" i="7" s="1"/>
  <c r="H75" i="7" s="1"/>
  <c r="H76" i="7" s="1"/>
  <c r="H77" i="7" s="1"/>
  <c r="H78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G11" i="7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2" i="7" s="1"/>
  <c r="G43" i="7" s="1"/>
  <c r="G44" i="7" s="1"/>
  <c r="G45" i="7" s="1"/>
  <c r="G46" i="7" s="1"/>
  <c r="G47" i="7" s="1"/>
  <c r="G48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2" i="7" s="1"/>
  <c r="G73" i="7" s="1"/>
  <c r="G74" i="7" s="1"/>
  <c r="G75" i="7" s="1"/>
  <c r="G78" i="7" s="1"/>
  <c r="G79" i="7" s="1"/>
  <c r="G80" i="7" s="1"/>
  <c r="G81" i="7" s="1"/>
  <c r="G83" i="7" s="1"/>
  <c r="G84" i="7" s="1"/>
  <c r="G85" i="7" s="1"/>
  <c r="G88" i="7" s="1"/>
  <c r="G89" i="7" s="1"/>
  <c r="G90" i="7" s="1"/>
  <c r="G91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E77" i="10"/>
  <c r="F170" i="5"/>
  <c r="G170" i="5"/>
  <c r="D72" i="10"/>
  <c r="E71" i="10" s="1"/>
  <c r="F71" i="10" s="1"/>
  <c r="F77" i="10"/>
  <c r="G77" i="10"/>
  <c r="D22" i="8"/>
  <c r="E21" i="8"/>
  <c r="I21" i="8"/>
  <c r="L9" i="7"/>
  <c r="K26" i="7"/>
  <c r="K22" i="7"/>
  <c r="K14" i="7"/>
  <c r="K25" i="7"/>
  <c r="K45" i="7"/>
  <c r="K32" i="7"/>
  <c r="K56" i="7"/>
  <c r="K41" i="7"/>
  <c r="K17" i="7"/>
  <c r="K12" i="7"/>
  <c r="K71" i="7"/>
  <c r="K63" i="7"/>
  <c r="K53" i="7"/>
  <c r="K40" i="7"/>
  <c r="K10" i="7"/>
  <c r="K16" i="7"/>
  <c r="K23" i="7"/>
  <c r="K29" i="7"/>
  <c r="K36" i="7"/>
  <c r="B29" i="10" l="1"/>
  <c r="A23" i="14"/>
  <c r="I171" i="5"/>
  <c r="B172" i="5"/>
  <c r="D172" i="5"/>
  <c r="E172" i="5"/>
  <c r="J172" i="5"/>
  <c r="A173" i="5"/>
  <c r="B24" i="14"/>
  <c r="C23" i="14"/>
  <c r="D23" i="14"/>
  <c r="B221" i="5"/>
  <c r="E27" i="8"/>
  <c r="G27" i="8"/>
  <c r="B28" i="8"/>
  <c r="C29" i="8"/>
  <c r="I22" i="8"/>
  <c r="E22" i="8"/>
  <c r="B22" i="8"/>
  <c r="E29" i="8"/>
  <c r="F27" i="8"/>
  <c r="I27" i="8"/>
  <c r="F28" i="8"/>
  <c r="D29" i="8"/>
  <c r="F23" i="8"/>
  <c r="B23" i="8"/>
  <c r="F22" i="8"/>
  <c r="C22" i="8"/>
  <c r="D27" i="8"/>
  <c r="G28" i="8"/>
  <c r="B29" i="8"/>
  <c r="C23" i="8"/>
  <c r="E28" i="8"/>
  <c r="D23" i="8"/>
  <c r="D26" i="8"/>
  <c r="H28" i="8"/>
  <c r="B26" i="8"/>
  <c r="G25" i="8"/>
  <c r="C25" i="8"/>
  <c r="H24" i="8"/>
  <c r="C26" i="8"/>
  <c r="F25" i="8"/>
  <c r="D25" i="8"/>
  <c r="I24" i="8"/>
  <c r="E24" i="8"/>
  <c r="I23" i="8"/>
  <c r="AH143" i="4"/>
  <c r="E26" i="8"/>
  <c r="I25" i="8"/>
  <c r="E25" i="8"/>
  <c r="B25" i="8"/>
  <c r="F24" i="8"/>
  <c r="C24" i="8"/>
  <c r="H25" i="8"/>
  <c r="G24" i="8"/>
  <c r="G22" i="8"/>
  <c r="C28" i="8"/>
  <c r="G23" i="8"/>
  <c r="H22" i="8"/>
  <c r="I28" i="8"/>
  <c r="H103" i="7"/>
  <c r="L103" i="7" s="1"/>
  <c r="G103" i="7"/>
  <c r="K103" i="7" s="1"/>
  <c r="M103" i="7" s="1"/>
  <c r="F33" i="8"/>
  <c r="D33" i="8"/>
  <c r="C33" i="8"/>
  <c r="I32" i="8"/>
  <c r="H32" i="8"/>
  <c r="G32" i="8"/>
  <c r="E32" i="8"/>
  <c r="D32" i="8"/>
  <c r="B32" i="8"/>
  <c r="I31" i="8"/>
  <c r="G31" i="8"/>
  <c r="G30" i="8"/>
  <c r="G29" i="8"/>
  <c r="H29" i="8"/>
  <c r="C30" i="8"/>
  <c r="D30" i="8"/>
  <c r="B30" i="8"/>
  <c r="F29" i="8"/>
  <c r="B31" i="8"/>
  <c r="E31" i="8"/>
  <c r="H31" i="8"/>
  <c r="C32" i="8"/>
  <c r="F32" i="8"/>
  <c r="B33" i="8"/>
  <c r="E33" i="8"/>
  <c r="G33" i="8"/>
  <c r="B20" i="8"/>
  <c r="G172" i="5"/>
  <c r="G171" i="5"/>
  <c r="H172" i="5"/>
  <c r="F171" i="5"/>
  <c r="H171" i="5"/>
  <c r="C12" i="11"/>
  <c r="C222" i="5"/>
  <c r="D12" i="11"/>
  <c r="D222" i="5"/>
  <c r="D13" i="11" s="1"/>
  <c r="E12" i="11"/>
  <c r="E222" i="5"/>
  <c r="E13" i="11" s="1"/>
  <c r="F12" i="11"/>
  <c r="F222" i="5"/>
  <c r="F13" i="11" s="1"/>
  <c r="B30" i="10" l="1"/>
  <c r="A24" i="14"/>
  <c r="I172" i="5"/>
  <c r="B173" i="5"/>
  <c r="D173" i="5"/>
  <c r="E173" i="5"/>
  <c r="J173" i="5"/>
  <c r="A174" i="5"/>
  <c r="B25" i="14"/>
  <c r="C24" i="14"/>
  <c r="D24" i="14"/>
  <c r="L98" i="7"/>
  <c r="L37" i="7"/>
  <c r="L27" i="7"/>
  <c r="L15" i="7"/>
  <c r="L42" i="7"/>
  <c r="L53" i="7"/>
  <c r="L65" i="7"/>
  <c r="L74" i="7"/>
  <c r="L86" i="7"/>
  <c r="L94" i="7"/>
  <c r="L97" i="7"/>
  <c r="L90" i="7"/>
  <c r="L84" i="7"/>
  <c r="L34" i="7"/>
  <c r="L61" i="7"/>
  <c r="L43" i="7"/>
  <c r="L39" i="7"/>
  <c r="L47" i="7"/>
  <c r="L56" i="7"/>
  <c r="L69" i="7"/>
  <c r="L82" i="7"/>
  <c r="L89" i="7"/>
  <c r="L100" i="7"/>
  <c r="L46" i="7"/>
  <c r="L76" i="7"/>
  <c r="L49" i="7"/>
  <c r="L50" i="7"/>
  <c r="L78" i="7"/>
  <c r="L55" i="7"/>
  <c r="L60" i="7"/>
  <c r="L71" i="7"/>
  <c r="L102" i="7"/>
  <c r="L95" i="7"/>
  <c r="L88" i="7"/>
  <c r="L80" i="7"/>
  <c r="L73" i="7"/>
  <c r="L66" i="7"/>
  <c r="L58" i="7"/>
  <c r="L52" i="7"/>
  <c r="L91" i="7"/>
  <c r="L23" i="7"/>
  <c r="L40" i="7"/>
  <c r="L31" i="7"/>
  <c r="L70" i="7"/>
  <c r="L21" i="7"/>
  <c r="L96" i="7"/>
  <c r="L99" i="7"/>
  <c r="L10" i="7"/>
  <c r="L14" i="7"/>
  <c r="L17" i="7"/>
  <c r="L22" i="7"/>
  <c r="L25" i="7"/>
  <c r="L28" i="7"/>
  <c r="L93" i="7"/>
  <c r="L33" i="7"/>
  <c r="L36" i="7"/>
  <c r="L18" i="7"/>
  <c r="L77" i="7"/>
  <c r="L63" i="7"/>
  <c r="L54" i="7"/>
  <c r="L67" i="7"/>
  <c r="L62" i="7"/>
  <c r="L51" i="7"/>
  <c r="L48" i="7"/>
  <c r="L44" i="7"/>
  <c r="L41" i="7"/>
  <c r="L38" i="7"/>
  <c r="L35" i="7"/>
  <c r="L32" i="7"/>
  <c r="L30" i="7"/>
  <c r="L29" i="7"/>
  <c r="L26" i="7"/>
  <c r="L24" i="7"/>
  <c r="L19" i="7"/>
  <c r="L16" i="7"/>
  <c r="L13" i="7"/>
  <c r="L11" i="7"/>
  <c r="L59" i="7"/>
  <c r="L64" i="7"/>
  <c r="L101" i="7"/>
  <c r="L20" i="7"/>
  <c r="L83" i="7"/>
  <c r="L87" i="7"/>
  <c r="L92" i="7"/>
  <c r="L12" i="7"/>
  <c r="L81" i="7"/>
  <c r="L85" i="7"/>
  <c r="L68" i="7"/>
  <c r="L79" i="7"/>
  <c r="L45" i="7"/>
  <c r="L75" i="7"/>
  <c r="L57" i="7"/>
  <c r="L72" i="7"/>
  <c r="K86" i="7"/>
  <c r="K96" i="7"/>
  <c r="M96" i="7" s="1"/>
  <c r="K101" i="7"/>
  <c r="M101" i="7" s="1"/>
  <c r="K100" i="7"/>
  <c r="M100" i="7" s="1"/>
  <c r="K83" i="7"/>
  <c r="K65" i="7"/>
  <c r="K94" i="7"/>
  <c r="M94" i="7" s="1"/>
  <c r="K59" i="7"/>
  <c r="K67" i="7"/>
  <c r="K74" i="7"/>
  <c r="K60" i="7"/>
  <c r="K76" i="7"/>
  <c r="K50" i="7"/>
  <c r="K42" i="7"/>
  <c r="K35" i="7"/>
  <c r="K28" i="7"/>
  <c r="K27" i="7"/>
  <c r="K90" i="7"/>
  <c r="K11" i="7"/>
  <c r="K80" i="7"/>
  <c r="K73" i="7"/>
  <c r="K49" i="7"/>
  <c r="K43" i="7"/>
  <c r="K18" i="7"/>
  <c r="K85" i="7"/>
  <c r="K62" i="7"/>
  <c r="K39" i="7"/>
  <c r="K9" i="7"/>
  <c r="K30" i="7"/>
  <c r="M30" i="7" s="1"/>
  <c r="K47" i="7"/>
  <c r="M47" i="7" s="1"/>
  <c r="K64" i="7"/>
  <c r="M64" i="7" s="1"/>
  <c r="K19" i="7"/>
  <c r="M19" i="7" s="1"/>
  <c r="K13" i="7"/>
  <c r="M13" i="7" s="1"/>
  <c r="K21" i="7"/>
  <c r="M21" i="7" s="1"/>
  <c r="K54" i="7"/>
  <c r="M54" i="7" s="1"/>
  <c r="K93" i="7"/>
  <c r="M93" i="7" s="1"/>
  <c r="K98" i="7"/>
  <c r="M98" i="7" s="1"/>
  <c r="K20" i="7"/>
  <c r="M20" i="7" s="1"/>
  <c r="K92" i="7"/>
  <c r="M92" i="7" s="1"/>
  <c r="K89" i="7"/>
  <c r="M89" i="7" s="1"/>
  <c r="K87" i="7"/>
  <c r="M87" i="7" s="1"/>
  <c r="K82" i="7"/>
  <c r="M82" i="7" s="1"/>
  <c r="K79" i="7"/>
  <c r="M79" i="7" s="1"/>
  <c r="K75" i="7"/>
  <c r="M75" i="7" s="1"/>
  <c r="K72" i="7"/>
  <c r="M72" i="7" s="1"/>
  <c r="K70" i="7"/>
  <c r="M70" i="7" s="1"/>
  <c r="K68" i="7"/>
  <c r="M68" i="7" s="1"/>
  <c r="K61" i="7"/>
  <c r="M61" i="7" s="1"/>
  <c r="K58" i="7"/>
  <c r="M58" i="7" s="1"/>
  <c r="K55" i="7"/>
  <c r="M55" i="7" s="1"/>
  <c r="K51" i="7"/>
  <c r="K44" i="7"/>
  <c r="K38" i="7"/>
  <c r="K34" i="7"/>
  <c r="K31" i="7"/>
  <c r="K24" i="7"/>
  <c r="K15" i="7"/>
  <c r="K37" i="7"/>
  <c r="K48" i="7"/>
  <c r="K84" i="7"/>
  <c r="K95" i="7"/>
  <c r="M95" i="7" s="1"/>
  <c r="K99" i="7"/>
  <c r="M99" i="7" s="1"/>
  <c r="K102" i="7"/>
  <c r="M102" i="7" s="1"/>
  <c r="K78" i="7"/>
  <c r="K81" i="7"/>
  <c r="K57" i="7"/>
  <c r="K46" i="7"/>
  <c r="K66" i="7"/>
  <c r="K88" i="7"/>
  <c r="K97" i="7"/>
  <c r="M97" i="7" s="1"/>
  <c r="K91" i="7"/>
  <c r="K77" i="7"/>
  <c r="K33" i="7"/>
  <c r="K52" i="7"/>
  <c r="K69" i="7"/>
  <c r="B26" i="3"/>
  <c r="C13" i="11"/>
  <c r="G173" i="5"/>
  <c r="F172" i="5"/>
  <c r="B12" i="11"/>
  <c r="B222" i="5"/>
  <c r="B13" i="11" s="1"/>
  <c r="AH144" i="4"/>
  <c r="I29" i="8"/>
  <c r="B24" i="8"/>
  <c r="M7" i="7"/>
  <c r="M6" i="7"/>
  <c r="M5" i="7"/>
  <c r="B31" i="10" l="1"/>
  <c r="A25" i="14"/>
  <c r="I173" i="5"/>
  <c r="B174" i="5"/>
  <c r="D174" i="5"/>
  <c r="E174" i="5"/>
  <c r="J174" i="5"/>
  <c r="A175" i="5"/>
  <c r="B26" i="14"/>
  <c r="C25" i="14"/>
  <c r="D25" i="14"/>
  <c r="M8" i="7"/>
  <c r="M56" i="7"/>
  <c r="M32" i="7"/>
  <c r="M45" i="7"/>
  <c r="M25" i="7"/>
  <c r="M14" i="7"/>
  <c r="M22" i="7"/>
  <c r="M26" i="7"/>
  <c r="M63" i="7"/>
  <c r="M36" i="7"/>
  <c r="M23" i="7"/>
  <c r="M29" i="7"/>
  <c r="M10" i="7"/>
  <c r="M40" i="7"/>
  <c r="M53" i="7"/>
  <c r="M12" i="7"/>
  <c r="M17" i="7"/>
  <c r="M41" i="7"/>
  <c r="M71" i="7"/>
  <c r="M16" i="7"/>
  <c r="P6" i="7"/>
  <c r="M9" i="7"/>
  <c r="F31" i="8"/>
  <c r="AH146" i="4"/>
  <c r="AH153" i="4" s="1"/>
  <c r="M86" i="7"/>
  <c r="M83" i="7"/>
  <c r="M65" i="7"/>
  <c r="M59" i="7"/>
  <c r="M67" i="7"/>
  <c r="M74" i="7"/>
  <c r="M60" i="7"/>
  <c r="M76" i="7"/>
  <c r="M50" i="7"/>
  <c r="M42" i="7"/>
  <c r="M35" i="7"/>
  <c r="M28" i="7"/>
  <c r="M27" i="7"/>
  <c r="M90" i="7"/>
  <c r="M11" i="7"/>
  <c r="M80" i="7"/>
  <c r="M73" i="7"/>
  <c r="M49" i="7"/>
  <c r="M43" i="7"/>
  <c r="M18" i="7"/>
  <c r="M85" i="7"/>
  <c r="M62" i="7"/>
  <c r="M39" i="7"/>
  <c r="M51" i="7"/>
  <c r="M44" i="7"/>
  <c r="M38" i="7"/>
  <c r="M34" i="7"/>
  <c r="M31" i="7"/>
  <c r="M24" i="7"/>
  <c r="M15" i="7"/>
  <c r="M37" i="7"/>
  <c r="M48" i="7"/>
  <c r="M84" i="7"/>
  <c r="M78" i="7"/>
  <c r="M81" i="7"/>
  <c r="M57" i="7"/>
  <c r="M46" i="7"/>
  <c r="M66" i="7"/>
  <c r="M88" i="7"/>
  <c r="M91" i="7"/>
  <c r="M77" i="7"/>
  <c r="M33" i="7"/>
  <c r="M52" i="7"/>
  <c r="M69" i="7"/>
  <c r="H173" i="5"/>
  <c r="G174" i="5"/>
  <c r="F173" i="5"/>
  <c r="P7" i="7"/>
  <c r="M4" i="7"/>
  <c r="B32" i="10" l="1"/>
  <c r="A26" i="14"/>
  <c r="I174" i="5"/>
  <c r="B175" i="5"/>
  <c r="D175" i="5"/>
  <c r="E175" i="5"/>
  <c r="J175" i="5"/>
  <c r="A176" i="5"/>
  <c r="B27" i="14"/>
  <c r="C26" i="14"/>
  <c r="D26" i="14"/>
  <c r="D31" i="8"/>
  <c r="AH156" i="4"/>
  <c r="P8" i="7"/>
  <c r="F174" i="5"/>
  <c r="H174" i="5"/>
  <c r="B33" i="10" l="1"/>
  <c r="A27" i="14"/>
  <c r="I175" i="5"/>
  <c r="B176" i="5"/>
  <c r="D176" i="5"/>
  <c r="E176" i="5"/>
  <c r="J176" i="5"/>
  <c r="A177" i="5"/>
  <c r="B28" i="14"/>
  <c r="C27" i="14"/>
  <c r="D27" i="14"/>
  <c r="C31" i="8"/>
  <c r="AH157" i="4"/>
  <c r="G175" i="5"/>
  <c r="H175" i="5"/>
  <c r="F175" i="5"/>
  <c r="B34" i="10" l="1"/>
  <c r="A28" i="14"/>
  <c r="I176" i="5"/>
  <c r="B177" i="5"/>
  <c r="D177" i="5"/>
  <c r="E177" i="5"/>
  <c r="J177" i="5"/>
  <c r="A178" i="5"/>
  <c r="B29" i="14"/>
  <c r="C28" i="14"/>
  <c r="D28" i="14"/>
  <c r="I30" i="8"/>
  <c r="AH158" i="4"/>
  <c r="G176" i="5"/>
  <c r="F176" i="5"/>
  <c r="G177" i="5"/>
  <c r="H176" i="5"/>
  <c r="B35" i="10" l="1"/>
  <c r="A29" i="14"/>
  <c r="I177" i="5"/>
  <c r="B178" i="5"/>
  <c r="D178" i="5"/>
  <c r="E178" i="5"/>
  <c r="J178" i="5"/>
  <c r="A179" i="5"/>
  <c r="B30" i="14"/>
  <c r="C29" i="14"/>
  <c r="D29" i="14"/>
  <c r="H30" i="8"/>
  <c r="AH160" i="4"/>
  <c r="H177" i="5"/>
  <c r="F177" i="5"/>
  <c r="B36" i="10" l="1"/>
  <c r="A30" i="14"/>
  <c r="B182" i="5"/>
  <c r="B184" i="5"/>
  <c r="B183" i="5"/>
  <c r="B185" i="5"/>
  <c r="B10" i="10"/>
  <c r="C14" i="10"/>
  <c r="C15" i="10"/>
  <c r="B21" i="10"/>
  <c r="C20" i="10"/>
  <c r="B20" i="10"/>
  <c r="C21" i="10"/>
  <c r="B9" i="10"/>
  <c r="B7" i="10"/>
  <c r="I178" i="5"/>
  <c r="B179" i="5"/>
  <c r="A31" i="14" s="1"/>
  <c r="D179" i="5"/>
  <c r="E179" i="5"/>
  <c r="J179" i="5"/>
  <c r="B31" i="14"/>
  <c r="C30" i="14"/>
  <c r="D30" i="14"/>
  <c r="AH175" i="4"/>
  <c r="H178" i="5"/>
  <c r="F178" i="5"/>
  <c r="G179" i="5"/>
  <c r="G178" i="5"/>
  <c r="B181" i="5"/>
  <c r="E57" i="12"/>
  <c r="B15" i="10" l="1"/>
  <c r="B16" i="10"/>
  <c r="D14" i="10"/>
  <c r="E14" i="10" s="1"/>
  <c r="F14" i="10" s="1"/>
  <c r="B17" i="3" s="1"/>
  <c r="C16" i="10"/>
  <c r="D21" i="10"/>
  <c r="E21" i="10" s="1"/>
  <c r="F21" i="10"/>
  <c r="G21" i="10"/>
  <c r="A90" i="10"/>
  <c r="B23" i="3" s="1"/>
  <c r="D20" i="10"/>
  <c r="E20" i="10" s="1"/>
  <c r="F20" i="10"/>
  <c r="C25" i="10"/>
  <c r="D25" i="10" s="1"/>
  <c r="C26" i="10"/>
  <c r="D26" i="10" s="1"/>
  <c r="C27" i="10"/>
  <c r="D27" i="10" s="1"/>
  <c r="C28" i="10"/>
  <c r="D28" i="10" s="1"/>
  <c r="C29" i="10"/>
  <c r="D29" i="10" s="1"/>
  <c r="C30" i="10"/>
  <c r="D30" i="10" s="1"/>
  <c r="C31" i="10"/>
  <c r="D31" i="10" s="1"/>
  <c r="C32" i="10"/>
  <c r="D32" i="10" s="1"/>
  <c r="C33" i="10"/>
  <c r="D33" i="10" s="1"/>
  <c r="C34" i="10"/>
  <c r="D34" i="10" s="1"/>
  <c r="C35" i="10"/>
  <c r="D35" i="10" s="1"/>
  <c r="C36" i="10"/>
  <c r="D36" i="10" s="1"/>
  <c r="B8" i="10"/>
  <c r="B6" i="10"/>
  <c r="C31" i="14"/>
  <c r="D31" i="14"/>
  <c r="AH190" i="4"/>
  <c r="I179" i="5"/>
  <c r="H179" i="5"/>
  <c r="F179" i="5"/>
  <c r="AH191" i="4" l="1"/>
  <c r="D15" i="10"/>
  <c r="G20" i="10"/>
  <c r="AH197" i="4" l="1"/>
  <c r="I34" i="8" l="1"/>
  <c r="B34" i="8"/>
  <c r="C34" i="8"/>
  <c r="G34" i="8"/>
  <c r="H34" i="8"/>
  <c r="E34" i="8"/>
  <c r="AH198" i="4"/>
  <c r="F34" i="8"/>
  <c r="D34" i="8"/>
  <c r="AH208" i="4" l="1"/>
  <c r="AH217" i="4" s="1"/>
  <c r="AH226" i="4" s="1"/>
  <c r="AH240" i="4" s="1"/>
  <c r="AH261" i="4" s="1"/>
  <c r="AH268" i="4" s="1"/>
  <c r="AH280" i="4" s="1"/>
  <c r="AH282" i="4" s="1"/>
  <c r="AH293" i="4" s="1"/>
  <c r="AH304" i="4" s="1"/>
  <c r="AH309" i="4" s="1"/>
  <c r="AH318" i="4" s="1"/>
  <c r="AH323" i="4" s="1"/>
  <c r="AH334" i="4" s="1"/>
  <c r="AH340" i="4" s="1"/>
  <c r="AH361" i="4" s="1"/>
  <c r="AH381" i="4" s="1"/>
  <c r="AH392" i="4" s="1"/>
  <c r="AH396" i="4" s="1"/>
  <c r="AH410" i="4" s="1"/>
  <c r="AH414" i="4" s="1"/>
  <c r="AH422" i="4" s="1"/>
  <c r="AH431" i="4" s="1"/>
  <c r="AH434" i="4" s="1"/>
  <c r="AH446" i="4" s="1"/>
  <c r="AH451" i="4" s="1"/>
  <c r="AH457" i="4" s="1"/>
  <c r="AH483" i="4" s="1"/>
  <c r="AH487" i="4" s="1"/>
  <c r="AH496" i="4" s="1"/>
  <c r="AH511" i="4" s="1"/>
  <c r="AH521" i="4" s="1"/>
  <c r="AH546" i="4" s="1"/>
  <c r="AH547" i="4" s="1"/>
  <c r="AH551" i="4" s="1"/>
  <c r="AH592" i="4" s="1"/>
  <c r="AH643" i="4" s="1"/>
  <c r="AH649" i="4" s="1"/>
  <c r="AH656" i="4" s="1"/>
  <c r="AH691" i="4" s="1"/>
  <c r="AH707" i="4" s="1"/>
  <c r="AH719" i="4" s="1"/>
  <c r="AH749" i="4" s="1"/>
  <c r="AH750" i="4" s="1"/>
  <c r="AH757" i="4" s="1"/>
  <c r="AH762" i="4" s="1"/>
  <c r="AH786" i="4" s="1"/>
  <c r="AH793" i="4" s="1"/>
  <c r="AH794" i="4" s="1"/>
  <c r="AH798" i="4" s="1"/>
  <c r="AH799" i="4" s="1"/>
  <c r="AH809" i="4" s="1"/>
  <c r="AH831" i="4" s="1"/>
  <c r="AH838" i="4" s="1"/>
  <c r="AH857" i="4" s="1"/>
  <c r="AH861" i="4" s="1"/>
  <c r="AH867" i="4" s="1"/>
  <c r="AH870" i="4" s="1"/>
  <c r="AH881" i="4" s="1"/>
  <c r="AH883" i="4" s="1"/>
  <c r="AH928" i="4" s="1"/>
  <c r="AH945" i="4" s="1"/>
  <c r="AH963" i="4" s="1"/>
  <c r="AH964" i="4" s="1"/>
  <c r="AH991" i="4" s="1"/>
  <c r="AH996" i="4" s="1"/>
  <c r="F35" i="8"/>
  <c r="H35" i="8"/>
  <c r="I35" i="8"/>
  <c r="B36" i="8"/>
  <c r="F36" i="8"/>
  <c r="B35" i="8"/>
  <c r="G35" i="8"/>
  <c r="C35" i="8"/>
  <c r="E35" i="8"/>
  <c r="D35" i="8"/>
  <c r="D36" i="8" l="1"/>
  <c r="D37" i="8"/>
  <c r="G36" i="8"/>
  <c r="C36" i="8"/>
  <c r="F38" i="8"/>
  <c r="I38" i="8"/>
  <c r="D28" i="8"/>
  <c r="E36" i="8"/>
  <c r="H36" i="8"/>
  <c r="F37" i="8"/>
  <c r="E38" i="8"/>
  <c r="B37" i="8"/>
  <c r="I37" i="8"/>
  <c r="B38" i="8"/>
  <c r="G37" i="8"/>
  <c r="C37" i="8"/>
  <c r="E23" i="8"/>
  <c r="H27" i="8"/>
  <c r="G26" i="8"/>
  <c r="H23" i="8"/>
  <c r="G40" i="8"/>
  <c r="B27" i="8"/>
  <c r="H41" i="8"/>
  <c r="D41" i="8"/>
  <c r="C38" i="8"/>
  <c r="D39" i="8"/>
  <c r="G39" i="8"/>
  <c r="C40" i="8"/>
  <c r="F40" i="8"/>
  <c r="I33" i="8"/>
  <c r="F30" i="8"/>
  <c r="I41" i="8"/>
  <c r="E41" i="8"/>
  <c r="H40" i="8"/>
  <c r="C39" i="8"/>
  <c r="F39" i="8"/>
  <c r="I39" i="8"/>
  <c r="E40" i="8"/>
  <c r="B7" i="8"/>
  <c r="E30" i="8"/>
  <c r="D24" i="8"/>
  <c r="C27" i="8"/>
  <c r="G38" i="8"/>
  <c r="F41" i="8"/>
  <c r="B41" i="8"/>
  <c r="F26" i="8"/>
  <c r="E39" i="8"/>
  <c r="H39" i="8"/>
  <c r="H37" i="8"/>
  <c r="E37" i="8"/>
  <c r="G41" i="8"/>
  <c r="B39" i="8"/>
  <c r="D40" i="8"/>
  <c r="H33" i="8"/>
  <c r="D38" i="8"/>
  <c r="I36" i="8"/>
  <c r="H26" i="8"/>
  <c r="H38" i="8"/>
  <c r="I40" i="8"/>
  <c r="I26" i="8"/>
  <c r="C41" i="8"/>
  <c r="B40" i="8"/>
  <c r="B27" i="5"/>
  <c r="B28" i="5"/>
  <c r="B29" i="5"/>
  <c r="C28" i="5"/>
  <c r="C29" i="5"/>
  <c r="C27" i="5"/>
</calcChain>
</file>

<file path=xl/sharedStrings.xml><?xml version="1.0" encoding="utf-8"?>
<sst xmlns="http://schemas.openxmlformats.org/spreadsheetml/2006/main" count="8203" uniqueCount="634">
  <si>
    <t>SALES INTELLIGENCE DASHBOARD</t>
  </si>
  <si>
    <t>KEY PERFORMANCE INDICATORS</t>
  </si>
  <si>
    <t>TOTAL SALES</t>
  </si>
  <si>
    <t>TRANSACTIONS</t>
  </si>
  <si>
    <t>UNITS SOLD</t>
  </si>
  <si>
    <t>AVERAGE SALE</t>
  </si>
  <si>
    <t>AVG DISCOUNT</t>
  </si>
  <si>
    <t>NET MARGIN %</t>
  </si>
  <si>
    <t>INTERACTIVE FILTERS: choose from the dropdowns, the charts below update instantly</t>
  </si>
  <si>
    <t>REGION</t>
  </si>
  <si>
    <t>PRODUCT CATEGORY</t>
  </si>
  <si>
    <t>SALES REP</t>
  </si>
  <si>
    <t>SALES CHANNEL</t>
  </si>
  <si>
    <t>FROM DATE</t>
  </si>
  <si>
    <t>TO DATE</t>
  </si>
  <si>
    <t>All</t>
  </si>
  <si>
    <t>SELECTED SALES</t>
  </si>
  <si>
    <t>UNITS</t>
  </si>
  <si>
    <t>VIEW</t>
  </si>
  <si>
    <t>TRENDS &amp; MIX (respond to the filters above)</t>
  </si>
  <si>
    <t>Monthly Sales Trend</t>
  </si>
  <si>
    <t>Sales by Region</t>
  </si>
  <si>
    <t>Sales by Product Category</t>
  </si>
  <si>
    <t>Sales by Sales Rep</t>
  </si>
  <si>
    <t>Net Margin % by Discount Band</t>
  </si>
  <si>
    <t>PERFORMANCE VS TARGET  |  TOP 10 REGION-REP COMBINATIONS</t>
  </si>
  <si>
    <t>KPI</t>
  </si>
  <si>
    <t>Actual</t>
  </si>
  <si>
    <t>Target</t>
  </si>
  <si>
    <t>Variance</t>
  </si>
  <si>
    <t>Status</t>
  </si>
  <si>
    <t>Rank</t>
  </si>
  <si>
    <t>Region-Rep</t>
  </si>
  <si>
    <t>Sales</t>
  </si>
  <si>
    <t>Share of sales</t>
  </si>
  <si>
    <t>Total Sales</t>
  </si>
  <si>
    <t>Transactions</t>
  </si>
  <si>
    <t>Average Sale</t>
  </si>
  <si>
    <t>Net Margin %</t>
  </si>
  <si>
    <t>Loss-making share (lower is better)</t>
  </si>
  <si>
    <t>Yellow targets are placeholder assumptions, not dataset values.</t>
  </si>
  <si>
    <t>Region-Rep tiers</t>
  </si>
  <si>
    <t>High-Value</t>
  </si>
  <si>
    <t>Mid</t>
  </si>
  <si>
    <t>Low</t>
  </si>
  <si>
    <t>PIVOT TABLES, PIVOT CHARTS &amp; SLICERS: the four slicers on the right filter every PivotTable and pivot chart (click an item; Ctrl-click for several; the funnel icon clears). Refresh All after data changes.</t>
  </si>
  <si>
    <t>Sales by Category</t>
  </si>
  <si>
    <t>Sales by Rep</t>
  </si>
  <si>
    <t>Sales by Month</t>
  </si>
  <si>
    <t>Sales by Payment</t>
  </si>
  <si>
    <t>Filter</t>
  </si>
  <si>
    <t>Product_Category</t>
  </si>
  <si>
    <t>- all -</t>
  </si>
  <si>
    <t>Region</t>
  </si>
  <si>
    <t>Sales_Channel</t>
  </si>
  <si>
    <t>Sales ($)</t>
  </si>
  <si>
    <t>Sales_Rep</t>
  </si>
  <si>
    <t>Year_Month</t>
  </si>
  <si>
    <t>Payment_Method</t>
  </si>
  <si>
    <t>East</t>
  </si>
  <si>
    <t>Clothing</t>
  </si>
  <si>
    <t>Alice</t>
  </si>
  <si>
    <t>2023-01</t>
  </si>
  <si>
    <t>Bank Transfer</t>
  </si>
  <si>
    <t>North</t>
  </si>
  <si>
    <t>Electronics</t>
  </si>
  <si>
    <t>Bob</t>
  </si>
  <si>
    <t>2023-02</t>
  </si>
  <si>
    <t>Cash</t>
  </si>
  <si>
    <t>South</t>
  </si>
  <si>
    <t>Food</t>
  </si>
  <si>
    <t>Charlie</t>
  </si>
  <si>
    <t>2023-03</t>
  </si>
  <si>
    <t>Credit Card</t>
  </si>
  <si>
    <t>West</t>
  </si>
  <si>
    <t>Furniture</t>
  </si>
  <si>
    <t>David</t>
  </si>
  <si>
    <t>2023-04</t>
  </si>
  <si>
    <t>Grand Total</t>
  </si>
  <si>
    <t>Eve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</si>
  <si>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</si>
  <si>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</si>
  <si>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</si>
  <si>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</si>
  <si>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</si>
  <si>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</si>
  <si>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</si>
  <si>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</si>
  <si>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</si>
  <si>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Pivot Chart: Sales by Region (Bar)</t>
  </si>
  <si>
    <t>Pivot Chart: Monthly Sales (Line)</t>
  </si>
  <si>
    <t>Pivot Chart: Category Mix (Pie)</t>
  </si>
  <si>
    <t>Pivot charts are linked to the PivotTable cell ranges above. Slicers (right of the pivot band) and the report filters drive the pivot band; the INTERACTIVE FILTERS band at the top drives the upper charts.</t>
  </si>
  <si>
    <t>Final Report: Insights &amp; Storytelling</t>
  </si>
  <si>
    <t>Every sentence below is a formula, so it updates with the data. Targets and scenario inputs are placeholder assumptions.</t>
  </si>
  <si>
    <t>1. The big picture</t>
  </si>
  <si>
    <t>2. Where and what</t>
  </si>
  <si>
    <t>3. People</t>
  </si>
  <si>
    <t>4. Channel and customers</t>
  </si>
  <si>
    <t>5. Time patterns</t>
  </si>
  <si>
    <t>6. The discount story (key insight)</t>
  </si>
  <si>
    <t>7. Regression findings</t>
  </si>
  <si>
    <t>8. Scenarios and Goal Seek</t>
  </si>
  <si>
    <t>9. Data-quality findings</t>
  </si>
  <si>
    <t>10. Recommendations</t>
  </si>
  <si>
    <t>Product_ID</t>
  </si>
  <si>
    <t>Sale_Date</t>
  </si>
  <si>
    <t>Sales_Amount</t>
  </si>
  <si>
    <t>Quantity_Sold</t>
  </si>
  <si>
    <t>Unit_Cost</t>
  </si>
  <si>
    <t>Unit_Price</t>
  </si>
  <si>
    <t>Customer_Type</t>
  </si>
  <si>
    <t>Discount</t>
  </si>
  <si>
    <t>Region_and_Sales_Rep</t>
  </si>
  <si>
    <t>List_Value</t>
  </si>
  <si>
    <t>Net_List_Value</t>
  </si>
  <si>
    <t>COGS</t>
  </si>
  <si>
    <t>Net_Margin</t>
  </si>
  <si>
    <t>Net_Margin_Pct</t>
  </si>
  <si>
    <t>Loss_Flag</t>
  </si>
  <si>
    <t>Discount_Band</t>
  </si>
  <si>
    <t>Sales_Size</t>
  </si>
  <si>
    <t>Month_End</t>
  </si>
  <si>
    <t>Year_Quarter</t>
  </si>
  <si>
    <t>Weekday</t>
  </si>
  <si>
    <t>Weekday_No</t>
  </si>
  <si>
    <t>Week_No</t>
  </si>
  <si>
    <t>Day_Type</t>
  </si>
  <si>
    <t>Days_Since_Sale</t>
  </si>
  <si>
    <t>Age_Months</t>
  </si>
  <si>
    <t>Rep_Code</t>
  </si>
  <si>
    <t>Order_Code</t>
  </si>
  <si>
    <t>Filter_Seq</t>
  </si>
  <si>
    <t>X1_Quantity</t>
  </si>
  <si>
    <t>X2_Discount</t>
  </si>
  <si>
    <t>X3_Unit_Price</t>
  </si>
  <si>
    <t>Sales_Rank</t>
  </si>
  <si>
    <t>Returning</t>
  </si>
  <si>
    <t>Online</t>
  </si>
  <si>
    <t>North-Bob</t>
  </si>
  <si>
    <t>Retail</t>
  </si>
  <si>
    <t>West-Bob</t>
  </si>
  <si>
    <t>South-David</t>
  </si>
  <si>
    <t>New</t>
  </si>
  <si>
    <t>South-Bob</t>
  </si>
  <si>
    <t>East-Charlie</t>
  </si>
  <si>
    <t>West-Charlie</t>
  </si>
  <si>
    <t>South-Eve</t>
  </si>
  <si>
    <t>North-Eve</t>
  </si>
  <si>
    <t>West-Eve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</si>
  <si>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</si>
  <si>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</si>
  <si>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</si>
  <si>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</si>
  <si>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</si>
  <si>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</si>
  <si>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</si>
  <si>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</si>
  <si>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</si>
  <si>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</si>
  <si>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</si>
  <si>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Analysis</t>
  </si>
  <si>
    <t>0. Parameters (drive the Sales_Size column in Raw Data)</t>
  </si>
  <si>
    <t>Large-sale threshold (75th percentile of Sales_Amount)</t>
  </si>
  <si>
    <t>Small-sale threshold (25th percentile of Sales_Amount)</t>
  </si>
  <si>
    <t>1. Date &amp; Time Functions (TODAY, NOW, DATEDIF, EOMONTH, EDATE, NETWORKDAYS, WEEKNUM)</t>
  </si>
  <si>
    <t>Today</t>
  </si>
  <si>
    <t>Now (date &amp; time)</t>
  </si>
  <si>
    <t>End of current month</t>
  </si>
  <si>
    <t>Start of current month</t>
  </si>
  <si>
    <t>First sale</t>
  </si>
  <si>
    <t>Last sale</t>
  </si>
  <si>
    <t>Dataset span (months, DATEDIF)</t>
  </si>
  <si>
    <t>Dataset span (days)</t>
  </si>
  <si>
    <t>Working days in span (NETWORKDAYS)</t>
  </si>
  <si>
    <t>Distinct selling days</t>
  </si>
  <si>
    <t>Average sales per selling day</t>
  </si>
  <si>
    <t>Days since last sale</t>
  </si>
  <si>
    <t>Months since last sale (DATEDIF)</t>
  </si>
  <si>
    <t>Six months after first sale (EDATE)</t>
  </si>
  <si>
    <t>Weekday of last sale</t>
  </si>
  <si>
    <t>ISO-style week of last sale (WEEKNUM)</t>
  </si>
  <si>
    <t>2. Timestamp with NOW() + Iterative Calculation (circular on purpose; File &gt; Options &gt; Formulas &gt; Enable iterative calculation)</t>
  </si>
  <si>
    <t>Entry (type here)</t>
  </si>
  <si>
    <t>Timestamp (freezes once typed)</t>
  </si>
  <si>
    <t>Elapsed since stamp</t>
  </si>
  <si>
    <t>Order batch 1</t>
  </si>
  <si>
    <t>Order batch 2</t>
  </si>
  <si>
    <t>Order batch 3</t>
  </si>
  <si>
    <t>Type anything in A30 or A31 and the timestamp appears and stays fixed (column C shows time elapsed since it was stamped).</t>
  </si>
  <si>
    <t>3. Headline KPIs</t>
  </si>
  <si>
    <t>Units Sold</t>
  </si>
  <si>
    <t>Median Sale</t>
  </si>
  <si>
    <t>Average Discount</t>
  </si>
  <si>
    <t>List Value (Qty x Unit_Price)</t>
  </si>
  <si>
    <t>Net List Value (after discount)</t>
  </si>
  <si>
    <t>Discount Given ($, list basis)</t>
  </si>
  <si>
    <t>Cost of Goods (Qty x Unit_Cost)</t>
  </si>
  <si>
    <t>Net Margin ($, list basis)</t>
  </si>
  <si>
    <t>Gross Margin % before discount</t>
  </si>
  <si>
    <t>Weighted Average Discount</t>
  </si>
  <si>
    <t>Break-even Discount (net margin = 0)</t>
  </si>
  <si>
    <t>Loss-making Transactions</t>
  </si>
  <si>
    <t>Loss-making Share</t>
  </si>
  <si>
    <t>4. Regional Sales</t>
  </si>
  <si>
    <t>Share</t>
  </si>
  <si>
    <t>Avg Sale</t>
  </si>
  <si>
    <t>Units</t>
  </si>
  <si>
    <t>Avg Discount</t>
  </si>
  <si>
    <t>Total</t>
  </si>
  <si>
    <t>Top region (by sales)</t>
  </si>
  <si>
    <t>Lowest region (by sales)</t>
  </si>
  <si>
    <t>5. Product Category Sales</t>
  </si>
  <si>
    <t>Category</t>
  </si>
  <si>
    <t>Top category (by sales)</t>
  </si>
  <si>
    <t>Lowest category (by sales)</t>
  </si>
  <si>
    <t>6. Sales Rep Leaderboard</t>
  </si>
  <si>
    <t>Sales Rep</t>
  </si>
  <si>
    <t>Top sales rep (by sales)</t>
  </si>
  <si>
    <t>Lowest sales rep (by sales)</t>
  </si>
  <si>
    <t>7. Sales Channel</t>
  </si>
  <si>
    <t>Channel</t>
  </si>
  <si>
    <t>Top channel (by sales)</t>
  </si>
  <si>
    <t>Lowest channel (by sales)</t>
  </si>
  <si>
    <t>8. Customer Type</t>
  </si>
  <si>
    <t>Customer Type</t>
  </si>
  <si>
    <t>Top customer type (by sales)</t>
  </si>
  <si>
    <t>Lowest customer type (by sales)</t>
  </si>
  <si>
    <t>9. Payment Method</t>
  </si>
  <si>
    <t>Payment</t>
  </si>
  <si>
    <t>Top payment (by sales)</t>
  </si>
  <si>
    <t>Lowest payment (by sales)</t>
  </si>
  <si>
    <t>10. Discount Bands (discount vs margin)</t>
  </si>
  <si>
    <t>Discount Band</t>
  </si>
  <si>
    <t>0-9%</t>
  </si>
  <si>
    <t>10-19%</t>
  </si>
  <si>
    <t>20%+</t>
  </si>
  <si>
    <t>Top discount band (by sales)</t>
  </si>
  <si>
    <t>Lowest discount band (by sales)</t>
  </si>
  <si>
    <t>11. Sale Size Segments (High / Mid / Low by percentile)</t>
  </si>
  <si>
    <t>Sale Size</t>
  </si>
  <si>
    <t>High</t>
  </si>
  <si>
    <t>Top sale size (by sales)</t>
  </si>
  <si>
    <t>Lowest sale size (by sales)</t>
  </si>
  <si>
    <t>12. Day-of-Week Pattern (WEEKDAY)</t>
  </si>
  <si>
    <t>Monday</t>
  </si>
  <si>
    <t>Tuesday</t>
  </si>
  <si>
    <t>Wednesday</t>
  </si>
  <si>
    <t>Thursday</t>
  </si>
  <si>
    <t>Friday</t>
  </si>
  <si>
    <t>Saturday</t>
  </si>
  <si>
    <t>Sunday</t>
  </si>
  <si>
    <t>Top weekday (by sales)</t>
  </si>
  <si>
    <t>Lowest weekday (by sales)</t>
  </si>
  <si>
    <t>13. Quarterly Sales</t>
  </si>
  <si>
    <t>Quarter</t>
  </si>
  <si>
    <t>2023-Q1</t>
  </si>
  <si>
    <t>2023-Q2</t>
  </si>
  <si>
    <t>2023-Q3</t>
  </si>
  <si>
    <t>2023-Q4</t>
  </si>
  <si>
    <t>2024-Q1</t>
  </si>
  <si>
    <t>Top quarter (by sales)</t>
  </si>
  <si>
    <t>Lowest quarter (by sales)</t>
  </si>
  <si>
    <t>14. Region x Sales Rep Matrix (two-way INDEX/MATCH lookup source)</t>
  </si>
  <si>
    <t>Region \ Rep</t>
  </si>
  <si>
    <t>Best rep in each region</t>
  </si>
  <si>
    <t>15. Monthly Trend, Moving Average &amp; Cumulative (Jan-2024 is a single day, shown but excluded from regression)</t>
  </si>
  <si>
    <t>Month</t>
  </si>
  <si>
    <t>Index</t>
  </si>
  <si>
    <t>MoM %</t>
  </si>
  <si>
    <t>3M Moving Avg</t>
  </si>
  <si>
    <t>Cumulative Sales</t>
  </si>
  <si>
    <t>Share of Total</t>
  </si>
  <si>
    <t>Trend slope ($ per month, SLOPE)</t>
  </si>
  <si>
    <t>Trend intercept</t>
  </si>
  <si>
    <t>R-squared (RSQ)</t>
  </si>
  <si>
    <t>Forecast for next month (FORECAST)</t>
  </si>
  <si>
    <t>Coefficient of variation of monthly sales</t>
  </si>
  <si>
    <t>16. Distribution of Sales_Amount (descriptive statistics)</t>
  </si>
  <si>
    <t>Mean</t>
  </si>
  <si>
    <t>Median</t>
  </si>
  <si>
    <t>Std deviation (STDEV.S)</t>
  </si>
  <si>
    <t>Minimum</t>
  </si>
  <si>
    <t>Maximum</t>
  </si>
  <si>
    <t>Range</t>
  </si>
  <si>
    <t>Q1 (25th percentile)</t>
  </si>
  <si>
    <t>Q3 (75th percentile)</t>
  </si>
  <si>
    <t>IQR</t>
  </si>
  <si>
    <t>90th percentile</t>
  </si>
  <si>
    <t>Skewness</t>
  </si>
  <si>
    <t>Kurtosis</t>
  </si>
  <si>
    <t>Coefficient of variation</t>
  </si>
  <si>
    <t>Outliers (|z| &gt; 2)</t>
  </si>
  <si>
    <t>Correlation: Discount vs Sales</t>
  </si>
  <si>
    <t>Correlation: Quantity vs Sales</t>
  </si>
  <si>
    <t>Correlation: Discount vs Net Margin %</t>
  </si>
  <si>
    <t>17. What-If Model: Scenario Manager &amp; Goal Seek (Sales_Amount treated as net of discount)</t>
  </si>
  <si>
    <t>Driver</t>
  </si>
  <si>
    <t>LIVE (Scenario Manager changes column B)</t>
  </si>
  <si>
    <t>Base case</t>
  </si>
  <si>
    <t>Discount discipline</t>
  </si>
  <si>
    <t>Growth push</t>
  </si>
  <si>
    <t>Price rise</t>
  </si>
  <si>
    <t>Price change %</t>
  </si>
  <si>
    <t>Volume change %</t>
  </si>
  <si>
    <t>Discount change (percentage points)</t>
  </si>
  <si>
    <t>Baseline sales</t>
  </si>
  <si>
    <t>Baseline list value</t>
  </si>
  <si>
    <t>Baseline cost of goods</t>
  </si>
  <si>
    <t>Baseline weighted discount</t>
  </si>
  <si>
    <t>New weighted discount</t>
  </si>
  <si>
    <t>Projected sales</t>
  </si>
  <si>
    <t>Projected net revenue (list basis)</t>
  </si>
  <si>
    <t>Projected net margin ($)</t>
  </si>
  <si>
    <t>Projected net margin %</t>
  </si>
  <si>
    <t>Goal Seek: target net margin %</t>
  </si>
  <si>
    <t>Weighted discount that reaches the target (closed form)</t>
  </si>
  <si>
    <t>Discount change needed (percentage points)</t>
  </si>
  <si>
    <t>Goal Seek: Set cell B222 | To value = number in B224 | By changing B213. The answer equals B226. Reset B213 to 0 afterwards.</t>
  </si>
  <si>
    <t>Scenario Manager: changing cells B211:B213; results B219, B222. Four scenarios are saved (Data &gt; What-If Analysis &gt; Scenario Manager).</t>
  </si>
  <si>
    <t>Performance: GroupBy by Region-Rep, Pareto/ABC, Top Transactions</t>
  </si>
  <si>
    <t>No customer ID exists in this dataset, so the high-value GroupBy is built on Region-Rep combinations (matches Region_and_Sales_Rep). Tier: High-Value = 80th percentile or above, Mid = 50th to 80th, Low = below the median.</t>
  </si>
  <si>
    <t>Pareto / ABC ranking</t>
  </si>
  <si>
    <t>Top 10 Transactions (LARGE / INDEX-MATCH)</t>
  </si>
  <si>
    <t>Tier</t>
  </si>
  <si>
    <t>Cumulative</t>
  </si>
  <si>
    <t>Class</t>
  </si>
  <si>
    <t>Date</t>
  </si>
  <si>
    <t>Rep</t>
  </si>
  <si>
    <t>ABC: A = first 80% of sales, B = next 15%, C = last 5%.</t>
  </si>
  <si>
    <t>Product IDs: frequency, repeats, and the two-list comparison</t>
  </si>
  <si>
    <t>Finding: a Product_ID is not tied to one category, so category-level analysis is used elsewhere. List A = IDs sold as Electronics, List B = IDs sold as Furniture; Matches = IDs sold in both.</t>
  </si>
  <si>
    <t>Categories_Sold</t>
  </si>
  <si>
    <t>Electronics_Orders</t>
  </si>
  <si>
    <t>Furniture_Orders</t>
  </si>
  <si>
    <t>Elec_Seq</t>
  </si>
  <si>
    <t>Furn_Seq</t>
  </si>
  <si>
    <t>#</t>
  </si>
  <si>
    <t>List A: sold as Electronics</t>
  </si>
  <si>
    <t>List B: sold as Furniture</t>
  </si>
  <si>
    <t>Matches (in both)</t>
  </si>
  <si>
    <t>Summary</t>
  </si>
  <si>
    <t>Most frequently sold Product_ID (MODE)</t>
  </si>
  <si>
    <t>Its transaction count</t>
  </si>
  <si>
    <t>IDs in List A</t>
  </si>
  <si>
    <t>IDs in List B</t>
  </si>
  <si>
    <t>IDs in both lists (matches)</t>
  </si>
  <si>
    <t>IDs sold in exactly 1 category</t>
  </si>
  <si>
    <t>IDs sold in exactly 2 categories</t>
  </si>
  <si>
    <t>IDs sold in exactly 3 categories</t>
  </si>
  <si>
    <t>IDs sold in all 4 categories</t>
  </si>
  <si>
    <t>IDs sold more than once (repeating)</t>
  </si>
  <si>
    <t>FILTER demo: multi-value return</t>
  </si>
  <si>
    <t>Change the yellow inputs. The table returns every matching sale (up to 30). Works in all Excel versions through a helper column (Raw Data &gt; Filter_Seq).</t>
  </si>
  <si>
    <t>Sales channel</t>
  </si>
  <si>
    <t>Min Sales_Amount ($)</t>
  </si>
  <si>
    <t>Matching rows</t>
  </si>
  <si>
    <t>Excel 365 one-cell equivalent (paste into any empty cell):</t>
  </si>
  <si>
    <t>FILTER formula:  =FILTER(tblSales,(tblSales[Region]=B4)*(tblSales[Sales_Amount]&gt;=B6),"No matching records")   (set B4 to a region name)</t>
  </si>
  <si>
    <t>Qty</t>
  </si>
  <si>
    <t>Pivot Tables</t>
  </si>
  <si>
    <t>Nine live PivotTables built on the Raw Data table. The four slicers on the Dashboard (Region, Product Category, Sales Channel, Sales Rep) filter these pivots as well; the report filters (▼) above each table also work. Right-click &gt; Refresh after editing data.</t>
  </si>
  <si>
    <t>Slicers are already connected. To add a Timeline: click a pivot &gt; PivotTable Analyze &gt; Insert Timeline (Sale_Date) &gt; Report Connections &gt; tick all pivots.</t>
  </si>
  <si>
    <t>Transactions by Payment</t>
  </si>
  <si>
    <t>Quarter x Category</t>
  </si>
  <si>
    <t>Region x Sales Rep</t>
  </si>
  <si>
    <t>Avg Sale by Discount Band</t>
  </si>
  <si>
    <t>Channel x Customer Type</t>
  </si>
  <si>
    <t>Transactions</t>
  </si>
  <si>
    <t>Avg Sale ($)</t>
  </si>
  <si>
    <t>Regression Analysis (Analysis ToolPak layout, live formulas)</t>
  </si>
  <si>
    <t>Each block reproduces Data &gt; Data Analysis &gt; Regression: Regression Statistics, ANOVA, Coefficients. Cells are formulas (LINEST, FDIST, TDIST) so they update with the data.</t>
  </si>
  <si>
    <t>REGRESSION A: Monthly Sales Trend (Y = monthly sales, X = month index, 12 full months)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</si>
  <si>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</si>
  <si>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</si>
  <si>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</si>
  <si>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</si>
  <si>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</si>
  <si>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</si>
  <si>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</si>
  <si>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</si>
  <si>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</si>
  <si>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</si>
  <si>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</si>
  <si>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</si>
  <si>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</si>
  <si>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</si>
  <si>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</si>
  <si>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</si>
  <si>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</si>
  <si>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</si>
  <si>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</si>
  <si>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</si>
  <si>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Month index</t>
  </si>
  <si>
    <t>RESIDUAL OUTPUT (Regression A)</t>
  </si>
  <si>
    <t>Observation</t>
  </si>
  <si>
    <t>Predicted Sales</t>
  </si>
  <si>
    <t>Residuals</t>
  </si>
  <si>
    <t>REGRESSION B: What drives Sales_Amount? (Y = Sales_Amount, X = Quantity, Discount, Unit_Price; n = 1000)</t>
  </si>
  <si>
    <t>REGRESSION C: How much margin does each discount point cost? (Y = Net Margin %, X = Discount, n = 1000)</t>
  </si>
  <si>
    <t>CORRELATION MATRIX (CORREL)</t>
  </si>
  <si>
    <t>Quantity</t>
  </si>
  <si>
    <t>Scenario Summary</t>
  </si>
  <si>
    <t>Scenarios are saved in Scenario Manager (Data &gt; What-If Analysis &gt; Scenario Manager) on the Analysis sheet; this sheet compares them. Sales_Amount is treated as net of discount; margins use the list-price basis.</t>
  </si>
  <si>
    <t>Current Values</t>
  </si>
  <si>
    <t>Changing Cells:</t>
  </si>
  <si>
    <t xml:space="preserve">    Price change %</t>
  </si>
  <si>
    <t xml:space="preserve">    Volume change %</t>
  </si>
  <si>
    <t xml:space="preserve">    Discount change (pp)</t>
  </si>
  <si>
    <t>Result Cells:</t>
  </si>
  <si>
    <t xml:space="preserve">    Projected sales</t>
  </si>
  <si>
    <t xml:space="preserve">    Change vs baseline sales</t>
  </si>
  <si>
    <t xml:space="preserve">    Projected net margin ($)</t>
  </si>
  <si>
    <t xml:space="preserve">    Projected net margin %</t>
  </si>
  <si>
    <t>Goal Seek result: discount level needed for the target net margin</t>
  </si>
  <si>
    <t>Target net margin %</t>
  </si>
  <si>
    <t>Current weighted discount</t>
  </si>
  <si>
    <t>Weighted discount that reaches target (closed form)</t>
  </si>
  <si>
    <t>Net margin % at that discount (check)</t>
  </si>
  <si>
    <t>Difference to target (0 = solved)</t>
  </si>
  <si>
    <t>Formula Lab: basic to advanced</t>
  </si>
  <si>
    <t>Each row shows a formula (as text), what it answers, and its live result computed from the Raw Data.</t>
  </si>
  <si>
    <t>Level</t>
  </si>
  <si>
    <t>Topic</t>
  </si>
  <si>
    <t>What it answers</t>
  </si>
  <si>
    <t>Formula</t>
  </si>
  <si>
    <t>Result</t>
  </si>
  <si>
    <t>Basic</t>
  </si>
  <si>
    <t>SUM</t>
  </si>
  <si>
    <t>Total sales</t>
  </si>
  <si>
    <t>=SUM('Raw Data'!$E$2:$E$1001)</t>
  </si>
  <si>
    <t>AVERAGE</t>
  </si>
  <si>
    <t>Average sale</t>
  </si>
  <si>
    <t>=AVERAGE('Raw Data'!$E$2:$E$1001)</t>
  </si>
  <si>
    <t>MEDIAN</t>
  </si>
  <si>
    <t>Median sale</t>
  </si>
  <si>
    <t>=MEDIAN('Raw Data'!$E$2:$E$1001)</t>
  </si>
  <si>
    <t>MIN / MAX</t>
  </si>
  <si>
    <t>Smallest and largest sale</t>
  </si>
  <si>
    <t>=TEXT(MIN('Raw Data'!$E$2:$E$1001),"$#,##0")&amp;" to "&amp;TEXT(MAX('Raw Data'!$E$2:$E$1001),"$#,##0")</t>
  </si>
  <si>
    <t>COUNT</t>
  </si>
  <si>
    <t>Numeric sales rows</t>
  </si>
  <si>
    <t>=COUNT('Raw Data'!$E$2:$E$1001)</t>
  </si>
  <si>
    <t>COUNTA</t>
  </si>
  <si>
    <t>Filled rep cells</t>
  </si>
  <si>
    <t>=COUNTA('Raw Data'!$C$2:$C$1001)</t>
  </si>
  <si>
    <t>COUNTBLANK</t>
  </si>
  <si>
    <t>Blank cells in Sales_Amount</t>
  </si>
  <si>
    <t>=COUNTBLANK('Raw Data'!$E$2:$E$1001)</t>
  </si>
  <si>
    <t>ROUND</t>
  </si>
  <si>
    <t>Average sale to the nearest 100</t>
  </si>
  <si>
    <t>=ROUND(AVERAGE('Raw Data'!$E$2:$E$1001),-2)</t>
  </si>
  <si>
    <t>MODE.SNGL</t>
  </si>
  <si>
    <t>Most frequent Product_ID</t>
  </si>
  <si>
    <t>=MODE.SNGL('Raw Data'!$A$2:$A$1001)</t>
  </si>
  <si>
    <t>Arithmetic</t>
  </si>
  <si>
    <t>Average units per sale</t>
  </si>
  <si>
    <t>=SUM('Raw Data'!$F$2:$F$1001)/COUNT('Raw Data'!$F$2:$F$1001)</t>
  </si>
  <si>
    <t>Intermediate</t>
  </si>
  <si>
    <t>SUMIF</t>
  </si>
  <si>
    <t>Sales in the North region</t>
  </si>
  <si>
    <t>=SUMIF('Raw Data'!$D$2:$D$1001,"North",'Raw Data'!$E$2:$E$1001)</t>
  </si>
  <si>
    <t>COUNTIF</t>
  </si>
  <si>
    <t>Online transactions</t>
  </si>
  <si>
    <t>=COUNTIF('Raw Data'!$M$2:$M$1001,"Online")</t>
  </si>
  <si>
    <t>AVERAGEIF</t>
  </si>
  <si>
    <t>Average sale to returning customers</t>
  </si>
  <si>
    <t>=AVERAGEIF('Raw Data'!$J$2:$J$1001,"Returning",'Raw Data'!$E$2:$E$1001)</t>
  </si>
  <si>
    <t>SUMIFS</t>
  </si>
  <si>
    <t>West sales of Electronics</t>
  </si>
  <si>
    <t>=SUMIFS('Raw Data'!$E$2:$E$1001,'Raw Data'!$D$2:$D$1001,"West",'Raw Data'!$G$2:$G$1001,"Electronics")</t>
  </si>
  <si>
    <t>COUNTIFS + dates</t>
  </si>
  <si>
    <t>Sales made in June 2023</t>
  </si>
  <si>
    <t>=COUNTIFS('Raw Data'!$B$2:$B$1001,"&gt;="&amp;DATE(2023,6,1),'Raw Data'!$B$2:$B$1001,"&lt;"&amp;DATE(2023,7,1))</t>
  </si>
  <si>
    <t>AVERAGEIFS</t>
  </si>
  <si>
    <t>Average discount, Retail channel, Alice</t>
  </si>
  <si>
    <t>=AVERAGEIFS('Raw Data'!$K$2:$K$1001,'Raw Data'!$M$2:$M$1001,"Retail",'Raw Data'!$C$2:$C$1001,"Alice")</t>
  </si>
  <si>
    <t>MAXIFS</t>
  </si>
  <si>
    <t>Largest Food sale</t>
  </si>
  <si>
    <t>=MAXIFS('Raw Data'!$E$2:$E$1001,'Raw Data'!$G$2:$G$1001,"Food")</t>
  </si>
  <si>
    <t>MINIFS</t>
  </si>
  <si>
    <t>Smallest Furniture sale</t>
  </si>
  <si>
    <t>=MINIFS('Raw Data'!$E$2:$E$1001,'Raw Data'!$G$2:$G$1001,"Furniture")</t>
  </si>
  <si>
    <t>IF</t>
  </si>
  <si>
    <t>Is total sales above $5M?</t>
  </si>
  <si>
    <t>=IF(SUM('Raw Data'!$E$2:$E$1001)&gt;5000000,"Above $5M","Below $5M")</t>
  </si>
  <si>
    <t>IFS (nested logic)</t>
  </si>
  <si>
    <t>Discount level label</t>
  </si>
  <si>
    <t>=IFS(AVERAGE('Raw Data'!$K$2:$K$1001)&lt;0.1,"Low",AVERAGE('Raw Data'!$K$2:$K$1001)&lt;0.2,"Medium",TRUE,"High")</t>
  </si>
  <si>
    <t>IF + AND</t>
  </si>
  <si>
    <t>Does discount span 0% to 30%?</t>
  </si>
  <si>
    <t>=IF(AND(MIN('Raw Data'!$K$2:$K$1001)=0,MAX('Raw Data'!$K$2:$K$1001)&gt;=0.3),"Full range 0-30%","Narrower")</t>
  </si>
  <si>
    <t>RANK</t>
  </si>
  <si>
    <t>Rank of the first sale by amount</t>
  </si>
  <si>
    <t>=RANK('Raw Data'!$E$2,'Raw Data'!$E$2:$E$1001,0)</t>
  </si>
  <si>
    <t>LARGE</t>
  </si>
  <si>
    <t>Third-largest sale</t>
  </si>
  <si>
    <t>=LARGE('Raw Data'!$E$2:$E$1001,3)</t>
  </si>
  <si>
    <t>SMALL</t>
  </si>
  <si>
    <t>Second-smallest sale</t>
  </si>
  <si>
    <t>=SMALL('Raw Data'!$E$2:$E$1001,2)</t>
  </si>
  <si>
    <t>PERCENTILE</t>
  </si>
  <si>
    <t>90th percentile of sales</t>
  </si>
  <si>
    <t>=PERCENTILE('Raw Data'!$E$2:$E$1001,0.9)</t>
  </si>
  <si>
    <t>QUARTILE</t>
  </si>
  <si>
    <t>Third quartile of sales</t>
  </si>
  <si>
    <t>=QUARTILE('Raw Data'!$E$2:$E$1001,3)</t>
  </si>
  <si>
    <t>STDEV.S</t>
  </si>
  <si>
    <t>Standard deviation of sales</t>
  </si>
  <si>
    <t>=STDEV.S('Raw Data'!$E$2:$E$1001)</t>
  </si>
  <si>
    <t>CORREL</t>
  </si>
  <si>
    <t>Discount vs Sales correlation</t>
  </si>
  <si>
    <t>=CORREL('Raw Data'!$K$2:$K$1001,'Raw Data'!$E$2:$E$1001)</t>
  </si>
  <si>
    <t>SUBTOTAL</t>
  </si>
  <si>
    <t>Sum that ignores filtered-out rows</t>
  </si>
  <si>
    <t>=SUBTOTAL(109,'Raw Data'!$E$2:$E$1001)</t>
  </si>
  <si>
    <t>COUNTIF wildcard</t>
  </si>
  <si>
    <t>Combinations for Alice</t>
  </si>
  <si>
    <t>=COUNTIF('Raw Data'!$N$2:$N$1001,"*-Alice")</t>
  </si>
  <si>
    <t>Text &amp; date</t>
  </si>
  <si>
    <t>TEXT</t>
  </si>
  <si>
    <t>Date of the last sale, long form</t>
  </si>
  <si>
    <t>=TEXT(MAX('Raw Data'!$B$2:$B$1001),"dddd, dd mmmm yyyy")</t>
  </si>
  <si>
    <t>LEFT + FIND</t>
  </si>
  <si>
    <t>Region extracted from the first label</t>
  </si>
  <si>
    <t>=LEFT('Raw Data'!$N$2,FIND("-",'Raw Data'!$N$2)-1)</t>
  </si>
  <si>
    <t>MID + FIND</t>
  </si>
  <si>
    <t>Rep extracted from the first label</t>
  </si>
  <si>
    <t>=MID('Raw Data'!$N$2,FIND("-",'Raw Data'!$N$2)+1,20)</t>
  </si>
  <si>
    <t>UPPER + LEFT</t>
  </si>
  <si>
    <t>Three-letter rep code</t>
  </si>
  <si>
    <t>=UPPER(LEFT('Raw Data'!$C$2,3))</t>
  </si>
  <si>
    <t>LEN</t>
  </si>
  <si>
    <t>Length of the first label</t>
  </si>
  <si>
    <t>=LEN('Raw Data'!$N$2)</t>
  </si>
  <si>
    <t>SUBSTITUTE</t>
  </si>
  <si>
    <t>Label with a different separator</t>
  </si>
  <si>
    <t>=SUBSTITUTE('Raw Data'!$N$2,"-"," / ")</t>
  </si>
  <si>
    <t>&amp; (concatenate)</t>
  </si>
  <si>
    <t>Sentence from three fields</t>
  </si>
  <si>
    <t>='Raw Data'!$C$2&amp;" sold "&amp;'Raw Data'!$G$2&amp;" in the "&amp;'Raw Data'!$D$2</t>
  </si>
  <si>
    <t>TEXTJOIN</t>
  </si>
  <si>
    <t>List of all reps</t>
  </si>
  <si>
    <t>=TEXTJOIN(", ",TRUE,Analysis!$A$76:$A$80)</t>
  </si>
  <si>
    <t>EOMONTH</t>
  </si>
  <si>
    <t>Month-end of the last sale</t>
  </si>
  <si>
    <t>=EOMONTH(MAX('Raw Data'!$B$2:$B$1001),0)</t>
  </si>
  <si>
    <t>EDATE</t>
  </si>
  <si>
    <t>Date six months after the first sale</t>
  </si>
  <si>
    <t>=EDATE(MIN('Raw Data'!$B$2:$B$1001),6)</t>
  </si>
  <si>
    <t>DATEDIF</t>
  </si>
  <si>
    <t>Months covered by the data</t>
  </si>
  <si>
    <t>=DATEDIF(MIN('Raw Data'!$B$2:$B$1001),MAX('Raw Data'!$B$2:$B$1001),"M")</t>
  </si>
  <si>
    <t>NETWORKDAYS</t>
  </si>
  <si>
    <t>Working days covered</t>
  </si>
  <si>
    <t>=NETWORKDAYS(MIN('Raw Data'!$B$2:$B$1001),MAX('Raw Data'!$B$2:$B$1001))</t>
  </si>
  <si>
    <t>WEEKNUM / WEEKDAY</t>
  </si>
  <si>
    <t>Week number of the last sale</t>
  </si>
  <si>
    <t>=WEEKNUM(MAX('Raw Data'!$B$2:$B$1001),2)</t>
  </si>
  <si>
    <t>TODAY</t>
  </si>
  <si>
    <t>Days since the last sale</t>
  </si>
  <si>
    <t>=TODAY()-MAX('Raw Data'!$B$2:$B$1001)</t>
  </si>
  <si>
    <t>Advanced</t>
  </si>
  <si>
    <t>SUMPRODUCT (weighted)</t>
  </si>
  <si>
    <t>Value-weighted average discount</t>
  </si>
  <si>
    <t>=SUMPRODUCT('Raw Data'!$F$2:$F$1001,'Raw Data'!$I$2:$I$1001,'Raw Data'!$K$2:$K$1001)/SUMPRODUCT('Raw Data'!$F$2:$F$1001,'Raw Data'!$I$2:$I$1001)</t>
  </si>
  <si>
    <t>SUMPRODUCT (multi-condition)</t>
  </si>
  <si>
    <t>North Food sales without SUMIFS</t>
  </si>
  <si>
    <t>=SUMPRODUCT(('Raw Data'!$D$2:$D$1001="North")*('Raw Data'!$G$2:$G$1001="Food")*'Raw Data'!$E$2:$E$1001)</t>
  </si>
  <si>
    <t>SUMPRODUCT + COUNTIF</t>
  </si>
  <si>
    <t>=SUMPRODUCT(1/COUNTIF('Raw Data'!$B$2:$B$1001,'Raw Data'!$B$2:$B$1001))</t>
  </si>
  <si>
    <t>INDEX + MATCH + MAX</t>
  </si>
  <si>
    <t>Best rep by sales</t>
  </si>
  <si>
    <t>=INDEX(Analysis!$A$76:$A$80,MATCH(MAX(Analysis!$C$76:$C$80),Analysis!$C$76:$C$80,0))</t>
  </si>
  <si>
    <t>INDEX + MATCH (two-way)</t>
  </si>
  <si>
    <t>North sales by Bob from the matrix</t>
  </si>
  <si>
    <t>=INDEX(Analysis!$B$154:$F$157,MATCH("North",Analysis!$A$154:$A$157,0),MATCH("Bob",Analysis!$B$153:$F$153,0))</t>
  </si>
  <si>
    <t>IFERROR + MATCH</t>
  </si>
  <si>
    <t>Lookup that fails gracefully</t>
  </si>
  <si>
    <t>=IFERROR(MATCH("Zoe",Analysis!$A$76:$A$80,0),"Rep not found")</t>
  </si>
  <si>
    <t>CHOOSE + WEEKDAY</t>
  </si>
  <si>
    <t>Name of the weekday of the last sale</t>
  </si>
  <si>
    <t>=CHOOSE(WEEKDAY(MAX('Raw Data'!$B$2:$B$1001),2),"Mon","Tue","Wed","Thu","Fri","Sat","Sun")</t>
  </si>
  <si>
    <t>LOOKUP (approximate)</t>
  </si>
  <si>
    <t>Size band of the average sale</t>
  </si>
  <si>
    <t>=LOOKUP(AVERAGE('Raw Data'!$E$2:$E$1001),{0,2500,5000,7500},{"Low","Mid","High","Top"})</t>
  </si>
  <si>
    <t>LINEST (regression)</t>
  </si>
  <si>
    <t>Margin lost per +100% discount (slope)</t>
  </si>
  <si>
    <t>=INDEX(LINEST('Raw Data'!$S$2:$S$1001,'Raw Data'!$K$2:$K$1001),1,1)</t>
  </si>
  <si>
    <t>FORECAST</t>
  </si>
  <si>
    <t>Next-month sales on the trend line</t>
  </si>
  <si>
    <t>=FORECAST(13,Analysis!$E$167:$E$178,Analysis!$C$167:$C$178)</t>
  </si>
  <si>
    <t>z-score outliers</t>
  </si>
  <si>
    <t>Sales more than 2 SD from the mean</t>
  </si>
  <si>
    <t>=SUMPRODUCT(--(ABS('Raw Data'!$E$2:$E$1001-AVERAGE('Raw Data'!$E$2:$E$1001))/STDEV.S('Raw Data'!$E$2:$E$1001)&gt;2))</t>
  </si>
  <si>
    <t>Excel 365</t>
  </si>
  <si>
    <t>UNIQUE</t>
  </si>
  <si>
    <t>Distinct list of reps</t>
  </si>
  <si>
    <t>=UNIQUE(tblSales[Sales_Rep])</t>
  </si>
  <si>
    <t>Paste into Excel 365 (not evaluated here)</t>
  </si>
  <si>
    <t>FILTER</t>
  </si>
  <si>
    <t>All North sales above $9,000</t>
  </si>
  <si>
    <t>=FILTER(tblSales,(tblSales[Region]="North")*(tblSales[Sales_Amount]&gt;9000))</t>
  </si>
  <si>
    <t>SORTBY</t>
  </si>
  <si>
    <t>Rep leaderboard sorted</t>
  </si>
  <si>
    <t>=SORTBY(Analysis!A76:C80,Analysis!C76:C80,-1)</t>
  </si>
  <si>
    <t>XLOOKUP</t>
  </si>
  <si>
    <t>Region of a sale code</t>
  </si>
  <si>
    <t>=XLOOKUP("NO-230203-0001",tblSales[Order_Code],tblSales[Region],"Not found")</t>
  </si>
  <si>
    <t>LET</t>
  </si>
  <si>
    <t>Named intermediate values</t>
  </si>
  <si>
    <t>=LET(s,SUM(tblSales[Sales_Amount]),n,COUNTA(tblSales[Sales_Amount]),s/n)</t>
  </si>
  <si>
    <t>GROUPBY</t>
  </si>
  <si>
    <t>Sales by rep in one formula</t>
  </si>
  <si>
    <t>=GROUPBY(tblSales[Sales_Rep],tblSales[Sales_Amount],SUM,,0,-2)</t>
  </si>
  <si>
    <t>Visualizations</t>
  </si>
  <si>
    <t>Charts linked to the Analysis tables (always the full dataset). Interactive charts and pivot charts are on the Dashboard.</t>
  </si>
  <si>
    <t>Monthly Sales Trend with 3-Month Moving Average</t>
  </si>
  <si>
    <t>Share of Sales by Category</t>
  </si>
  <si>
    <t>Sales by Day of Week</t>
  </si>
  <si>
    <t>Regions</t>
  </si>
  <si>
    <t>Categories</t>
  </si>
  <si>
    <t>Sales reps</t>
  </si>
  <si>
    <t>Channels</t>
  </si>
  <si>
    <t>Criteria (wildcard * = All)</t>
  </si>
  <si>
    <t>Sales rep</t>
  </si>
  <si>
    <t>From date</t>
  </si>
  <si>
    <t>To date</t>
  </si>
  <si>
    <t>Discount band</t>
  </si>
  <si>
    <t>Net margin %</t>
  </si>
  <si>
    <t>Selected-view KPIs</t>
  </si>
  <si>
    <t>Avg discount</t>
  </si>
  <si>
    <t>Share of total sales</t>
  </si>
  <si>
    <t>Filter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</si>
</sst>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\$#,##0"/>
    <numFmt numFmtId="165" formatCode="0.0%"/>
    <numFmt numFmtId="166" formatCode="0.0%;\-0.0%"/>
    <numFmt numFmtId="167" formatCode="dd\ mmm\ yyyy"/>
    <numFmt numFmtId="168" formatCode="\+0.0%;\-0.0%;0.0%"/>
    <numFmt numFmtId="169" formatCode="0&quot; combos&quot;"/>
    <numFmt numFmtId="170" formatCode="0.0%&quot; of sales&quot;"/>
    <numFmt numFmtId="171" formatCode="\$#,##0.00"/>
    <numFmt numFmtId="172" formatCode="yyyy\-mm\-dd"/>
    <numFmt numFmtId="173" formatCode="yyyy\-mm\-dd\ hh:mm:ss"/>
    <numFmt numFmtId="174" formatCode="0.000"/>
    <numFmt numFmtId="175" formatCode="\+0.0%;\-0.0%"/>
    <numFmt numFmtId="176" formatCode="0.0000"/>
    <numFmt numFmtId="177" formatCode="#,##0.0000"/>
    <numFmt numFmtId="178" formatCode="0.0000%"/>
  </numFmts>
  <fonts count="2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2"/>
      <color rgb="FFFFFFFF"/>
      <name val="Arial"/>
      <family val="2"/>
    </font>
    <font>
      <i/>
      <sz val="9"/>
      <color rgb="FF44546A"/>
      <name val="Arial"/>
      <family val="2"/>
    </font>
    <font>
      <b/>
      <sz val="11"/>
      <color rgb="FF1F3864"/>
      <name val="Arial"/>
      <family val="2"/>
    </font>
    <font>
      <b/>
      <sz val="9"/>
      <color rgb="FF7F7F7F"/>
      <name val="Arial"/>
      <family val="2"/>
    </font>
    <font>
      <b/>
      <sz val="24"/>
      <color rgb="FF1F3864"/>
      <name val="Arial"/>
      <family val="2"/>
    </font>
    <font>
      <b/>
      <sz val="8"/>
      <color rgb="FF7F7F7F"/>
      <name val="Arial"/>
      <family val="2"/>
    </font>
    <font>
      <b/>
      <sz val="11"/>
      <color rgb="FF0000FF"/>
      <name val="Arial"/>
      <family val="2"/>
    </font>
    <font>
      <b/>
      <sz val="14"/>
      <color rgb="FF2E75B6"/>
      <name val="Arial"/>
      <family val="2"/>
    </font>
    <font>
      <b/>
      <sz val="10"/>
      <color rgb="FF2E75B6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b/>
      <sz val="11"/>
      <color rgb="FFFFFFFF"/>
      <name val="Arial"/>
      <family val="2"/>
    </font>
    <font>
      <sz val="9"/>
      <color rgb="FFC00000"/>
      <name val="Consolas"/>
      <family val="2"/>
    </font>
    <font>
      <sz val="8"/>
      <color rgb="FFC00000"/>
      <name val="Consolas"/>
      <family val="2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1F3864"/>
        <bgColor rgb="FF1F4E79"/>
      </patternFill>
    </fill>
    <fill>
      <patternFill patternType="solid">
        <fgColor rgb="FFD9E2F3"/>
        <bgColor rgb="FFDDEBF7"/>
      </patternFill>
    </fill>
    <fill>
      <patternFill patternType="solid">
        <fgColor rgb="FFF3F7FC"/>
        <bgColor rgb="FFEAF0F9"/>
      </patternFill>
    </fill>
    <fill>
      <patternFill patternType="solid">
        <fgColor rgb="FFFFF2CC"/>
        <bgColor rgb="FFFCE4D6"/>
      </patternFill>
    </fill>
    <fill>
      <patternFill patternType="solid">
        <fgColor rgb="FFEAF0F9"/>
        <bgColor rgb="FFEDEDED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3F7FC"/>
      </patternFill>
    </fill>
    <fill>
      <patternFill patternType="solid">
        <fgColor rgb="FF2F5597"/>
        <bgColor rgb="FF1F4E79"/>
      </patternFill>
    </fill>
    <fill>
      <patternFill patternType="solid">
        <fgColor rgb="FFE2EFDA"/>
        <bgColor rgb="FFE7E6E6"/>
      </patternFill>
    </fill>
    <fill>
      <patternFill patternType="solid">
        <fgColor rgb="FFDDEBF7"/>
        <bgColor rgb="FFD9E2F3"/>
      </patternFill>
    </fill>
    <fill>
      <patternFill patternType="solid">
        <fgColor rgb="FFEDEDED"/>
        <bgColor rgb="FFEAF0F9"/>
      </patternFill>
    </fill>
  </fills>
  <borders count="3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 style="thick">
        <color rgb="FFFFFFFF"/>
      </left>
      <right style="thick">
        <color rgb="FFFFFFFF"/>
      </right>
      <top style="thick">
        <color rgb="FF1F4E79"/>
      </top>
      <bottom/>
      <diagonal/>
    </border>
    <border>
      <left style="thick">
        <color rgb="FFFFFFFF"/>
      </left>
      <right style="thick">
        <color rgb="FFFFFFFF"/>
      </right>
      <top style="thick">
        <color rgb="FF2E75B6"/>
      </top>
      <bottom/>
      <diagonal/>
    </border>
    <border>
      <left style="thick">
        <color rgb="FFFFFFFF"/>
      </left>
      <right style="thick">
        <color rgb="FFFFFFFF"/>
      </right>
      <top style="thick">
        <color rgb="FF9DC3E6"/>
      </top>
      <bottom/>
      <diagonal/>
    </border>
    <border>
      <left style="thick">
        <color rgb="FFFFFFFF"/>
      </left>
      <right style="thick">
        <color rgb="FFFFFFFF"/>
      </right>
      <top style="thick">
        <color rgb="FFED7D31"/>
      </top>
      <bottom/>
      <diagonal/>
    </border>
    <border>
      <left style="thick">
        <color rgb="FFFFFFFF"/>
      </left>
      <right style="thick">
        <color rgb="FFFFFFFF"/>
      </right>
      <top style="thick">
        <color rgb="FF70AD47"/>
      </top>
      <bottom/>
      <diagonal/>
    </border>
    <border>
      <left style="thick">
        <color rgb="FFFFFFFF"/>
      </left>
      <right style="thick">
        <color rgb="FFFFFFFF"/>
      </right>
      <top style="thick">
        <color rgb="FFC00000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61">
    <xf numFmtId="0" fontId="0" fillId="0" borderId="0" xfId="0"/>
    <xf numFmtId="0" fontId="11" fillId="5" borderId="9" xfId="0" applyFont="1" applyFill="1" applyBorder="1" applyAlignment="1">
      <alignment horizontal="center" vertical="center"/>
    </xf>
    <xf numFmtId="166" fontId="12" fillId="5" borderId="9" xfId="0" applyNumberFormat="1" applyFont="1" applyFill="1" applyBorder="1" applyAlignment="1">
      <alignment horizontal="center" vertical="center"/>
    </xf>
    <xf numFmtId="165" fontId="12" fillId="5" borderId="9" xfId="0" applyNumberFormat="1" applyFont="1" applyFill="1" applyBorder="1" applyAlignment="1">
      <alignment horizontal="center" vertical="center"/>
    </xf>
    <xf numFmtId="3" fontId="12" fillId="5" borderId="9" xfId="0" applyNumberFormat="1" applyFont="1" applyFill="1" applyBorder="1" applyAlignment="1">
      <alignment horizontal="center" vertical="center"/>
    </xf>
    <xf numFmtId="164" fontId="12" fillId="5" borderId="9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9" fillId="4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5" fillId="0" borderId="0" xfId="0" applyFont="1"/>
    <xf numFmtId="0" fontId="17" fillId="3" borderId="0" xfId="0" applyFont="1" applyFill="1" applyAlignment="1">
      <alignment horizontal="center" vertical="center"/>
    </xf>
    <xf numFmtId="168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8" fontId="5" fillId="9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0" fillId="0" borderId="0" xfId="0" applyFont="1"/>
    <xf numFmtId="0" fontId="25" fillId="0" borderId="0" xfId="1"/>
    <xf numFmtId="0" fontId="0" fillId="0" borderId="10" xfId="0" applyBorder="1"/>
    <xf numFmtId="0" fontId="25" fillId="0" borderId="11" xfId="1" applyBorder="1"/>
    <xf numFmtId="0" fontId="25" fillId="0" borderId="12" xfId="2" applyBorder="1"/>
    <xf numFmtId="0" fontId="25" fillId="0" borderId="13" xfId="4" applyBorder="1">
      <alignment horizontal="left"/>
    </xf>
    <xf numFmtId="171" fontId="25" fillId="0" borderId="14" xfId="3" applyNumberFormat="1" applyBorder="1"/>
    <xf numFmtId="0" fontId="25" fillId="0" borderId="15" xfId="4" applyBorder="1">
      <alignment horizontal="left"/>
    </xf>
    <xf numFmtId="171" fontId="25" fillId="0" borderId="16" xfId="3" applyNumberFormat="1" applyBorder="1"/>
    <xf numFmtId="171" fontId="25" fillId="0" borderId="17" xfId="3" applyNumberFormat="1" applyBorder="1"/>
    <xf numFmtId="0" fontId="1" fillId="0" borderId="18" xfId="5" applyBorder="1">
      <alignment horizontal="left"/>
    </xf>
    <xf numFmtId="171" fontId="1" fillId="0" borderId="19" xfId="6" applyNumberFormat="1" applyBorder="1"/>
    <xf numFmtId="0" fontId="10" fillId="0" borderId="0" xfId="0" applyFont="1"/>
    <xf numFmtId="0" fontId="4" fillId="3" borderId="0" xfId="0" applyFont="1" applyFill="1" applyAlignment="1">
      <alignment horizontal="center" wrapText="1"/>
    </xf>
    <xf numFmtId="0" fontId="6" fillId="0" borderId="0" xfId="0" applyFont="1"/>
    <xf numFmtId="172" fontId="6" fillId="0" borderId="0" xfId="0" applyNumberFormat="1" applyFont="1"/>
    <xf numFmtId="171" fontId="6" fillId="0" borderId="0" xfId="0" applyNumberFormat="1" applyFont="1"/>
    <xf numFmtId="9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22" fillId="10" borderId="0" xfId="0" applyFont="1" applyFill="1"/>
    <xf numFmtId="0" fontId="0" fillId="10" borderId="0" xfId="0" applyFill="1"/>
    <xf numFmtId="164" fontId="5" fillId="0" borderId="0" xfId="0" applyNumberFormat="1" applyFont="1"/>
    <xf numFmtId="173" fontId="6" fillId="0" borderId="0" xfId="0" applyNumberFormat="1" applyFont="1"/>
    <xf numFmtId="1" fontId="6" fillId="0" borderId="0" xfId="0" applyNumberFormat="1" applyFont="1"/>
    <xf numFmtId="3" fontId="6" fillId="0" borderId="0" xfId="0" applyNumberFormat="1" applyFont="1"/>
    <xf numFmtId="49" fontId="6" fillId="0" borderId="0" xfId="0" applyNumberFormat="1" applyFont="1"/>
    <xf numFmtId="0" fontId="19" fillId="0" borderId="0" xfId="0" applyFont="1"/>
    <xf numFmtId="3" fontId="5" fillId="0" borderId="0" xfId="0" applyNumberFormat="1" applyFont="1"/>
    <xf numFmtId="165" fontId="5" fillId="0" borderId="0" xfId="0" applyNumberFormat="1" applyFont="1"/>
    <xf numFmtId="0" fontId="6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49" fontId="6" fillId="0" borderId="1" xfId="0" applyNumberFormat="1" applyFont="1" applyBorder="1"/>
    <xf numFmtId="49" fontId="5" fillId="0" borderId="1" xfId="0" applyNumberFormat="1" applyFont="1" applyBorder="1"/>
    <xf numFmtId="172" fontId="6" fillId="0" borderId="1" xfId="0" applyNumberFormat="1" applyFont="1" applyBorder="1"/>
    <xf numFmtId="174" fontId="5" fillId="0" borderId="0" xfId="0" applyNumberFormat="1" applyFont="1"/>
    <xf numFmtId="1" fontId="5" fillId="0" borderId="0" xfId="0" applyNumberFormat="1" applyFont="1"/>
    <xf numFmtId="165" fontId="19" fillId="6" borderId="0" xfId="0" applyNumberFormat="1" applyFont="1" applyFill="1"/>
    <xf numFmtId="165" fontId="7" fillId="0" borderId="0" xfId="0" applyNumberFormat="1" applyFont="1"/>
    <xf numFmtId="175" fontId="5" fillId="0" borderId="0" xfId="0" applyNumberFormat="1" applyFont="1"/>
    <xf numFmtId="0" fontId="19" fillId="6" borderId="0" xfId="0" applyFont="1" applyFill="1"/>
    <xf numFmtId="164" fontId="19" fillId="6" borderId="0" xfId="0" applyNumberFormat="1" applyFont="1" applyFill="1"/>
    <xf numFmtId="0" fontId="23" fillId="0" borderId="0" xfId="0" applyFont="1"/>
    <xf numFmtId="171" fontId="6" fillId="0" borderId="1" xfId="0" applyNumberFormat="1" applyFont="1" applyBorder="1"/>
    <xf numFmtId="0" fontId="25" fillId="0" borderId="20" xfId="2" applyBorder="1"/>
    <xf numFmtId="0" fontId="25" fillId="0" borderId="21" xfId="1" applyBorder="1"/>
    <xf numFmtId="0" fontId="25" fillId="0" borderId="22" xfId="2" applyBorder="1"/>
    <xf numFmtId="0" fontId="25" fillId="0" borderId="23" xfId="2" applyBorder="1"/>
    <xf numFmtId="0" fontId="25" fillId="0" borderId="24" xfId="1" applyBorder="1"/>
    <xf numFmtId="0" fontId="25" fillId="0" borderId="25" xfId="4" applyBorder="1">
      <alignment horizontal="left"/>
    </xf>
    <xf numFmtId="0" fontId="25" fillId="0" borderId="26" xfId="4" applyBorder="1">
      <alignment horizontal="left"/>
    </xf>
    <xf numFmtId="0" fontId="1" fillId="0" borderId="27" xfId="5" applyBorder="1">
      <alignment horizontal="left"/>
    </xf>
    <xf numFmtId="0" fontId="25" fillId="0" borderId="14" xfId="3" applyBorder="1"/>
    <xf numFmtId="171" fontId="25" fillId="0" borderId="28" xfId="3" applyNumberFormat="1" applyBorder="1"/>
    <xf numFmtId="171" fontId="25" fillId="0" borderId="29" xfId="3" applyNumberFormat="1" applyBorder="1"/>
    <xf numFmtId="171" fontId="25" fillId="0" borderId="30" xfId="3" applyNumberFormat="1" applyBorder="1"/>
    <xf numFmtId="171" fontId="1" fillId="0" borderId="14" xfId="6" applyNumberFormat="1" applyBorder="1"/>
    <xf numFmtId="0" fontId="25" fillId="0" borderId="16" xfId="3" applyBorder="1"/>
    <xf numFmtId="171" fontId="25" fillId="0" borderId="31" xfId="3" applyNumberFormat="1" applyBorder="1"/>
    <xf numFmtId="171" fontId="25" fillId="0" borderId="0" xfId="3" applyNumberFormat="1"/>
    <xf numFmtId="171" fontId="25" fillId="0" borderId="32" xfId="3" applyNumberFormat="1" applyBorder="1"/>
    <xf numFmtId="171" fontId="1" fillId="0" borderId="16" xfId="6" applyNumberFormat="1" applyBorder="1"/>
    <xf numFmtId="171" fontId="25" fillId="0" borderId="25" xfId="3" applyNumberFormat="1" applyBorder="1"/>
    <xf numFmtId="171" fontId="25" fillId="0" borderId="33" xfId="3" applyNumberFormat="1" applyBorder="1"/>
    <xf numFmtId="171" fontId="1" fillId="0" borderId="17" xfId="6" applyNumberFormat="1" applyBorder="1"/>
    <xf numFmtId="0" fontId="25" fillId="0" borderId="17" xfId="3" applyBorder="1"/>
    <xf numFmtId="171" fontId="1" fillId="0" borderId="34" xfId="6" applyNumberFormat="1" applyBorder="1"/>
    <xf numFmtId="171" fontId="1" fillId="0" borderId="35" xfId="6" applyNumberFormat="1" applyBorder="1"/>
    <xf numFmtId="0" fontId="1" fillId="0" borderId="19" xfId="6" applyBorder="1"/>
    <xf numFmtId="171" fontId="25" fillId="0" borderId="26" xfId="3" applyNumberFormat="1" applyBorder="1"/>
    <xf numFmtId="0" fontId="25" fillId="0" borderId="33" xfId="3" applyBorder="1"/>
    <xf numFmtId="171" fontId="1" fillId="0" borderId="36" xfId="6" applyNumberFormat="1" applyBorder="1"/>
    <xf numFmtId="0" fontId="22" fillId="0" borderId="0" xfId="0" applyFont="1"/>
    <xf numFmtId="176" fontId="6" fillId="0" borderId="1" xfId="0" applyNumberFormat="1" applyFont="1" applyBorder="1"/>
    <xf numFmtId="177" fontId="6" fillId="0" borderId="1" xfId="0" applyNumberFormat="1" applyFont="1" applyBorder="1"/>
    <xf numFmtId="1" fontId="6" fillId="0" borderId="1" xfId="0" applyNumberFormat="1" applyFont="1" applyBorder="1"/>
    <xf numFmtId="0" fontId="22" fillId="10" borderId="1" xfId="0" applyFont="1" applyFill="1" applyBorder="1"/>
    <xf numFmtId="0" fontId="4" fillId="0" borderId="1" xfId="0" applyFont="1" applyBorder="1"/>
    <xf numFmtId="2" fontId="6" fillId="0" borderId="1" xfId="0" applyNumberFormat="1" applyFont="1" applyBorder="1"/>
    <xf numFmtId="0" fontId="0" fillId="0" borderId="1" xfId="0" applyBorder="1"/>
    <xf numFmtId="168" fontId="7" fillId="0" borderId="1" xfId="0" applyNumberFormat="1" applyFont="1" applyBorder="1"/>
    <xf numFmtId="168" fontId="6" fillId="0" borderId="1" xfId="0" applyNumberFormat="1" applyFont="1" applyBorder="1"/>
    <xf numFmtId="0" fontId="7" fillId="0" borderId="1" xfId="0" applyFont="1" applyBorder="1"/>
    <xf numFmtId="175" fontId="5" fillId="0" borderId="1" xfId="0" applyNumberFormat="1" applyFont="1" applyBorder="1"/>
    <xf numFmtId="178" fontId="5" fillId="0" borderId="1" xfId="0" applyNumberFormat="1" applyFont="1" applyBorder="1"/>
    <xf numFmtId="0" fontId="5" fillId="11" borderId="1" xfId="0" applyFont="1" applyFill="1" applyBorder="1"/>
    <xf numFmtId="0" fontId="24" fillId="0" borderId="1" xfId="0" applyFont="1" applyBorder="1"/>
    <xf numFmtId="0" fontId="5" fillId="6" borderId="1" xfId="0" applyFont="1" applyFill="1" applyBorder="1"/>
    <xf numFmtId="174" fontId="6" fillId="0" borderId="1" xfId="0" applyNumberFormat="1" applyFont="1" applyBorder="1"/>
    <xf numFmtId="0" fontId="5" fillId="12" borderId="1" xfId="0" applyFont="1" applyFill="1" applyBorder="1"/>
    <xf numFmtId="0" fontId="5" fillId="2" borderId="1" xfId="0" applyFont="1" applyFill="1" applyBorder="1"/>
    <xf numFmtId="0" fontId="5" fillId="13" borderId="1" xfId="0" applyFont="1" applyFill="1" applyBorder="1"/>
    <xf numFmtId="0" fontId="7" fillId="0" borderId="0" xfId="0" applyFont="1"/>
    <xf numFmtId="172" fontId="7" fillId="0" borderId="0" xfId="0" applyNumberFormat="1" applyFont="1"/>
    <xf numFmtId="164" fontId="7" fillId="0" borderId="0" xfId="0" applyNumberFormat="1" applyFont="1"/>
    <xf numFmtId="0" fontId="13" fillId="0" borderId="0" xfId="0" applyFont="1" applyAlignment="1">
      <alignment horizontal="left" indent="1"/>
    </xf>
    <xf numFmtId="0" fontId="14" fillId="6" borderId="1" xfId="0" applyFont="1" applyFill="1" applyBorder="1" applyAlignment="1">
      <alignment horizontal="center" vertical="center"/>
    </xf>
    <xf numFmtId="167" fontId="14" fillId="6" borderId="1" xfId="0" applyNumberFormat="1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164" fontId="15" fillId="7" borderId="0" xfId="0" applyNumberFormat="1" applyFont="1" applyFill="1" applyAlignment="1">
      <alignment horizontal="center" vertical="center"/>
    </xf>
    <xf numFmtId="3" fontId="15" fillId="7" borderId="0" xfId="0" applyNumberFormat="1" applyFont="1" applyFill="1" applyAlignment="1">
      <alignment horizontal="center" vertical="center"/>
    </xf>
    <xf numFmtId="165" fontId="15" fillId="7" borderId="0" xfId="0" applyNumberFormat="1" applyFont="1" applyFill="1" applyAlignment="1">
      <alignment horizontal="center" vertical="center"/>
    </xf>
    <xf numFmtId="166" fontId="15" fillId="7" borderId="0" xfId="0" applyNumberFormat="1" applyFont="1" applyFill="1" applyAlignment="1">
      <alignment horizontal="center" vertical="center"/>
    </xf>
    <xf numFmtId="49" fontId="16" fillId="7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indent="1"/>
    </xf>
    <xf numFmtId="0" fontId="17" fillId="3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left" wrapText="1" indent="1"/>
    </xf>
    <xf numFmtId="164" fontId="6" fillId="5" borderId="0" xfId="0" applyNumberFormat="1" applyFont="1" applyFill="1" applyAlignment="1">
      <alignment horizontal="center" vertical="center"/>
    </xf>
    <xf numFmtId="164" fontId="19" fillId="6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164" fontId="5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left" wrapText="1" indent="1"/>
    </xf>
    <xf numFmtId="3" fontId="6" fillId="9" borderId="0" xfId="0" applyNumberFormat="1" applyFont="1" applyFill="1" applyAlignment="1">
      <alignment horizontal="center" vertical="center"/>
    </xf>
    <xf numFmtId="3" fontId="19" fillId="6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indent="1"/>
    </xf>
    <xf numFmtId="164" fontId="5" fillId="9" borderId="0" xfId="0" applyNumberFormat="1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/>
    </xf>
    <xf numFmtId="166" fontId="6" fillId="9" borderId="0" xfId="0" applyNumberFormat="1" applyFont="1" applyFill="1" applyAlignment="1">
      <alignment horizontal="center" vertical="center"/>
    </xf>
    <xf numFmtId="166" fontId="19" fillId="6" borderId="0" xfId="0" applyNumberFormat="1" applyFont="1" applyFill="1" applyAlignment="1">
      <alignment horizontal="center" vertical="center"/>
    </xf>
    <xf numFmtId="165" fontId="19" fillId="6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indent="1"/>
    </xf>
    <xf numFmtId="169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20" fillId="7" borderId="0" xfId="0" applyFont="1" applyFill="1" applyAlignment="1">
      <alignment vertical="center" wrapText="1"/>
    </xf>
  </cellXfs>
  <cellStyles count="7">
    <cellStyle name="Normal" xfId="0" builtinId="0"/>
    <cellStyle name="Pivot Table Category" xfId="4" xr:uid="{00000000-0005-0000-0000-000009000000}"/>
    <cellStyle name="Pivot Table Corner" xfId="2" xr:uid="{00000000-0005-0000-0000-000007000000}"/>
    <cellStyle name="Pivot Table Field" xfId="1" xr:uid="{00000000-0005-0000-0000-000006000000}"/>
    <cellStyle name="Pivot Table Result" xfId="6" xr:uid="{00000000-0005-0000-0000-00000B000000}"/>
    <cellStyle name="Pivot Table Title" xfId="5" xr:uid="{00000000-0005-0000-0000-00000A000000}"/>
    <cellStyle name="Pivot Table Value" xfId="3" xr:uid="{00000000-0005-0000-0000-000008000000}"/>
  </cellStyles>
  <dxfs count="16">
    <dxf>
      <font>
        <b/>
        <color rgb="FF00A65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</font>
    </dxf>
    <dxf>
      <font>
        <b/>
        <color rgb="FF00A650"/>
      </font>
    </dxf>
    <dxf>
      <font>
        <b/>
        <sz val="14"/>
        <color rgb="FFC00000"/>
        <name val="Arial"/>
        <charset val="1"/>
      </font>
    </dxf>
    <dxf>
      <font>
        <b/>
        <sz val="24"/>
        <color rgb="FFC00000"/>
        <name val="Arial"/>
        <charset val="1"/>
      </font>
    </dxf>
    <dxf>
      <font>
        <b/>
        <color rgb="FFC00000"/>
      </font>
    </dxf>
    <dxf>
      <font>
        <b/>
        <color rgb="FF00A650"/>
      </font>
    </dxf>
    <dxf>
      <font>
        <b/>
        <color rgb="FFC00000"/>
      </font>
    </dxf>
    <dxf>
      <font>
        <b/>
        <color rgb="FFC07000"/>
      </font>
    </dxf>
    <dxf>
      <font>
        <b/>
        <color rgb="FF00A650"/>
      </font>
    </dxf>
    <dxf>
      <font>
        <b/>
        <color rgb="FFC00000"/>
      </font>
    </dxf>
    <dxf>
      <font>
        <b/>
        <color rgb="FF00A650"/>
      </font>
    </dxf>
    <dxf>
      <font>
        <b/>
        <color rgb="FFC00000"/>
      </font>
    </dxf>
    <dxf>
      <font>
        <b/>
        <color rgb="FF00A65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3F7FC"/>
      <rgbColor rgb="FFFF00FF"/>
      <rgbColor rgb="FF00FFFF"/>
      <rgbColor rgb="FF800000"/>
      <rgbColor rgb="FF006100"/>
      <rgbColor rgb="FF000080"/>
      <rgbColor rgb="FFC07000"/>
      <rgbColor rgb="FF800080"/>
      <rgbColor rgb="FF4F81BD"/>
      <rgbColor rgb="FFBFBFBF"/>
      <rgbColor rgb="FF7F7F7F"/>
      <rgbColor rgb="FF5B9BD5"/>
      <rgbColor rgb="FF993366"/>
      <rgbColor rgb="FFFFF2CC"/>
      <rgbColor rgb="FFDDEBF7"/>
      <rgbColor rgb="FF660066"/>
      <rgbColor rgb="FFFF8080"/>
      <rgbColor rgb="FF2F5597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9"/>
      <rgbColor rgb="FFC6EFCE"/>
      <rgbColor rgb="FFE2EFDA"/>
      <rgbColor rgb="FF9DC3E6"/>
      <rgbColor rgb="FFE7E6E6"/>
      <rgbColor rgb="FFEDEDED"/>
      <rgbColor rgb="FFFCE4D6"/>
      <rgbColor rgb="FF2E75B6"/>
      <rgbColor rgb="FF33CCCC"/>
      <rgbColor rgb="FF70AD47"/>
      <rgbColor rgb="FFFFC000"/>
      <rgbColor rgb="FFFF9900"/>
      <rgbColor rgb="FFED7D31"/>
      <rgbColor rgb="FF595959"/>
      <rgbColor rgb="FF878787"/>
      <rgbColor rgb="FF1F3864"/>
      <rgbColor rgb="FF00A650"/>
      <rgbColor rgb="FF003300"/>
      <rgbColor rgb="FF44546A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Calc!$A$19:$A$31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Calc!$C$19:$C$31</c:f>
              <c:numCache>
                <c:formatCode>\$#,##0</c:formatCode>
                <c:ptCount val="13"/>
                <c:pt idx="0">
                  <c:v>476092.3600000001</c:v>
                </c:pt>
                <c:pt idx="1">
                  <c:v>368919.35999999993</c:v>
                </c:pt>
                <c:pt idx="2">
                  <c:v>402638.77000000008</c:v>
                </c:pt>
                <c:pt idx="3">
                  <c:v>438992.61000000004</c:v>
                </c:pt>
                <c:pt idx="4">
                  <c:v>389078.75999999989</c:v>
                </c:pt>
                <c:pt idx="5">
                  <c:v>418458.34000000008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367837.60000000003</c:v>
                </c:pt>
                <c:pt idx="9">
                  <c:v>460378.78000000014</c:v>
                </c:pt>
                <c:pt idx="10">
                  <c:v>467482.89999999985</c:v>
                </c:pt>
                <c:pt idx="11">
                  <c:v>392643.57999999984</c:v>
                </c:pt>
                <c:pt idx="12">
                  <c:v>19328.010000000002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D-2C40-B17A-023D3469B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676582"/>
        <c:axId val="65293095"/>
      </c:lineChart>
      <c:catAx>
        <c:axId val="19676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5293095"/>
        <c:crosses val="autoZero"/>
        <c:auto val="1"/>
        <c:lblAlgn val="ctr"/>
        <c:lblOffset val="100"/>
        <c:noMultiLvlLbl val="0"/>
      </c:catAx>
      <c:valAx>
        <c:axId val="6529309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9676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Calc!$A$35:$A$38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Calc!$B$35:$B$38</c:f>
              <c:numCache>
                <c:formatCode>\$#,##0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A-334A-8963-4A750E2A3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5486610"/>
        <c:axId val="86257366"/>
      </c:barChart>
      <c:catAx>
        <c:axId val="25486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6257366"/>
        <c:crosses val="autoZero"/>
        <c:auto val="1"/>
        <c:lblAlgn val="ctr"/>
        <c:lblOffset val="100"/>
        <c:noMultiLvlLbl val="0"/>
      </c:catAx>
      <c:valAx>
        <c:axId val="8625736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5486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86-654D-B792-6E8B26C3E8EF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86-654D-B792-6E8B26C3E8EF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86-654D-B792-6E8B26C3E8EF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386-654D-B792-6E8B26C3E8E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386-654D-B792-6E8B26C3E8E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386-654D-B792-6E8B26C3E8E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386-654D-B792-6E8B26C3E8E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386-654D-B792-6E8B26C3E8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Calc!$A$41:$A$44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Calc!$B$41:$B$44</c:f>
              <c:numCache>
                <c:formatCode>\$#,##0</c:formatCode>
                <c:ptCount val="4"/>
                <c:pt idx="0">
                  <c:v>1313474.3599999999</c:v>
                </c:pt>
                <c:pt idx="1">
                  <c:v>1243499.6400000006</c:v>
                </c:pt>
                <c:pt idx="2">
                  <c:v>1201773.5399999998</c:v>
                </c:pt>
                <c:pt idx="3">
                  <c:v>1260517.6900000002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86-654D-B792-6E8B26C3E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Calc!$A$47:$A$51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Calc!$B$47:$B$51</c:f>
              <c:numCache>
                <c:formatCode>\$#,##0</c:formatCode>
                <c:ptCount val="5"/>
                <c:pt idx="0">
                  <c:v>965541.77000000048</c:v>
                </c:pt>
                <c:pt idx="1">
                  <c:v>1080990.6300000006</c:v>
                </c:pt>
                <c:pt idx="2">
                  <c:v>860811.48</c:v>
                </c:pt>
                <c:pt idx="3">
                  <c:v>1141737.3599999996</c:v>
                </c:pt>
                <c:pt idx="4">
                  <c:v>970183.99000000022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2-C445-B590-16E4244F2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75430637"/>
        <c:axId val="68707955"/>
      </c:barChart>
      <c:catAx>
        <c:axId val="75430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8707955"/>
        <c:crosses val="autoZero"/>
        <c:auto val="1"/>
        <c:lblAlgn val="ctr"/>
        <c:lblOffset val="100"/>
        <c:noMultiLvlLbl val="0"/>
      </c:catAx>
      <c:valAx>
        <c:axId val="6870795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54306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Calc!$A$59:$A$61</c:f>
              <c:strCache>
                <c:ptCount val="3"/>
                <c:pt idx="0">
                  <c:v>0-9%</c:v>
                </c:pt>
                <c:pt idx="1">
                  <c:v>10-19%</c:v>
                </c:pt>
                <c:pt idx="2">
                  <c:v>20%+</c:v>
                </c:pt>
              </c:strCache>
            </c:strRef>
          </c:cat>
          <c:val>
            <c:numRef>
              <c:f>Calc!$C$59:$C$61</c:f>
              <c:numCache>
                <c:formatCode>0.0%</c:formatCode>
                <c:ptCount val="3"/>
                <c:pt idx="0">
                  <c:v>4.5253604795471782E-2</c:v>
                </c:pt>
                <c:pt idx="1">
                  <c:v>-5.7639641647233612E-2</c:v>
                </c:pt>
                <c:pt idx="2">
                  <c:v>-0.20766011539269338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4-0D42-B35F-121F87C8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0445376"/>
        <c:axId val="26128714"/>
      </c:barChart>
      <c:catAx>
        <c:axId val="504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6128714"/>
        <c:crosses val="autoZero"/>
        <c:auto val="1"/>
        <c:lblAlgn val="ctr"/>
        <c:lblOffset val="100"/>
        <c:noMultiLvlLbl val="0"/>
      </c:catAx>
      <c:valAx>
        <c:axId val="26128714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445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Dashboard!$B$69:$B$72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Dashboard!$C$69:$C$72</c:f>
              <c:numCache>
                <c:formatCode>\$#,##0.00</c:formatCode>
                <c:ptCount val="4"/>
                <c:pt idx="0">
                  <c:v>1259792.93</c:v>
                </c:pt>
                <c:pt idx="1">
                  <c:v>1369612.51</c:v>
                </c:pt>
                <c:pt idx="2">
                  <c:v>1154250.8600000001</c:v>
                </c:pt>
                <c:pt idx="3">
                  <c:v>1235608.93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0-BC41-B79E-7F536E402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76285159"/>
        <c:axId val="32841400"/>
      </c:barChart>
      <c:catAx>
        <c:axId val="76285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2841400"/>
        <c:crosses val="autoZero"/>
        <c:auto val="1"/>
        <c:lblAlgn val="ctr"/>
        <c:lblOffset val="100"/>
        <c:noMultiLvlLbl val="0"/>
      </c:catAx>
      <c:valAx>
        <c:axId val="3284140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6285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Dashboard!$K$69:$K$81</c:f>
              <c:strCache>
                <c:ptCount val="1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</c:strCache>
            </c:strRef>
          </c:cat>
          <c:val>
            <c:numRef>
              <c:f>Dashboard!$L$69:$L$81</c:f>
              <c:numCache>
                <c:formatCode>\$#,##0.00</c:formatCode>
                <c:ptCount val="13"/>
                <c:pt idx="0">
                  <c:v>476092.36</c:v>
                </c:pt>
                <c:pt idx="1">
                  <c:v>368919.36</c:v>
                </c:pt>
                <c:pt idx="2">
                  <c:v>402638.77</c:v>
                </c:pt>
                <c:pt idx="3">
                  <c:v>438992.61</c:v>
                </c:pt>
                <c:pt idx="4">
                  <c:v>389078.76</c:v>
                </c:pt>
                <c:pt idx="5">
                  <c:v>418458.34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467482.9</c:v>
                </c:pt>
                <c:pt idx="11">
                  <c:v>392643.58</c:v>
                </c:pt>
                <c:pt idx="12">
                  <c:v>19328.009999999998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8-0349-801C-2E46D02E0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755142"/>
        <c:axId val="43353354"/>
      </c:lineChart>
      <c:catAx>
        <c:axId val="88755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3353354"/>
        <c:crosses val="autoZero"/>
        <c:auto val="1"/>
        <c:lblAlgn val="ctr"/>
        <c:lblOffset val="100"/>
        <c:noMultiLvlLbl val="0"/>
      </c:catAx>
      <c:valAx>
        <c:axId val="43353354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8755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EAB-3E4B-A379-A6587CEAD3E1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EAB-3E4B-A379-A6587CEAD3E1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EAB-3E4B-A379-A6587CEAD3E1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EAB-3E4B-A379-A6587CEAD3E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EAB-3E4B-A379-A6587CEAD3E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EAB-3E4B-A379-A6587CEAD3E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EAB-3E4B-A379-A6587CEAD3E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EAB-3E4B-A379-A6587CEAD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Dashboard!$E$69:$E$72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Dashboard!$F$69:$F$72</c:f>
              <c:numCache>
                <c:formatCode>\$#,##0.00</c:formatCode>
                <c:ptCount val="4"/>
                <c:pt idx="0">
                  <c:v>1313474.3600000001</c:v>
                </c:pt>
                <c:pt idx="1">
                  <c:v>1243499.6399999999</c:v>
                </c:pt>
                <c:pt idx="2">
                  <c:v>1201773.54</c:v>
                </c:pt>
                <c:pt idx="3">
                  <c:v>1260517.69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AB-3E4B-A379-A6587CEAD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Analysis!$C$167:$C$178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Analysis!$E$167:$E$178</c:f>
              <c:numCache>
                <c:formatCode>\$#,##0</c:formatCode>
                <c:ptCount val="12"/>
                <c:pt idx="0">
                  <c:v>476092.3600000001</c:v>
                </c:pt>
                <c:pt idx="1">
                  <c:v>368919.35999999993</c:v>
                </c:pt>
                <c:pt idx="2">
                  <c:v>402638.77000000008</c:v>
                </c:pt>
                <c:pt idx="3">
                  <c:v>438992.61000000004</c:v>
                </c:pt>
                <c:pt idx="4">
                  <c:v>389078.75999999989</c:v>
                </c:pt>
                <c:pt idx="5">
                  <c:v>418458.34000000008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367837.60000000003</c:v>
                </c:pt>
                <c:pt idx="9">
                  <c:v>460378.78000000014</c:v>
                </c:pt>
                <c:pt idx="10">
                  <c:v>467482.89999999985</c:v>
                </c:pt>
                <c:pt idx="11">
                  <c:v>392643.57999999984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A-9C4B-B013-40595AE22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56514"/>
        <c:axId val="3235685"/>
      </c:scatterChart>
      <c:valAx>
        <c:axId val="680565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235685"/>
        <c:crosses val="autoZero"/>
        <c:crossBetween val="midCat"/>
      </c:valAx>
      <c:valAx>
        <c:axId val="323568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80565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47520">
              <a:noFill/>
            </a:ln>
          </c:spPr>
          <c:marker>
            <c:symbol val="diamond"/>
            <c:size val="9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Analysis!$C$167:$C$178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'Regression Output'!$D$25:$D$36</c:f>
              <c:numCache>
                <c:formatCode>\$#,##0</c:formatCode>
                <c:ptCount val="12"/>
                <c:pt idx="0">
                  <c:v>62038.663461538497</c:v>
                </c:pt>
                <c:pt idx="1">
                  <c:v>-45608.470804195968</c:v>
                </c:pt>
                <c:pt idx="2">
                  <c:v>-12363.195069930051</c:v>
                </c:pt>
                <c:pt idx="3">
                  <c:v>23516.510664335627</c:v>
                </c:pt>
                <c:pt idx="4">
                  <c:v>-26871.473601398757</c:v>
                </c:pt>
                <c:pt idx="5">
                  <c:v>2033.972132867144</c:v>
                </c:pt>
                <c:pt idx="6">
                  <c:v>-42655.622132867167</c:v>
                </c:pt>
                <c:pt idx="7">
                  <c:v>25798.643601398566</c:v>
                </c:pt>
                <c:pt idx="8">
                  <c:v>-50009.170664335659</c:v>
                </c:pt>
                <c:pt idx="9">
                  <c:v>42057.875069930218</c:v>
                </c:pt>
                <c:pt idx="10">
                  <c:v>48687.860804195632</c:v>
                </c:pt>
                <c:pt idx="11">
                  <c:v>-26625.593461538607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0-A44A-B662-955626EDF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9055"/>
        <c:axId val="17530096"/>
      </c:scatterChart>
      <c:valAx>
        <c:axId val="741290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7530096"/>
        <c:crosses val="autoZero"/>
        <c:crossBetween val="midCat"/>
      </c:valAx>
      <c:valAx>
        <c:axId val="17530096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Residual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41290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47520">
              <a:noFill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'Raw Data'!$K$2:$K$1001</c:f>
              <c:numCache>
                <c:formatCode>0%</c:formatCode>
                <c:ptCount val="1000"/>
                <c:pt idx="0">
                  <c:v>0.09</c:v>
                </c:pt>
                <c:pt idx="1">
                  <c:v>0.11</c:v>
                </c:pt>
                <c:pt idx="2">
                  <c:v>0.2</c:v>
                </c:pt>
                <c:pt idx="3">
                  <c:v>0.02</c:v>
                </c:pt>
                <c:pt idx="4">
                  <c:v>0.08</c:v>
                </c:pt>
                <c:pt idx="5">
                  <c:v>0.21</c:v>
                </c:pt>
                <c:pt idx="6">
                  <c:v>0.14000000000000001</c:v>
                </c:pt>
                <c:pt idx="7">
                  <c:v>0.12</c:v>
                </c:pt>
                <c:pt idx="8">
                  <c:v>0.05</c:v>
                </c:pt>
                <c:pt idx="9">
                  <c:v>0.13</c:v>
                </c:pt>
                <c:pt idx="10">
                  <c:v>0.23</c:v>
                </c:pt>
                <c:pt idx="11">
                  <c:v>0.08</c:v>
                </c:pt>
                <c:pt idx="12">
                  <c:v>0</c:v>
                </c:pt>
                <c:pt idx="13">
                  <c:v>0.2</c:v>
                </c:pt>
                <c:pt idx="14">
                  <c:v>0.28999999999999998</c:v>
                </c:pt>
                <c:pt idx="15">
                  <c:v>0.18</c:v>
                </c:pt>
                <c:pt idx="16">
                  <c:v>0.04</c:v>
                </c:pt>
                <c:pt idx="17">
                  <c:v>0.1</c:v>
                </c:pt>
                <c:pt idx="18">
                  <c:v>0.26</c:v>
                </c:pt>
                <c:pt idx="19">
                  <c:v>7.0000000000000007E-2</c:v>
                </c:pt>
                <c:pt idx="20">
                  <c:v>0.18</c:v>
                </c:pt>
                <c:pt idx="21">
                  <c:v>0.12</c:v>
                </c:pt>
                <c:pt idx="22">
                  <c:v>0.06</c:v>
                </c:pt>
                <c:pt idx="23">
                  <c:v>0.24</c:v>
                </c:pt>
                <c:pt idx="24">
                  <c:v>0.22</c:v>
                </c:pt>
                <c:pt idx="25">
                  <c:v>0.2</c:v>
                </c:pt>
                <c:pt idx="26">
                  <c:v>7.0000000000000007E-2</c:v>
                </c:pt>
                <c:pt idx="27">
                  <c:v>0.03</c:v>
                </c:pt>
                <c:pt idx="28">
                  <c:v>0.17</c:v>
                </c:pt>
                <c:pt idx="29">
                  <c:v>0.17</c:v>
                </c:pt>
                <c:pt idx="30">
                  <c:v>0.06</c:v>
                </c:pt>
                <c:pt idx="31">
                  <c:v>0.02</c:v>
                </c:pt>
                <c:pt idx="32">
                  <c:v>0.02</c:v>
                </c:pt>
                <c:pt idx="33">
                  <c:v>0.3</c:v>
                </c:pt>
                <c:pt idx="34">
                  <c:v>0.24</c:v>
                </c:pt>
                <c:pt idx="35">
                  <c:v>0.28000000000000003</c:v>
                </c:pt>
                <c:pt idx="36">
                  <c:v>0.06</c:v>
                </c:pt>
                <c:pt idx="37">
                  <c:v>0.28999999999999998</c:v>
                </c:pt>
                <c:pt idx="38">
                  <c:v>0.04</c:v>
                </c:pt>
                <c:pt idx="39">
                  <c:v>0.15</c:v>
                </c:pt>
                <c:pt idx="40">
                  <c:v>0.25</c:v>
                </c:pt>
                <c:pt idx="41">
                  <c:v>0.1</c:v>
                </c:pt>
                <c:pt idx="42">
                  <c:v>0.13</c:v>
                </c:pt>
                <c:pt idx="43">
                  <c:v>0.04</c:v>
                </c:pt>
                <c:pt idx="44">
                  <c:v>0.04</c:v>
                </c:pt>
                <c:pt idx="45">
                  <c:v>0.19</c:v>
                </c:pt>
                <c:pt idx="46">
                  <c:v>0.2</c:v>
                </c:pt>
                <c:pt idx="47">
                  <c:v>0.23</c:v>
                </c:pt>
                <c:pt idx="48">
                  <c:v>0.17</c:v>
                </c:pt>
                <c:pt idx="49">
                  <c:v>0.19</c:v>
                </c:pt>
                <c:pt idx="50">
                  <c:v>0</c:v>
                </c:pt>
                <c:pt idx="51">
                  <c:v>0.05</c:v>
                </c:pt>
                <c:pt idx="52">
                  <c:v>0.3</c:v>
                </c:pt>
                <c:pt idx="53">
                  <c:v>0.02</c:v>
                </c:pt>
                <c:pt idx="54">
                  <c:v>0.2</c:v>
                </c:pt>
                <c:pt idx="55">
                  <c:v>0.05</c:v>
                </c:pt>
                <c:pt idx="56">
                  <c:v>0.22</c:v>
                </c:pt>
                <c:pt idx="57">
                  <c:v>0.21</c:v>
                </c:pt>
                <c:pt idx="58">
                  <c:v>7.0000000000000007E-2</c:v>
                </c:pt>
                <c:pt idx="59">
                  <c:v>0.08</c:v>
                </c:pt>
                <c:pt idx="60">
                  <c:v>0.2</c:v>
                </c:pt>
                <c:pt idx="61">
                  <c:v>0.12</c:v>
                </c:pt>
                <c:pt idx="62">
                  <c:v>0.06</c:v>
                </c:pt>
                <c:pt idx="63">
                  <c:v>0.22</c:v>
                </c:pt>
                <c:pt idx="64">
                  <c:v>0.05</c:v>
                </c:pt>
                <c:pt idx="65">
                  <c:v>0.26</c:v>
                </c:pt>
                <c:pt idx="66">
                  <c:v>0.15</c:v>
                </c:pt>
                <c:pt idx="67">
                  <c:v>0.03</c:v>
                </c:pt>
                <c:pt idx="68">
                  <c:v>0.21</c:v>
                </c:pt>
                <c:pt idx="69">
                  <c:v>0.16</c:v>
                </c:pt>
                <c:pt idx="70">
                  <c:v>0.09</c:v>
                </c:pt>
                <c:pt idx="71">
                  <c:v>0.13</c:v>
                </c:pt>
                <c:pt idx="72">
                  <c:v>0.09</c:v>
                </c:pt>
                <c:pt idx="73">
                  <c:v>0.08</c:v>
                </c:pt>
                <c:pt idx="74">
                  <c:v>0.05</c:v>
                </c:pt>
                <c:pt idx="75">
                  <c:v>0.11</c:v>
                </c:pt>
                <c:pt idx="76">
                  <c:v>0.08</c:v>
                </c:pt>
                <c:pt idx="77">
                  <c:v>0.21</c:v>
                </c:pt>
                <c:pt idx="78">
                  <c:v>0.21</c:v>
                </c:pt>
                <c:pt idx="79">
                  <c:v>0.15</c:v>
                </c:pt>
                <c:pt idx="80">
                  <c:v>0.23</c:v>
                </c:pt>
                <c:pt idx="81">
                  <c:v>0.25</c:v>
                </c:pt>
                <c:pt idx="82">
                  <c:v>0.17</c:v>
                </c:pt>
                <c:pt idx="83">
                  <c:v>0.19</c:v>
                </c:pt>
                <c:pt idx="84">
                  <c:v>0.08</c:v>
                </c:pt>
                <c:pt idx="85">
                  <c:v>0.27</c:v>
                </c:pt>
                <c:pt idx="86">
                  <c:v>0.01</c:v>
                </c:pt>
                <c:pt idx="87">
                  <c:v>0.1</c:v>
                </c:pt>
                <c:pt idx="88">
                  <c:v>0.22</c:v>
                </c:pt>
                <c:pt idx="89">
                  <c:v>0.02</c:v>
                </c:pt>
                <c:pt idx="90">
                  <c:v>0.05</c:v>
                </c:pt>
                <c:pt idx="91">
                  <c:v>0.18</c:v>
                </c:pt>
                <c:pt idx="92">
                  <c:v>0.17</c:v>
                </c:pt>
                <c:pt idx="93">
                  <c:v>0.22</c:v>
                </c:pt>
                <c:pt idx="94">
                  <c:v>0.24</c:v>
                </c:pt>
                <c:pt idx="95">
                  <c:v>0.04</c:v>
                </c:pt>
                <c:pt idx="96">
                  <c:v>0.01</c:v>
                </c:pt>
                <c:pt idx="97">
                  <c:v>0.21</c:v>
                </c:pt>
                <c:pt idx="98">
                  <c:v>0.09</c:v>
                </c:pt>
                <c:pt idx="99">
                  <c:v>0.19</c:v>
                </c:pt>
                <c:pt idx="100">
                  <c:v>0.05</c:v>
                </c:pt>
                <c:pt idx="101">
                  <c:v>0.14000000000000001</c:v>
                </c:pt>
                <c:pt idx="102">
                  <c:v>0.15</c:v>
                </c:pt>
                <c:pt idx="103">
                  <c:v>0.18</c:v>
                </c:pt>
                <c:pt idx="104">
                  <c:v>0.15</c:v>
                </c:pt>
                <c:pt idx="105">
                  <c:v>0.15</c:v>
                </c:pt>
                <c:pt idx="106">
                  <c:v>0.1</c:v>
                </c:pt>
                <c:pt idx="107">
                  <c:v>0.02</c:v>
                </c:pt>
                <c:pt idx="108">
                  <c:v>0.03</c:v>
                </c:pt>
                <c:pt idx="109">
                  <c:v>0.13</c:v>
                </c:pt>
                <c:pt idx="110">
                  <c:v>0.11</c:v>
                </c:pt>
                <c:pt idx="111">
                  <c:v>0.15</c:v>
                </c:pt>
                <c:pt idx="112">
                  <c:v>0.09</c:v>
                </c:pt>
                <c:pt idx="113">
                  <c:v>0.21</c:v>
                </c:pt>
                <c:pt idx="114">
                  <c:v>0.26</c:v>
                </c:pt>
                <c:pt idx="115">
                  <c:v>0.09</c:v>
                </c:pt>
                <c:pt idx="116">
                  <c:v>0.06</c:v>
                </c:pt>
                <c:pt idx="117">
                  <c:v>0.03</c:v>
                </c:pt>
                <c:pt idx="118">
                  <c:v>0.18</c:v>
                </c:pt>
                <c:pt idx="119">
                  <c:v>0.13</c:v>
                </c:pt>
                <c:pt idx="120">
                  <c:v>0.06</c:v>
                </c:pt>
                <c:pt idx="121">
                  <c:v>0.2</c:v>
                </c:pt>
                <c:pt idx="122">
                  <c:v>0.04</c:v>
                </c:pt>
                <c:pt idx="123">
                  <c:v>0.17</c:v>
                </c:pt>
                <c:pt idx="124">
                  <c:v>0.16</c:v>
                </c:pt>
                <c:pt idx="125">
                  <c:v>0.22</c:v>
                </c:pt>
                <c:pt idx="126">
                  <c:v>0.02</c:v>
                </c:pt>
                <c:pt idx="127">
                  <c:v>0.27</c:v>
                </c:pt>
                <c:pt idx="128">
                  <c:v>0.21</c:v>
                </c:pt>
                <c:pt idx="129">
                  <c:v>0.06</c:v>
                </c:pt>
                <c:pt idx="130">
                  <c:v>0.06</c:v>
                </c:pt>
                <c:pt idx="131">
                  <c:v>0.13</c:v>
                </c:pt>
                <c:pt idx="132">
                  <c:v>0.25</c:v>
                </c:pt>
                <c:pt idx="133">
                  <c:v>0.25</c:v>
                </c:pt>
                <c:pt idx="134">
                  <c:v>0.16</c:v>
                </c:pt>
                <c:pt idx="135">
                  <c:v>0.26</c:v>
                </c:pt>
                <c:pt idx="136">
                  <c:v>0</c:v>
                </c:pt>
                <c:pt idx="137">
                  <c:v>0.01</c:v>
                </c:pt>
                <c:pt idx="138">
                  <c:v>0.27</c:v>
                </c:pt>
                <c:pt idx="139">
                  <c:v>0.23</c:v>
                </c:pt>
                <c:pt idx="140">
                  <c:v>0.14000000000000001</c:v>
                </c:pt>
                <c:pt idx="141">
                  <c:v>0.23</c:v>
                </c:pt>
                <c:pt idx="142">
                  <c:v>0.28999999999999998</c:v>
                </c:pt>
                <c:pt idx="143">
                  <c:v>0.23</c:v>
                </c:pt>
                <c:pt idx="144">
                  <c:v>0.25</c:v>
                </c:pt>
                <c:pt idx="145">
                  <c:v>0.23</c:v>
                </c:pt>
                <c:pt idx="146">
                  <c:v>0.05</c:v>
                </c:pt>
                <c:pt idx="147">
                  <c:v>0.25</c:v>
                </c:pt>
                <c:pt idx="148">
                  <c:v>0.06</c:v>
                </c:pt>
                <c:pt idx="149">
                  <c:v>0.27</c:v>
                </c:pt>
                <c:pt idx="150">
                  <c:v>0.14000000000000001</c:v>
                </c:pt>
                <c:pt idx="151">
                  <c:v>0.2</c:v>
                </c:pt>
                <c:pt idx="152">
                  <c:v>0.15</c:v>
                </c:pt>
                <c:pt idx="153">
                  <c:v>0.03</c:v>
                </c:pt>
                <c:pt idx="154">
                  <c:v>0.09</c:v>
                </c:pt>
                <c:pt idx="155">
                  <c:v>0.3</c:v>
                </c:pt>
                <c:pt idx="156">
                  <c:v>0.28999999999999998</c:v>
                </c:pt>
                <c:pt idx="157">
                  <c:v>0.1</c:v>
                </c:pt>
                <c:pt idx="158">
                  <c:v>0.3</c:v>
                </c:pt>
                <c:pt idx="159">
                  <c:v>0.25</c:v>
                </c:pt>
                <c:pt idx="160">
                  <c:v>0.18</c:v>
                </c:pt>
                <c:pt idx="161">
                  <c:v>0.01</c:v>
                </c:pt>
                <c:pt idx="162">
                  <c:v>0.27</c:v>
                </c:pt>
                <c:pt idx="163">
                  <c:v>0.17</c:v>
                </c:pt>
                <c:pt idx="164">
                  <c:v>0.26</c:v>
                </c:pt>
                <c:pt idx="165">
                  <c:v>0.25</c:v>
                </c:pt>
                <c:pt idx="166">
                  <c:v>0.25</c:v>
                </c:pt>
                <c:pt idx="167">
                  <c:v>0.21</c:v>
                </c:pt>
                <c:pt idx="168">
                  <c:v>0.09</c:v>
                </c:pt>
                <c:pt idx="169">
                  <c:v>0.1</c:v>
                </c:pt>
                <c:pt idx="170">
                  <c:v>0.09</c:v>
                </c:pt>
                <c:pt idx="171">
                  <c:v>0.01</c:v>
                </c:pt>
                <c:pt idx="172">
                  <c:v>0.17</c:v>
                </c:pt>
                <c:pt idx="173">
                  <c:v>0.21</c:v>
                </c:pt>
                <c:pt idx="174">
                  <c:v>0.26</c:v>
                </c:pt>
                <c:pt idx="175">
                  <c:v>0.04</c:v>
                </c:pt>
                <c:pt idx="176">
                  <c:v>0.16</c:v>
                </c:pt>
                <c:pt idx="177">
                  <c:v>0</c:v>
                </c:pt>
                <c:pt idx="178">
                  <c:v>0.03</c:v>
                </c:pt>
                <c:pt idx="179">
                  <c:v>0.02</c:v>
                </c:pt>
                <c:pt idx="180">
                  <c:v>0.22</c:v>
                </c:pt>
                <c:pt idx="181">
                  <c:v>0.02</c:v>
                </c:pt>
                <c:pt idx="182">
                  <c:v>0.21</c:v>
                </c:pt>
                <c:pt idx="183">
                  <c:v>7.0000000000000007E-2</c:v>
                </c:pt>
                <c:pt idx="184">
                  <c:v>0.26</c:v>
                </c:pt>
                <c:pt idx="185">
                  <c:v>0.24</c:v>
                </c:pt>
                <c:pt idx="186">
                  <c:v>0.28999999999999998</c:v>
                </c:pt>
                <c:pt idx="187">
                  <c:v>0.27</c:v>
                </c:pt>
                <c:pt idx="188">
                  <c:v>0.28000000000000003</c:v>
                </c:pt>
                <c:pt idx="189">
                  <c:v>0.26</c:v>
                </c:pt>
                <c:pt idx="190">
                  <c:v>0.21</c:v>
                </c:pt>
                <c:pt idx="191">
                  <c:v>0.05</c:v>
                </c:pt>
                <c:pt idx="192">
                  <c:v>0.08</c:v>
                </c:pt>
                <c:pt idx="193">
                  <c:v>0.06</c:v>
                </c:pt>
                <c:pt idx="194">
                  <c:v>0.18</c:v>
                </c:pt>
                <c:pt idx="195">
                  <c:v>0.15</c:v>
                </c:pt>
                <c:pt idx="196">
                  <c:v>0.26</c:v>
                </c:pt>
                <c:pt idx="197">
                  <c:v>0.28999999999999998</c:v>
                </c:pt>
                <c:pt idx="198">
                  <c:v>0.12</c:v>
                </c:pt>
                <c:pt idx="199">
                  <c:v>0.15</c:v>
                </c:pt>
                <c:pt idx="200">
                  <c:v>0.28999999999999998</c:v>
                </c:pt>
                <c:pt idx="201">
                  <c:v>0.08</c:v>
                </c:pt>
                <c:pt idx="202">
                  <c:v>0.24</c:v>
                </c:pt>
                <c:pt idx="203">
                  <c:v>7.0000000000000007E-2</c:v>
                </c:pt>
                <c:pt idx="204">
                  <c:v>0.2</c:v>
                </c:pt>
                <c:pt idx="205">
                  <c:v>0.08</c:v>
                </c:pt>
                <c:pt idx="206">
                  <c:v>0.27</c:v>
                </c:pt>
                <c:pt idx="207">
                  <c:v>0.17</c:v>
                </c:pt>
                <c:pt idx="208">
                  <c:v>0.06</c:v>
                </c:pt>
                <c:pt idx="209">
                  <c:v>7.0000000000000007E-2</c:v>
                </c:pt>
                <c:pt idx="210">
                  <c:v>0.15</c:v>
                </c:pt>
                <c:pt idx="211">
                  <c:v>0.28999999999999998</c:v>
                </c:pt>
                <c:pt idx="212">
                  <c:v>0.23</c:v>
                </c:pt>
                <c:pt idx="213">
                  <c:v>0.15</c:v>
                </c:pt>
                <c:pt idx="214">
                  <c:v>0.1</c:v>
                </c:pt>
                <c:pt idx="215">
                  <c:v>0.16</c:v>
                </c:pt>
                <c:pt idx="216">
                  <c:v>0.22</c:v>
                </c:pt>
                <c:pt idx="217">
                  <c:v>0.24</c:v>
                </c:pt>
                <c:pt idx="218">
                  <c:v>0.1</c:v>
                </c:pt>
                <c:pt idx="219">
                  <c:v>0.22</c:v>
                </c:pt>
                <c:pt idx="220">
                  <c:v>0.2</c:v>
                </c:pt>
                <c:pt idx="221">
                  <c:v>0.28999999999999998</c:v>
                </c:pt>
                <c:pt idx="222">
                  <c:v>0.28000000000000003</c:v>
                </c:pt>
                <c:pt idx="223">
                  <c:v>0.24</c:v>
                </c:pt>
                <c:pt idx="224">
                  <c:v>0.22</c:v>
                </c:pt>
                <c:pt idx="225">
                  <c:v>0.08</c:v>
                </c:pt>
                <c:pt idx="226">
                  <c:v>0.25</c:v>
                </c:pt>
                <c:pt idx="227">
                  <c:v>0.13</c:v>
                </c:pt>
                <c:pt idx="228">
                  <c:v>0.08</c:v>
                </c:pt>
                <c:pt idx="229">
                  <c:v>0.12</c:v>
                </c:pt>
                <c:pt idx="230">
                  <c:v>0.25</c:v>
                </c:pt>
                <c:pt idx="231">
                  <c:v>0.04</c:v>
                </c:pt>
                <c:pt idx="232">
                  <c:v>0.14000000000000001</c:v>
                </c:pt>
                <c:pt idx="233">
                  <c:v>0.15</c:v>
                </c:pt>
                <c:pt idx="234">
                  <c:v>0.01</c:v>
                </c:pt>
                <c:pt idx="235">
                  <c:v>0.06</c:v>
                </c:pt>
                <c:pt idx="236">
                  <c:v>0.25</c:v>
                </c:pt>
                <c:pt idx="237">
                  <c:v>0.25</c:v>
                </c:pt>
                <c:pt idx="238">
                  <c:v>0.09</c:v>
                </c:pt>
                <c:pt idx="239">
                  <c:v>0.26</c:v>
                </c:pt>
                <c:pt idx="240">
                  <c:v>0.23</c:v>
                </c:pt>
                <c:pt idx="241">
                  <c:v>0.13</c:v>
                </c:pt>
                <c:pt idx="242">
                  <c:v>0.22</c:v>
                </c:pt>
                <c:pt idx="243">
                  <c:v>0.28999999999999998</c:v>
                </c:pt>
                <c:pt idx="244">
                  <c:v>0.14000000000000001</c:v>
                </c:pt>
                <c:pt idx="245">
                  <c:v>7.0000000000000007E-2</c:v>
                </c:pt>
                <c:pt idx="246">
                  <c:v>0.28000000000000003</c:v>
                </c:pt>
                <c:pt idx="247">
                  <c:v>0.18</c:v>
                </c:pt>
                <c:pt idx="248">
                  <c:v>0.03</c:v>
                </c:pt>
                <c:pt idx="249">
                  <c:v>0.17</c:v>
                </c:pt>
                <c:pt idx="250">
                  <c:v>0.15</c:v>
                </c:pt>
                <c:pt idx="251">
                  <c:v>0.26</c:v>
                </c:pt>
                <c:pt idx="252">
                  <c:v>0.16</c:v>
                </c:pt>
                <c:pt idx="253">
                  <c:v>0.08</c:v>
                </c:pt>
                <c:pt idx="254">
                  <c:v>0.2</c:v>
                </c:pt>
                <c:pt idx="255">
                  <c:v>0.16</c:v>
                </c:pt>
                <c:pt idx="256">
                  <c:v>7.0000000000000007E-2</c:v>
                </c:pt>
                <c:pt idx="257">
                  <c:v>0.17</c:v>
                </c:pt>
                <c:pt idx="258">
                  <c:v>0.25</c:v>
                </c:pt>
                <c:pt idx="259">
                  <c:v>0.01</c:v>
                </c:pt>
                <c:pt idx="260">
                  <c:v>0.19</c:v>
                </c:pt>
                <c:pt idx="261">
                  <c:v>0.1</c:v>
                </c:pt>
                <c:pt idx="262">
                  <c:v>0.09</c:v>
                </c:pt>
                <c:pt idx="263">
                  <c:v>0.12</c:v>
                </c:pt>
                <c:pt idx="264">
                  <c:v>0.1</c:v>
                </c:pt>
                <c:pt idx="265">
                  <c:v>0.25</c:v>
                </c:pt>
                <c:pt idx="266">
                  <c:v>0.08</c:v>
                </c:pt>
                <c:pt idx="267">
                  <c:v>0.22</c:v>
                </c:pt>
                <c:pt idx="268">
                  <c:v>0.03</c:v>
                </c:pt>
                <c:pt idx="269">
                  <c:v>0.28999999999999998</c:v>
                </c:pt>
                <c:pt idx="270">
                  <c:v>0.19</c:v>
                </c:pt>
                <c:pt idx="271">
                  <c:v>0.21</c:v>
                </c:pt>
                <c:pt idx="272">
                  <c:v>0.09</c:v>
                </c:pt>
                <c:pt idx="273">
                  <c:v>0.12</c:v>
                </c:pt>
                <c:pt idx="274">
                  <c:v>7.0000000000000007E-2</c:v>
                </c:pt>
                <c:pt idx="275">
                  <c:v>0.28000000000000003</c:v>
                </c:pt>
                <c:pt idx="276">
                  <c:v>0.15</c:v>
                </c:pt>
                <c:pt idx="277">
                  <c:v>0.19</c:v>
                </c:pt>
                <c:pt idx="278">
                  <c:v>0.22</c:v>
                </c:pt>
                <c:pt idx="279">
                  <c:v>0.11</c:v>
                </c:pt>
                <c:pt idx="280">
                  <c:v>0.22</c:v>
                </c:pt>
                <c:pt idx="281">
                  <c:v>0.2</c:v>
                </c:pt>
                <c:pt idx="282">
                  <c:v>0.21</c:v>
                </c:pt>
                <c:pt idx="283">
                  <c:v>0.15</c:v>
                </c:pt>
                <c:pt idx="284">
                  <c:v>0.11</c:v>
                </c:pt>
                <c:pt idx="285">
                  <c:v>7.0000000000000007E-2</c:v>
                </c:pt>
                <c:pt idx="286">
                  <c:v>0.25</c:v>
                </c:pt>
                <c:pt idx="287">
                  <c:v>0.18</c:v>
                </c:pt>
                <c:pt idx="288">
                  <c:v>0.13</c:v>
                </c:pt>
                <c:pt idx="289">
                  <c:v>0.28000000000000003</c:v>
                </c:pt>
                <c:pt idx="290">
                  <c:v>0.01</c:v>
                </c:pt>
                <c:pt idx="291">
                  <c:v>0.26</c:v>
                </c:pt>
                <c:pt idx="292">
                  <c:v>0.3</c:v>
                </c:pt>
                <c:pt idx="293">
                  <c:v>0.27</c:v>
                </c:pt>
                <c:pt idx="294">
                  <c:v>0.24</c:v>
                </c:pt>
                <c:pt idx="295">
                  <c:v>0.11</c:v>
                </c:pt>
                <c:pt idx="296">
                  <c:v>7.0000000000000007E-2</c:v>
                </c:pt>
                <c:pt idx="297">
                  <c:v>0.22</c:v>
                </c:pt>
                <c:pt idx="298">
                  <c:v>0.09</c:v>
                </c:pt>
                <c:pt idx="299">
                  <c:v>0.05</c:v>
                </c:pt>
                <c:pt idx="300">
                  <c:v>0.24</c:v>
                </c:pt>
                <c:pt idx="301">
                  <c:v>0.09</c:v>
                </c:pt>
                <c:pt idx="302">
                  <c:v>0.27</c:v>
                </c:pt>
                <c:pt idx="303">
                  <c:v>0.25</c:v>
                </c:pt>
                <c:pt idx="304">
                  <c:v>0.25</c:v>
                </c:pt>
                <c:pt idx="305">
                  <c:v>0.23</c:v>
                </c:pt>
                <c:pt idx="306">
                  <c:v>0.26</c:v>
                </c:pt>
                <c:pt idx="307">
                  <c:v>0.24</c:v>
                </c:pt>
                <c:pt idx="308">
                  <c:v>0.18</c:v>
                </c:pt>
                <c:pt idx="309">
                  <c:v>0.09</c:v>
                </c:pt>
                <c:pt idx="310">
                  <c:v>0.27</c:v>
                </c:pt>
                <c:pt idx="311">
                  <c:v>0.25</c:v>
                </c:pt>
                <c:pt idx="312">
                  <c:v>0.14000000000000001</c:v>
                </c:pt>
                <c:pt idx="313">
                  <c:v>0.01</c:v>
                </c:pt>
                <c:pt idx="314">
                  <c:v>0.19</c:v>
                </c:pt>
                <c:pt idx="315">
                  <c:v>0.02</c:v>
                </c:pt>
                <c:pt idx="316">
                  <c:v>0.28000000000000003</c:v>
                </c:pt>
                <c:pt idx="317">
                  <c:v>0.28999999999999998</c:v>
                </c:pt>
                <c:pt idx="318">
                  <c:v>0.06</c:v>
                </c:pt>
                <c:pt idx="319">
                  <c:v>0.2</c:v>
                </c:pt>
                <c:pt idx="320">
                  <c:v>0.03</c:v>
                </c:pt>
                <c:pt idx="321">
                  <c:v>0.22</c:v>
                </c:pt>
                <c:pt idx="322">
                  <c:v>0.1</c:v>
                </c:pt>
                <c:pt idx="323">
                  <c:v>0.2</c:v>
                </c:pt>
                <c:pt idx="324">
                  <c:v>0.11</c:v>
                </c:pt>
                <c:pt idx="325">
                  <c:v>0.04</c:v>
                </c:pt>
                <c:pt idx="326">
                  <c:v>0.12</c:v>
                </c:pt>
                <c:pt idx="327">
                  <c:v>0.03</c:v>
                </c:pt>
                <c:pt idx="328">
                  <c:v>0.17</c:v>
                </c:pt>
                <c:pt idx="329">
                  <c:v>0.01</c:v>
                </c:pt>
                <c:pt idx="330">
                  <c:v>0.16</c:v>
                </c:pt>
                <c:pt idx="331">
                  <c:v>0.27</c:v>
                </c:pt>
                <c:pt idx="332">
                  <c:v>0.25</c:v>
                </c:pt>
                <c:pt idx="333">
                  <c:v>0.26</c:v>
                </c:pt>
                <c:pt idx="334">
                  <c:v>0.28000000000000003</c:v>
                </c:pt>
                <c:pt idx="335">
                  <c:v>0.03</c:v>
                </c:pt>
                <c:pt idx="336">
                  <c:v>0.04</c:v>
                </c:pt>
                <c:pt idx="337">
                  <c:v>0.17</c:v>
                </c:pt>
                <c:pt idx="338">
                  <c:v>0.27</c:v>
                </c:pt>
                <c:pt idx="339">
                  <c:v>0.28999999999999998</c:v>
                </c:pt>
                <c:pt idx="340">
                  <c:v>0.01</c:v>
                </c:pt>
                <c:pt idx="341">
                  <c:v>0.11</c:v>
                </c:pt>
                <c:pt idx="342">
                  <c:v>0.06</c:v>
                </c:pt>
                <c:pt idx="343">
                  <c:v>0.23</c:v>
                </c:pt>
                <c:pt idx="344">
                  <c:v>0.19</c:v>
                </c:pt>
                <c:pt idx="345">
                  <c:v>0.04</c:v>
                </c:pt>
                <c:pt idx="346">
                  <c:v>0.15</c:v>
                </c:pt>
                <c:pt idx="347">
                  <c:v>0.21</c:v>
                </c:pt>
                <c:pt idx="348">
                  <c:v>0.23</c:v>
                </c:pt>
                <c:pt idx="349">
                  <c:v>0.01</c:v>
                </c:pt>
                <c:pt idx="350">
                  <c:v>0.27</c:v>
                </c:pt>
                <c:pt idx="351">
                  <c:v>0.17</c:v>
                </c:pt>
                <c:pt idx="352">
                  <c:v>0.24</c:v>
                </c:pt>
                <c:pt idx="353">
                  <c:v>0.24</c:v>
                </c:pt>
                <c:pt idx="354">
                  <c:v>0.06</c:v>
                </c:pt>
                <c:pt idx="355">
                  <c:v>0.03</c:v>
                </c:pt>
                <c:pt idx="356">
                  <c:v>0.22</c:v>
                </c:pt>
                <c:pt idx="357">
                  <c:v>0.05</c:v>
                </c:pt>
                <c:pt idx="358">
                  <c:v>0.25</c:v>
                </c:pt>
                <c:pt idx="359">
                  <c:v>0.22</c:v>
                </c:pt>
                <c:pt idx="360">
                  <c:v>0.25</c:v>
                </c:pt>
                <c:pt idx="361">
                  <c:v>0.09</c:v>
                </c:pt>
                <c:pt idx="362">
                  <c:v>0.09</c:v>
                </c:pt>
                <c:pt idx="363">
                  <c:v>0.2</c:v>
                </c:pt>
                <c:pt idx="364">
                  <c:v>0.01</c:v>
                </c:pt>
                <c:pt idx="365">
                  <c:v>0.22</c:v>
                </c:pt>
                <c:pt idx="366">
                  <c:v>0.25</c:v>
                </c:pt>
                <c:pt idx="367">
                  <c:v>0.12</c:v>
                </c:pt>
                <c:pt idx="368">
                  <c:v>0.23</c:v>
                </c:pt>
                <c:pt idx="369">
                  <c:v>0.05</c:v>
                </c:pt>
                <c:pt idx="370">
                  <c:v>0.1</c:v>
                </c:pt>
                <c:pt idx="371">
                  <c:v>0.28999999999999998</c:v>
                </c:pt>
                <c:pt idx="372">
                  <c:v>0.3</c:v>
                </c:pt>
                <c:pt idx="373">
                  <c:v>0.15</c:v>
                </c:pt>
                <c:pt idx="374">
                  <c:v>0.28000000000000003</c:v>
                </c:pt>
                <c:pt idx="375">
                  <c:v>0.16</c:v>
                </c:pt>
                <c:pt idx="376">
                  <c:v>0.09</c:v>
                </c:pt>
                <c:pt idx="377">
                  <c:v>0.08</c:v>
                </c:pt>
                <c:pt idx="378">
                  <c:v>0.28000000000000003</c:v>
                </c:pt>
                <c:pt idx="379">
                  <c:v>0.05</c:v>
                </c:pt>
                <c:pt idx="380">
                  <c:v>0.17</c:v>
                </c:pt>
                <c:pt idx="381">
                  <c:v>0.17</c:v>
                </c:pt>
                <c:pt idx="382">
                  <c:v>0.22</c:v>
                </c:pt>
                <c:pt idx="383">
                  <c:v>0.15</c:v>
                </c:pt>
                <c:pt idx="384">
                  <c:v>0.08</c:v>
                </c:pt>
                <c:pt idx="385">
                  <c:v>0.05</c:v>
                </c:pt>
                <c:pt idx="386">
                  <c:v>0.19</c:v>
                </c:pt>
                <c:pt idx="387">
                  <c:v>0.22</c:v>
                </c:pt>
                <c:pt idx="388">
                  <c:v>0.17</c:v>
                </c:pt>
                <c:pt idx="389">
                  <c:v>0.22</c:v>
                </c:pt>
                <c:pt idx="390">
                  <c:v>0.04</c:v>
                </c:pt>
                <c:pt idx="391">
                  <c:v>0.26</c:v>
                </c:pt>
                <c:pt idx="392">
                  <c:v>0.17</c:v>
                </c:pt>
                <c:pt idx="393">
                  <c:v>0.04</c:v>
                </c:pt>
                <c:pt idx="394">
                  <c:v>0.14000000000000001</c:v>
                </c:pt>
                <c:pt idx="395">
                  <c:v>0.25</c:v>
                </c:pt>
                <c:pt idx="396">
                  <c:v>0.27</c:v>
                </c:pt>
                <c:pt idx="397">
                  <c:v>0.08</c:v>
                </c:pt>
                <c:pt idx="398">
                  <c:v>0.21</c:v>
                </c:pt>
                <c:pt idx="399">
                  <c:v>0.03</c:v>
                </c:pt>
                <c:pt idx="400">
                  <c:v>0.01</c:v>
                </c:pt>
                <c:pt idx="401">
                  <c:v>0.17</c:v>
                </c:pt>
                <c:pt idx="402">
                  <c:v>0.21</c:v>
                </c:pt>
                <c:pt idx="403">
                  <c:v>0.24</c:v>
                </c:pt>
                <c:pt idx="404">
                  <c:v>0.1</c:v>
                </c:pt>
                <c:pt idx="405">
                  <c:v>0</c:v>
                </c:pt>
                <c:pt idx="406">
                  <c:v>0.14000000000000001</c:v>
                </c:pt>
                <c:pt idx="407">
                  <c:v>0</c:v>
                </c:pt>
                <c:pt idx="408">
                  <c:v>0.03</c:v>
                </c:pt>
                <c:pt idx="409">
                  <c:v>0.1</c:v>
                </c:pt>
                <c:pt idx="410">
                  <c:v>0.13</c:v>
                </c:pt>
                <c:pt idx="411">
                  <c:v>0.08</c:v>
                </c:pt>
                <c:pt idx="412">
                  <c:v>0.17</c:v>
                </c:pt>
                <c:pt idx="413">
                  <c:v>0.02</c:v>
                </c:pt>
                <c:pt idx="414">
                  <c:v>0.04</c:v>
                </c:pt>
                <c:pt idx="415">
                  <c:v>0.21</c:v>
                </c:pt>
                <c:pt idx="416">
                  <c:v>0.04</c:v>
                </c:pt>
                <c:pt idx="417">
                  <c:v>0.19</c:v>
                </c:pt>
                <c:pt idx="418">
                  <c:v>0.02</c:v>
                </c:pt>
                <c:pt idx="419">
                  <c:v>0.12</c:v>
                </c:pt>
                <c:pt idx="420">
                  <c:v>0.05</c:v>
                </c:pt>
                <c:pt idx="421">
                  <c:v>0.03</c:v>
                </c:pt>
                <c:pt idx="422">
                  <c:v>0.17</c:v>
                </c:pt>
                <c:pt idx="423">
                  <c:v>0.28000000000000003</c:v>
                </c:pt>
                <c:pt idx="424">
                  <c:v>0.02</c:v>
                </c:pt>
                <c:pt idx="425">
                  <c:v>0.13</c:v>
                </c:pt>
                <c:pt idx="426">
                  <c:v>0.21</c:v>
                </c:pt>
                <c:pt idx="427">
                  <c:v>0.14000000000000001</c:v>
                </c:pt>
                <c:pt idx="428">
                  <c:v>0.24</c:v>
                </c:pt>
                <c:pt idx="429">
                  <c:v>0.05</c:v>
                </c:pt>
                <c:pt idx="430">
                  <c:v>0.28999999999999998</c:v>
                </c:pt>
                <c:pt idx="431">
                  <c:v>0.12</c:v>
                </c:pt>
                <c:pt idx="432">
                  <c:v>0.1</c:v>
                </c:pt>
                <c:pt idx="433">
                  <c:v>0.26</c:v>
                </c:pt>
                <c:pt idx="434">
                  <c:v>0.17</c:v>
                </c:pt>
                <c:pt idx="435">
                  <c:v>0.15</c:v>
                </c:pt>
                <c:pt idx="436">
                  <c:v>0.22</c:v>
                </c:pt>
                <c:pt idx="437">
                  <c:v>0.17</c:v>
                </c:pt>
                <c:pt idx="438">
                  <c:v>0.05</c:v>
                </c:pt>
                <c:pt idx="439">
                  <c:v>0.2</c:v>
                </c:pt>
                <c:pt idx="440">
                  <c:v>0.04</c:v>
                </c:pt>
                <c:pt idx="441">
                  <c:v>0.24</c:v>
                </c:pt>
                <c:pt idx="442">
                  <c:v>0.3</c:v>
                </c:pt>
                <c:pt idx="443">
                  <c:v>0.11</c:v>
                </c:pt>
                <c:pt idx="444">
                  <c:v>0.13</c:v>
                </c:pt>
                <c:pt idx="445">
                  <c:v>0.01</c:v>
                </c:pt>
                <c:pt idx="446">
                  <c:v>0</c:v>
                </c:pt>
                <c:pt idx="447">
                  <c:v>0.28000000000000003</c:v>
                </c:pt>
                <c:pt idx="448">
                  <c:v>0.04</c:v>
                </c:pt>
                <c:pt idx="449">
                  <c:v>0.13</c:v>
                </c:pt>
                <c:pt idx="450">
                  <c:v>0.24</c:v>
                </c:pt>
                <c:pt idx="451">
                  <c:v>0.27</c:v>
                </c:pt>
                <c:pt idx="452">
                  <c:v>0.16</c:v>
                </c:pt>
                <c:pt idx="453">
                  <c:v>0.17</c:v>
                </c:pt>
                <c:pt idx="454">
                  <c:v>0.2</c:v>
                </c:pt>
                <c:pt idx="455">
                  <c:v>0.28999999999999998</c:v>
                </c:pt>
                <c:pt idx="456">
                  <c:v>0.18</c:v>
                </c:pt>
                <c:pt idx="457">
                  <c:v>0.17</c:v>
                </c:pt>
                <c:pt idx="458">
                  <c:v>0</c:v>
                </c:pt>
                <c:pt idx="459">
                  <c:v>0.02</c:v>
                </c:pt>
                <c:pt idx="460">
                  <c:v>0.17</c:v>
                </c:pt>
                <c:pt idx="461">
                  <c:v>0.28000000000000003</c:v>
                </c:pt>
                <c:pt idx="462">
                  <c:v>0.26</c:v>
                </c:pt>
                <c:pt idx="463">
                  <c:v>0.28999999999999998</c:v>
                </c:pt>
                <c:pt idx="464">
                  <c:v>0.16</c:v>
                </c:pt>
                <c:pt idx="465">
                  <c:v>0.24</c:v>
                </c:pt>
                <c:pt idx="466">
                  <c:v>0.25</c:v>
                </c:pt>
                <c:pt idx="467">
                  <c:v>0.19</c:v>
                </c:pt>
                <c:pt idx="468">
                  <c:v>0.1</c:v>
                </c:pt>
                <c:pt idx="469">
                  <c:v>0.14000000000000001</c:v>
                </c:pt>
                <c:pt idx="470">
                  <c:v>0.26</c:v>
                </c:pt>
                <c:pt idx="471">
                  <c:v>0.09</c:v>
                </c:pt>
                <c:pt idx="472">
                  <c:v>0.28000000000000003</c:v>
                </c:pt>
                <c:pt idx="473">
                  <c:v>7.0000000000000007E-2</c:v>
                </c:pt>
                <c:pt idx="474">
                  <c:v>0.22</c:v>
                </c:pt>
                <c:pt idx="475">
                  <c:v>0.19</c:v>
                </c:pt>
                <c:pt idx="476">
                  <c:v>0.22</c:v>
                </c:pt>
                <c:pt idx="477">
                  <c:v>0.13</c:v>
                </c:pt>
                <c:pt idx="478">
                  <c:v>0.28000000000000003</c:v>
                </c:pt>
                <c:pt idx="479">
                  <c:v>0.19</c:v>
                </c:pt>
                <c:pt idx="480">
                  <c:v>0.09</c:v>
                </c:pt>
                <c:pt idx="481">
                  <c:v>0.19</c:v>
                </c:pt>
                <c:pt idx="482">
                  <c:v>0.09</c:v>
                </c:pt>
                <c:pt idx="483">
                  <c:v>0.09</c:v>
                </c:pt>
                <c:pt idx="484">
                  <c:v>0.12</c:v>
                </c:pt>
                <c:pt idx="485">
                  <c:v>0.26</c:v>
                </c:pt>
                <c:pt idx="486">
                  <c:v>0.15</c:v>
                </c:pt>
                <c:pt idx="487">
                  <c:v>0.2</c:v>
                </c:pt>
                <c:pt idx="488">
                  <c:v>0.12</c:v>
                </c:pt>
                <c:pt idx="489">
                  <c:v>0.08</c:v>
                </c:pt>
                <c:pt idx="490">
                  <c:v>0.28999999999999998</c:v>
                </c:pt>
                <c:pt idx="491">
                  <c:v>0.18</c:v>
                </c:pt>
                <c:pt idx="492">
                  <c:v>0.28000000000000003</c:v>
                </c:pt>
                <c:pt idx="493">
                  <c:v>0.06</c:v>
                </c:pt>
                <c:pt idx="494">
                  <c:v>0.04</c:v>
                </c:pt>
                <c:pt idx="495">
                  <c:v>0.26</c:v>
                </c:pt>
                <c:pt idx="496">
                  <c:v>0.2</c:v>
                </c:pt>
                <c:pt idx="497">
                  <c:v>0.06</c:v>
                </c:pt>
                <c:pt idx="498">
                  <c:v>0.08</c:v>
                </c:pt>
                <c:pt idx="499">
                  <c:v>0.24</c:v>
                </c:pt>
                <c:pt idx="500">
                  <c:v>0.14000000000000001</c:v>
                </c:pt>
                <c:pt idx="501">
                  <c:v>0.2</c:v>
                </c:pt>
                <c:pt idx="502">
                  <c:v>0.1</c:v>
                </c:pt>
                <c:pt idx="503">
                  <c:v>0.11</c:v>
                </c:pt>
                <c:pt idx="504">
                  <c:v>0.3</c:v>
                </c:pt>
                <c:pt idx="505">
                  <c:v>7.0000000000000007E-2</c:v>
                </c:pt>
                <c:pt idx="506">
                  <c:v>0.15</c:v>
                </c:pt>
                <c:pt idx="507">
                  <c:v>0.25</c:v>
                </c:pt>
                <c:pt idx="508">
                  <c:v>7.0000000000000007E-2</c:v>
                </c:pt>
                <c:pt idx="509">
                  <c:v>0.12</c:v>
                </c:pt>
                <c:pt idx="510">
                  <c:v>0.18</c:v>
                </c:pt>
                <c:pt idx="511">
                  <c:v>0.14000000000000001</c:v>
                </c:pt>
                <c:pt idx="512">
                  <c:v>0.14000000000000001</c:v>
                </c:pt>
                <c:pt idx="513">
                  <c:v>0.11</c:v>
                </c:pt>
                <c:pt idx="514">
                  <c:v>0.18</c:v>
                </c:pt>
                <c:pt idx="515">
                  <c:v>0.19</c:v>
                </c:pt>
                <c:pt idx="516">
                  <c:v>0.2</c:v>
                </c:pt>
                <c:pt idx="517">
                  <c:v>0.02</c:v>
                </c:pt>
                <c:pt idx="518">
                  <c:v>0.19</c:v>
                </c:pt>
                <c:pt idx="519">
                  <c:v>0.28999999999999998</c:v>
                </c:pt>
                <c:pt idx="520">
                  <c:v>0.16</c:v>
                </c:pt>
                <c:pt idx="521">
                  <c:v>0.21</c:v>
                </c:pt>
                <c:pt idx="522">
                  <c:v>0.17</c:v>
                </c:pt>
                <c:pt idx="523">
                  <c:v>0.26</c:v>
                </c:pt>
                <c:pt idx="524">
                  <c:v>0.28000000000000003</c:v>
                </c:pt>
                <c:pt idx="525">
                  <c:v>0.06</c:v>
                </c:pt>
                <c:pt idx="526">
                  <c:v>0.13</c:v>
                </c:pt>
                <c:pt idx="527">
                  <c:v>0.12</c:v>
                </c:pt>
                <c:pt idx="528">
                  <c:v>0.12</c:v>
                </c:pt>
                <c:pt idx="529">
                  <c:v>0.04</c:v>
                </c:pt>
                <c:pt idx="530">
                  <c:v>0.24</c:v>
                </c:pt>
                <c:pt idx="531">
                  <c:v>0.01</c:v>
                </c:pt>
                <c:pt idx="532">
                  <c:v>0.16</c:v>
                </c:pt>
                <c:pt idx="533">
                  <c:v>0.2</c:v>
                </c:pt>
                <c:pt idx="534">
                  <c:v>0.06</c:v>
                </c:pt>
                <c:pt idx="535">
                  <c:v>0.27</c:v>
                </c:pt>
                <c:pt idx="536">
                  <c:v>0.25</c:v>
                </c:pt>
                <c:pt idx="537">
                  <c:v>0.14000000000000001</c:v>
                </c:pt>
                <c:pt idx="538">
                  <c:v>0.12</c:v>
                </c:pt>
                <c:pt idx="539">
                  <c:v>7.0000000000000007E-2</c:v>
                </c:pt>
                <c:pt idx="540">
                  <c:v>0.22</c:v>
                </c:pt>
                <c:pt idx="541">
                  <c:v>0.04</c:v>
                </c:pt>
                <c:pt idx="542">
                  <c:v>0.2</c:v>
                </c:pt>
                <c:pt idx="543">
                  <c:v>0.25</c:v>
                </c:pt>
                <c:pt idx="544">
                  <c:v>7.0000000000000007E-2</c:v>
                </c:pt>
                <c:pt idx="545">
                  <c:v>0.26</c:v>
                </c:pt>
                <c:pt idx="546">
                  <c:v>0.01</c:v>
                </c:pt>
                <c:pt idx="547">
                  <c:v>0.27</c:v>
                </c:pt>
                <c:pt idx="548">
                  <c:v>0.04</c:v>
                </c:pt>
                <c:pt idx="549">
                  <c:v>0.19</c:v>
                </c:pt>
                <c:pt idx="550">
                  <c:v>0.08</c:v>
                </c:pt>
                <c:pt idx="551">
                  <c:v>0.25</c:v>
                </c:pt>
                <c:pt idx="552">
                  <c:v>0.15</c:v>
                </c:pt>
                <c:pt idx="553">
                  <c:v>0.04</c:v>
                </c:pt>
                <c:pt idx="554">
                  <c:v>0.17</c:v>
                </c:pt>
                <c:pt idx="555">
                  <c:v>0.12</c:v>
                </c:pt>
                <c:pt idx="556">
                  <c:v>0.2</c:v>
                </c:pt>
                <c:pt idx="557">
                  <c:v>0.26</c:v>
                </c:pt>
                <c:pt idx="558">
                  <c:v>0.12</c:v>
                </c:pt>
                <c:pt idx="559">
                  <c:v>0.09</c:v>
                </c:pt>
                <c:pt idx="560">
                  <c:v>0</c:v>
                </c:pt>
                <c:pt idx="561">
                  <c:v>0.17</c:v>
                </c:pt>
                <c:pt idx="562">
                  <c:v>0.12</c:v>
                </c:pt>
                <c:pt idx="563">
                  <c:v>0.11</c:v>
                </c:pt>
                <c:pt idx="564">
                  <c:v>0.05</c:v>
                </c:pt>
                <c:pt idx="565">
                  <c:v>0.13</c:v>
                </c:pt>
                <c:pt idx="566">
                  <c:v>0.3</c:v>
                </c:pt>
                <c:pt idx="567">
                  <c:v>0.09</c:v>
                </c:pt>
                <c:pt idx="568">
                  <c:v>0.18</c:v>
                </c:pt>
                <c:pt idx="569">
                  <c:v>0.23</c:v>
                </c:pt>
                <c:pt idx="570">
                  <c:v>0.22</c:v>
                </c:pt>
                <c:pt idx="571">
                  <c:v>0.1</c:v>
                </c:pt>
                <c:pt idx="572">
                  <c:v>0.18</c:v>
                </c:pt>
                <c:pt idx="573">
                  <c:v>0.26</c:v>
                </c:pt>
                <c:pt idx="574">
                  <c:v>0</c:v>
                </c:pt>
                <c:pt idx="575">
                  <c:v>0.13</c:v>
                </c:pt>
                <c:pt idx="576">
                  <c:v>7.0000000000000007E-2</c:v>
                </c:pt>
                <c:pt idx="577">
                  <c:v>0.12</c:v>
                </c:pt>
                <c:pt idx="578">
                  <c:v>0.12</c:v>
                </c:pt>
                <c:pt idx="579">
                  <c:v>0.22</c:v>
                </c:pt>
                <c:pt idx="580">
                  <c:v>0.03</c:v>
                </c:pt>
                <c:pt idx="581">
                  <c:v>0.15</c:v>
                </c:pt>
                <c:pt idx="582">
                  <c:v>0.17</c:v>
                </c:pt>
                <c:pt idx="583">
                  <c:v>0.15</c:v>
                </c:pt>
                <c:pt idx="584">
                  <c:v>0.22</c:v>
                </c:pt>
                <c:pt idx="585">
                  <c:v>0.12</c:v>
                </c:pt>
                <c:pt idx="586">
                  <c:v>0.28000000000000003</c:v>
                </c:pt>
                <c:pt idx="587">
                  <c:v>0.14000000000000001</c:v>
                </c:pt>
                <c:pt idx="588">
                  <c:v>0.17</c:v>
                </c:pt>
                <c:pt idx="589">
                  <c:v>0.25</c:v>
                </c:pt>
                <c:pt idx="590">
                  <c:v>0.08</c:v>
                </c:pt>
                <c:pt idx="591">
                  <c:v>0.02</c:v>
                </c:pt>
                <c:pt idx="592">
                  <c:v>0.21</c:v>
                </c:pt>
                <c:pt idx="593">
                  <c:v>0.14000000000000001</c:v>
                </c:pt>
                <c:pt idx="594">
                  <c:v>0.27</c:v>
                </c:pt>
                <c:pt idx="595">
                  <c:v>0.28999999999999998</c:v>
                </c:pt>
                <c:pt idx="596">
                  <c:v>0.12</c:v>
                </c:pt>
                <c:pt idx="597">
                  <c:v>0.12</c:v>
                </c:pt>
                <c:pt idx="598">
                  <c:v>0.12</c:v>
                </c:pt>
                <c:pt idx="599">
                  <c:v>0.1</c:v>
                </c:pt>
                <c:pt idx="600">
                  <c:v>0.23</c:v>
                </c:pt>
                <c:pt idx="601">
                  <c:v>0.23</c:v>
                </c:pt>
                <c:pt idx="602">
                  <c:v>0.14000000000000001</c:v>
                </c:pt>
                <c:pt idx="603">
                  <c:v>0.01</c:v>
                </c:pt>
                <c:pt idx="604">
                  <c:v>0.09</c:v>
                </c:pt>
                <c:pt idx="605">
                  <c:v>0.09</c:v>
                </c:pt>
                <c:pt idx="606">
                  <c:v>0.24</c:v>
                </c:pt>
                <c:pt idx="607">
                  <c:v>0.03</c:v>
                </c:pt>
                <c:pt idx="608">
                  <c:v>0.24</c:v>
                </c:pt>
                <c:pt idx="609">
                  <c:v>0.2</c:v>
                </c:pt>
                <c:pt idx="610">
                  <c:v>0.22</c:v>
                </c:pt>
                <c:pt idx="611">
                  <c:v>0.13</c:v>
                </c:pt>
                <c:pt idx="612">
                  <c:v>0.2</c:v>
                </c:pt>
                <c:pt idx="613">
                  <c:v>0.18</c:v>
                </c:pt>
                <c:pt idx="614">
                  <c:v>0.23</c:v>
                </c:pt>
                <c:pt idx="615">
                  <c:v>0.13</c:v>
                </c:pt>
                <c:pt idx="616">
                  <c:v>0.14000000000000001</c:v>
                </c:pt>
                <c:pt idx="617">
                  <c:v>0.19</c:v>
                </c:pt>
                <c:pt idx="618">
                  <c:v>0.03</c:v>
                </c:pt>
                <c:pt idx="619">
                  <c:v>0.13</c:v>
                </c:pt>
                <c:pt idx="620">
                  <c:v>0.28999999999999998</c:v>
                </c:pt>
                <c:pt idx="621">
                  <c:v>0.01</c:v>
                </c:pt>
                <c:pt idx="622">
                  <c:v>0.09</c:v>
                </c:pt>
                <c:pt idx="623">
                  <c:v>0.09</c:v>
                </c:pt>
                <c:pt idx="624">
                  <c:v>0.19</c:v>
                </c:pt>
                <c:pt idx="625">
                  <c:v>0.03</c:v>
                </c:pt>
                <c:pt idx="626">
                  <c:v>0.19</c:v>
                </c:pt>
                <c:pt idx="627">
                  <c:v>0.03</c:v>
                </c:pt>
                <c:pt idx="628">
                  <c:v>0.03</c:v>
                </c:pt>
                <c:pt idx="629">
                  <c:v>0.22</c:v>
                </c:pt>
                <c:pt idx="630">
                  <c:v>0.1</c:v>
                </c:pt>
                <c:pt idx="631">
                  <c:v>0.28999999999999998</c:v>
                </c:pt>
                <c:pt idx="632">
                  <c:v>0.01</c:v>
                </c:pt>
                <c:pt idx="633">
                  <c:v>0.13</c:v>
                </c:pt>
                <c:pt idx="634">
                  <c:v>0.03</c:v>
                </c:pt>
                <c:pt idx="635">
                  <c:v>0.11</c:v>
                </c:pt>
                <c:pt idx="636">
                  <c:v>0.3</c:v>
                </c:pt>
                <c:pt idx="637">
                  <c:v>0.27</c:v>
                </c:pt>
                <c:pt idx="638">
                  <c:v>0.01</c:v>
                </c:pt>
                <c:pt idx="639">
                  <c:v>0.17</c:v>
                </c:pt>
                <c:pt idx="640">
                  <c:v>0.19</c:v>
                </c:pt>
                <c:pt idx="641">
                  <c:v>0.06</c:v>
                </c:pt>
                <c:pt idx="642">
                  <c:v>0.04</c:v>
                </c:pt>
                <c:pt idx="643">
                  <c:v>0.27</c:v>
                </c:pt>
                <c:pt idx="644">
                  <c:v>0.28999999999999998</c:v>
                </c:pt>
                <c:pt idx="645">
                  <c:v>0.3</c:v>
                </c:pt>
                <c:pt idx="646">
                  <c:v>0.24</c:v>
                </c:pt>
                <c:pt idx="647">
                  <c:v>0.2</c:v>
                </c:pt>
                <c:pt idx="648">
                  <c:v>0.1</c:v>
                </c:pt>
                <c:pt idx="649">
                  <c:v>0.05</c:v>
                </c:pt>
                <c:pt idx="650">
                  <c:v>0.02</c:v>
                </c:pt>
                <c:pt idx="651">
                  <c:v>0.21</c:v>
                </c:pt>
                <c:pt idx="652">
                  <c:v>0.24</c:v>
                </c:pt>
                <c:pt idx="653">
                  <c:v>0.25</c:v>
                </c:pt>
                <c:pt idx="654">
                  <c:v>0.27</c:v>
                </c:pt>
                <c:pt idx="655">
                  <c:v>0.26</c:v>
                </c:pt>
                <c:pt idx="656">
                  <c:v>0.3</c:v>
                </c:pt>
                <c:pt idx="657">
                  <c:v>7.0000000000000007E-2</c:v>
                </c:pt>
                <c:pt idx="658">
                  <c:v>0.23</c:v>
                </c:pt>
                <c:pt idx="659">
                  <c:v>0.18</c:v>
                </c:pt>
                <c:pt idx="660">
                  <c:v>0.08</c:v>
                </c:pt>
                <c:pt idx="661">
                  <c:v>0.28999999999999998</c:v>
                </c:pt>
                <c:pt idx="662">
                  <c:v>0.27</c:v>
                </c:pt>
                <c:pt idx="663">
                  <c:v>0.04</c:v>
                </c:pt>
                <c:pt idx="664">
                  <c:v>0.01</c:v>
                </c:pt>
                <c:pt idx="665">
                  <c:v>0.21</c:v>
                </c:pt>
                <c:pt idx="666">
                  <c:v>0.18</c:v>
                </c:pt>
                <c:pt idx="667">
                  <c:v>0.28000000000000003</c:v>
                </c:pt>
                <c:pt idx="668">
                  <c:v>7.0000000000000007E-2</c:v>
                </c:pt>
                <c:pt idx="669">
                  <c:v>0.03</c:v>
                </c:pt>
                <c:pt idx="670">
                  <c:v>0.08</c:v>
                </c:pt>
                <c:pt idx="671">
                  <c:v>0.01</c:v>
                </c:pt>
                <c:pt idx="672">
                  <c:v>0.01</c:v>
                </c:pt>
                <c:pt idx="673">
                  <c:v>0.27</c:v>
                </c:pt>
                <c:pt idx="674">
                  <c:v>0.11</c:v>
                </c:pt>
                <c:pt idx="675">
                  <c:v>0.12</c:v>
                </c:pt>
                <c:pt idx="676">
                  <c:v>0.01</c:v>
                </c:pt>
                <c:pt idx="677">
                  <c:v>0.08</c:v>
                </c:pt>
                <c:pt idx="678">
                  <c:v>0.24</c:v>
                </c:pt>
                <c:pt idx="679">
                  <c:v>0.18</c:v>
                </c:pt>
                <c:pt idx="680">
                  <c:v>0.23</c:v>
                </c:pt>
                <c:pt idx="681">
                  <c:v>0.13</c:v>
                </c:pt>
                <c:pt idx="682">
                  <c:v>0.09</c:v>
                </c:pt>
                <c:pt idx="683">
                  <c:v>0.14000000000000001</c:v>
                </c:pt>
                <c:pt idx="684">
                  <c:v>0.1</c:v>
                </c:pt>
                <c:pt idx="685">
                  <c:v>0.25</c:v>
                </c:pt>
                <c:pt idx="686">
                  <c:v>0.09</c:v>
                </c:pt>
                <c:pt idx="687">
                  <c:v>0.2</c:v>
                </c:pt>
                <c:pt idx="688">
                  <c:v>0.04</c:v>
                </c:pt>
                <c:pt idx="689">
                  <c:v>0.21</c:v>
                </c:pt>
                <c:pt idx="690">
                  <c:v>0.27</c:v>
                </c:pt>
                <c:pt idx="691">
                  <c:v>0.18</c:v>
                </c:pt>
                <c:pt idx="692">
                  <c:v>0.17</c:v>
                </c:pt>
                <c:pt idx="693">
                  <c:v>0.28999999999999998</c:v>
                </c:pt>
                <c:pt idx="694">
                  <c:v>0.19</c:v>
                </c:pt>
                <c:pt idx="695">
                  <c:v>0.08</c:v>
                </c:pt>
                <c:pt idx="696">
                  <c:v>0.09</c:v>
                </c:pt>
                <c:pt idx="697">
                  <c:v>0.21</c:v>
                </c:pt>
                <c:pt idx="698">
                  <c:v>0.22</c:v>
                </c:pt>
                <c:pt idx="699">
                  <c:v>0.09</c:v>
                </c:pt>
                <c:pt idx="700">
                  <c:v>0.1</c:v>
                </c:pt>
                <c:pt idx="701">
                  <c:v>0.3</c:v>
                </c:pt>
                <c:pt idx="702">
                  <c:v>0.03</c:v>
                </c:pt>
                <c:pt idx="703">
                  <c:v>0.12</c:v>
                </c:pt>
                <c:pt idx="704">
                  <c:v>0.02</c:v>
                </c:pt>
                <c:pt idx="705">
                  <c:v>0.25</c:v>
                </c:pt>
                <c:pt idx="706">
                  <c:v>0.03</c:v>
                </c:pt>
                <c:pt idx="707">
                  <c:v>0.2</c:v>
                </c:pt>
                <c:pt idx="708">
                  <c:v>0.02</c:v>
                </c:pt>
                <c:pt idx="709">
                  <c:v>0.2</c:v>
                </c:pt>
                <c:pt idx="710">
                  <c:v>0.25</c:v>
                </c:pt>
                <c:pt idx="711">
                  <c:v>0.12</c:v>
                </c:pt>
                <c:pt idx="712">
                  <c:v>0.16</c:v>
                </c:pt>
                <c:pt idx="713">
                  <c:v>0.12</c:v>
                </c:pt>
                <c:pt idx="714">
                  <c:v>0.09</c:v>
                </c:pt>
                <c:pt idx="715">
                  <c:v>0.24</c:v>
                </c:pt>
                <c:pt idx="716">
                  <c:v>0.08</c:v>
                </c:pt>
                <c:pt idx="717">
                  <c:v>0.22</c:v>
                </c:pt>
                <c:pt idx="718">
                  <c:v>0.06</c:v>
                </c:pt>
                <c:pt idx="719">
                  <c:v>7.0000000000000007E-2</c:v>
                </c:pt>
                <c:pt idx="720">
                  <c:v>0.1</c:v>
                </c:pt>
                <c:pt idx="721">
                  <c:v>0.18</c:v>
                </c:pt>
                <c:pt idx="722">
                  <c:v>0.14000000000000001</c:v>
                </c:pt>
                <c:pt idx="723">
                  <c:v>0.22</c:v>
                </c:pt>
                <c:pt idx="724">
                  <c:v>0.06</c:v>
                </c:pt>
                <c:pt idx="725">
                  <c:v>0</c:v>
                </c:pt>
                <c:pt idx="726">
                  <c:v>0.23</c:v>
                </c:pt>
                <c:pt idx="727">
                  <c:v>0.25</c:v>
                </c:pt>
                <c:pt idx="728">
                  <c:v>0.02</c:v>
                </c:pt>
                <c:pt idx="729">
                  <c:v>0.18</c:v>
                </c:pt>
                <c:pt idx="730">
                  <c:v>0.11</c:v>
                </c:pt>
                <c:pt idx="731">
                  <c:v>0.24</c:v>
                </c:pt>
                <c:pt idx="732">
                  <c:v>0.26</c:v>
                </c:pt>
                <c:pt idx="733">
                  <c:v>0.26</c:v>
                </c:pt>
                <c:pt idx="734">
                  <c:v>0.23</c:v>
                </c:pt>
                <c:pt idx="735">
                  <c:v>0.08</c:v>
                </c:pt>
                <c:pt idx="736">
                  <c:v>0.24</c:v>
                </c:pt>
                <c:pt idx="737">
                  <c:v>0.16</c:v>
                </c:pt>
                <c:pt idx="738">
                  <c:v>0.02</c:v>
                </c:pt>
                <c:pt idx="739">
                  <c:v>0.14000000000000001</c:v>
                </c:pt>
                <c:pt idx="740">
                  <c:v>0.28000000000000003</c:v>
                </c:pt>
                <c:pt idx="741">
                  <c:v>0.27</c:v>
                </c:pt>
                <c:pt idx="742">
                  <c:v>0.03</c:v>
                </c:pt>
                <c:pt idx="743">
                  <c:v>0.22</c:v>
                </c:pt>
                <c:pt idx="744">
                  <c:v>0.24</c:v>
                </c:pt>
                <c:pt idx="745">
                  <c:v>0.08</c:v>
                </c:pt>
                <c:pt idx="746">
                  <c:v>0.14000000000000001</c:v>
                </c:pt>
                <c:pt idx="747">
                  <c:v>0.21</c:v>
                </c:pt>
                <c:pt idx="748">
                  <c:v>0.13</c:v>
                </c:pt>
                <c:pt idx="749">
                  <c:v>0.03</c:v>
                </c:pt>
                <c:pt idx="750">
                  <c:v>0.21</c:v>
                </c:pt>
                <c:pt idx="751">
                  <c:v>0.27</c:v>
                </c:pt>
                <c:pt idx="752">
                  <c:v>0.2</c:v>
                </c:pt>
                <c:pt idx="753">
                  <c:v>0.23</c:v>
                </c:pt>
                <c:pt idx="754">
                  <c:v>0.11</c:v>
                </c:pt>
                <c:pt idx="755">
                  <c:v>0.05</c:v>
                </c:pt>
                <c:pt idx="756">
                  <c:v>0.19</c:v>
                </c:pt>
                <c:pt idx="757">
                  <c:v>0.1</c:v>
                </c:pt>
                <c:pt idx="758">
                  <c:v>0.26</c:v>
                </c:pt>
                <c:pt idx="759">
                  <c:v>0.04</c:v>
                </c:pt>
                <c:pt idx="760">
                  <c:v>0.13</c:v>
                </c:pt>
                <c:pt idx="761">
                  <c:v>0.12</c:v>
                </c:pt>
                <c:pt idx="762">
                  <c:v>0.28000000000000003</c:v>
                </c:pt>
                <c:pt idx="763">
                  <c:v>0.05</c:v>
                </c:pt>
                <c:pt idx="764">
                  <c:v>0</c:v>
                </c:pt>
                <c:pt idx="765">
                  <c:v>7.0000000000000007E-2</c:v>
                </c:pt>
                <c:pt idx="766">
                  <c:v>0.25</c:v>
                </c:pt>
                <c:pt idx="767">
                  <c:v>0.06</c:v>
                </c:pt>
                <c:pt idx="768">
                  <c:v>7.0000000000000007E-2</c:v>
                </c:pt>
                <c:pt idx="769">
                  <c:v>0.04</c:v>
                </c:pt>
                <c:pt idx="770">
                  <c:v>0.21</c:v>
                </c:pt>
                <c:pt idx="771">
                  <c:v>0.02</c:v>
                </c:pt>
                <c:pt idx="772">
                  <c:v>0.1</c:v>
                </c:pt>
                <c:pt idx="773">
                  <c:v>0.08</c:v>
                </c:pt>
                <c:pt idx="774">
                  <c:v>0.17</c:v>
                </c:pt>
                <c:pt idx="775">
                  <c:v>0.22</c:v>
                </c:pt>
                <c:pt idx="776">
                  <c:v>0.16</c:v>
                </c:pt>
                <c:pt idx="777">
                  <c:v>0.28000000000000003</c:v>
                </c:pt>
                <c:pt idx="778">
                  <c:v>0.28999999999999998</c:v>
                </c:pt>
                <c:pt idx="779">
                  <c:v>0.11</c:v>
                </c:pt>
                <c:pt idx="780">
                  <c:v>0.23</c:v>
                </c:pt>
                <c:pt idx="781">
                  <c:v>0.22</c:v>
                </c:pt>
                <c:pt idx="782">
                  <c:v>0.27</c:v>
                </c:pt>
                <c:pt idx="783">
                  <c:v>0.13</c:v>
                </c:pt>
                <c:pt idx="784">
                  <c:v>0.16</c:v>
                </c:pt>
                <c:pt idx="785">
                  <c:v>0.12</c:v>
                </c:pt>
                <c:pt idx="786">
                  <c:v>0.26</c:v>
                </c:pt>
                <c:pt idx="787">
                  <c:v>7.0000000000000007E-2</c:v>
                </c:pt>
                <c:pt idx="788">
                  <c:v>7.0000000000000007E-2</c:v>
                </c:pt>
                <c:pt idx="789">
                  <c:v>0.11</c:v>
                </c:pt>
                <c:pt idx="790">
                  <c:v>7.0000000000000007E-2</c:v>
                </c:pt>
                <c:pt idx="791">
                  <c:v>0.17</c:v>
                </c:pt>
                <c:pt idx="792">
                  <c:v>0.04</c:v>
                </c:pt>
                <c:pt idx="793">
                  <c:v>0.1</c:v>
                </c:pt>
                <c:pt idx="794">
                  <c:v>0.27</c:v>
                </c:pt>
                <c:pt idx="795">
                  <c:v>0.12</c:v>
                </c:pt>
                <c:pt idx="796">
                  <c:v>0.22</c:v>
                </c:pt>
                <c:pt idx="797">
                  <c:v>0.03</c:v>
                </c:pt>
                <c:pt idx="798">
                  <c:v>7.0000000000000007E-2</c:v>
                </c:pt>
                <c:pt idx="799">
                  <c:v>0.24</c:v>
                </c:pt>
                <c:pt idx="800">
                  <c:v>0.23</c:v>
                </c:pt>
                <c:pt idx="801">
                  <c:v>0.12</c:v>
                </c:pt>
                <c:pt idx="802">
                  <c:v>0.28999999999999998</c:v>
                </c:pt>
                <c:pt idx="803">
                  <c:v>0.27</c:v>
                </c:pt>
                <c:pt idx="804">
                  <c:v>0.28999999999999998</c:v>
                </c:pt>
                <c:pt idx="805">
                  <c:v>0.13</c:v>
                </c:pt>
                <c:pt idx="806">
                  <c:v>0.06</c:v>
                </c:pt>
                <c:pt idx="807">
                  <c:v>0.19</c:v>
                </c:pt>
                <c:pt idx="808">
                  <c:v>0.21</c:v>
                </c:pt>
                <c:pt idx="809">
                  <c:v>0.04</c:v>
                </c:pt>
                <c:pt idx="810">
                  <c:v>0.24</c:v>
                </c:pt>
                <c:pt idx="811">
                  <c:v>0.01</c:v>
                </c:pt>
                <c:pt idx="812">
                  <c:v>0.14000000000000001</c:v>
                </c:pt>
                <c:pt idx="813">
                  <c:v>0.1</c:v>
                </c:pt>
                <c:pt idx="814">
                  <c:v>0.22</c:v>
                </c:pt>
                <c:pt idx="815">
                  <c:v>0.09</c:v>
                </c:pt>
                <c:pt idx="816">
                  <c:v>0.25</c:v>
                </c:pt>
                <c:pt idx="817">
                  <c:v>0.18</c:v>
                </c:pt>
                <c:pt idx="818">
                  <c:v>0.24</c:v>
                </c:pt>
                <c:pt idx="819">
                  <c:v>0.3</c:v>
                </c:pt>
                <c:pt idx="820">
                  <c:v>0.2</c:v>
                </c:pt>
                <c:pt idx="821">
                  <c:v>0.3</c:v>
                </c:pt>
                <c:pt idx="822">
                  <c:v>0.01</c:v>
                </c:pt>
                <c:pt idx="823">
                  <c:v>0.1</c:v>
                </c:pt>
                <c:pt idx="824">
                  <c:v>0.03</c:v>
                </c:pt>
                <c:pt idx="825">
                  <c:v>0.08</c:v>
                </c:pt>
                <c:pt idx="826">
                  <c:v>0.25</c:v>
                </c:pt>
                <c:pt idx="827">
                  <c:v>0.01</c:v>
                </c:pt>
                <c:pt idx="828">
                  <c:v>0.16</c:v>
                </c:pt>
                <c:pt idx="829">
                  <c:v>0.17</c:v>
                </c:pt>
                <c:pt idx="830">
                  <c:v>0.17</c:v>
                </c:pt>
                <c:pt idx="831">
                  <c:v>0.14000000000000001</c:v>
                </c:pt>
                <c:pt idx="832">
                  <c:v>0.24</c:v>
                </c:pt>
                <c:pt idx="833">
                  <c:v>0.04</c:v>
                </c:pt>
                <c:pt idx="834">
                  <c:v>0.09</c:v>
                </c:pt>
                <c:pt idx="835">
                  <c:v>0.18</c:v>
                </c:pt>
                <c:pt idx="836">
                  <c:v>0.21</c:v>
                </c:pt>
                <c:pt idx="837">
                  <c:v>0.12</c:v>
                </c:pt>
                <c:pt idx="838">
                  <c:v>0.26</c:v>
                </c:pt>
                <c:pt idx="839">
                  <c:v>0.12</c:v>
                </c:pt>
                <c:pt idx="840">
                  <c:v>0.12</c:v>
                </c:pt>
                <c:pt idx="841">
                  <c:v>0.01</c:v>
                </c:pt>
                <c:pt idx="842">
                  <c:v>0.17</c:v>
                </c:pt>
                <c:pt idx="843">
                  <c:v>0.21</c:v>
                </c:pt>
                <c:pt idx="844">
                  <c:v>0.03</c:v>
                </c:pt>
                <c:pt idx="845">
                  <c:v>0.09</c:v>
                </c:pt>
                <c:pt idx="846">
                  <c:v>0.23</c:v>
                </c:pt>
                <c:pt idx="847">
                  <c:v>0.11</c:v>
                </c:pt>
                <c:pt idx="848">
                  <c:v>7.0000000000000007E-2</c:v>
                </c:pt>
                <c:pt idx="849">
                  <c:v>0.2</c:v>
                </c:pt>
                <c:pt idx="850">
                  <c:v>0.06</c:v>
                </c:pt>
                <c:pt idx="851">
                  <c:v>0.27</c:v>
                </c:pt>
                <c:pt idx="852">
                  <c:v>0.03</c:v>
                </c:pt>
                <c:pt idx="853">
                  <c:v>0.21</c:v>
                </c:pt>
                <c:pt idx="854">
                  <c:v>0.15</c:v>
                </c:pt>
                <c:pt idx="855">
                  <c:v>0.26</c:v>
                </c:pt>
                <c:pt idx="856">
                  <c:v>0.04</c:v>
                </c:pt>
                <c:pt idx="857">
                  <c:v>0.2</c:v>
                </c:pt>
                <c:pt idx="858">
                  <c:v>0.17</c:v>
                </c:pt>
                <c:pt idx="859">
                  <c:v>0.14000000000000001</c:v>
                </c:pt>
                <c:pt idx="860">
                  <c:v>0.15</c:v>
                </c:pt>
                <c:pt idx="861">
                  <c:v>0.22</c:v>
                </c:pt>
                <c:pt idx="862">
                  <c:v>0.28000000000000003</c:v>
                </c:pt>
                <c:pt idx="863">
                  <c:v>0.03</c:v>
                </c:pt>
                <c:pt idx="864">
                  <c:v>0.01</c:v>
                </c:pt>
                <c:pt idx="865">
                  <c:v>0.24</c:v>
                </c:pt>
                <c:pt idx="866">
                  <c:v>0.03</c:v>
                </c:pt>
                <c:pt idx="867">
                  <c:v>0.3</c:v>
                </c:pt>
                <c:pt idx="868">
                  <c:v>0.19</c:v>
                </c:pt>
                <c:pt idx="869">
                  <c:v>0.2</c:v>
                </c:pt>
                <c:pt idx="870">
                  <c:v>0.06</c:v>
                </c:pt>
                <c:pt idx="871">
                  <c:v>7.0000000000000007E-2</c:v>
                </c:pt>
                <c:pt idx="872">
                  <c:v>0.2</c:v>
                </c:pt>
                <c:pt idx="873">
                  <c:v>0.27</c:v>
                </c:pt>
                <c:pt idx="874">
                  <c:v>0.28999999999999998</c:v>
                </c:pt>
                <c:pt idx="875">
                  <c:v>0.06</c:v>
                </c:pt>
                <c:pt idx="876">
                  <c:v>0.04</c:v>
                </c:pt>
                <c:pt idx="877">
                  <c:v>0.02</c:v>
                </c:pt>
                <c:pt idx="878">
                  <c:v>0.26</c:v>
                </c:pt>
                <c:pt idx="879">
                  <c:v>0.09</c:v>
                </c:pt>
                <c:pt idx="880">
                  <c:v>0</c:v>
                </c:pt>
                <c:pt idx="881">
                  <c:v>7.0000000000000007E-2</c:v>
                </c:pt>
                <c:pt idx="882">
                  <c:v>0.1</c:v>
                </c:pt>
                <c:pt idx="883">
                  <c:v>0.3</c:v>
                </c:pt>
                <c:pt idx="884">
                  <c:v>0.16</c:v>
                </c:pt>
                <c:pt idx="885">
                  <c:v>0.06</c:v>
                </c:pt>
                <c:pt idx="886">
                  <c:v>0.1</c:v>
                </c:pt>
                <c:pt idx="887">
                  <c:v>0.1</c:v>
                </c:pt>
                <c:pt idx="888">
                  <c:v>0.01</c:v>
                </c:pt>
                <c:pt idx="889">
                  <c:v>0.04</c:v>
                </c:pt>
                <c:pt idx="890">
                  <c:v>0.21</c:v>
                </c:pt>
                <c:pt idx="891">
                  <c:v>0.04</c:v>
                </c:pt>
                <c:pt idx="892">
                  <c:v>7.0000000000000007E-2</c:v>
                </c:pt>
                <c:pt idx="893">
                  <c:v>0.11</c:v>
                </c:pt>
                <c:pt idx="894">
                  <c:v>0.23</c:v>
                </c:pt>
                <c:pt idx="895">
                  <c:v>0.17</c:v>
                </c:pt>
                <c:pt idx="896">
                  <c:v>0.21</c:v>
                </c:pt>
                <c:pt idx="897">
                  <c:v>0.17</c:v>
                </c:pt>
                <c:pt idx="898">
                  <c:v>0.21</c:v>
                </c:pt>
                <c:pt idx="899">
                  <c:v>0</c:v>
                </c:pt>
                <c:pt idx="900">
                  <c:v>0.28000000000000003</c:v>
                </c:pt>
                <c:pt idx="901">
                  <c:v>0.03</c:v>
                </c:pt>
                <c:pt idx="902">
                  <c:v>0.12</c:v>
                </c:pt>
                <c:pt idx="903">
                  <c:v>0.23</c:v>
                </c:pt>
                <c:pt idx="904">
                  <c:v>0.13</c:v>
                </c:pt>
                <c:pt idx="905">
                  <c:v>0.28000000000000003</c:v>
                </c:pt>
                <c:pt idx="906">
                  <c:v>0.14000000000000001</c:v>
                </c:pt>
                <c:pt idx="907">
                  <c:v>0.26</c:v>
                </c:pt>
                <c:pt idx="908">
                  <c:v>0.24</c:v>
                </c:pt>
                <c:pt idx="909">
                  <c:v>0.28999999999999998</c:v>
                </c:pt>
                <c:pt idx="910">
                  <c:v>0.28000000000000003</c:v>
                </c:pt>
                <c:pt idx="911">
                  <c:v>0.27</c:v>
                </c:pt>
                <c:pt idx="912">
                  <c:v>0.22</c:v>
                </c:pt>
                <c:pt idx="913">
                  <c:v>0.11</c:v>
                </c:pt>
                <c:pt idx="914">
                  <c:v>0.03</c:v>
                </c:pt>
                <c:pt idx="915">
                  <c:v>0.21</c:v>
                </c:pt>
                <c:pt idx="916">
                  <c:v>0.28999999999999998</c:v>
                </c:pt>
                <c:pt idx="917">
                  <c:v>0.22</c:v>
                </c:pt>
                <c:pt idx="918">
                  <c:v>0.28000000000000003</c:v>
                </c:pt>
                <c:pt idx="919">
                  <c:v>0.24</c:v>
                </c:pt>
                <c:pt idx="920">
                  <c:v>0.05</c:v>
                </c:pt>
                <c:pt idx="921">
                  <c:v>7.0000000000000007E-2</c:v>
                </c:pt>
                <c:pt idx="922">
                  <c:v>0.1</c:v>
                </c:pt>
                <c:pt idx="923">
                  <c:v>0.05</c:v>
                </c:pt>
                <c:pt idx="924">
                  <c:v>0.17</c:v>
                </c:pt>
                <c:pt idx="925">
                  <c:v>0.28999999999999998</c:v>
                </c:pt>
                <c:pt idx="926">
                  <c:v>0.23</c:v>
                </c:pt>
                <c:pt idx="927">
                  <c:v>0.13</c:v>
                </c:pt>
                <c:pt idx="928">
                  <c:v>0</c:v>
                </c:pt>
                <c:pt idx="929">
                  <c:v>0.09</c:v>
                </c:pt>
                <c:pt idx="930">
                  <c:v>0.16</c:v>
                </c:pt>
                <c:pt idx="931">
                  <c:v>0.1</c:v>
                </c:pt>
                <c:pt idx="932">
                  <c:v>0.03</c:v>
                </c:pt>
                <c:pt idx="933">
                  <c:v>0.13</c:v>
                </c:pt>
                <c:pt idx="934">
                  <c:v>0.08</c:v>
                </c:pt>
                <c:pt idx="935">
                  <c:v>0.27</c:v>
                </c:pt>
                <c:pt idx="936">
                  <c:v>0.03</c:v>
                </c:pt>
                <c:pt idx="937">
                  <c:v>0.01</c:v>
                </c:pt>
                <c:pt idx="938">
                  <c:v>0</c:v>
                </c:pt>
                <c:pt idx="939">
                  <c:v>0.1</c:v>
                </c:pt>
                <c:pt idx="940">
                  <c:v>0.2</c:v>
                </c:pt>
                <c:pt idx="941">
                  <c:v>0.22</c:v>
                </c:pt>
                <c:pt idx="942">
                  <c:v>0.14000000000000001</c:v>
                </c:pt>
                <c:pt idx="943">
                  <c:v>0.21</c:v>
                </c:pt>
                <c:pt idx="944">
                  <c:v>0.11</c:v>
                </c:pt>
                <c:pt idx="945">
                  <c:v>0.2</c:v>
                </c:pt>
                <c:pt idx="946">
                  <c:v>0.01</c:v>
                </c:pt>
                <c:pt idx="947">
                  <c:v>0.12</c:v>
                </c:pt>
                <c:pt idx="948">
                  <c:v>0.24</c:v>
                </c:pt>
                <c:pt idx="949">
                  <c:v>0.24</c:v>
                </c:pt>
                <c:pt idx="950">
                  <c:v>0.21</c:v>
                </c:pt>
                <c:pt idx="951">
                  <c:v>0.06</c:v>
                </c:pt>
                <c:pt idx="952">
                  <c:v>7.0000000000000007E-2</c:v>
                </c:pt>
                <c:pt idx="953">
                  <c:v>0.3</c:v>
                </c:pt>
                <c:pt idx="954">
                  <c:v>0.03</c:v>
                </c:pt>
                <c:pt idx="955">
                  <c:v>0.05</c:v>
                </c:pt>
                <c:pt idx="956">
                  <c:v>0.04</c:v>
                </c:pt>
                <c:pt idx="957">
                  <c:v>0.1</c:v>
                </c:pt>
                <c:pt idx="958">
                  <c:v>0.06</c:v>
                </c:pt>
                <c:pt idx="959">
                  <c:v>0.15</c:v>
                </c:pt>
                <c:pt idx="960">
                  <c:v>0.14000000000000001</c:v>
                </c:pt>
                <c:pt idx="961">
                  <c:v>0.27</c:v>
                </c:pt>
                <c:pt idx="962">
                  <c:v>0.01</c:v>
                </c:pt>
                <c:pt idx="963">
                  <c:v>0.1</c:v>
                </c:pt>
                <c:pt idx="964">
                  <c:v>0.18</c:v>
                </c:pt>
                <c:pt idx="965">
                  <c:v>0.18</c:v>
                </c:pt>
                <c:pt idx="966">
                  <c:v>0.14000000000000001</c:v>
                </c:pt>
                <c:pt idx="967">
                  <c:v>0.24</c:v>
                </c:pt>
                <c:pt idx="968">
                  <c:v>0.02</c:v>
                </c:pt>
                <c:pt idx="969">
                  <c:v>0.24</c:v>
                </c:pt>
                <c:pt idx="970">
                  <c:v>0.15</c:v>
                </c:pt>
                <c:pt idx="971">
                  <c:v>0.04</c:v>
                </c:pt>
                <c:pt idx="972">
                  <c:v>0.27</c:v>
                </c:pt>
                <c:pt idx="973">
                  <c:v>0.19</c:v>
                </c:pt>
                <c:pt idx="974">
                  <c:v>0.05</c:v>
                </c:pt>
                <c:pt idx="975">
                  <c:v>0.01</c:v>
                </c:pt>
                <c:pt idx="976">
                  <c:v>0.04</c:v>
                </c:pt>
                <c:pt idx="977">
                  <c:v>0.18</c:v>
                </c:pt>
                <c:pt idx="978">
                  <c:v>0.05</c:v>
                </c:pt>
                <c:pt idx="979">
                  <c:v>7.0000000000000007E-2</c:v>
                </c:pt>
                <c:pt idx="980">
                  <c:v>0.01</c:v>
                </c:pt>
                <c:pt idx="981">
                  <c:v>0.22</c:v>
                </c:pt>
                <c:pt idx="982">
                  <c:v>0.24</c:v>
                </c:pt>
                <c:pt idx="983">
                  <c:v>0.24</c:v>
                </c:pt>
                <c:pt idx="984">
                  <c:v>0.04</c:v>
                </c:pt>
                <c:pt idx="985">
                  <c:v>0.27</c:v>
                </c:pt>
                <c:pt idx="986">
                  <c:v>0.2</c:v>
                </c:pt>
                <c:pt idx="987">
                  <c:v>0.27</c:v>
                </c:pt>
                <c:pt idx="988">
                  <c:v>0.13</c:v>
                </c:pt>
                <c:pt idx="989">
                  <c:v>0.13</c:v>
                </c:pt>
                <c:pt idx="990">
                  <c:v>0.24</c:v>
                </c:pt>
                <c:pt idx="991">
                  <c:v>0.03</c:v>
                </c:pt>
                <c:pt idx="992">
                  <c:v>0.16</c:v>
                </c:pt>
                <c:pt idx="993">
                  <c:v>0.25</c:v>
                </c:pt>
                <c:pt idx="994">
                  <c:v>0.25</c:v>
                </c:pt>
                <c:pt idx="995">
                  <c:v>0.28999999999999998</c:v>
                </c:pt>
                <c:pt idx="996">
                  <c:v>0.21</c:v>
                </c:pt>
                <c:pt idx="997">
                  <c:v>0.06</c:v>
                </c:pt>
                <c:pt idx="998">
                  <c:v>0.01</c:v>
                </c:pt>
                <c:pt idx="999">
                  <c:v>0.14000000000000001</c:v>
                </c:pt>
              </c:numCache>
            </c:numRef>
          </c:xVal>
          <c:yVal>
            <c:numRef>
              <c:f>'Raw Data'!$S$2:$S$1001</c:f>
              <c:numCache>
                <c:formatCode>0.0%</c:formatCode>
                <c:ptCount val="1000"/>
                <c:pt idx="0">
                  <c:v>0.37183863141012469</c:v>
                </c:pt>
                <c:pt idx="1">
                  <c:v>-1.8681454817116212E-2</c:v>
                </c:pt>
                <c:pt idx="2">
                  <c:v>0.11968228325255791</c:v>
                </c:pt>
                <c:pt idx="3">
                  <c:v>1.1046314183378576E-2</c:v>
                </c:pt>
                <c:pt idx="4">
                  <c:v>-1.2070282842937859E-4</c:v>
                </c:pt>
                <c:pt idx="5">
                  <c:v>-3.0483791800324359E-2</c:v>
                </c:pt>
                <c:pt idx="6">
                  <c:v>-6.7395576119111095E-2</c:v>
                </c:pt>
                <c:pt idx="7">
                  <c:v>-6.122804779865635E-2</c:v>
                </c:pt>
                <c:pt idx="8">
                  <c:v>0.2907890467525488</c:v>
                </c:pt>
                <c:pt idx="9">
                  <c:v>4.5116537286599055E-2</c:v>
                </c:pt>
                <c:pt idx="10">
                  <c:v>-0.25872796432548001</c:v>
                </c:pt>
                <c:pt idx="11">
                  <c:v>-5.1952202284901383E-2</c:v>
                </c:pt>
                <c:pt idx="12">
                  <c:v>2.9761811914083849E-2</c:v>
                </c:pt>
                <c:pt idx="13">
                  <c:v>-0.22647606336271983</c:v>
                </c:pt>
                <c:pt idx="14">
                  <c:v>-0.24530275741403559</c:v>
                </c:pt>
                <c:pt idx="15">
                  <c:v>0.69692871172612136</c:v>
                </c:pt>
                <c:pt idx="16">
                  <c:v>5.1512229879735631E-2</c:v>
                </c:pt>
                <c:pt idx="17">
                  <c:v>-8.2547344189860136E-2</c:v>
                </c:pt>
                <c:pt idx="18">
                  <c:v>-0.28402431383795312</c:v>
                </c:pt>
                <c:pt idx="19">
                  <c:v>1.9821745598236469E-2</c:v>
                </c:pt>
                <c:pt idx="20">
                  <c:v>-0.20825952795284361</c:v>
                </c:pt>
                <c:pt idx="21">
                  <c:v>-6.7063189034126086E-2</c:v>
                </c:pt>
                <c:pt idx="22">
                  <c:v>5.8554471825896237E-2</c:v>
                </c:pt>
                <c:pt idx="23">
                  <c:v>-0.21512997802657016</c:v>
                </c:pt>
                <c:pt idx="24">
                  <c:v>-0.1374942399160794</c:v>
                </c:pt>
                <c:pt idx="25">
                  <c:v>-0.1655484614467565</c:v>
                </c:pt>
                <c:pt idx="26">
                  <c:v>-3.242523639018894E-3</c:v>
                </c:pt>
                <c:pt idx="27">
                  <c:v>8.8039954108461174E-2</c:v>
                </c:pt>
                <c:pt idx="28">
                  <c:v>-0.16099453755218257</c:v>
                </c:pt>
                <c:pt idx="29">
                  <c:v>-0.19506632821663702</c:v>
                </c:pt>
                <c:pt idx="30">
                  <c:v>7.812146642199834E-2</c:v>
                </c:pt>
                <c:pt idx="31">
                  <c:v>9.638589673849067E-2</c:v>
                </c:pt>
                <c:pt idx="32">
                  <c:v>0.20386763182751988</c:v>
                </c:pt>
                <c:pt idx="33">
                  <c:v>-0.30015219631729578</c:v>
                </c:pt>
                <c:pt idx="34">
                  <c:v>-0.1829191079217436</c:v>
                </c:pt>
                <c:pt idx="35">
                  <c:v>-2.2742137312933675E-2</c:v>
                </c:pt>
                <c:pt idx="36">
                  <c:v>0.22420623471366544</c:v>
                </c:pt>
                <c:pt idx="37">
                  <c:v>-0.37044510305961537</c:v>
                </c:pt>
                <c:pt idx="38">
                  <c:v>0.26578344120819858</c:v>
                </c:pt>
                <c:pt idx="39">
                  <c:v>-0.105859780522386</c:v>
                </c:pt>
                <c:pt idx="40">
                  <c:v>-0.25149675874313565</c:v>
                </c:pt>
                <c:pt idx="41">
                  <c:v>-0.10389222370100769</c:v>
                </c:pt>
                <c:pt idx="42">
                  <c:v>-5.1977511098467495E-2</c:v>
                </c:pt>
                <c:pt idx="43">
                  <c:v>-7.2885347861083956E-3</c:v>
                </c:pt>
                <c:pt idx="44">
                  <c:v>0.23940259060590133</c:v>
                </c:pt>
                <c:pt idx="45">
                  <c:v>-0.17516117321167771</c:v>
                </c:pt>
                <c:pt idx="46">
                  <c:v>-0.20514801002686797</c:v>
                </c:pt>
                <c:pt idx="47">
                  <c:v>-0.20722985348944592</c:v>
                </c:pt>
                <c:pt idx="48">
                  <c:v>-2.768207675667014E-2</c:v>
                </c:pt>
                <c:pt idx="49">
                  <c:v>-6.9982419521875019E-2</c:v>
                </c:pt>
                <c:pt idx="50">
                  <c:v>4.1384320403958605E-2</c:v>
                </c:pt>
                <c:pt idx="51">
                  <c:v>8.4331004591813488E-2</c:v>
                </c:pt>
                <c:pt idx="52">
                  <c:v>-0.314090667081389</c:v>
                </c:pt>
                <c:pt idx="53">
                  <c:v>3.4057840383990096E-2</c:v>
                </c:pt>
                <c:pt idx="54">
                  <c:v>-0.24244685084455284</c:v>
                </c:pt>
                <c:pt idx="55">
                  <c:v>8.6816414930205726E-2</c:v>
                </c:pt>
                <c:pt idx="56">
                  <c:v>-8.9561368825042689E-2</c:v>
                </c:pt>
                <c:pt idx="57">
                  <c:v>-0.16616004805756079</c:v>
                </c:pt>
                <c:pt idx="58">
                  <c:v>-2.0222224830954177E-2</c:v>
                </c:pt>
                <c:pt idx="59">
                  <c:v>-9.784621213131485E-3</c:v>
                </c:pt>
                <c:pt idx="60">
                  <c:v>-0.22151826508142478</c:v>
                </c:pt>
                <c:pt idx="61">
                  <c:v>-4.0719972269130794E-2</c:v>
                </c:pt>
                <c:pt idx="62">
                  <c:v>6.0815364533373176E-2</c:v>
                </c:pt>
                <c:pt idx="63">
                  <c:v>-0.25188112478847458</c:v>
                </c:pt>
                <c:pt idx="64">
                  <c:v>3.8666681075308261E-2</c:v>
                </c:pt>
                <c:pt idx="65">
                  <c:v>-0.29247205133887116</c:v>
                </c:pt>
                <c:pt idx="66">
                  <c:v>-5.1470717524661792E-2</c:v>
                </c:pt>
                <c:pt idx="67">
                  <c:v>2.477863009644073E-2</c:v>
                </c:pt>
                <c:pt idx="68">
                  <c:v>-0.22310762184026389</c:v>
                </c:pt>
                <c:pt idx="69">
                  <c:v>-3.8618527001015562E-2</c:v>
                </c:pt>
                <c:pt idx="70">
                  <c:v>5.1137373670870172E-3</c:v>
                </c:pt>
                <c:pt idx="71">
                  <c:v>-0.13908001812477067</c:v>
                </c:pt>
                <c:pt idx="72">
                  <c:v>-9.3438255568194916E-3</c:v>
                </c:pt>
                <c:pt idx="73">
                  <c:v>1.7656062200909515E-2</c:v>
                </c:pt>
                <c:pt idx="74">
                  <c:v>2.5075982778728554E-2</c:v>
                </c:pt>
                <c:pt idx="75">
                  <c:v>-0.11442851778965626</c:v>
                </c:pt>
                <c:pt idx="76">
                  <c:v>1.5163223251277533E-2</c:v>
                </c:pt>
                <c:pt idx="77">
                  <c:v>-0.25399585139179409</c:v>
                </c:pt>
                <c:pt idx="78">
                  <c:v>-0.15198006040365486</c:v>
                </c:pt>
                <c:pt idx="79">
                  <c:v>-0.13440425286027957</c:v>
                </c:pt>
                <c:pt idx="80">
                  <c:v>-8.9814476299006324E-2</c:v>
                </c:pt>
                <c:pt idx="81">
                  <c:v>-0.16124688800546363</c:v>
                </c:pt>
                <c:pt idx="82">
                  <c:v>-6.194228896573549E-2</c:v>
                </c:pt>
                <c:pt idx="83">
                  <c:v>-0.13607023097877599</c:v>
                </c:pt>
                <c:pt idx="84">
                  <c:v>-4.9856168983188391E-2</c:v>
                </c:pt>
                <c:pt idx="85">
                  <c:v>-0.19411442886348582</c:v>
                </c:pt>
                <c:pt idx="86">
                  <c:v>0.16409444664292319</c:v>
                </c:pt>
                <c:pt idx="87">
                  <c:v>0.47374679277451687</c:v>
                </c:pt>
                <c:pt idx="88">
                  <c:v>-0.27748356695838122</c:v>
                </c:pt>
                <c:pt idx="89">
                  <c:v>4.6730610510885999E-2</c:v>
                </c:pt>
                <c:pt idx="90">
                  <c:v>4.2689947985616011E-2</c:v>
                </c:pt>
                <c:pt idx="91">
                  <c:v>-4.162945397520805E-2</c:v>
                </c:pt>
                <c:pt idx="92">
                  <c:v>-9.1330248362978331E-2</c:v>
                </c:pt>
                <c:pt idx="93">
                  <c:v>-0.15389325301270992</c:v>
                </c:pt>
                <c:pt idx="94">
                  <c:v>-0.25523618663490905</c:v>
                </c:pt>
                <c:pt idx="95">
                  <c:v>0.24975970026820649</c:v>
                </c:pt>
                <c:pt idx="96">
                  <c:v>7.0232040223868253E-2</c:v>
                </c:pt>
                <c:pt idx="97">
                  <c:v>-4.8087947288375968E-2</c:v>
                </c:pt>
                <c:pt idx="98">
                  <c:v>1.0074817612063896E-2</c:v>
                </c:pt>
                <c:pt idx="99">
                  <c:v>-6.4495853553545202E-2</c:v>
                </c:pt>
                <c:pt idx="100">
                  <c:v>0.22365020133526076</c:v>
                </c:pt>
                <c:pt idx="101">
                  <c:v>-9.9666076181739741E-2</c:v>
                </c:pt>
                <c:pt idx="102">
                  <c:v>-0.12297795134842378</c:v>
                </c:pt>
                <c:pt idx="103">
                  <c:v>0.31245426957262296</c:v>
                </c:pt>
                <c:pt idx="104">
                  <c:v>-8.761172647806352E-2</c:v>
                </c:pt>
                <c:pt idx="105">
                  <c:v>-0.13800231584019143</c:v>
                </c:pt>
                <c:pt idx="106">
                  <c:v>-6.419474078960187E-2</c:v>
                </c:pt>
                <c:pt idx="107">
                  <c:v>7.5374860777438994E-3</c:v>
                </c:pt>
                <c:pt idx="108">
                  <c:v>6.8373218257784391E-2</c:v>
                </c:pt>
                <c:pt idx="109">
                  <c:v>0.1128636667938188</c:v>
                </c:pt>
                <c:pt idx="110">
                  <c:v>0.44843871967782428</c:v>
                </c:pt>
                <c:pt idx="111">
                  <c:v>-6.3339836684066259E-2</c:v>
                </c:pt>
                <c:pt idx="112">
                  <c:v>-7.7873328350968621E-2</c:v>
                </c:pt>
                <c:pt idx="113">
                  <c:v>-0.12231029925133348</c:v>
                </c:pt>
                <c:pt idx="114">
                  <c:v>-0.34076101931435387</c:v>
                </c:pt>
                <c:pt idx="115">
                  <c:v>0.22067164985121215</c:v>
                </c:pt>
                <c:pt idx="116">
                  <c:v>-2.1255612796026037E-2</c:v>
                </c:pt>
                <c:pt idx="117">
                  <c:v>0.31993540740666743</c:v>
                </c:pt>
                <c:pt idx="118">
                  <c:v>0.8040155800212111</c:v>
                </c:pt>
                <c:pt idx="119">
                  <c:v>-5.7398418522777377E-2</c:v>
                </c:pt>
                <c:pt idx="120">
                  <c:v>-8.8078640118424475E-3</c:v>
                </c:pt>
                <c:pt idx="121">
                  <c:v>-7.2847691256607616E-2</c:v>
                </c:pt>
                <c:pt idx="122">
                  <c:v>0.58481564778845496</c:v>
                </c:pt>
                <c:pt idx="123">
                  <c:v>-0.1006733032931828</c:v>
                </c:pt>
                <c:pt idx="124">
                  <c:v>-8.5022354200062905E-2</c:v>
                </c:pt>
                <c:pt idx="125">
                  <c:v>0.10580122793815455</c:v>
                </c:pt>
                <c:pt idx="126">
                  <c:v>-1.7522905941197337E-2</c:v>
                </c:pt>
                <c:pt idx="127">
                  <c:v>4.9373545483640216E-2</c:v>
                </c:pt>
                <c:pt idx="128">
                  <c:v>-0.23609686846070407</c:v>
                </c:pt>
                <c:pt idx="129">
                  <c:v>1.0139449499441207E-2</c:v>
                </c:pt>
                <c:pt idx="130">
                  <c:v>-4.664826113770551E-2</c:v>
                </c:pt>
                <c:pt idx="131">
                  <c:v>-7.7570976675596273E-2</c:v>
                </c:pt>
                <c:pt idx="132">
                  <c:v>-0.29647447897167106</c:v>
                </c:pt>
                <c:pt idx="133">
                  <c:v>-4.7015065309525053E-2</c:v>
                </c:pt>
                <c:pt idx="134">
                  <c:v>-7.3952629233146633E-2</c:v>
                </c:pt>
                <c:pt idx="135">
                  <c:v>-0.18107205578334745</c:v>
                </c:pt>
                <c:pt idx="136">
                  <c:v>0.21700177954141006</c:v>
                </c:pt>
                <c:pt idx="137">
                  <c:v>0.11950009341667238</c:v>
                </c:pt>
                <c:pt idx="138">
                  <c:v>-0.34428278515855404</c:v>
                </c:pt>
                <c:pt idx="139">
                  <c:v>-0.26015197447355159</c:v>
                </c:pt>
                <c:pt idx="140">
                  <c:v>-4.1870145544275969E-2</c:v>
                </c:pt>
                <c:pt idx="141">
                  <c:v>-0.24231634852400072</c:v>
                </c:pt>
                <c:pt idx="142">
                  <c:v>-0.39129634432287042</c:v>
                </c:pt>
                <c:pt idx="143">
                  <c:v>-0.19225151924825698</c:v>
                </c:pt>
                <c:pt idx="144">
                  <c:v>-0.26769229217574486</c:v>
                </c:pt>
                <c:pt idx="145">
                  <c:v>-0.20031043109568103</c:v>
                </c:pt>
                <c:pt idx="146">
                  <c:v>0.10925209941729536</c:v>
                </c:pt>
                <c:pt idx="147">
                  <c:v>0.50609845271871068</c:v>
                </c:pt>
                <c:pt idx="148">
                  <c:v>-7.2550834101863439E-3</c:v>
                </c:pt>
                <c:pt idx="149">
                  <c:v>-0.1254192458933106</c:v>
                </c:pt>
                <c:pt idx="150">
                  <c:v>0.63702191803907982</c:v>
                </c:pt>
                <c:pt idx="151">
                  <c:v>0.3870907230559345</c:v>
                </c:pt>
                <c:pt idx="152">
                  <c:v>-0.1614563353183151</c:v>
                </c:pt>
                <c:pt idx="153">
                  <c:v>-7.0736843234795862E-3</c:v>
                </c:pt>
                <c:pt idx="154">
                  <c:v>3.298658443969317E-2</c:v>
                </c:pt>
                <c:pt idx="155">
                  <c:v>-0.24806783588805015</c:v>
                </c:pt>
                <c:pt idx="156">
                  <c:v>-0.24638902783048997</c:v>
                </c:pt>
                <c:pt idx="157">
                  <c:v>-8.6390350834207166E-2</c:v>
                </c:pt>
                <c:pt idx="158">
                  <c:v>-0.34923555764308595</c:v>
                </c:pt>
                <c:pt idx="159">
                  <c:v>0.21390165002414938</c:v>
                </c:pt>
                <c:pt idx="160">
                  <c:v>-0.18853163073086712</c:v>
                </c:pt>
                <c:pt idx="161">
                  <c:v>8.8489255823106114E-2</c:v>
                </c:pt>
                <c:pt idx="162">
                  <c:v>-0.18701349247535037</c:v>
                </c:pt>
                <c:pt idx="163">
                  <c:v>-0.17472492191751302</c:v>
                </c:pt>
                <c:pt idx="164">
                  <c:v>0.15010414666213628</c:v>
                </c:pt>
                <c:pt idx="165">
                  <c:v>-0.18022492888407457</c:v>
                </c:pt>
                <c:pt idx="166">
                  <c:v>-0.22519793879397096</c:v>
                </c:pt>
                <c:pt idx="167">
                  <c:v>-0.22008593525778686</c:v>
                </c:pt>
                <c:pt idx="168">
                  <c:v>2.11048715093038E-3</c:v>
                </c:pt>
                <c:pt idx="169">
                  <c:v>-3.2728389524005835E-2</c:v>
                </c:pt>
                <c:pt idx="170">
                  <c:v>-3.9379449167184943E-2</c:v>
                </c:pt>
                <c:pt idx="171">
                  <c:v>0.14349040323726628</c:v>
                </c:pt>
                <c:pt idx="172">
                  <c:v>-0.17370811203974851</c:v>
                </c:pt>
                <c:pt idx="173">
                  <c:v>-0.11256172126494833</c:v>
                </c:pt>
                <c:pt idx="174">
                  <c:v>-0.31232995070419423</c:v>
                </c:pt>
                <c:pt idx="175">
                  <c:v>6.2977264701993108E-2</c:v>
                </c:pt>
                <c:pt idx="176">
                  <c:v>-9.2541824408930384E-2</c:v>
                </c:pt>
                <c:pt idx="177">
                  <c:v>0.60425010012014413</c:v>
                </c:pt>
                <c:pt idx="178">
                  <c:v>0.458572450191786</c:v>
                </c:pt>
                <c:pt idx="179">
                  <c:v>8.3170506704659392E-2</c:v>
                </c:pt>
                <c:pt idx="180">
                  <c:v>5.3144138862863937E-3</c:v>
                </c:pt>
                <c:pt idx="181">
                  <c:v>0.10378620505244548</c:v>
                </c:pt>
                <c:pt idx="182">
                  <c:v>6.1471976461453658E-2</c:v>
                </c:pt>
                <c:pt idx="183">
                  <c:v>-3.7101921082817631E-2</c:v>
                </c:pt>
                <c:pt idx="184">
                  <c:v>-0.24847369479927414</c:v>
                </c:pt>
                <c:pt idx="185">
                  <c:v>-0.31103290209893253</c:v>
                </c:pt>
                <c:pt idx="186">
                  <c:v>-0.38931342837545729</c:v>
                </c:pt>
                <c:pt idx="187">
                  <c:v>-0.26104376984826322</c:v>
                </c:pt>
                <c:pt idx="188">
                  <c:v>-0.33366819502221151</c:v>
                </c:pt>
                <c:pt idx="189">
                  <c:v>-0.10314043545308849</c:v>
                </c:pt>
                <c:pt idx="190">
                  <c:v>1.5798292135390846E-2</c:v>
                </c:pt>
                <c:pt idx="191">
                  <c:v>2.2400983042881076E-2</c:v>
                </c:pt>
                <c:pt idx="192">
                  <c:v>6.125014753506719E-2</c:v>
                </c:pt>
                <c:pt idx="193">
                  <c:v>6.2030411496739449E-2</c:v>
                </c:pt>
                <c:pt idx="194">
                  <c:v>-0.13267651902578081</c:v>
                </c:pt>
                <c:pt idx="195">
                  <c:v>0.29038884624869427</c:v>
                </c:pt>
                <c:pt idx="196">
                  <c:v>-0.3160997749147989</c:v>
                </c:pt>
                <c:pt idx="197">
                  <c:v>-0.33562164158669583</c:v>
                </c:pt>
                <c:pt idx="198">
                  <c:v>8.9029988933568616E-2</c:v>
                </c:pt>
                <c:pt idx="199">
                  <c:v>7.593484956390649E-2</c:v>
                </c:pt>
                <c:pt idx="200">
                  <c:v>-0.220413486224845</c:v>
                </c:pt>
                <c:pt idx="201">
                  <c:v>-4.6254154647351803E-2</c:v>
                </c:pt>
                <c:pt idx="202">
                  <c:v>-2.2817563428547131E-2</c:v>
                </c:pt>
                <c:pt idx="203">
                  <c:v>-6.2546524236842385E-2</c:v>
                </c:pt>
                <c:pt idx="204">
                  <c:v>0.26296315289124167</c:v>
                </c:pt>
                <c:pt idx="205">
                  <c:v>0.10290841227792348</c:v>
                </c:pt>
                <c:pt idx="206">
                  <c:v>-0.2604735211683139</c:v>
                </c:pt>
                <c:pt idx="207">
                  <c:v>-9.5460183079348754E-2</c:v>
                </c:pt>
                <c:pt idx="208">
                  <c:v>-5.7363735201065379E-2</c:v>
                </c:pt>
                <c:pt idx="209">
                  <c:v>-5.5779115733108058E-2</c:v>
                </c:pt>
                <c:pt idx="210">
                  <c:v>-8.971302462823337E-2</c:v>
                </c:pt>
                <c:pt idx="211">
                  <c:v>0.18658474546538967</c:v>
                </c:pt>
                <c:pt idx="212">
                  <c:v>-0.13017186505410575</c:v>
                </c:pt>
                <c:pt idx="213">
                  <c:v>6.0435305437015599E-2</c:v>
                </c:pt>
                <c:pt idx="214">
                  <c:v>4.7248401572656522E-2</c:v>
                </c:pt>
                <c:pt idx="215">
                  <c:v>-0.11189035998038538</c:v>
                </c:pt>
                <c:pt idx="216">
                  <c:v>-0.18638391593346237</c:v>
                </c:pt>
                <c:pt idx="217">
                  <c:v>-0.17928257358949048</c:v>
                </c:pt>
                <c:pt idx="218">
                  <c:v>-7.9124410221252398E-2</c:v>
                </c:pt>
                <c:pt idx="219">
                  <c:v>-0.23044076939627658</c:v>
                </c:pt>
                <c:pt idx="220">
                  <c:v>-0.24182427537565826</c:v>
                </c:pt>
                <c:pt idx="221">
                  <c:v>-4.0373207195087524E-2</c:v>
                </c:pt>
                <c:pt idx="222">
                  <c:v>-0.22752041683344226</c:v>
                </c:pt>
                <c:pt idx="223">
                  <c:v>4.8485284115013148E-2</c:v>
                </c:pt>
                <c:pt idx="224">
                  <c:v>-0.16998218382928304</c:v>
                </c:pt>
                <c:pt idx="225">
                  <c:v>-1.4258736525006831E-3</c:v>
                </c:pt>
                <c:pt idx="226">
                  <c:v>-0.31420345091204499</c:v>
                </c:pt>
                <c:pt idx="227">
                  <c:v>-0.1135073820695738</c:v>
                </c:pt>
                <c:pt idx="228">
                  <c:v>-7.7713674526602274E-3</c:v>
                </c:pt>
                <c:pt idx="229">
                  <c:v>-1.6230868382690205E-2</c:v>
                </c:pt>
                <c:pt idx="230">
                  <c:v>-0.1245851269804555</c:v>
                </c:pt>
                <c:pt idx="231">
                  <c:v>0.49263803560620706</c:v>
                </c:pt>
                <c:pt idx="232">
                  <c:v>-9.415355155286935E-2</c:v>
                </c:pt>
                <c:pt idx="233">
                  <c:v>-0.13052705148070684</c:v>
                </c:pt>
                <c:pt idx="234">
                  <c:v>3.4954983121351375E-2</c:v>
                </c:pt>
                <c:pt idx="235">
                  <c:v>1.9854596727431516E-2</c:v>
                </c:pt>
                <c:pt idx="236">
                  <c:v>-0.17228980643614791</c:v>
                </c:pt>
                <c:pt idx="237">
                  <c:v>-2.6352888466604045E-2</c:v>
                </c:pt>
                <c:pt idx="238">
                  <c:v>0.17369008935824537</c:v>
                </c:pt>
                <c:pt idx="239">
                  <c:v>-0.33957875768439855</c:v>
                </c:pt>
                <c:pt idx="240">
                  <c:v>-0.1214605992212419</c:v>
                </c:pt>
                <c:pt idx="241">
                  <c:v>-1.0087700575187849E-2</c:v>
                </c:pt>
                <c:pt idx="242">
                  <c:v>-0.24792439362093288</c:v>
                </c:pt>
                <c:pt idx="243">
                  <c:v>0.39933177879093723</c:v>
                </c:pt>
                <c:pt idx="244">
                  <c:v>0.12833679056007061</c:v>
                </c:pt>
                <c:pt idx="245">
                  <c:v>5.8849764111632501E-2</c:v>
                </c:pt>
                <c:pt idx="246">
                  <c:v>-0.34329446600519287</c:v>
                </c:pt>
                <c:pt idx="247">
                  <c:v>-6.6629911198414993E-2</c:v>
                </c:pt>
                <c:pt idx="248">
                  <c:v>3.3245274791337175E-2</c:v>
                </c:pt>
                <c:pt idx="249">
                  <c:v>-0.15192240477101848</c:v>
                </c:pt>
                <c:pt idx="250">
                  <c:v>-3.1754501443032289E-2</c:v>
                </c:pt>
                <c:pt idx="251">
                  <c:v>-0.26370442722550103</c:v>
                </c:pt>
                <c:pt idx="252">
                  <c:v>-3.4013754236917278E-2</c:v>
                </c:pt>
                <c:pt idx="253">
                  <c:v>6.017048598277798E-2</c:v>
                </c:pt>
                <c:pt idx="254">
                  <c:v>-0.20042042056756781</c:v>
                </c:pt>
                <c:pt idx="255">
                  <c:v>-7.4861348694195695E-2</c:v>
                </c:pt>
                <c:pt idx="256">
                  <c:v>-3.0350717055023811E-2</c:v>
                </c:pt>
                <c:pt idx="257">
                  <c:v>-0.14625970785137826</c:v>
                </c:pt>
                <c:pt idx="258">
                  <c:v>0.22145090884644542</c:v>
                </c:pt>
                <c:pt idx="259">
                  <c:v>5.301309277639385E-2</c:v>
                </c:pt>
                <c:pt idx="260">
                  <c:v>2.4091335144598713E-3</c:v>
                </c:pt>
                <c:pt idx="261">
                  <c:v>0.10967206816698608</c:v>
                </c:pt>
                <c:pt idx="262">
                  <c:v>2.4403964964924866E-2</c:v>
                </c:pt>
                <c:pt idx="263">
                  <c:v>-2.5037686468154803E-2</c:v>
                </c:pt>
                <c:pt idx="264">
                  <c:v>-3.7548857323029726E-2</c:v>
                </c:pt>
                <c:pt idx="265">
                  <c:v>-0.14311887623739841</c:v>
                </c:pt>
                <c:pt idx="266">
                  <c:v>-1.9338159156646353E-2</c:v>
                </c:pt>
                <c:pt idx="267">
                  <c:v>0.56351510125095028</c:v>
                </c:pt>
                <c:pt idx="268">
                  <c:v>0.55457515847800876</c:v>
                </c:pt>
                <c:pt idx="269">
                  <c:v>-0.38111830942878372</c:v>
                </c:pt>
                <c:pt idx="270">
                  <c:v>0.40650498759389392</c:v>
                </c:pt>
                <c:pt idx="271">
                  <c:v>-0.19816296288090099</c:v>
                </c:pt>
                <c:pt idx="272">
                  <c:v>-2.9118587304003615E-2</c:v>
                </c:pt>
                <c:pt idx="273">
                  <c:v>-6.6213675552865753E-2</c:v>
                </c:pt>
                <c:pt idx="274">
                  <c:v>0.21541435192062031</c:v>
                </c:pt>
                <c:pt idx="275">
                  <c:v>-6.4361784839105499E-2</c:v>
                </c:pt>
                <c:pt idx="276">
                  <c:v>-0.10385909372715897</c:v>
                </c:pt>
                <c:pt idx="277">
                  <c:v>-0.20931140085598871</c:v>
                </c:pt>
                <c:pt idx="278">
                  <c:v>-0.23297538800591513</c:v>
                </c:pt>
                <c:pt idx="279">
                  <c:v>-3.0629179880703985E-2</c:v>
                </c:pt>
                <c:pt idx="280">
                  <c:v>-0.19368813351333997</c:v>
                </c:pt>
                <c:pt idx="281">
                  <c:v>-0.20827840899440589</c:v>
                </c:pt>
                <c:pt idx="282">
                  <c:v>-8.8337964003829664E-2</c:v>
                </c:pt>
                <c:pt idx="283">
                  <c:v>1.3967328002192442E-2</c:v>
                </c:pt>
                <c:pt idx="284">
                  <c:v>-8.5596213309104704E-2</c:v>
                </c:pt>
                <c:pt idx="285">
                  <c:v>9.7674545828295628E-2</c:v>
                </c:pt>
                <c:pt idx="286">
                  <c:v>-0.3205392244185189</c:v>
                </c:pt>
                <c:pt idx="287">
                  <c:v>-6.7655553022930151E-2</c:v>
                </c:pt>
                <c:pt idx="288">
                  <c:v>-0.11395877257124018</c:v>
                </c:pt>
                <c:pt idx="289">
                  <c:v>-0.23749251003131219</c:v>
                </c:pt>
                <c:pt idx="290">
                  <c:v>5.5748262676248099E-2</c:v>
                </c:pt>
                <c:pt idx="291">
                  <c:v>-0.13826486975161573</c:v>
                </c:pt>
                <c:pt idx="292">
                  <c:v>-0.26299177698722809</c:v>
                </c:pt>
                <c:pt idx="293">
                  <c:v>-0.17441085368067533</c:v>
                </c:pt>
                <c:pt idx="294">
                  <c:v>-0.23819938322109627</c:v>
                </c:pt>
                <c:pt idx="295">
                  <c:v>5.0377104036437831E-2</c:v>
                </c:pt>
                <c:pt idx="296">
                  <c:v>0.38564262288253037</c:v>
                </c:pt>
                <c:pt idx="297">
                  <c:v>-9.3242754367130351E-2</c:v>
                </c:pt>
                <c:pt idx="298">
                  <c:v>-6.4606455393175125E-2</c:v>
                </c:pt>
                <c:pt idx="299">
                  <c:v>3.9244134217657885E-2</c:v>
                </c:pt>
                <c:pt idx="300">
                  <c:v>-0.16977268554486993</c:v>
                </c:pt>
                <c:pt idx="301">
                  <c:v>-6.5630845652191308E-2</c:v>
                </c:pt>
                <c:pt idx="302">
                  <c:v>-0.26484449477692668</c:v>
                </c:pt>
                <c:pt idx="303">
                  <c:v>-0.27538484962004567</c:v>
                </c:pt>
                <c:pt idx="304">
                  <c:v>-0.25823090343981941</c:v>
                </c:pt>
                <c:pt idx="305">
                  <c:v>-0.17588129586082354</c:v>
                </c:pt>
                <c:pt idx="306">
                  <c:v>-0.3064134097326297</c:v>
                </c:pt>
                <c:pt idx="307">
                  <c:v>-0.29734534513862848</c:v>
                </c:pt>
                <c:pt idx="308">
                  <c:v>-0.14185218650551418</c:v>
                </c:pt>
                <c:pt idx="309">
                  <c:v>2.7576777810059273E-2</c:v>
                </c:pt>
                <c:pt idx="310">
                  <c:v>-0.28714860627315303</c:v>
                </c:pt>
                <c:pt idx="311">
                  <c:v>-0.30912109484547651</c:v>
                </c:pt>
                <c:pt idx="312">
                  <c:v>-0.1314336704268978</c:v>
                </c:pt>
                <c:pt idx="313">
                  <c:v>8.8232938939801248E-2</c:v>
                </c:pt>
                <c:pt idx="314">
                  <c:v>-0.15038815097407868</c:v>
                </c:pt>
                <c:pt idx="315">
                  <c:v>0.11753945490799192</c:v>
                </c:pt>
                <c:pt idx="316">
                  <c:v>-0.35191700152619126</c:v>
                </c:pt>
                <c:pt idx="317">
                  <c:v>-0.10960660823260726</c:v>
                </c:pt>
                <c:pt idx="318">
                  <c:v>0.18283933833573224</c:v>
                </c:pt>
                <c:pt idx="319">
                  <c:v>-3.4526182637520317E-2</c:v>
                </c:pt>
                <c:pt idx="320">
                  <c:v>-8.1006465071766735E-4</c:v>
                </c:pt>
                <c:pt idx="321">
                  <c:v>3.1627508798630161E-2</c:v>
                </c:pt>
                <c:pt idx="322">
                  <c:v>0.24228509531042111</c:v>
                </c:pt>
                <c:pt idx="323">
                  <c:v>-8.0114303609175735E-2</c:v>
                </c:pt>
                <c:pt idx="324">
                  <c:v>0.16964210698142237</c:v>
                </c:pt>
                <c:pt idx="325">
                  <c:v>0.47937274509868244</c:v>
                </c:pt>
                <c:pt idx="326">
                  <c:v>-9.1629629629629644E-2</c:v>
                </c:pt>
                <c:pt idx="327">
                  <c:v>0.18272976851690723</c:v>
                </c:pt>
                <c:pt idx="328">
                  <c:v>-6.6679584276150602E-2</c:v>
                </c:pt>
                <c:pt idx="329">
                  <c:v>0.15445987597190619</c:v>
                </c:pt>
                <c:pt idx="330">
                  <c:v>-6.5769460981387362E-2</c:v>
                </c:pt>
                <c:pt idx="331">
                  <c:v>-0.33871102448664903</c:v>
                </c:pt>
                <c:pt idx="332">
                  <c:v>-0.2773097733031985</c:v>
                </c:pt>
                <c:pt idx="333">
                  <c:v>-0.20995185161590532</c:v>
                </c:pt>
                <c:pt idx="334">
                  <c:v>-0.29212447195049379</c:v>
                </c:pt>
                <c:pt idx="335">
                  <c:v>6.369899254204002E-2</c:v>
                </c:pt>
                <c:pt idx="336">
                  <c:v>0.36279490136192227</c:v>
                </c:pt>
                <c:pt idx="337">
                  <c:v>6.7774439318854691E-3</c:v>
                </c:pt>
                <c:pt idx="338">
                  <c:v>-0.28794279959680158</c:v>
                </c:pt>
                <c:pt idx="339">
                  <c:v>-0.23901741905088</c:v>
                </c:pt>
                <c:pt idx="340">
                  <c:v>0.68312324117395995</c:v>
                </c:pt>
                <c:pt idx="341">
                  <c:v>-2.1839816777484485E-2</c:v>
                </c:pt>
                <c:pt idx="342">
                  <c:v>-4.6180459833728649E-2</c:v>
                </c:pt>
                <c:pt idx="343">
                  <c:v>0.10469459440844714</c:v>
                </c:pt>
                <c:pt idx="344">
                  <c:v>-0.20927858336331134</c:v>
                </c:pt>
                <c:pt idx="345">
                  <c:v>-1.7794632438739803E-2</c:v>
                </c:pt>
                <c:pt idx="346">
                  <c:v>-0.11244560869536742</c:v>
                </c:pt>
                <c:pt idx="347">
                  <c:v>6.6761793888168885E-2</c:v>
                </c:pt>
                <c:pt idx="348">
                  <c:v>-0.22606769638088664</c:v>
                </c:pt>
                <c:pt idx="349">
                  <c:v>6.4924045532914323E-2</c:v>
                </c:pt>
                <c:pt idx="350">
                  <c:v>-0.31788749001102812</c:v>
                </c:pt>
                <c:pt idx="351">
                  <c:v>-8.6886638381615616E-2</c:v>
                </c:pt>
                <c:pt idx="352">
                  <c:v>-0.1683691757981598</c:v>
                </c:pt>
                <c:pt idx="353">
                  <c:v>-7.409337031394822E-2</c:v>
                </c:pt>
                <c:pt idx="354">
                  <c:v>-2.8076596300895391E-2</c:v>
                </c:pt>
                <c:pt idx="355">
                  <c:v>0.29373757992634991</c:v>
                </c:pt>
                <c:pt idx="356">
                  <c:v>-1.5461665976914658E-2</c:v>
                </c:pt>
                <c:pt idx="357">
                  <c:v>0.1964099847761426</c:v>
                </c:pt>
                <c:pt idx="358">
                  <c:v>-0.24370528563801391</c:v>
                </c:pt>
                <c:pt idx="359">
                  <c:v>-0.16775368132163718</c:v>
                </c:pt>
                <c:pt idx="360">
                  <c:v>-0.32859044549649186</c:v>
                </c:pt>
                <c:pt idx="361">
                  <c:v>5.3759918796545049E-2</c:v>
                </c:pt>
                <c:pt idx="362">
                  <c:v>0.18155949190706919</c:v>
                </c:pt>
                <c:pt idx="363">
                  <c:v>-0.2279711072065479</c:v>
                </c:pt>
                <c:pt idx="364">
                  <c:v>4.1940148066545384E-2</c:v>
                </c:pt>
                <c:pt idx="365">
                  <c:v>-0.1622053916763643</c:v>
                </c:pt>
                <c:pt idx="366">
                  <c:v>-0.25740856412853103</c:v>
                </c:pt>
                <c:pt idx="367">
                  <c:v>4.3806291750118791E-2</c:v>
                </c:pt>
                <c:pt idx="368">
                  <c:v>-0.25829827288170609</c:v>
                </c:pt>
                <c:pt idx="369">
                  <c:v>3.2185162557019499E-3</c:v>
                </c:pt>
                <c:pt idx="370">
                  <c:v>-7.2247490983947019E-2</c:v>
                </c:pt>
                <c:pt idx="371">
                  <c:v>-0.26020332394864698</c:v>
                </c:pt>
                <c:pt idx="372">
                  <c:v>0.26494829142841508</c:v>
                </c:pt>
                <c:pt idx="373">
                  <c:v>4.246179582552892E-2</c:v>
                </c:pt>
                <c:pt idx="374">
                  <c:v>-0.37560477542046594</c:v>
                </c:pt>
                <c:pt idx="375">
                  <c:v>0.58685643999297132</c:v>
                </c:pt>
                <c:pt idx="376">
                  <c:v>1.3290658675144262E-2</c:v>
                </c:pt>
                <c:pt idx="377">
                  <c:v>-2.397376254389216E-3</c:v>
                </c:pt>
                <c:pt idx="378">
                  <c:v>-0.24657573043759365</c:v>
                </c:pt>
                <c:pt idx="379">
                  <c:v>2.7878963026325594E-2</c:v>
                </c:pt>
                <c:pt idx="380">
                  <c:v>0.13510340719478586</c:v>
                </c:pt>
                <c:pt idx="381">
                  <c:v>-0.18924900865085245</c:v>
                </c:pt>
                <c:pt idx="382">
                  <c:v>-6.3109560857302377E-2</c:v>
                </c:pt>
                <c:pt idx="383">
                  <c:v>-0.11319820035390415</c:v>
                </c:pt>
                <c:pt idx="384">
                  <c:v>-7.9215197376114307E-2</c:v>
                </c:pt>
                <c:pt idx="385">
                  <c:v>-6.5723750107459311E-3</c:v>
                </c:pt>
                <c:pt idx="386">
                  <c:v>-0.12253999070755338</c:v>
                </c:pt>
                <c:pt idx="387">
                  <c:v>-0.20657744125777855</c:v>
                </c:pt>
                <c:pt idx="388">
                  <c:v>-0.1840934195597724</c:v>
                </c:pt>
                <c:pt idx="389">
                  <c:v>-0.21714540784039413</c:v>
                </c:pt>
                <c:pt idx="390">
                  <c:v>-7.3477074322922716E-3</c:v>
                </c:pt>
                <c:pt idx="391">
                  <c:v>-0.21945518229010022</c:v>
                </c:pt>
                <c:pt idx="392">
                  <c:v>-0.2021513686876153</c:v>
                </c:pt>
                <c:pt idx="393">
                  <c:v>0.58880351985592605</c:v>
                </c:pt>
                <c:pt idx="394">
                  <c:v>-9.1689232656602934E-2</c:v>
                </c:pt>
                <c:pt idx="395">
                  <c:v>-3.300384898099698E-2</c:v>
                </c:pt>
                <c:pt idx="396">
                  <c:v>-0.33308824189268832</c:v>
                </c:pt>
                <c:pt idx="397">
                  <c:v>0.21385313507805595</c:v>
                </c:pt>
                <c:pt idx="398">
                  <c:v>2.0710799070051723E-2</c:v>
                </c:pt>
                <c:pt idx="399">
                  <c:v>-2.8640047597091964E-2</c:v>
                </c:pt>
                <c:pt idx="400">
                  <c:v>7.9613378671753665E-2</c:v>
                </c:pt>
                <c:pt idx="401">
                  <c:v>0.37894395640015599</c:v>
                </c:pt>
                <c:pt idx="402">
                  <c:v>-0.17171852614523858</c:v>
                </c:pt>
                <c:pt idx="403">
                  <c:v>-0.10777658992881972</c:v>
                </c:pt>
                <c:pt idx="404">
                  <c:v>0.19270483203230665</c:v>
                </c:pt>
                <c:pt idx="405">
                  <c:v>7.2438437152668886E-2</c:v>
                </c:pt>
                <c:pt idx="406">
                  <c:v>-0.10623327275163451</c:v>
                </c:pt>
                <c:pt idx="407">
                  <c:v>8.5165507733143159E-2</c:v>
                </c:pt>
                <c:pt idx="408">
                  <c:v>5.6409883247444559E-2</c:v>
                </c:pt>
                <c:pt idx="409">
                  <c:v>4.4485636234360831E-2</c:v>
                </c:pt>
                <c:pt idx="410">
                  <c:v>-3.8950715192768395E-2</c:v>
                </c:pt>
                <c:pt idx="411">
                  <c:v>4.5868962002378515E-3</c:v>
                </c:pt>
                <c:pt idx="412">
                  <c:v>-4.2004330472875946E-2</c:v>
                </c:pt>
                <c:pt idx="413">
                  <c:v>4.3140433096256004E-3</c:v>
                </c:pt>
                <c:pt idx="414">
                  <c:v>0.13120832134214938</c:v>
                </c:pt>
                <c:pt idx="415">
                  <c:v>-4.4563202706837876E-2</c:v>
                </c:pt>
                <c:pt idx="416">
                  <c:v>0.12630736008637761</c:v>
                </c:pt>
                <c:pt idx="417">
                  <c:v>-0.2299144762349993</c:v>
                </c:pt>
                <c:pt idx="418">
                  <c:v>0.23260416442830434</c:v>
                </c:pt>
                <c:pt idx="419">
                  <c:v>-8.9090094779272194E-3</c:v>
                </c:pt>
                <c:pt idx="420">
                  <c:v>5.2835806971739702E-2</c:v>
                </c:pt>
                <c:pt idx="421">
                  <c:v>8.1084891365930084E-2</c:v>
                </c:pt>
                <c:pt idx="422">
                  <c:v>7.9087943025949112E-2</c:v>
                </c:pt>
                <c:pt idx="423">
                  <c:v>-0.37931007602291439</c:v>
                </c:pt>
                <c:pt idx="424">
                  <c:v>1.8053171842885921E-3</c:v>
                </c:pt>
                <c:pt idx="425">
                  <c:v>1.2989599077937038E-2</c:v>
                </c:pt>
                <c:pt idx="426">
                  <c:v>-0.24940499741878339</c:v>
                </c:pt>
                <c:pt idx="427">
                  <c:v>0.51314897544163407</c:v>
                </c:pt>
                <c:pt idx="428">
                  <c:v>-0.14566805415170156</c:v>
                </c:pt>
                <c:pt idx="429">
                  <c:v>9.855223859477482E-3</c:v>
                </c:pt>
                <c:pt idx="430">
                  <c:v>-0.37069953889904877</c:v>
                </c:pt>
                <c:pt idx="431">
                  <c:v>3.416901735184024E-2</c:v>
                </c:pt>
                <c:pt idx="432">
                  <c:v>-4.1146779786515562E-2</c:v>
                </c:pt>
                <c:pt idx="433">
                  <c:v>1.2629507791567077E-2</c:v>
                </c:pt>
                <c:pt idx="434">
                  <c:v>-0.18255330867447395</c:v>
                </c:pt>
                <c:pt idx="435">
                  <c:v>6.8269643623872847E-2</c:v>
                </c:pt>
                <c:pt idx="436">
                  <c:v>-0.21645208303001423</c:v>
                </c:pt>
                <c:pt idx="437">
                  <c:v>-0.1170690088641405</c:v>
                </c:pt>
                <c:pt idx="438">
                  <c:v>3.3691193157022042E-2</c:v>
                </c:pt>
                <c:pt idx="439">
                  <c:v>-0.16518161113850346</c:v>
                </c:pt>
                <c:pt idx="440">
                  <c:v>3.7322505485195157E-3</c:v>
                </c:pt>
                <c:pt idx="441">
                  <c:v>-0.21204619143156694</c:v>
                </c:pt>
                <c:pt idx="442">
                  <c:v>-0.28925200504200976</c:v>
                </c:pt>
                <c:pt idx="443">
                  <c:v>-6.2742002510999045E-3</c:v>
                </c:pt>
                <c:pt idx="444">
                  <c:v>-0.11124229436975289</c:v>
                </c:pt>
                <c:pt idx="445">
                  <c:v>1.7693671296988813E-2</c:v>
                </c:pt>
                <c:pt idx="446">
                  <c:v>6.7099844745908931E-3</c:v>
                </c:pt>
                <c:pt idx="447">
                  <c:v>-0.37287310330664747</c:v>
                </c:pt>
                <c:pt idx="448">
                  <c:v>0.12267431569886759</c:v>
                </c:pt>
                <c:pt idx="449">
                  <c:v>3.08256429710605E-2</c:v>
                </c:pt>
                <c:pt idx="450">
                  <c:v>-0.26555448151728267</c:v>
                </c:pt>
                <c:pt idx="451">
                  <c:v>-0.30551428308780532</c:v>
                </c:pt>
                <c:pt idx="452">
                  <c:v>-0.17240900643144683</c:v>
                </c:pt>
                <c:pt idx="453">
                  <c:v>-0.15824287163453846</c:v>
                </c:pt>
                <c:pt idx="454">
                  <c:v>-0.23389003235684716</c:v>
                </c:pt>
                <c:pt idx="455">
                  <c:v>0.20236264990110692</c:v>
                </c:pt>
                <c:pt idx="456">
                  <c:v>0.54738286867874519</c:v>
                </c:pt>
                <c:pt idx="457">
                  <c:v>-6.0750061128329903E-2</c:v>
                </c:pt>
                <c:pt idx="458">
                  <c:v>9.1841583747496791E-2</c:v>
                </c:pt>
                <c:pt idx="459">
                  <c:v>0.15780748214479393</c:v>
                </c:pt>
                <c:pt idx="460">
                  <c:v>8.5320864555525608E-2</c:v>
                </c:pt>
                <c:pt idx="461">
                  <c:v>-7.7630850013247502E-2</c:v>
                </c:pt>
                <c:pt idx="462">
                  <c:v>-0.27806034772934229</c:v>
                </c:pt>
                <c:pt idx="463">
                  <c:v>-9.6634589854192945E-2</c:v>
                </c:pt>
                <c:pt idx="464">
                  <c:v>-0.17042472683008067</c:v>
                </c:pt>
                <c:pt idx="465">
                  <c:v>-0.12400986482357991</c:v>
                </c:pt>
                <c:pt idx="466">
                  <c:v>-0.27946264680913757</c:v>
                </c:pt>
                <c:pt idx="467">
                  <c:v>-8.5068441912356768E-2</c:v>
                </c:pt>
                <c:pt idx="468">
                  <c:v>3.5671104130830557E-2</c:v>
                </c:pt>
                <c:pt idx="469">
                  <c:v>0.15021938627289369</c:v>
                </c:pt>
                <c:pt idx="470">
                  <c:v>-0.19636346601354615</c:v>
                </c:pt>
                <c:pt idx="471">
                  <c:v>-3.22568075862599E-2</c:v>
                </c:pt>
                <c:pt idx="472">
                  <c:v>-0.27871140070759887</c:v>
                </c:pt>
                <c:pt idx="473">
                  <c:v>0.2633161996791939</c:v>
                </c:pt>
                <c:pt idx="474">
                  <c:v>0.74402653447688682</c:v>
                </c:pt>
                <c:pt idx="475">
                  <c:v>0.29232743708498404</c:v>
                </c:pt>
                <c:pt idx="476">
                  <c:v>-0.10439191275295638</c:v>
                </c:pt>
                <c:pt idx="477">
                  <c:v>-4.1461946601977835E-2</c:v>
                </c:pt>
                <c:pt idx="478">
                  <c:v>0.67121067941350765</c:v>
                </c:pt>
                <c:pt idx="479">
                  <c:v>-5.0890956768719887E-2</c:v>
                </c:pt>
                <c:pt idx="480">
                  <c:v>4.8078881409046696E-2</c:v>
                </c:pt>
                <c:pt idx="481">
                  <c:v>-9.1513121301886838E-2</c:v>
                </c:pt>
                <c:pt idx="482">
                  <c:v>-1.0995072959101088E-2</c:v>
                </c:pt>
                <c:pt idx="483">
                  <c:v>6.3764393214856732E-2</c:v>
                </c:pt>
                <c:pt idx="484">
                  <c:v>-8.8152015655815E-2</c:v>
                </c:pt>
                <c:pt idx="485">
                  <c:v>-0.32876515774284998</c:v>
                </c:pt>
                <c:pt idx="486">
                  <c:v>-6.6126516639996774E-2</c:v>
                </c:pt>
                <c:pt idx="487">
                  <c:v>-0.16004810901856806</c:v>
                </c:pt>
                <c:pt idx="488">
                  <c:v>-0.10011855825100785</c:v>
                </c:pt>
                <c:pt idx="489">
                  <c:v>2.7090507791939552E-2</c:v>
                </c:pt>
                <c:pt idx="490">
                  <c:v>-0.25125009365522488</c:v>
                </c:pt>
                <c:pt idx="491">
                  <c:v>0.32929671425781143</c:v>
                </c:pt>
                <c:pt idx="492">
                  <c:v>0.49575591549510928</c:v>
                </c:pt>
                <c:pt idx="493">
                  <c:v>0.68782569762182844</c:v>
                </c:pt>
                <c:pt idx="494">
                  <c:v>9.9199772773020528E-2</c:v>
                </c:pt>
                <c:pt idx="495">
                  <c:v>-0.1634789144639629</c:v>
                </c:pt>
                <c:pt idx="496">
                  <c:v>-0.16212473195139385</c:v>
                </c:pt>
                <c:pt idx="497">
                  <c:v>1.7785932985495446E-2</c:v>
                </c:pt>
                <c:pt idx="498">
                  <c:v>-7.3469138972056369E-2</c:v>
                </c:pt>
                <c:pt idx="499">
                  <c:v>-0.16936207550772434</c:v>
                </c:pt>
                <c:pt idx="500">
                  <c:v>-0.12439150971285175</c:v>
                </c:pt>
                <c:pt idx="501">
                  <c:v>-0.13214384222512285</c:v>
                </c:pt>
                <c:pt idx="502">
                  <c:v>-7.7193711500674375E-2</c:v>
                </c:pt>
                <c:pt idx="503">
                  <c:v>-4.7814277052432616E-2</c:v>
                </c:pt>
                <c:pt idx="504">
                  <c:v>-0.35786690972377022</c:v>
                </c:pt>
                <c:pt idx="505">
                  <c:v>-6.1610565495756942E-2</c:v>
                </c:pt>
                <c:pt idx="506">
                  <c:v>-9.6436835981947633E-2</c:v>
                </c:pt>
                <c:pt idx="507">
                  <c:v>-0.24967256698554888</c:v>
                </c:pt>
                <c:pt idx="508">
                  <c:v>2.9687034550072888E-2</c:v>
                </c:pt>
                <c:pt idx="509">
                  <c:v>3.7692385014995819E-2</c:v>
                </c:pt>
                <c:pt idx="510">
                  <c:v>-0.15896392750307942</c:v>
                </c:pt>
                <c:pt idx="511">
                  <c:v>0.44650996737045739</c:v>
                </c:pt>
                <c:pt idx="512">
                  <c:v>-0.12300004098153186</c:v>
                </c:pt>
                <c:pt idx="513">
                  <c:v>0.29431882867102716</c:v>
                </c:pt>
                <c:pt idx="514">
                  <c:v>-0.17468591926517948</c:v>
                </c:pt>
                <c:pt idx="515">
                  <c:v>-0.16029384898275859</c:v>
                </c:pt>
                <c:pt idx="516">
                  <c:v>-0.11453621659986693</c:v>
                </c:pt>
                <c:pt idx="517">
                  <c:v>1.0714624898177838E-3</c:v>
                </c:pt>
                <c:pt idx="518">
                  <c:v>-2.1319182240272391E-2</c:v>
                </c:pt>
                <c:pt idx="519">
                  <c:v>-0.31029760647194504</c:v>
                </c:pt>
                <c:pt idx="520">
                  <c:v>-0.13903131259462509</c:v>
                </c:pt>
                <c:pt idx="521">
                  <c:v>-0.24912242658834777</c:v>
                </c:pt>
                <c:pt idx="522">
                  <c:v>-0.1218264680902694</c:v>
                </c:pt>
                <c:pt idx="523">
                  <c:v>-0.28072930552890785</c:v>
                </c:pt>
                <c:pt idx="524">
                  <c:v>-0.18756479052464614</c:v>
                </c:pt>
                <c:pt idx="525">
                  <c:v>8.2106624317178981E-3</c:v>
                </c:pt>
                <c:pt idx="526">
                  <c:v>-5.0636735707673686E-2</c:v>
                </c:pt>
                <c:pt idx="527">
                  <c:v>8.3584310621676566E-2</c:v>
                </c:pt>
                <c:pt idx="528">
                  <c:v>0.15510817456966153</c:v>
                </c:pt>
                <c:pt idx="529">
                  <c:v>0.52031662788244715</c:v>
                </c:pt>
                <c:pt idx="530">
                  <c:v>3.8997610193453893E-3</c:v>
                </c:pt>
                <c:pt idx="531">
                  <c:v>2.1568812237345462E-2</c:v>
                </c:pt>
                <c:pt idx="532">
                  <c:v>-9.1482436190401348E-2</c:v>
                </c:pt>
                <c:pt idx="533">
                  <c:v>-0.23065697360186094</c:v>
                </c:pt>
                <c:pt idx="534">
                  <c:v>-2.6970260127361069E-2</c:v>
                </c:pt>
                <c:pt idx="535">
                  <c:v>-0.18078583461650682</c:v>
                </c:pt>
                <c:pt idx="536">
                  <c:v>-9.568503546758364E-2</c:v>
                </c:pt>
                <c:pt idx="537">
                  <c:v>-4.443516207913463E-2</c:v>
                </c:pt>
                <c:pt idx="538">
                  <c:v>-2.674254222291883E-2</c:v>
                </c:pt>
                <c:pt idx="539">
                  <c:v>-6.1341829905663975E-2</c:v>
                </c:pt>
                <c:pt idx="540">
                  <c:v>-0.16617301132603871</c:v>
                </c:pt>
                <c:pt idx="541">
                  <c:v>6.3147026417686672E-2</c:v>
                </c:pt>
                <c:pt idx="542">
                  <c:v>-0.10439335802884568</c:v>
                </c:pt>
                <c:pt idx="543">
                  <c:v>-0.22561629933410146</c:v>
                </c:pt>
                <c:pt idx="544">
                  <c:v>3.1453850290743136E-2</c:v>
                </c:pt>
                <c:pt idx="545">
                  <c:v>0.40202532959373111</c:v>
                </c:pt>
                <c:pt idx="546">
                  <c:v>0.10661340668519183</c:v>
                </c:pt>
                <c:pt idx="547">
                  <c:v>-0.31602338009686626</c:v>
                </c:pt>
                <c:pt idx="548">
                  <c:v>8.0636592692801642E-2</c:v>
                </c:pt>
                <c:pt idx="549">
                  <c:v>-0.13597388194630036</c:v>
                </c:pt>
                <c:pt idx="550">
                  <c:v>-8.3224824515049006E-2</c:v>
                </c:pt>
                <c:pt idx="551">
                  <c:v>-0.31060461716741683</c:v>
                </c:pt>
                <c:pt idx="552">
                  <c:v>0.1083049381345821</c:v>
                </c:pt>
                <c:pt idx="553">
                  <c:v>9.6382135410366752E-3</c:v>
                </c:pt>
                <c:pt idx="554">
                  <c:v>0.15898098690388449</c:v>
                </c:pt>
                <c:pt idx="555">
                  <c:v>0.53942291927698693</c:v>
                </c:pt>
                <c:pt idx="556">
                  <c:v>0.25055194901240818</c:v>
                </c:pt>
                <c:pt idx="557">
                  <c:v>8.9298950806631333E-2</c:v>
                </c:pt>
                <c:pt idx="558">
                  <c:v>-0.10695848653963827</c:v>
                </c:pt>
                <c:pt idx="559">
                  <c:v>0.51025470339825418</c:v>
                </c:pt>
                <c:pt idx="560">
                  <c:v>0.24555225592176078</c:v>
                </c:pt>
                <c:pt idx="561">
                  <c:v>0.19064544155555072</c:v>
                </c:pt>
                <c:pt idx="562">
                  <c:v>6.1281509578087659E-2</c:v>
                </c:pt>
                <c:pt idx="563">
                  <c:v>0.11717284586418214</c:v>
                </c:pt>
                <c:pt idx="564">
                  <c:v>6.004926549109596E-2</c:v>
                </c:pt>
                <c:pt idx="565">
                  <c:v>0.20748812732321842</c:v>
                </c:pt>
                <c:pt idx="566">
                  <c:v>-0.34749395153689311</c:v>
                </c:pt>
                <c:pt idx="567">
                  <c:v>-8.8416027896790345E-2</c:v>
                </c:pt>
                <c:pt idx="568">
                  <c:v>0.7511427144242353</c:v>
                </c:pt>
                <c:pt idx="569">
                  <c:v>-0.21432134660934654</c:v>
                </c:pt>
                <c:pt idx="570">
                  <c:v>0.16765002282534733</c:v>
                </c:pt>
                <c:pt idx="571">
                  <c:v>0.10999822523935014</c:v>
                </c:pt>
                <c:pt idx="572">
                  <c:v>0.53557047249310463</c:v>
                </c:pt>
                <c:pt idx="573">
                  <c:v>-0.1686992889664744</c:v>
                </c:pt>
                <c:pt idx="574">
                  <c:v>0.12243910526440444</c:v>
                </c:pt>
                <c:pt idx="575">
                  <c:v>-7.0378629899056966E-2</c:v>
                </c:pt>
                <c:pt idx="576">
                  <c:v>0.15687540686300477</c:v>
                </c:pt>
                <c:pt idx="577">
                  <c:v>-0.12483327515119363</c:v>
                </c:pt>
                <c:pt idx="578">
                  <c:v>-6.8567121248925125E-2</c:v>
                </c:pt>
                <c:pt idx="579">
                  <c:v>-0.25046952338522788</c:v>
                </c:pt>
                <c:pt idx="580">
                  <c:v>0.198233101423194</c:v>
                </c:pt>
                <c:pt idx="581">
                  <c:v>0.17676623718686515</c:v>
                </c:pt>
                <c:pt idx="582">
                  <c:v>0.17591041207784169</c:v>
                </c:pt>
                <c:pt idx="583">
                  <c:v>0.15242467540642649</c:v>
                </c:pt>
                <c:pt idx="584">
                  <c:v>-0.16540986843332289</c:v>
                </c:pt>
                <c:pt idx="585">
                  <c:v>-1.7144903639536375E-2</c:v>
                </c:pt>
                <c:pt idx="586">
                  <c:v>-5.5259820340857121E-2</c:v>
                </c:pt>
                <c:pt idx="587">
                  <c:v>-4.021339033120247E-2</c:v>
                </c:pt>
                <c:pt idx="588">
                  <c:v>-0.12956223786582874</c:v>
                </c:pt>
                <c:pt idx="589">
                  <c:v>-0.2402553768364174</c:v>
                </c:pt>
                <c:pt idx="590">
                  <c:v>0.15811695621643579</c:v>
                </c:pt>
                <c:pt idx="591">
                  <c:v>0.10546126893695036</c:v>
                </c:pt>
                <c:pt idx="592">
                  <c:v>-0.24463935332781064</c:v>
                </c:pt>
                <c:pt idx="593">
                  <c:v>-8.8295677601987504E-2</c:v>
                </c:pt>
                <c:pt idx="594">
                  <c:v>-0.19701583083475896</c:v>
                </c:pt>
                <c:pt idx="595">
                  <c:v>0.1242003662501323</c:v>
                </c:pt>
                <c:pt idx="596">
                  <c:v>2.7521018245242255E-2</c:v>
                </c:pt>
                <c:pt idx="597">
                  <c:v>1.8024017485561494E-2</c:v>
                </c:pt>
                <c:pt idx="598">
                  <c:v>-6.9386907542957926E-2</c:v>
                </c:pt>
                <c:pt idx="599">
                  <c:v>0.21688560642589169</c:v>
                </c:pt>
                <c:pt idx="600">
                  <c:v>-0.14665761147033757</c:v>
                </c:pt>
                <c:pt idx="601">
                  <c:v>-0.17360909442234276</c:v>
                </c:pt>
                <c:pt idx="602">
                  <c:v>1.8935214468935681E-2</c:v>
                </c:pt>
                <c:pt idx="603">
                  <c:v>7.8572251011310212E-2</c:v>
                </c:pt>
                <c:pt idx="604">
                  <c:v>-3.3351349662151586E-2</c:v>
                </c:pt>
                <c:pt idx="605">
                  <c:v>-8.4717139720145218E-2</c:v>
                </c:pt>
                <c:pt idx="606">
                  <c:v>-0.25576640086122709</c:v>
                </c:pt>
                <c:pt idx="607">
                  <c:v>0.13026097475635079</c:v>
                </c:pt>
                <c:pt idx="608">
                  <c:v>7.0392501743988478E-2</c:v>
                </c:pt>
                <c:pt idx="609">
                  <c:v>-0.15551926996642262</c:v>
                </c:pt>
                <c:pt idx="610">
                  <c:v>-9.3617383894333106E-2</c:v>
                </c:pt>
                <c:pt idx="611">
                  <c:v>-5.7982258773631154E-2</c:v>
                </c:pt>
                <c:pt idx="612">
                  <c:v>-0.11204111182626088</c:v>
                </c:pt>
                <c:pt idx="613">
                  <c:v>-0.17324234610288775</c:v>
                </c:pt>
                <c:pt idx="614">
                  <c:v>0.18924561056540742</c:v>
                </c:pt>
                <c:pt idx="615">
                  <c:v>-4.1196073545136977E-2</c:v>
                </c:pt>
                <c:pt idx="616">
                  <c:v>0.49209256363053427</c:v>
                </c:pt>
                <c:pt idx="617">
                  <c:v>-0.13843450201377719</c:v>
                </c:pt>
                <c:pt idx="618">
                  <c:v>8.5097416977343038E-3</c:v>
                </c:pt>
                <c:pt idx="619">
                  <c:v>0.81808947119954656</c:v>
                </c:pt>
                <c:pt idx="620">
                  <c:v>-0.38060146695902325</c:v>
                </c:pt>
                <c:pt idx="621">
                  <c:v>5.3655711011280756E-2</c:v>
                </c:pt>
                <c:pt idx="622">
                  <c:v>-2.1159030517439437E-2</c:v>
                </c:pt>
                <c:pt idx="623">
                  <c:v>-7.42808215384064E-2</c:v>
                </c:pt>
                <c:pt idx="624">
                  <c:v>-0.10812873680193359</c:v>
                </c:pt>
                <c:pt idx="625">
                  <c:v>1.87880736640339E-2</c:v>
                </c:pt>
                <c:pt idx="626">
                  <c:v>-3.5818527142163915E-2</c:v>
                </c:pt>
                <c:pt idx="627">
                  <c:v>0.79242649207926585</c:v>
                </c:pt>
                <c:pt idx="628">
                  <c:v>-7.5844356776831124E-3</c:v>
                </c:pt>
                <c:pt idx="629">
                  <c:v>-7.6277147997075037E-2</c:v>
                </c:pt>
                <c:pt idx="630">
                  <c:v>-5.4881026266058577E-2</c:v>
                </c:pt>
                <c:pt idx="631">
                  <c:v>0.63249150728763026</c:v>
                </c:pt>
                <c:pt idx="632">
                  <c:v>8.6469122656943568E-3</c:v>
                </c:pt>
                <c:pt idx="633">
                  <c:v>-8.0898346867749465E-2</c:v>
                </c:pt>
                <c:pt idx="634">
                  <c:v>0.1656317941867681</c:v>
                </c:pt>
                <c:pt idx="635">
                  <c:v>-2.3853341313808167E-2</c:v>
                </c:pt>
                <c:pt idx="636">
                  <c:v>-0.25490376892643601</c:v>
                </c:pt>
                <c:pt idx="637">
                  <c:v>-0.23706277308220639</c:v>
                </c:pt>
                <c:pt idx="638">
                  <c:v>0.13567250117692028</c:v>
                </c:pt>
                <c:pt idx="639">
                  <c:v>1.8269592928976293E-2</c:v>
                </c:pt>
                <c:pt idx="640">
                  <c:v>-0.20036988193271377</c:v>
                </c:pt>
                <c:pt idx="641">
                  <c:v>3.0719741363426454E-2</c:v>
                </c:pt>
                <c:pt idx="642">
                  <c:v>0.10785318390396813</c:v>
                </c:pt>
                <c:pt idx="643">
                  <c:v>-0.13593642619999402</c:v>
                </c:pt>
                <c:pt idx="644">
                  <c:v>-0.16931211867448262</c:v>
                </c:pt>
                <c:pt idx="645">
                  <c:v>-0.11920686399874868</c:v>
                </c:pt>
                <c:pt idx="646">
                  <c:v>-0.12537699222138937</c:v>
                </c:pt>
                <c:pt idx="647">
                  <c:v>-0.20842264462241775</c:v>
                </c:pt>
                <c:pt idx="648">
                  <c:v>0.31416590137089362</c:v>
                </c:pt>
                <c:pt idx="649">
                  <c:v>-4.2672467921427606E-2</c:v>
                </c:pt>
                <c:pt idx="650">
                  <c:v>1.9315708277858681E-2</c:v>
                </c:pt>
                <c:pt idx="651">
                  <c:v>-0.25721857343670473</c:v>
                </c:pt>
                <c:pt idx="652">
                  <c:v>-0.2294643671527529</c:v>
                </c:pt>
                <c:pt idx="653">
                  <c:v>0.70463997156288349</c:v>
                </c:pt>
                <c:pt idx="654">
                  <c:v>-0.34855038557631829</c:v>
                </c:pt>
                <c:pt idx="655">
                  <c:v>9.3859863197501198E-2</c:v>
                </c:pt>
                <c:pt idx="656">
                  <c:v>-0.38921516134423673</c:v>
                </c:pt>
                <c:pt idx="657">
                  <c:v>3.6624567704313356E-3</c:v>
                </c:pt>
                <c:pt idx="658">
                  <c:v>-5.4503046875499492E-2</c:v>
                </c:pt>
                <c:pt idx="659">
                  <c:v>-5.5884296527694222E-2</c:v>
                </c:pt>
                <c:pt idx="660">
                  <c:v>0.15439671585549208</c:v>
                </c:pt>
                <c:pt idx="661">
                  <c:v>-0.24427864800214982</c:v>
                </c:pt>
                <c:pt idx="662">
                  <c:v>-0.20571430596751497</c:v>
                </c:pt>
                <c:pt idx="663">
                  <c:v>0.17160370285241686</c:v>
                </c:pt>
                <c:pt idx="664">
                  <c:v>0.15488858782706694</c:v>
                </c:pt>
                <c:pt idx="665">
                  <c:v>7.4270531953797639E-2</c:v>
                </c:pt>
                <c:pt idx="666">
                  <c:v>-0.17615483133569076</c:v>
                </c:pt>
                <c:pt idx="667">
                  <c:v>0.73379903255173295</c:v>
                </c:pt>
                <c:pt idx="668">
                  <c:v>3.3832741940293405E-2</c:v>
                </c:pt>
                <c:pt idx="669">
                  <c:v>8.2118570815621836E-2</c:v>
                </c:pt>
                <c:pt idx="670">
                  <c:v>8.7851616756731948E-2</c:v>
                </c:pt>
                <c:pt idx="671">
                  <c:v>0.10231033057726599</c:v>
                </c:pt>
                <c:pt idx="672">
                  <c:v>4.3467900956988492E-2</c:v>
                </c:pt>
                <c:pt idx="673">
                  <c:v>-0.26344078400911686</c:v>
                </c:pt>
                <c:pt idx="674">
                  <c:v>0.15188245046090246</c:v>
                </c:pt>
                <c:pt idx="675">
                  <c:v>0.15301802026971512</c:v>
                </c:pt>
                <c:pt idx="676">
                  <c:v>5.0043086787849848E-2</c:v>
                </c:pt>
                <c:pt idx="677">
                  <c:v>6.9218817830785734E-2</c:v>
                </c:pt>
                <c:pt idx="678">
                  <c:v>0.12465450525152021</c:v>
                </c:pt>
                <c:pt idx="679">
                  <c:v>-0.13570364752800329</c:v>
                </c:pt>
                <c:pt idx="680">
                  <c:v>-0.24211795072679421</c:v>
                </c:pt>
                <c:pt idx="681">
                  <c:v>-0.10262300568005825</c:v>
                </c:pt>
                <c:pt idx="682">
                  <c:v>6.9839834367566534E-3</c:v>
                </c:pt>
                <c:pt idx="683">
                  <c:v>-0.14532243780818671</c:v>
                </c:pt>
                <c:pt idx="684">
                  <c:v>0.23704387839307478</c:v>
                </c:pt>
                <c:pt idx="685">
                  <c:v>7.6180930729052049E-2</c:v>
                </c:pt>
                <c:pt idx="686">
                  <c:v>4.1534864314762054E-2</c:v>
                </c:pt>
                <c:pt idx="687">
                  <c:v>-0.20931107600806348</c:v>
                </c:pt>
                <c:pt idx="688">
                  <c:v>1.9967131952196206E-2</c:v>
                </c:pt>
                <c:pt idx="689">
                  <c:v>-0.23982120218538855</c:v>
                </c:pt>
                <c:pt idx="690">
                  <c:v>-0.17793591107787884</c:v>
                </c:pt>
                <c:pt idx="691">
                  <c:v>-0.16791037938497813</c:v>
                </c:pt>
                <c:pt idx="692">
                  <c:v>0.7214546462732776</c:v>
                </c:pt>
                <c:pt idx="693">
                  <c:v>-0.20416987307129147</c:v>
                </c:pt>
                <c:pt idx="694">
                  <c:v>-5.4459666760513586E-2</c:v>
                </c:pt>
                <c:pt idx="695">
                  <c:v>-2.7020490002220364E-2</c:v>
                </c:pt>
                <c:pt idx="696">
                  <c:v>-9.1054931681141989E-3</c:v>
                </c:pt>
                <c:pt idx="697">
                  <c:v>-0.1540951615261914</c:v>
                </c:pt>
                <c:pt idx="698">
                  <c:v>-0.13020969557879555</c:v>
                </c:pt>
                <c:pt idx="699">
                  <c:v>3.3280364198591407E-2</c:v>
                </c:pt>
                <c:pt idx="700">
                  <c:v>0.69744490894919575</c:v>
                </c:pt>
                <c:pt idx="701">
                  <c:v>-0.20488720410085973</c:v>
                </c:pt>
                <c:pt idx="702">
                  <c:v>-1.2498311001483008E-2</c:v>
                </c:pt>
                <c:pt idx="703">
                  <c:v>-6.0531423225852407E-2</c:v>
                </c:pt>
                <c:pt idx="704">
                  <c:v>0.16750399940075869</c:v>
                </c:pt>
                <c:pt idx="705">
                  <c:v>-0.2270062131087896</c:v>
                </c:pt>
                <c:pt idx="706">
                  <c:v>0.29980502410784238</c:v>
                </c:pt>
                <c:pt idx="707">
                  <c:v>-0.15728077567439064</c:v>
                </c:pt>
                <c:pt idx="708">
                  <c:v>0.12455373832612908</c:v>
                </c:pt>
                <c:pt idx="709">
                  <c:v>-0.16499810529661263</c:v>
                </c:pt>
                <c:pt idx="710">
                  <c:v>-0.12011610572482068</c:v>
                </c:pt>
                <c:pt idx="711">
                  <c:v>-0.10434828891197342</c:v>
                </c:pt>
                <c:pt idx="712">
                  <c:v>-0.15015366647121098</c:v>
                </c:pt>
                <c:pt idx="713">
                  <c:v>7.6682811039772525E-4</c:v>
                </c:pt>
                <c:pt idx="714">
                  <c:v>8.9257299319410358E-2</c:v>
                </c:pt>
                <c:pt idx="715">
                  <c:v>-0.21436610972783757</c:v>
                </c:pt>
                <c:pt idx="716">
                  <c:v>-4.9561503919664247E-2</c:v>
                </c:pt>
                <c:pt idx="717">
                  <c:v>-0.14165424250899311</c:v>
                </c:pt>
                <c:pt idx="718">
                  <c:v>0.58034341060203332</c:v>
                </c:pt>
                <c:pt idx="719">
                  <c:v>4.4890263617192859E-2</c:v>
                </c:pt>
                <c:pt idx="720">
                  <c:v>-4.5391856222416468E-2</c:v>
                </c:pt>
                <c:pt idx="721">
                  <c:v>9.7985372199775753E-2</c:v>
                </c:pt>
                <c:pt idx="722">
                  <c:v>-7.2278169431157405E-2</c:v>
                </c:pt>
                <c:pt idx="723">
                  <c:v>5.0899662177451295E-2</c:v>
                </c:pt>
                <c:pt idx="724">
                  <c:v>2.3165056542955823E-2</c:v>
                </c:pt>
                <c:pt idx="725">
                  <c:v>0.439641051207179</c:v>
                </c:pt>
                <c:pt idx="726">
                  <c:v>-0.28413287045964869</c:v>
                </c:pt>
                <c:pt idx="727">
                  <c:v>-0.24165382968818314</c:v>
                </c:pt>
                <c:pt idx="728">
                  <c:v>0.20509703911595553</c:v>
                </c:pt>
                <c:pt idx="729">
                  <c:v>-0.11778559442412931</c:v>
                </c:pt>
                <c:pt idx="730">
                  <c:v>-9.0411588361812442E-2</c:v>
                </c:pt>
                <c:pt idx="731">
                  <c:v>-0.27253605833019506</c:v>
                </c:pt>
                <c:pt idx="732">
                  <c:v>-0.224647997715233</c:v>
                </c:pt>
                <c:pt idx="733">
                  <c:v>0.25998969496057189</c:v>
                </c:pt>
                <c:pt idx="734">
                  <c:v>-0.1315057942376017</c:v>
                </c:pt>
                <c:pt idx="735">
                  <c:v>1.4764816707114608E-2</c:v>
                </c:pt>
                <c:pt idx="736">
                  <c:v>-0.29615670551746043</c:v>
                </c:pt>
                <c:pt idx="737">
                  <c:v>-7.495917127076808E-2</c:v>
                </c:pt>
                <c:pt idx="738">
                  <c:v>0.1703148993797132</c:v>
                </c:pt>
                <c:pt idx="739">
                  <c:v>-5.0838347625814025E-2</c:v>
                </c:pt>
                <c:pt idx="740">
                  <c:v>-0.23056898019003547</c:v>
                </c:pt>
                <c:pt idx="741">
                  <c:v>-9.2608818037290971E-2</c:v>
                </c:pt>
                <c:pt idx="742">
                  <c:v>3.7388882830755941E-2</c:v>
                </c:pt>
                <c:pt idx="743">
                  <c:v>-0.11337964423619515</c:v>
                </c:pt>
                <c:pt idx="744">
                  <c:v>-8.0506025295522712E-2</c:v>
                </c:pt>
                <c:pt idx="745">
                  <c:v>1.9446887096404568E-2</c:v>
                </c:pt>
                <c:pt idx="746">
                  <c:v>-4.5313098465174118E-2</c:v>
                </c:pt>
                <c:pt idx="747">
                  <c:v>-8.5385460166419402E-2</c:v>
                </c:pt>
                <c:pt idx="748">
                  <c:v>-6.0473913852546413E-2</c:v>
                </c:pt>
                <c:pt idx="749">
                  <c:v>0.16370433611481688</c:v>
                </c:pt>
                <c:pt idx="750">
                  <c:v>-0.12441183447534626</c:v>
                </c:pt>
                <c:pt idx="751">
                  <c:v>-0.32033121335544545</c:v>
                </c:pt>
                <c:pt idx="752">
                  <c:v>-0.21570977285263002</c:v>
                </c:pt>
                <c:pt idx="753">
                  <c:v>-0.28599770158423204</c:v>
                </c:pt>
                <c:pt idx="754">
                  <c:v>-6.1493901499802002E-2</c:v>
                </c:pt>
                <c:pt idx="755">
                  <c:v>4.1013165793747808E-2</c:v>
                </c:pt>
                <c:pt idx="756">
                  <c:v>-0.23172170911211268</c:v>
                </c:pt>
                <c:pt idx="757">
                  <c:v>-7.3936650000874474E-2</c:v>
                </c:pt>
                <c:pt idx="758">
                  <c:v>9.5492631310710438E-2</c:v>
                </c:pt>
                <c:pt idx="759">
                  <c:v>8.3063538440260778E-2</c:v>
                </c:pt>
                <c:pt idx="760">
                  <c:v>-1.6130753519855111E-2</c:v>
                </c:pt>
                <c:pt idx="761">
                  <c:v>-7.969122699950483E-2</c:v>
                </c:pt>
                <c:pt idx="762">
                  <c:v>-0.24839917949332069</c:v>
                </c:pt>
                <c:pt idx="763">
                  <c:v>-2.0640995046451848E-2</c:v>
                </c:pt>
                <c:pt idx="764">
                  <c:v>7.6114159206853368E-2</c:v>
                </c:pt>
                <c:pt idx="765">
                  <c:v>7.2687389605641611E-2</c:v>
                </c:pt>
                <c:pt idx="766">
                  <c:v>-3.5812123742500215E-2</c:v>
                </c:pt>
                <c:pt idx="767">
                  <c:v>2.0073998102423791E-2</c:v>
                </c:pt>
                <c:pt idx="768">
                  <c:v>0.11311095168109669</c:v>
                </c:pt>
                <c:pt idx="769">
                  <c:v>0.62500186425258386</c:v>
                </c:pt>
                <c:pt idx="770">
                  <c:v>0.13261200475207041</c:v>
                </c:pt>
                <c:pt idx="771">
                  <c:v>6.6053614982426673E-3</c:v>
                </c:pt>
                <c:pt idx="772">
                  <c:v>-3.5376731738405442E-2</c:v>
                </c:pt>
                <c:pt idx="773">
                  <c:v>8.4964696154022815E-2</c:v>
                </c:pt>
                <c:pt idx="774">
                  <c:v>-4.5428882706175983E-2</c:v>
                </c:pt>
                <c:pt idx="775">
                  <c:v>-0.24469286910160759</c:v>
                </c:pt>
                <c:pt idx="776">
                  <c:v>-0.13328212803540268</c:v>
                </c:pt>
                <c:pt idx="777">
                  <c:v>-0.2368657745579289</c:v>
                </c:pt>
                <c:pt idx="778">
                  <c:v>-0.29622186050881844</c:v>
                </c:pt>
                <c:pt idx="779">
                  <c:v>0.13787464717418974</c:v>
                </c:pt>
                <c:pt idx="780">
                  <c:v>0.30259626706193099</c:v>
                </c:pt>
                <c:pt idx="781">
                  <c:v>0.41477989687519412</c:v>
                </c:pt>
                <c:pt idx="782">
                  <c:v>-0.26166472217192288</c:v>
                </c:pt>
                <c:pt idx="783">
                  <c:v>-9.023158588331516E-2</c:v>
                </c:pt>
                <c:pt idx="784">
                  <c:v>-0.14353753811191039</c:v>
                </c:pt>
                <c:pt idx="785">
                  <c:v>1.5719574543103954E-2</c:v>
                </c:pt>
                <c:pt idx="786">
                  <c:v>-0.30149786081353308</c:v>
                </c:pt>
                <c:pt idx="787">
                  <c:v>-4.602367355190623E-2</c:v>
                </c:pt>
                <c:pt idx="788">
                  <c:v>4.9023667230586862E-2</c:v>
                </c:pt>
                <c:pt idx="789">
                  <c:v>-7.2191616851227838E-2</c:v>
                </c:pt>
                <c:pt idx="790">
                  <c:v>-4.0767020767578634E-5</c:v>
                </c:pt>
                <c:pt idx="791">
                  <c:v>-2.0232507492160493E-2</c:v>
                </c:pt>
                <c:pt idx="792">
                  <c:v>1.1625784811198497E-2</c:v>
                </c:pt>
                <c:pt idx="793">
                  <c:v>-6.7327867800382149E-2</c:v>
                </c:pt>
                <c:pt idx="794">
                  <c:v>-0.20487374756468399</c:v>
                </c:pt>
                <c:pt idx="795">
                  <c:v>-0.12966625033735926</c:v>
                </c:pt>
                <c:pt idx="796">
                  <c:v>-0.1624560587161577</c:v>
                </c:pt>
                <c:pt idx="797">
                  <c:v>8.6590727825468658E-2</c:v>
                </c:pt>
                <c:pt idx="798">
                  <c:v>6.1506570473646778E-2</c:v>
                </c:pt>
                <c:pt idx="799">
                  <c:v>0.28541044535630655</c:v>
                </c:pt>
                <c:pt idx="800">
                  <c:v>-2.2230954690768176E-2</c:v>
                </c:pt>
                <c:pt idx="801">
                  <c:v>-9.8974014809393496E-2</c:v>
                </c:pt>
                <c:pt idx="802">
                  <c:v>4.5173992135300829E-2</c:v>
                </c:pt>
                <c:pt idx="803">
                  <c:v>0.57536604905653932</c:v>
                </c:pt>
                <c:pt idx="804">
                  <c:v>-0.18932964706294067</c:v>
                </c:pt>
                <c:pt idx="805">
                  <c:v>-3.1408246925488235E-2</c:v>
                </c:pt>
                <c:pt idx="806">
                  <c:v>2.6381398940385766E-2</c:v>
                </c:pt>
                <c:pt idx="807">
                  <c:v>-0.14314935359999575</c:v>
                </c:pt>
                <c:pt idx="808">
                  <c:v>-0.21436611143753134</c:v>
                </c:pt>
                <c:pt idx="809">
                  <c:v>-2.9251703952478413E-2</c:v>
                </c:pt>
                <c:pt idx="810">
                  <c:v>-0.21501094880131946</c:v>
                </c:pt>
                <c:pt idx="811">
                  <c:v>4.8373639783299179E-3</c:v>
                </c:pt>
                <c:pt idx="812">
                  <c:v>-4.0311254992393068E-2</c:v>
                </c:pt>
                <c:pt idx="813">
                  <c:v>0.18903500870713993</c:v>
                </c:pt>
                <c:pt idx="814">
                  <c:v>-0.19666008094723453</c:v>
                </c:pt>
                <c:pt idx="815">
                  <c:v>5.8312576851530858E-2</c:v>
                </c:pt>
                <c:pt idx="816">
                  <c:v>-0.21639278924095287</c:v>
                </c:pt>
                <c:pt idx="817">
                  <c:v>-0.18154895016857783</c:v>
                </c:pt>
                <c:pt idx="818">
                  <c:v>-0.20291329349100723</c:v>
                </c:pt>
                <c:pt idx="819">
                  <c:v>-0.1864762404584224</c:v>
                </c:pt>
                <c:pt idx="820">
                  <c:v>-0.1324536394420677</c:v>
                </c:pt>
                <c:pt idx="821">
                  <c:v>0.5613664411270074</c:v>
                </c:pt>
                <c:pt idx="822">
                  <c:v>8.7265814129808134E-2</c:v>
                </c:pt>
                <c:pt idx="823">
                  <c:v>6.4378198324039057E-2</c:v>
                </c:pt>
                <c:pt idx="824">
                  <c:v>1.743828832984759E-2</c:v>
                </c:pt>
                <c:pt idx="825">
                  <c:v>-7.1832617471676671E-2</c:v>
                </c:pt>
                <c:pt idx="826">
                  <c:v>-0.24907073675161273</c:v>
                </c:pt>
                <c:pt idx="827">
                  <c:v>0.10417299199670117</c:v>
                </c:pt>
                <c:pt idx="828">
                  <c:v>-0.11738674046329654</c:v>
                </c:pt>
                <c:pt idx="829">
                  <c:v>-8.6680478239048245E-2</c:v>
                </c:pt>
                <c:pt idx="830">
                  <c:v>-0.11923542666196604</c:v>
                </c:pt>
                <c:pt idx="831">
                  <c:v>-5.0472709234680675E-2</c:v>
                </c:pt>
                <c:pt idx="832">
                  <c:v>0.11115655938986777</c:v>
                </c:pt>
                <c:pt idx="833">
                  <c:v>-1.9647750490974586E-2</c:v>
                </c:pt>
                <c:pt idx="834">
                  <c:v>-4.729595041104178E-2</c:v>
                </c:pt>
                <c:pt idx="835">
                  <c:v>-5.7347946356665083E-2</c:v>
                </c:pt>
                <c:pt idx="836">
                  <c:v>-5.2544517035653118E-2</c:v>
                </c:pt>
                <c:pt idx="837">
                  <c:v>-5.3146986496740406E-2</c:v>
                </c:pt>
                <c:pt idx="838">
                  <c:v>0.14353442727308807</c:v>
                </c:pt>
                <c:pt idx="839">
                  <c:v>-1.9268656463859272E-2</c:v>
                </c:pt>
                <c:pt idx="840">
                  <c:v>-7.0934176934753415E-2</c:v>
                </c:pt>
                <c:pt idx="841">
                  <c:v>0.10520096306239417</c:v>
                </c:pt>
                <c:pt idx="842">
                  <c:v>-0.16147395737625692</c:v>
                </c:pt>
                <c:pt idx="843">
                  <c:v>-0.20437339399205526</c:v>
                </c:pt>
                <c:pt idx="844">
                  <c:v>-2.1332948450363924E-3</c:v>
                </c:pt>
                <c:pt idx="845">
                  <c:v>5.5548068064548671E-2</c:v>
                </c:pt>
                <c:pt idx="846">
                  <c:v>-0.20603718366379789</c:v>
                </c:pt>
                <c:pt idx="847">
                  <c:v>-1.5473811714959616E-2</c:v>
                </c:pt>
                <c:pt idx="848">
                  <c:v>-1.290937576722241E-2</c:v>
                </c:pt>
                <c:pt idx="849">
                  <c:v>-0.21239505914771595</c:v>
                </c:pt>
                <c:pt idx="850">
                  <c:v>-1.2937230208999773E-2</c:v>
                </c:pt>
                <c:pt idx="851">
                  <c:v>-0.29143580212526193</c:v>
                </c:pt>
                <c:pt idx="852">
                  <c:v>0.10458468717346805</c:v>
                </c:pt>
                <c:pt idx="853">
                  <c:v>-0.16642938549255676</c:v>
                </c:pt>
                <c:pt idx="854">
                  <c:v>-5.7845572019947196E-3</c:v>
                </c:pt>
                <c:pt idx="855">
                  <c:v>-0.32239449023998645</c:v>
                </c:pt>
                <c:pt idx="856">
                  <c:v>-2.7778362084906902E-2</c:v>
                </c:pt>
                <c:pt idx="857">
                  <c:v>0.32364788908318753</c:v>
                </c:pt>
                <c:pt idx="858">
                  <c:v>-8.5603921632015342E-2</c:v>
                </c:pt>
                <c:pt idx="859">
                  <c:v>-5.108708387534798E-2</c:v>
                </c:pt>
                <c:pt idx="860">
                  <c:v>5.2946127884102495E-2</c:v>
                </c:pt>
                <c:pt idx="861">
                  <c:v>-0.2026402476432819</c:v>
                </c:pt>
                <c:pt idx="862">
                  <c:v>-0.11728043639037808</c:v>
                </c:pt>
                <c:pt idx="863">
                  <c:v>9.6997841496380879E-3</c:v>
                </c:pt>
                <c:pt idx="864">
                  <c:v>9.3352185245192246E-2</c:v>
                </c:pt>
                <c:pt idx="865">
                  <c:v>-0.15348757677141839</c:v>
                </c:pt>
                <c:pt idx="866">
                  <c:v>1.8291786437121829E-2</c:v>
                </c:pt>
                <c:pt idx="867">
                  <c:v>-0.2779547804018479</c:v>
                </c:pt>
                <c:pt idx="868">
                  <c:v>-0.16639410290476914</c:v>
                </c:pt>
                <c:pt idx="869">
                  <c:v>-0.1696181043196221</c:v>
                </c:pt>
                <c:pt idx="870">
                  <c:v>0.17233948156931378</c:v>
                </c:pt>
                <c:pt idx="871">
                  <c:v>0.11127293162709428</c:v>
                </c:pt>
                <c:pt idx="872">
                  <c:v>-4.9926953467834087E-2</c:v>
                </c:pt>
                <c:pt idx="873">
                  <c:v>0.41921780909356299</c:v>
                </c:pt>
                <c:pt idx="874">
                  <c:v>-0.32314482383235477</c:v>
                </c:pt>
                <c:pt idx="875">
                  <c:v>0.1452174873399377</c:v>
                </c:pt>
                <c:pt idx="876">
                  <c:v>6.2291877388775362E-2</c:v>
                </c:pt>
                <c:pt idx="877">
                  <c:v>-1.2256172508986366E-2</c:v>
                </c:pt>
                <c:pt idx="878">
                  <c:v>-0.20411482210351334</c:v>
                </c:pt>
                <c:pt idx="879">
                  <c:v>3.6487164392192441E-2</c:v>
                </c:pt>
                <c:pt idx="880">
                  <c:v>0.56799771990879633</c:v>
                </c:pt>
                <c:pt idx="881">
                  <c:v>-6.7124573800464438E-2</c:v>
                </c:pt>
                <c:pt idx="882">
                  <c:v>0.64722483537158981</c:v>
                </c:pt>
                <c:pt idx="883">
                  <c:v>-0.34966716977927936</c:v>
                </c:pt>
                <c:pt idx="884">
                  <c:v>-0.14217680490371087</c:v>
                </c:pt>
                <c:pt idx="885">
                  <c:v>6.3013255029317483E-2</c:v>
                </c:pt>
                <c:pt idx="886">
                  <c:v>0.15731040243802985</c:v>
                </c:pt>
                <c:pt idx="887">
                  <c:v>-7.9194020600060269E-2</c:v>
                </c:pt>
                <c:pt idx="888">
                  <c:v>0.22764930565836619</c:v>
                </c:pt>
                <c:pt idx="889">
                  <c:v>4.4388144937404374E-2</c:v>
                </c:pt>
                <c:pt idx="890">
                  <c:v>-0.17877687857052782</c:v>
                </c:pt>
                <c:pt idx="891">
                  <c:v>3.8500225055052795E-2</c:v>
                </c:pt>
                <c:pt idx="892">
                  <c:v>-3.8165097977236481E-2</c:v>
                </c:pt>
                <c:pt idx="893">
                  <c:v>-2.2537829724334508E-2</c:v>
                </c:pt>
                <c:pt idx="894">
                  <c:v>-0.20309117395428478</c:v>
                </c:pt>
                <c:pt idx="895">
                  <c:v>-0.15845533684945001</c:v>
                </c:pt>
                <c:pt idx="896">
                  <c:v>6.6198420609991662E-2</c:v>
                </c:pt>
                <c:pt idx="897">
                  <c:v>0.71382517556709146</c:v>
                </c:pt>
                <c:pt idx="898">
                  <c:v>-0.22614611828338135</c:v>
                </c:pt>
                <c:pt idx="899">
                  <c:v>4.8666391665715281E-3</c:v>
                </c:pt>
                <c:pt idx="900">
                  <c:v>-0.33967106664290658</c:v>
                </c:pt>
                <c:pt idx="901">
                  <c:v>-1.8039910098410993E-3</c:v>
                </c:pt>
                <c:pt idx="902">
                  <c:v>-4.2251334522075266E-2</c:v>
                </c:pt>
                <c:pt idx="903">
                  <c:v>1.6652692839247616E-2</c:v>
                </c:pt>
                <c:pt idx="904">
                  <c:v>-5.3359346711518936E-2</c:v>
                </c:pt>
                <c:pt idx="905">
                  <c:v>-0.22081375828919597</c:v>
                </c:pt>
                <c:pt idx="906">
                  <c:v>-0.1317873811397626</c:v>
                </c:pt>
                <c:pt idx="907">
                  <c:v>-0.21341215707552919</c:v>
                </c:pt>
                <c:pt idx="908">
                  <c:v>-0.24474663792269394</c:v>
                </c:pt>
                <c:pt idx="909">
                  <c:v>-0.1543215555760008</c:v>
                </c:pt>
                <c:pt idx="910">
                  <c:v>-0.28390567629341573</c:v>
                </c:pt>
                <c:pt idx="911">
                  <c:v>-0.3247680668769426</c:v>
                </c:pt>
                <c:pt idx="912">
                  <c:v>-0.1931119301943553</c:v>
                </c:pt>
                <c:pt idx="913">
                  <c:v>-0.11672954074881299</c:v>
                </c:pt>
                <c:pt idx="914">
                  <c:v>4.9175906502846433E-3</c:v>
                </c:pt>
                <c:pt idx="915">
                  <c:v>0.32862552659397232</c:v>
                </c:pt>
                <c:pt idx="916">
                  <c:v>-0.36537142476609052</c:v>
                </c:pt>
                <c:pt idx="917">
                  <c:v>-0.12461691964440751</c:v>
                </c:pt>
                <c:pt idx="918">
                  <c:v>-0.25854572945802767</c:v>
                </c:pt>
                <c:pt idx="919">
                  <c:v>-0.12354954940049173</c:v>
                </c:pt>
                <c:pt idx="920">
                  <c:v>0.10183540875846608</c:v>
                </c:pt>
                <c:pt idx="921">
                  <c:v>0.34690591650996022</c:v>
                </c:pt>
                <c:pt idx="922">
                  <c:v>-9.7190798708231857E-2</c:v>
                </c:pt>
                <c:pt idx="923">
                  <c:v>6.6367584983380565E-2</c:v>
                </c:pt>
                <c:pt idx="924">
                  <c:v>-8.7962183121072152E-2</c:v>
                </c:pt>
                <c:pt idx="925">
                  <c:v>-0.40229575390625488</c:v>
                </c:pt>
                <c:pt idx="926">
                  <c:v>-0.17884967789566966</c:v>
                </c:pt>
                <c:pt idx="927">
                  <c:v>0.39416028823497895</c:v>
                </c:pt>
                <c:pt idx="928">
                  <c:v>0.16543206505041963</c:v>
                </c:pt>
                <c:pt idx="929">
                  <c:v>-8.3876910829534593E-2</c:v>
                </c:pt>
                <c:pt idx="930">
                  <c:v>-0.16360379119904392</c:v>
                </c:pt>
                <c:pt idx="931">
                  <c:v>3.5415713012263215E-3</c:v>
                </c:pt>
                <c:pt idx="932">
                  <c:v>3.8762814710050671E-2</c:v>
                </c:pt>
                <c:pt idx="933">
                  <c:v>0.11365571826566721</c:v>
                </c:pt>
                <c:pt idx="934">
                  <c:v>0.48584207460764467</c:v>
                </c:pt>
                <c:pt idx="935">
                  <c:v>0.19739607659971981</c:v>
                </c:pt>
                <c:pt idx="936">
                  <c:v>0.42636109312640724</c:v>
                </c:pt>
                <c:pt idx="937">
                  <c:v>0.19258782054723436</c:v>
                </c:pt>
                <c:pt idx="938">
                  <c:v>3.5341262547716773E-2</c:v>
                </c:pt>
                <c:pt idx="939">
                  <c:v>3.3137158916610961E-2</c:v>
                </c:pt>
                <c:pt idx="940">
                  <c:v>0.184255306118878</c:v>
                </c:pt>
                <c:pt idx="941">
                  <c:v>-0.11467044153131994</c:v>
                </c:pt>
                <c:pt idx="942">
                  <c:v>6.6674303989421493E-2</c:v>
                </c:pt>
                <c:pt idx="943">
                  <c:v>8.7766867512330371E-2</c:v>
                </c:pt>
                <c:pt idx="944">
                  <c:v>0.82091320542038426</c:v>
                </c:pt>
                <c:pt idx="945">
                  <c:v>-0.14232785806876003</c:v>
                </c:pt>
                <c:pt idx="946">
                  <c:v>8.9399371791019006E-2</c:v>
                </c:pt>
                <c:pt idx="947">
                  <c:v>0.20379350095226362</c:v>
                </c:pt>
                <c:pt idx="948">
                  <c:v>0.13430957274361102</c:v>
                </c:pt>
                <c:pt idx="949">
                  <c:v>-0.29653501430237877</c:v>
                </c:pt>
                <c:pt idx="950">
                  <c:v>-6.6370772944876116E-2</c:v>
                </c:pt>
                <c:pt idx="951">
                  <c:v>0.15395591865199285</c:v>
                </c:pt>
                <c:pt idx="952">
                  <c:v>-5.1901022253347091E-2</c:v>
                </c:pt>
                <c:pt idx="953">
                  <c:v>-0.27816953067690531</c:v>
                </c:pt>
                <c:pt idx="954">
                  <c:v>1.0926455581272634E-2</c:v>
                </c:pt>
                <c:pt idx="955">
                  <c:v>-1.2882249700433954E-2</c:v>
                </c:pt>
                <c:pt idx="956">
                  <c:v>0.2593698389958225</c:v>
                </c:pt>
                <c:pt idx="957">
                  <c:v>0.2802629357352866</c:v>
                </c:pt>
                <c:pt idx="958">
                  <c:v>-4.8955190830904924E-2</c:v>
                </c:pt>
                <c:pt idx="959">
                  <c:v>0.24809365597844044</c:v>
                </c:pt>
                <c:pt idx="960">
                  <c:v>-2.531464066575035E-2</c:v>
                </c:pt>
                <c:pt idx="961">
                  <c:v>-0.35785547827829145</c:v>
                </c:pt>
                <c:pt idx="962">
                  <c:v>8.3454684928714773E-2</c:v>
                </c:pt>
                <c:pt idx="963">
                  <c:v>9.2229112883425293E-2</c:v>
                </c:pt>
                <c:pt idx="964">
                  <c:v>-0.1182441965898868</c:v>
                </c:pt>
                <c:pt idx="965">
                  <c:v>-9.8153920362692826E-2</c:v>
                </c:pt>
                <c:pt idx="966">
                  <c:v>-8.618071468384228E-2</c:v>
                </c:pt>
                <c:pt idx="967">
                  <c:v>-0.19605364357603292</c:v>
                </c:pt>
                <c:pt idx="968">
                  <c:v>0.68173978560909632</c:v>
                </c:pt>
                <c:pt idx="969">
                  <c:v>-8.3738161181949461E-3</c:v>
                </c:pt>
                <c:pt idx="970">
                  <c:v>4.1702607909226627E-2</c:v>
                </c:pt>
                <c:pt idx="971">
                  <c:v>-1.9894268224819166E-2</c:v>
                </c:pt>
                <c:pt idx="972">
                  <c:v>-0.27186771399277232</c:v>
                </c:pt>
                <c:pt idx="973">
                  <c:v>-0.10371481910783494</c:v>
                </c:pt>
                <c:pt idx="974">
                  <c:v>3.8376426930438082E-3</c:v>
                </c:pt>
                <c:pt idx="975">
                  <c:v>-2.5845722251564163E-3</c:v>
                </c:pt>
                <c:pt idx="976">
                  <c:v>0.20610200364298734</c:v>
                </c:pt>
                <c:pt idx="977">
                  <c:v>-0.14365784199710607</c:v>
                </c:pt>
                <c:pt idx="978">
                  <c:v>-3.5428830161074454E-2</c:v>
                </c:pt>
                <c:pt idx="979">
                  <c:v>-2.9307351814258486E-2</c:v>
                </c:pt>
                <c:pt idx="980">
                  <c:v>5.1124860374197181E-2</c:v>
                </c:pt>
                <c:pt idx="981">
                  <c:v>3.8260845088263211E-2</c:v>
                </c:pt>
                <c:pt idx="982">
                  <c:v>0.13343207855973821</c:v>
                </c:pt>
                <c:pt idx="983">
                  <c:v>-0.22904875037236719</c:v>
                </c:pt>
                <c:pt idx="984">
                  <c:v>4.0550724275182616E-2</c:v>
                </c:pt>
                <c:pt idx="985">
                  <c:v>9.1493491093361495E-2</c:v>
                </c:pt>
                <c:pt idx="986">
                  <c:v>0.79489735879895551</c:v>
                </c:pt>
                <c:pt idx="987">
                  <c:v>-0.27909230312444561</c:v>
                </c:pt>
                <c:pt idx="988">
                  <c:v>0.22890025575447559</c:v>
                </c:pt>
                <c:pt idx="989">
                  <c:v>-6.1788113515729506E-2</c:v>
                </c:pt>
                <c:pt idx="990">
                  <c:v>-0.288870665053714</c:v>
                </c:pt>
                <c:pt idx="991">
                  <c:v>1.9006916577159642E-2</c:v>
                </c:pt>
                <c:pt idx="992">
                  <c:v>0.31813151293643599</c:v>
                </c:pt>
                <c:pt idx="993">
                  <c:v>-0.28755416901541564</c:v>
                </c:pt>
                <c:pt idx="994">
                  <c:v>-0.27894512329818122</c:v>
                </c:pt>
                <c:pt idx="995">
                  <c:v>-0.27927607337352994</c:v>
                </c:pt>
                <c:pt idx="996">
                  <c:v>-0.19621757686744282</c:v>
                </c:pt>
                <c:pt idx="997">
                  <c:v>0.13654646572095586</c:v>
                </c:pt>
                <c:pt idx="998">
                  <c:v>5.6466274768080908E-3</c:v>
                </c:pt>
                <c:pt idx="999">
                  <c:v>-4.5942687625167171E-2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61-0942-A47B-9DC541DA7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0918"/>
        <c:axId val="21614789"/>
      </c:scatterChart>
      <c:valAx>
        <c:axId val="732709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Discount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1614789"/>
        <c:crosses val="autoZero"/>
        <c:crossBetween val="midCat"/>
      </c:valAx>
      <c:valAx>
        <c:axId val="21614789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Net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327091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Analysis!$A$56:$A$59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Analysis!$C$56:$C$59</c:f>
              <c:numCache>
                <c:formatCode>\$#,##0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5-7243-B501-B819668F5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6006288"/>
        <c:axId val="40876217"/>
      </c:barChart>
      <c:catAx>
        <c:axId val="460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0876217"/>
        <c:crosses val="autoZero"/>
        <c:auto val="1"/>
        <c:lblAlgn val="ctr"/>
        <c:lblOffset val="100"/>
        <c:noMultiLvlLbl val="0"/>
      </c:catAx>
      <c:valAx>
        <c:axId val="4087621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6006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Analysis!$B$167:$B$179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Analysis!$E$167:$E$179</c:f>
              <c:numCache>
                <c:formatCode>\$#,##0</c:formatCode>
                <c:ptCount val="13"/>
                <c:pt idx="0">
                  <c:v>476092.3600000001</c:v>
                </c:pt>
                <c:pt idx="1">
                  <c:v>368919.35999999993</c:v>
                </c:pt>
                <c:pt idx="2">
                  <c:v>402638.77000000008</c:v>
                </c:pt>
                <c:pt idx="3">
                  <c:v>438992.61000000004</c:v>
                </c:pt>
                <c:pt idx="4">
                  <c:v>389078.75999999989</c:v>
                </c:pt>
                <c:pt idx="5">
                  <c:v>418458.34000000008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367837.60000000003</c:v>
                </c:pt>
                <c:pt idx="9">
                  <c:v>460378.78000000014</c:v>
                </c:pt>
                <c:pt idx="10">
                  <c:v>467482.89999999985</c:v>
                </c:pt>
                <c:pt idx="11">
                  <c:v>392643.57999999984</c:v>
                </c:pt>
                <c:pt idx="12">
                  <c:v>19328.010000000002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8-E649-B3EF-1FABF76DE52B}"/>
            </c:ext>
          </c:extLst>
        </c:ser>
        <c:ser>
          <c:idx val="1"/>
          <c:order val="1"/>
          <c:spPr>
            <a:ln w="219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Analysis!$B$167:$B$179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Analysis!$G$167:$G$179</c:f>
              <c:numCache>
                <c:formatCode>\$#,##0</c:formatCode>
                <c:ptCount val="13"/>
                <c:pt idx="2">
                  <c:v>415883.49666666664</c:v>
                </c:pt>
                <c:pt idx="3">
                  <c:v>403516.91333333333</c:v>
                </c:pt>
                <c:pt idx="4">
                  <c:v>410236.71333333338</c:v>
                </c:pt>
                <c:pt idx="5">
                  <c:v>415509.90333333332</c:v>
                </c:pt>
                <c:pt idx="6">
                  <c:v>393926.66</c:v>
                </c:pt>
                <c:pt idx="7">
                  <c:v>411957.5</c:v>
                </c:pt>
                <c:pt idx="8">
                  <c:v>395083.92</c:v>
                </c:pt>
                <c:pt idx="9">
                  <c:v>423795.88666666672</c:v>
                </c:pt>
                <c:pt idx="10">
                  <c:v>431899.76</c:v>
                </c:pt>
                <c:pt idx="11">
                  <c:v>440168.41999999993</c:v>
                </c:pt>
                <c:pt idx="12">
                  <c:v>293151.49666666659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8-E649-B3EF-1FABF76DE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464694"/>
        <c:axId val="69570960"/>
      </c:lineChart>
      <c:catAx>
        <c:axId val="11464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570960"/>
        <c:crosses val="autoZero"/>
        <c:auto val="1"/>
        <c:lblAlgn val="ctr"/>
        <c:lblOffset val="100"/>
        <c:noMultiLvlLbl val="0"/>
      </c:catAx>
      <c:valAx>
        <c:axId val="69570960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14646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498-5E48-B67A-2C27255181F6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498-5E48-B67A-2C27255181F6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498-5E48-B67A-2C27255181F6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498-5E48-B67A-2C27255181F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498-5E48-B67A-2C27255181F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498-5E48-B67A-2C27255181F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498-5E48-B67A-2C27255181F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498-5E48-B67A-2C2725518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Analysis!$A$66:$A$69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Analysis!$C$66:$C$69</c:f>
              <c:numCache>
                <c:formatCode>\$#,##0</c:formatCode>
                <c:ptCount val="4"/>
                <c:pt idx="0">
                  <c:v>1313474.3599999999</c:v>
                </c:pt>
                <c:pt idx="1">
                  <c:v>1243499.6400000006</c:v>
                </c:pt>
                <c:pt idx="2">
                  <c:v>1201773.5399999998</c:v>
                </c:pt>
                <c:pt idx="3">
                  <c:v>1260517.6900000002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98-5E48-B67A-2C2725518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Analysis!$A$76:$A$80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Analysis!$C$76:$C$80</c:f>
              <c:numCache>
                <c:formatCode>\$#,##0</c:formatCode>
                <c:ptCount val="5"/>
                <c:pt idx="0">
                  <c:v>965541.77000000048</c:v>
                </c:pt>
                <c:pt idx="1">
                  <c:v>1080990.6300000006</c:v>
                </c:pt>
                <c:pt idx="2">
                  <c:v>860811.48</c:v>
                </c:pt>
                <c:pt idx="3">
                  <c:v>1141737.3599999996</c:v>
                </c:pt>
                <c:pt idx="4">
                  <c:v>970183.99000000022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B-B64C-8EB1-402474A05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72592494"/>
        <c:axId val="29765641"/>
      </c:barChart>
      <c:catAx>
        <c:axId val="725924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9765641"/>
        <c:crosses val="autoZero"/>
        <c:auto val="1"/>
        <c:lblAlgn val="ctr"/>
        <c:lblOffset val="100"/>
        <c:noMultiLvlLbl val="0"/>
      </c:catAx>
      <c:valAx>
        <c:axId val="2976564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25924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Analysis!$A$130:$A$136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Analysis!$C$130:$C$136</c:f>
              <c:numCache>
                <c:formatCode>\$#,##0</c:formatCode>
                <c:ptCount val="7"/>
                <c:pt idx="0">
                  <c:v>688774.31</c:v>
                </c:pt>
                <c:pt idx="1">
                  <c:v>726626.50000000012</c:v>
                </c:pt>
                <c:pt idx="2">
                  <c:v>637904.69999999995</c:v>
                </c:pt>
                <c:pt idx="3">
                  <c:v>808000.17</c:v>
                </c:pt>
                <c:pt idx="4">
                  <c:v>785779.36</c:v>
                </c:pt>
                <c:pt idx="5">
                  <c:v>619988.06000000041</c:v>
                </c:pt>
                <c:pt idx="6">
                  <c:v>752192.13000000024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F-DB47-A229-5EF75058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98173501"/>
        <c:axId val="85024761"/>
      </c:barChart>
      <c:catAx>
        <c:axId val="98173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5024761"/>
        <c:crosses val="autoZero"/>
        <c:auto val="1"/>
        <c:lblAlgn val="ctr"/>
        <c:lblOffset val="100"/>
        <c:noMultiLvlLbl val="0"/>
      </c:catAx>
      <c:valAx>
        <c:axId val="850247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81735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Analysis!$A$112:$A$114</c:f>
              <c:strCache>
                <c:ptCount val="3"/>
                <c:pt idx="0">
                  <c:v>0-9%</c:v>
                </c:pt>
                <c:pt idx="1">
                  <c:v>10-19%</c:v>
                </c:pt>
                <c:pt idx="2">
                  <c:v>20%+</c:v>
                </c:pt>
              </c:strCache>
            </c:strRef>
          </c:cat>
          <c:val>
            <c:numRef>
              <c:f>Analysis!$H$112:$H$114</c:f>
              <c:numCache>
                <c:formatCode>0.0%</c:formatCode>
                <c:ptCount val="3"/>
                <c:pt idx="0">
                  <c:v>4.5253604795471782E-2</c:v>
                </c:pt>
                <c:pt idx="1">
                  <c:v>-5.7639641647233612E-2</c:v>
                </c:pt>
                <c:pt idx="2">
                  <c:v>-0.20766011539269338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0-814B-9226-36B291BDC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63035220"/>
        <c:axId val="88991501"/>
      </c:barChart>
      <c:catAx>
        <c:axId val="63035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8991501"/>
        <c:crosses val="autoZero"/>
        <c:auto val="1"/>
        <c:lblAlgn val="ctr"/>
        <c:lblOffset val="100"/>
        <c:noMultiLvlLbl val="0"/>
      </c:catAx>
      <c:valAx>
        <c:axId val="88991501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3035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9</xdr:col>
      <xdr:colOff>616680</xdr:colOff>
      <xdr:row>30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18</xdr:col>
      <xdr:colOff>616680</xdr:colOff>
      <xdr:row>30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740880</xdr:colOff>
      <xdr:row>46</xdr:row>
      <xdr:rowOff>114840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740520</xdr:colOff>
      <xdr:row>46</xdr:row>
      <xdr:rowOff>114840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33</xdr:row>
      <xdr:rowOff>0</xdr:rowOff>
    </xdr:from>
    <xdr:to>
      <xdr:col>18</xdr:col>
      <xdr:colOff>740880</xdr:colOff>
      <xdr:row>46</xdr:row>
      <xdr:rowOff>114840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6</xdr:col>
      <xdr:colOff>740880</xdr:colOff>
      <xdr:row>96</xdr:row>
      <xdr:rowOff>115200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83</xdr:row>
      <xdr:rowOff>0</xdr:rowOff>
    </xdr:from>
    <xdr:to>
      <xdr:col>12</xdr:col>
      <xdr:colOff>740520</xdr:colOff>
      <xdr:row>96</xdr:row>
      <xdr:rowOff>115200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83</xdr:row>
      <xdr:rowOff>0</xdr:rowOff>
    </xdr:from>
    <xdr:to>
      <xdr:col>18</xdr:col>
      <xdr:colOff>740880</xdr:colOff>
      <xdr:row>96</xdr:row>
      <xdr:rowOff>115200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131040</xdr:rowOff>
    </xdr:from>
    <xdr:to>
      <xdr:col>17</xdr:col>
      <xdr:colOff>255960</xdr:colOff>
      <xdr:row>18</xdr:row>
      <xdr:rowOff>142560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131040</xdr:rowOff>
    </xdr:from>
    <xdr:to>
      <xdr:col>17</xdr:col>
      <xdr:colOff>255960</xdr:colOff>
      <xdr:row>37</xdr:row>
      <xdr:rowOff>47520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59</xdr:row>
      <xdr:rowOff>130680</xdr:rowOff>
    </xdr:from>
    <xdr:to>
      <xdr:col>17</xdr:col>
      <xdr:colOff>255960</xdr:colOff>
      <xdr:row>75</xdr:row>
      <xdr:rowOff>142200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131040</xdr:rowOff>
    </xdr:from>
    <xdr:to>
      <xdr:col>9</xdr:col>
      <xdr:colOff>255960</xdr:colOff>
      <xdr:row>17</xdr:row>
      <xdr:rowOff>163440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131040</xdr:rowOff>
    </xdr:from>
    <xdr:to>
      <xdr:col>18</xdr:col>
      <xdr:colOff>256320</xdr:colOff>
      <xdr:row>17</xdr:row>
      <xdr:rowOff>163440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9</xdr:col>
      <xdr:colOff>255960</xdr:colOff>
      <xdr:row>34</xdr:row>
      <xdr:rowOff>163800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131040</xdr:rowOff>
    </xdr:from>
    <xdr:to>
      <xdr:col>18</xdr:col>
      <xdr:colOff>256320</xdr:colOff>
      <xdr:row>34</xdr:row>
      <xdr:rowOff>163800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130680</xdr:rowOff>
    </xdr:from>
    <xdr:to>
      <xdr:col>9</xdr:col>
      <xdr:colOff>255960</xdr:colOff>
      <xdr:row>51</xdr:row>
      <xdr:rowOff>163440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37</xdr:row>
      <xdr:rowOff>130680</xdr:rowOff>
    </xdr:from>
    <xdr:to>
      <xdr:col>18</xdr:col>
      <xdr:colOff>256320</xdr:colOff>
      <xdr:row>51</xdr:row>
      <xdr:rowOff>163440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0" xr:uid="{00000000-000A-0000-FFFF-FFFF01000000}">
  <cacheSource type="worksheet">
    <worksheetSource ref="A1:AL1001" sheet="Raw Data"/>
  </cacheSource>
  <cacheFields count="38">
    <cacheField name="Product_ID" numFmtId="0">
      <sharedItems containsSemiMixedTypes="0" containsString="0" containsNumber="1" containsInteger="1" minValue="1001" maxValue="1100" count="1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</sharedItems>
    </cacheField>
    <cacheField name="Sale_Date" numFmtId="0">
      <sharedItems containsSemiMixedTypes="0" containsNonDate="0" containsDate="1" containsString="0" minDate="2023-01-01T00:00:00" maxDate="2024-01-01T00:00:00" count="34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9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8T00:00:00"/>
        <d v="2023-03-09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4T00:00:00"/>
        <d v="2023-10-05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3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</sharedItems>
    </cacheField>
    <cacheField name="Sales_Rep" numFmtId="0">
      <sharedItems count="5">
        <s v="Alice"/>
        <s v="Bob"/>
        <s v="Charlie"/>
        <s v="David"/>
        <s v="Eve"/>
      </sharedItems>
    </cacheField>
    <cacheField name="Region" numFmtId="0">
      <sharedItems count="4">
        <s v="East"/>
        <s v="North"/>
        <s v="South"/>
        <s v="West"/>
      </sharedItems>
    </cacheField>
    <cacheField name="Sales_Amount" numFmtId="0">
      <sharedItems containsSemiMixedTypes="0" containsString="0" containsNumber="1" minValue="100.12" maxValue="9989.0400000000009" count="998">
        <n v="100.12"/>
        <n v="106.47"/>
        <n v="113.4"/>
        <n v="114.59"/>
        <n v="119.72"/>
        <n v="152.6"/>
        <n v="177.63"/>
        <n v="182.37"/>
        <n v="182.8"/>
        <n v="189.48"/>
        <n v="189.64"/>
        <n v="198.25"/>
        <n v="198.79"/>
        <n v="213.04"/>
        <n v="219.82"/>
        <n v="220.35"/>
        <n v="236.08"/>
        <n v="242.38"/>
        <n v="245.46"/>
        <n v="249.6"/>
        <n v="252.41"/>
        <n v="267.77999999999997"/>
        <n v="273.77"/>
        <n v="279.43"/>
        <n v="289.38"/>
        <n v="289.52999999999997"/>
        <n v="291.33999999999997"/>
        <n v="316.94"/>
        <n v="322.02"/>
        <n v="333.59"/>
        <n v="349.41"/>
        <n v="388.78"/>
        <n v="397.26"/>
        <n v="408.38"/>
        <n v="414.26"/>
        <n v="433.4"/>
        <n v="456.59"/>
        <n v="471.95"/>
        <n v="485.41"/>
        <n v="485.49"/>
        <n v="485.9"/>
        <n v="496.59"/>
        <n v="499.47"/>
        <n v="519.98"/>
        <n v="534.61"/>
        <n v="544.62"/>
        <n v="594.79"/>
        <n v="611.52"/>
        <n v="613.16999999999996"/>
        <n v="614.69000000000005"/>
        <n v="618.30999999999995"/>
        <n v="628.15"/>
        <n v="640.88"/>
        <n v="656.14"/>
        <n v="660.2"/>
        <n v="664.09"/>
        <n v="671.55"/>
        <n v="672.66"/>
        <n v="675.11"/>
        <n v="715.81"/>
        <n v="717.7"/>
        <n v="719.01"/>
        <n v="719.39"/>
        <n v="733.66"/>
        <n v="750.38"/>
        <n v="757.99"/>
        <n v="758.99"/>
        <n v="763.04"/>
        <n v="763.46"/>
        <n v="765.83"/>
        <n v="768.28"/>
        <n v="776.7"/>
        <n v="777.74"/>
        <n v="780.27"/>
        <n v="783.18"/>
        <n v="783.55"/>
        <n v="797.87"/>
        <n v="803.25"/>
        <n v="804.47"/>
        <n v="823.51"/>
        <n v="833.64"/>
        <n v="848.28"/>
        <n v="848.49"/>
        <n v="849.43"/>
        <n v="854.77"/>
        <n v="862.02"/>
        <n v="862.1"/>
        <n v="876.71"/>
        <n v="903.38"/>
        <n v="914.5"/>
        <n v="919.09"/>
        <n v="927.19"/>
        <n v="937.2"/>
        <n v="942.52"/>
        <n v="961.47"/>
        <n v="975.01"/>
        <n v="1004.78"/>
        <n v="1011.46"/>
        <n v="1016.99"/>
        <n v="1028.3900000000001"/>
        <n v="1039.69"/>
        <n v="1044.45"/>
        <n v="1099.68"/>
        <n v="1103.5899999999999"/>
        <n v="1107.8599999999999"/>
        <n v="1108.74"/>
        <n v="1114.9100000000001"/>
        <n v="1115.42"/>
        <n v="1142.92"/>
        <n v="1143.3900000000001"/>
        <n v="1148.47"/>
        <n v="1193.28"/>
        <n v="1203.97"/>
        <n v="1221.7"/>
        <n v="1242.4100000000001"/>
        <n v="1260.32"/>
        <n v="1263.76"/>
        <n v="1273.18"/>
        <n v="1290.05"/>
        <n v="1331.25"/>
        <n v="1342.95"/>
        <n v="1347.42"/>
        <n v="1365.88"/>
        <n v="1383.82"/>
        <n v="1387.8"/>
        <n v="1403.98"/>
        <n v="1429.32"/>
        <n v="1452.35"/>
        <n v="1457.77"/>
        <n v="1489.21"/>
        <n v="1493.95"/>
        <n v="1498.11"/>
        <n v="1514.14"/>
        <n v="1515.71"/>
        <n v="1526.38"/>
        <n v="1554.53"/>
        <n v="1554.93"/>
        <n v="1558.03"/>
        <n v="1558.3"/>
        <n v="1600.79"/>
        <n v="1605.28"/>
        <n v="1621.54"/>
        <n v="1629.47"/>
        <n v="1632.8"/>
        <n v="1633.76"/>
        <n v="1646.45"/>
        <n v="1649.12"/>
        <n v="1657"/>
        <n v="1678.97"/>
        <n v="1687.62"/>
        <n v="1688.58"/>
        <n v="1697.49"/>
        <n v="1700.55"/>
        <n v="1710.73"/>
        <n v="1714.05"/>
        <n v="1736.32"/>
        <n v="1740.91"/>
        <n v="1740.92"/>
        <n v="1756.48"/>
        <n v="1756.83"/>
        <n v="1758.16"/>
        <n v="1780.31"/>
        <n v="1781.82"/>
        <n v="1799.77"/>
        <n v="1833.72"/>
        <n v="1834.7"/>
        <n v="1837.37"/>
        <n v="1874.61"/>
        <n v="1874.63"/>
        <n v="1875.62"/>
        <n v="1875.71"/>
        <n v="1897.98"/>
        <n v="1910.09"/>
        <n v="1916.08"/>
        <n v="1934.18"/>
        <n v="1937.9"/>
        <n v="1942.75"/>
        <n v="1958.45"/>
        <n v="1960.41"/>
        <n v="1966.55"/>
        <n v="1982.07"/>
        <n v="1990.17"/>
        <n v="1996.77"/>
        <n v="2019.24"/>
        <n v="2030.25"/>
        <n v="2032.15"/>
        <n v="2032.88"/>
        <n v="2038.75"/>
        <n v="2044.55"/>
        <n v="2046.87"/>
        <n v="2049.56"/>
        <n v="2070.02"/>
        <n v="2072.23"/>
        <n v="2072.7800000000002"/>
        <n v="2082.79"/>
        <n v="2102.3200000000002"/>
        <n v="2106.06"/>
        <n v="2114.38"/>
        <n v="2122.73"/>
        <n v="2126.33"/>
        <n v="2132.8000000000002"/>
        <n v="2141.9"/>
        <n v="2150.0500000000002"/>
        <n v="2154.66"/>
        <n v="2167.94"/>
        <n v="2170.94"/>
        <n v="2184.02"/>
        <n v="2186.85"/>
        <n v="2191.1999999999998"/>
        <n v="2195.1999999999998"/>
        <n v="2198.7399999999998"/>
        <n v="2222.62"/>
        <n v="2227.64"/>
        <n v="2235.83"/>
        <n v="2254.91"/>
        <n v="2260.25"/>
        <n v="2265.23"/>
        <n v="2265.2800000000002"/>
        <n v="2273.58"/>
        <n v="2279.1"/>
        <n v="2282.9899999999998"/>
        <n v="2286.44"/>
        <n v="2298.5500000000002"/>
        <n v="2301.38"/>
        <n v="2320.5100000000002"/>
        <n v="2331.27"/>
        <n v="2338.64"/>
        <n v="2359.5300000000002"/>
        <n v="2363.9"/>
        <n v="2365.87"/>
        <n v="2370.7199999999998"/>
        <n v="2373.02"/>
        <n v="2375.2800000000002"/>
        <n v="2381.12"/>
        <n v="2396.98"/>
        <n v="2401.81"/>
        <n v="2418.61"/>
        <n v="2426.2399999999998"/>
        <n v="2457.65"/>
        <n v="2479.9499999999998"/>
        <n v="2490.8200000000002"/>
        <n v="2490.86"/>
        <n v="2491.21"/>
        <n v="2494.7399999999998"/>
        <n v="2495.5700000000002"/>
        <n v="2496.02"/>
        <n v="2509.63"/>
        <n v="2528.9899999999998"/>
        <n v="2541.38"/>
        <n v="2548.67"/>
        <n v="2550.84"/>
        <n v="2558.92"/>
        <n v="2559"/>
        <n v="2565.19"/>
        <n v="2571.7199999999998"/>
        <n v="2574.5700000000002"/>
        <n v="2579.63"/>
        <n v="2583.84"/>
        <n v="2584.91"/>
        <n v="2605.71"/>
        <n v="2607.4"/>
        <n v="2638.98"/>
        <n v="2661.25"/>
        <n v="2669.46"/>
        <n v="2669.81"/>
        <n v="2673.06"/>
        <n v="2676.34"/>
        <n v="2706.15"/>
        <n v="2714.21"/>
        <n v="2716.34"/>
        <n v="2719.89"/>
        <n v="2726.73"/>
        <n v="2729.27"/>
        <n v="2747.28"/>
        <n v="2749.17"/>
        <n v="2758.48"/>
        <n v="2758.77"/>
        <n v="2761.65"/>
        <n v="2768.17"/>
        <n v="2780.98"/>
        <n v="2782.33"/>
        <n v="2783.85"/>
        <n v="2792.27"/>
        <n v="2809.04"/>
        <n v="2813.31"/>
        <n v="2819.57"/>
        <n v="2825.35"/>
        <n v="2835.56"/>
        <n v="2842.42"/>
        <n v="2850.74"/>
        <n v="2855.85"/>
        <n v="2858.57"/>
        <n v="2896.48"/>
        <n v="2896.54"/>
        <n v="2896.71"/>
        <n v="2928.5"/>
        <n v="2929.01"/>
        <n v="2936.54"/>
        <n v="2945.36"/>
        <n v="2945.87"/>
        <n v="2947.56"/>
        <n v="2959.96"/>
        <n v="2962.96"/>
        <n v="2971.45"/>
        <n v="2975.99"/>
        <n v="2985.46"/>
        <n v="2994.59"/>
        <n v="3003.76"/>
        <n v="3023.48"/>
        <n v="3035.94"/>
        <n v="3043.18"/>
        <n v="3063.9"/>
        <n v="3068.03"/>
        <n v="3080.36"/>
        <n v="3093.95"/>
        <n v="3098.87"/>
        <n v="3099.02"/>
        <n v="3109.03"/>
        <n v="3111.57"/>
        <n v="3133.99"/>
        <n v="3137.09"/>
        <n v="3147.18"/>
        <n v="3166.9"/>
        <n v="3167.09"/>
        <n v="3187.45"/>
        <n v="3196.5"/>
        <n v="3197.78"/>
        <n v="3206.89"/>
        <n v="3207.37"/>
        <n v="3224.71"/>
        <n v="3279.51"/>
        <n v="3284.53"/>
        <n v="3297.97"/>
        <n v="3312.67"/>
        <n v="3320.38"/>
        <n v="3320.42"/>
        <n v="3329.91"/>
        <n v="3333.73"/>
        <n v="3334.75"/>
        <n v="3349.51"/>
        <n v="3382.49"/>
        <n v="3388.69"/>
        <n v="3391.32"/>
        <n v="3402.92"/>
        <n v="3407.09"/>
        <n v="3419.26"/>
        <n v="3422.54"/>
        <n v="3438.35"/>
        <n v="3439.72"/>
        <n v="3484.86"/>
        <n v="3492.19"/>
        <n v="3517.4"/>
        <n v="3518.89"/>
        <n v="3530.59"/>
        <n v="3546.15"/>
        <n v="3570.15"/>
        <n v="3577.07"/>
        <n v="3594.29"/>
        <n v="3595.2"/>
        <n v="3602.51"/>
        <n v="3607.29"/>
        <n v="3608.81"/>
        <n v="3613.75"/>
        <n v="3617.67"/>
        <n v="3633.17"/>
        <n v="3634.59"/>
        <n v="3635.5"/>
        <n v="3649.93"/>
        <n v="3668.23"/>
        <n v="3677.9"/>
        <n v="3720.24"/>
        <n v="3737.17"/>
        <n v="3741.08"/>
        <n v="3746.64"/>
        <n v="3747.64"/>
        <n v="3750.2"/>
        <n v="3755.88"/>
        <n v="3758.78"/>
        <n v="3761.15"/>
        <n v="3772.32"/>
        <n v="3774.02"/>
        <n v="3777.53"/>
        <n v="3780.07"/>
        <n v="3780.22"/>
        <n v="3784.52"/>
        <n v="3788.08"/>
        <n v="3793.91"/>
        <n v="3801.82"/>
        <n v="3808.03"/>
        <n v="3817.14"/>
        <n v="3853.03"/>
        <n v="3867.13"/>
        <n v="3889.71"/>
        <n v="3905.11"/>
        <n v="3917.42"/>
        <n v="3939.48"/>
        <n v="3942.84"/>
        <n v="3953.38"/>
        <n v="3955.11"/>
        <n v="3971.23"/>
        <n v="3979.41"/>
        <n v="3985.34"/>
        <n v="3988.03"/>
        <n v="3992.63"/>
        <n v="4011.8"/>
        <n v="4025.88"/>
        <n v="4036.36"/>
        <n v="4038.58"/>
        <n v="4040.25"/>
        <n v="4050.45"/>
        <n v="4078.68"/>
        <n v="4095.65"/>
        <n v="4102.47"/>
        <n v="4104.82"/>
        <n v="4127.37"/>
        <n v="4140.7"/>
        <n v="4153.18"/>
        <n v="4155.74"/>
        <n v="4170.8"/>
        <n v="4178.3900000000003"/>
        <n v="4195.0600000000004"/>
        <n v="4216.17"/>
        <n v="4223.3900000000003"/>
        <n v="4224"/>
        <n v="4241.51"/>
        <n v="4244.21"/>
        <n v="4250.79"/>
        <n v="4252.54"/>
        <n v="4284.03"/>
        <n v="4285.01"/>
        <n v="4291.0200000000004"/>
        <n v="4306.0200000000004"/>
        <n v="4309.76"/>
        <n v="4333.25"/>
        <n v="4344.1499999999996"/>
        <n v="4346.55"/>
        <n v="4376.99"/>
        <n v="4380.2299999999996"/>
        <n v="4384.0200000000004"/>
        <n v="4384.3900000000003"/>
        <n v="4384.88"/>
        <n v="4391.38"/>
        <n v="4392.47"/>
        <n v="4396.8100000000004"/>
        <n v="4400.59"/>
        <n v="4422.4799999999996"/>
        <n v="4426.26"/>
        <n v="4432.8500000000004"/>
        <n v="4448.18"/>
        <n v="4453.43"/>
        <n v="4478.71"/>
        <n v="4481.2"/>
        <n v="4494.8"/>
        <n v="4510.8599999999997"/>
        <n v="4531.97"/>
        <n v="4557.5200000000004"/>
        <n v="4567.8100000000004"/>
        <n v="4594.5"/>
        <n v="4598.0200000000004"/>
        <n v="4602.17"/>
        <n v="4606.2"/>
        <n v="4631.2299999999996"/>
        <n v="4634.16"/>
        <n v="4637.3999999999996"/>
        <n v="4638.47"/>
        <n v="4643.51"/>
        <n v="4649.88"/>
        <n v="4650.68"/>
        <n v="4670.99"/>
        <n v="4694.54"/>
        <n v="4695.96"/>
        <n v="4703.59"/>
        <n v="4716.3599999999997"/>
        <n v="4716.47"/>
        <n v="4733.88"/>
        <n v="4744.16"/>
        <n v="4752.88"/>
        <n v="4775.59"/>
        <n v="4790.72"/>
        <n v="4791.82"/>
        <n v="4795.12"/>
        <n v="4815.72"/>
        <n v="4821.3100000000004"/>
        <n v="4860.8100000000004"/>
        <n v="4882.09"/>
        <n v="4883.49"/>
        <n v="4891.49"/>
        <n v="4892.3599999999997"/>
        <n v="4896.93"/>
        <n v="4902.4399999999996"/>
        <n v="4912.6899999999996"/>
        <n v="4923.93"/>
        <n v="4929.5600000000004"/>
        <n v="4936.1099999999997"/>
        <n v="4944.99"/>
        <n v="4947.28"/>
        <n v="4961.8500000000004"/>
        <n v="4976.43"/>
        <n v="4979.3599999999997"/>
        <n v="5012.96"/>
        <n v="5025.6400000000003"/>
        <n v="5039.07"/>
        <n v="5051.12"/>
        <n v="5053.5600000000004"/>
        <n v="5053.97"/>
        <n v="5055.9799999999996"/>
        <n v="5076.05"/>
        <n v="5081.01"/>
        <n v="5097.4799999999996"/>
        <n v="5104.54"/>
        <n v="5105.78"/>
        <n v="5108.9799999999996"/>
        <n v="5118.51"/>
        <n v="5119.8900000000003"/>
        <n v="5127.2700000000004"/>
        <n v="5138.0200000000004"/>
        <n v="5187.16"/>
        <n v="5197.84"/>
        <n v="5198.5600000000004"/>
        <n v="5207.03"/>
        <n v="5215.3100000000004"/>
        <n v="5227.8100000000004"/>
        <n v="5228.28"/>
        <n v="5235.1400000000003"/>
        <n v="5238.42"/>
        <n v="5240.32"/>
        <n v="5260.83"/>
        <n v="5262.35"/>
        <n v="5262.45"/>
        <n v="5272.85"/>
        <n v="5324.01"/>
        <n v="5343.63"/>
        <n v="5356.28"/>
        <n v="5371.79"/>
        <n v="5401.98"/>
        <n v="5403"/>
        <n v="5405.76"/>
        <n v="5426.42"/>
        <n v="5429.49"/>
        <n v="5437.04"/>
        <n v="5454.96"/>
        <n v="5463.43"/>
        <n v="5488.11"/>
        <n v="5490.38"/>
        <n v="5490.52"/>
        <n v="5509.66"/>
        <n v="5511.11"/>
        <n v="5529.35"/>
        <n v="5533.7"/>
        <n v="5571.36"/>
        <n v="5571.8"/>
        <n v="5578.37"/>
        <n v="5612.17"/>
        <n v="5613.1"/>
        <n v="5617.64"/>
        <n v="5634.69"/>
        <n v="5650.72"/>
        <n v="5664.52"/>
        <n v="5677.61"/>
        <n v="5677.74"/>
        <n v="5684.33"/>
        <n v="5694.34"/>
        <n v="5705.19"/>
        <n v="5720.5"/>
        <n v="5738.44"/>
        <n v="5751.69"/>
        <n v="5755.48"/>
        <n v="5760.29"/>
        <n v="5768.81"/>
        <n v="5785.45"/>
        <n v="5809.35"/>
        <n v="5813.51"/>
        <n v="5825.15"/>
        <n v="5830.19"/>
        <n v="5835.21"/>
        <n v="5842.88"/>
        <n v="5848.92"/>
        <n v="5851.41"/>
        <n v="5858.06"/>
        <n v="5870.97"/>
        <n v="5873.59"/>
        <n v="5878.76"/>
        <n v="5879.35"/>
        <n v="5886.04"/>
        <n v="5910.67"/>
        <n v="5917.1"/>
        <n v="5935.59"/>
        <n v="5947.31"/>
        <n v="5952.19"/>
        <n v="5969.12"/>
        <n v="5972.27"/>
        <n v="5976.25"/>
        <n v="5991.8"/>
        <n v="5993.5"/>
        <n v="6008.83"/>
        <n v="6011.84"/>
        <n v="6016.92"/>
        <n v="6030.54"/>
        <n v="6033.09"/>
        <n v="6055.38"/>
        <n v="6076.01"/>
        <n v="6095.82"/>
        <n v="6106.64"/>
        <n v="6107.78"/>
        <n v="6116.75"/>
        <n v="6136"/>
        <n v="6139.07"/>
        <n v="6144.41"/>
        <n v="6171.59"/>
        <n v="6201.37"/>
        <n v="6206.16"/>
        <n v="6233.31"/>
        <n v="6242.69"/>
        <n v="6250.8"/>
        <n v="6261.2"/>
        <n v="6261.9"/>
        <n v="6264.04"/>
        <n v="6274.12"/>
        <n v="6275.06"/>
        <n v="6277.59"/>
        <n v="6283.68"/>
        <n v="6286.25"/>
        <n v="6310.56"/>
        <n v="6321.42"/>
        <n v="6339.45"/>
        <n v="6346.13"/>
        <n v="6351.05"/>
        <n v="6359.59"/>
        <n v="6360.67"/>
        <n v="6380.2"/>
        <n v="6395.81"/>
        <n v="6395.95"/>
        <n v="6400.11"/>
        <n v="6413.11"/>
        <n v="6442.09"/>
        <n v="6453.17"/>
        <n v="6482.98"/>
        <n v="6483.84"/>
        <n v="6499.94"/>
        <n v="6518.35"/>
        <n v="6520.2"/>
        <n v="6521.53"/>
        <n v="6528.29"/>
        <n v="6530.14"/>
        <n v="6551.23"/>
        <n v="6575.91"/>
        <n v="6577.99"/>
        <n v="6581.04"/>
        <n v="6586.22"/>
        <n v="6600.65"/>
        <n v="6601.62"/>
        <n v="6601.89"/>
        <n v="6607.8"/>
        <n v="6624.55"/>
        <n v="6629.16"/>
        <n v="6644.04"/>
        <n v="6650.51"/>
        <n v="6650.67"/>
        <n v="6653.49"/>
        <n v="6658.1"/>
        <n v="6664.17"/>
        <n v="6675.77"/>
        <n v="6697.98"/>
        <n v="6699.34"/>
        <n v="6701.79"/>
        <n v="6705.4"/>
        <n v="6710.83"/>
        <n v="6744.46"/>
        <n v="6747.64"/>
        <n v="6757.36"/>
        <n v="6759.76"/>
        <n v="6760.37"/>
        <n v="6761.43"/>
        <n v="6769.09"/>
        <n v="6772.54"/>
        <n v="6772.8"/>
        <n v="6773.89"/>
        <n v="6780.38"/>
        <n v="6792.66"/>
        <n v="6801.71"/>
        <n v="6807.56"/>
        <n v="6807.67"/>
        <n v="6810.35"/>
        <n v="6828.24"/>
        <n v="6833.11"/>
        <n v="6882.83"/>
        <n v="6885.89"/>
        <n v="6917.45"/>
        <n v="6939.75"/>
        <n v="6951.53"/>
        <n v="6954.35"/>
        <n v="6966.82"/>
        <n v="6970.1"/>
        <n v="6976.49"/>
        <n v="6976.95"/>
        <n v="6991.95"/>
        <n v="6994.66"/>
        <n v="7001.64"/>
        <n v="7002.37"/>
        <n v="7019.59"/>
        <n v="7026.43"/>
        <n v="7041.28"/>
        <n v="7041.58"/>
        <n v="7051.25"/>
        <n v="7066.63"/>
        <n v="7075.09"/>
        <n v="7078.22"/>
        <n v="7080.88"/>
        <n v="7084.06"/>
        <n v="7095.64"/>
        <n v="7103.23"/>
        <n v="7106.44"/>
        <n v="7116.78"/>
        <n v="7122.28"/>
        <n v="7146.06"/>
        <n v="7154.95"/>
        <n v="7160.75"/>
        <n v="7169.12"/>
        <n v="7171.83"/>
        <n v="7172.8"/>
        <n v="7179.49"/>
        <n v="7192.33"/>
        <n v="7211.48"/>
        <n v="7212.69"/>
        <n v="7215.52"/>
        <n v="7255.1"/>
        <n v="7262.09"/>
        <n v="7262.13"/>
        <n v="7277.56"/>
        <n v="7297.86"/>
        <n v="7315.73"/>
        <n v="7316.91"/>
        <n v="7320.51"/>
        <n v="7350.77"/>
        <n v="7353.72"/>
        <n v="7354.06"/>
        <n v="7370.99"/>
        <n v="7391.7"/>
        <n v="7400.52"/>
        <n v="7405.06"/>
        <n v="7405.38"/>
        <n v="7412.11"/>
        <n v="7413.36"/>
        <n v="7442.25"/>
        <n v="7444.77"/>
        <n v="7448.31"/>
        <n v="7454.53"/>
        <n v="7499.7"/>
        <n v="7507.02"/>
        <n v="7508.72"/>
        <n v="7509.01"/>
        <n v="7524.78"/>
        <n v="7527.63"/>
        <n v="7534.3"/>
        <n v="7542.3"/>
        <n v="7567.06"/>
        <n v="7567.22"/>
        <n v="7591.63"/>
        <n v="7597.37"/>
        <n v="7611.28"/>
        <n v="7611.88"/>
        <n v="7614.15"/>
        <n v="7617"/>
        <n v="7629.7"/>
        <n v="7632.43"/>
        <n v="7633.98"/>
        <n v="7646.8"/>
        <n v="7648.22"/>
        <n v="7667.1"/>
        <n v="7667.96"/>
        <n v="7678.91"/>
        <n v="7688.5"/>
        <n v="7698.92"/>
        <n v="7724.57"/>
        <n v="7734.12"/>
        <n v="7739.11"/>
        <n v="7750.81"/>
        <n v="7751.92"/>
        <n v="7754.1"/>
        <n v="7762.51"/>
        <n v="7792.79"/>
        <n v="7802.45"/>
        <n v="7813.12"/>
        <n v="7825.62"/>
        <n v="7825.72"/>
        <n v="7828.25"/>
        <n v="7835.09"/>
        <n v="7841.4"/>
        <n v="7853.66"/>
        <n v="7859.01"/>
        <n v="7859.22"/>
        <n v="7873.38"/>
        <n v="7883.44"/>
        <n v="7895.13"/>
        <n v="7896.74"/>
        <n v="7914"/>
        <n v="7936.43"/>
        <n v="7946.69"/>
        <n v="7948.31"/>
        <n v="7952.11"/>
        <n v="7979.67"/>
        <n v="7982.79"/>
        <n v="7987.15"/>
        <n v="7997.55"/>
        <n v="8003.1"/>
        <n v="8020.03"/>
        <n v="8046.14"/>
        <n v="8047.83"/>
        <n v="8049.72"/>
        <n v="8055.02"/>
        <n v="8057.67"/>
        <n v="8057.76"/>
        <n v="8063.7"/>
        <n v="8064.5"/>
        <n v="8070.39"/>
        <n v="8085.98"/>
        <n v="8086.27"/>
        <n v="8088.96"/>
        <n v="8090"/>
        <n v="8090.84"/>
        <n v="8109.33"/>
        <n v="8127.7"/>
        <n v="8130.13"/>
        <n v="8159.84"/>
        <n v="8167.9"/>
        <n v="8186.12"/>
        <n v="8188.04"/>
        <n v="8189.57"/>
        <n v="8231.74"/>
        <n v="8236.1299999999992"/>
        <n v="8239.58"/>
        <n v="8241.57"/>
        <n v="8247.5400000000009"/>
        <n v="8264.9599999999991"/>
        <n v="8271.6200000000008"/>
        <n v="8274.5400000000009"/>
        <n v="8292.31"/>
        <n v="8302.7000000000007"/>
        <n v="8345.02"/>
        <n v="8371.25"/>
        <n v="8374.68"/>
        <n v="8377.57"/>
        <n v="8387.48"/>
        <n v="8389.93"/>
        <n v="8395.2900000000009"/>
        <n v="8397.73"/>
        <n v="8398.48"/>
        <n v="8401.07"/>
        <n v="8406.07"/>
        <n v="8414.0400000000009"/>
        <n v="8417.07"/>
        <n v="8448.93"/>
        <n v="8452.1299999999992"/>
        <n v="8464.23"/>
        <n v="8466.7000000000007"/>
        <n v="8485.9"/>
        <n v="8489.14"/>
        <n v="8495.6200000000008"/>
        <n v="8499.41"/>
        <n v="8518.4500000000007"/>
        <n v="8540.2199999999993"/>
        <n v="8552.4699999999993"/>
        <n v="8564.24"/>
        <n v="8564.7999999999993"/>
        <n v="8579.7199999999993"/>
        <n v="8594.43"/>
        <n v="8601.77"/>
        <n v="8602.2900000000009"/>
        <n v="8611.9699999999993"/>
        <n v="8630.74"/>
        <n v="8635.81"/>
        <n v="8640.14"/>
        <n v="8643.67"/>
        <n v="8657.89"/>
        <n v="8660.1200000000008"/>
        <n v="8666.43"/>
        <n v="8674.35"/>
        <n v="8681.0300000000007"/>
        <n v="8718.2199999999993"/>
        <n v="8719.6200000000008"/>
        <n v="8727"/>
        <n v="8753.31"/>
        <n v="8771.24"/>
        <n v="8775.56"/>
        <n v="8785.77"/>
        <n v="8786.9500000000007"/>
        <n v="8803.94"/>
        <n v="8813.5499999999993"/>
        <n v="8821.6299999999992"/>
        <n v="8828.74"/>
        <n v="8837.34"/>
        <n v="8840.86"/>
        <n v="8841.64"/>
        <n v="8872.33"/>
        <n v="8892.3700000000008"/>
        <n v="8902.3700000000008"/>
        <n v="8906.24"/>
        <n v="8912.4"/>
        <n v="8913.1299999999992"/>
        <n v="8915.0499999999993"/>
        <n v="8919.4699999999993"/>
        <n v="8936.33"/>
        <n v="8951.5300000000007"/>
        <n v="8963.93"/>
        <n v="8967.18"/>
        <n v="8983.92"/>
        <n v="8989.4"/>
        <n v="8995.75"/>
        <n v="9019.51"/>
        <n v="9027.56"/>
        <n v="9029.2099999999991"/>
        <n v="9070.26"/>
        <n v="9087.6"/>
        <n v="9088.2000000000007"/>
        <n v="9091.4599999999991"/>
        <n v="9093.5"/>
        <n v="9146.51"/>
        <n v="9154.0300000000007"/>
        <n v="9183.11"/>
        <n v="9190.57"/>
        <n v="9192.42"/>
        <n v="9203.36"/>
        <n v="9215.32"/>
        <n v="9215.59"/>
        <n v="9217.85"/>
        <n v="9220.94"/>
        <n v="9269.32"/>
        <n v="9278.4"/>
        <n v="9278.5300000000007"/>
        <n v="9289"/>
        <n v="9298.48"/>
        <n v="9333.83"/>
        <n v="9335.9599999999991"/>
        <n v="9369.18"/>
        <n v="9385.86"/>
        <n v="9396.7800000000007"/>
        <n v="9413.77"/>
        <n v="9417.1"/>
        <n v="9422.75"/>
        <n v="9432.9699999999993"/>
        <n v="9442.65"/>
        <n v="9450.0400000000009"/>
        <n v="9452.89"/>
        <n v="9469.92"/>
        <n v="9472.66"/>
        <n v="9476.2000000000007"/>
        <n v="9509.5499999999993"/>
        <n v="9514.19"/>
        <n v="9519.09"/>
        <n v="9519.16"/>
        <n v="9519.2999999999993"/>
        <n v="9519.76"/>
        <n v="9527"/>
        <n v="9532.8700000000008"/>
        <n v="9580.0499999999993"/>
        <n v="9582.1200000000008"/>
        <n v="9583.5499999999993"/>
        <n v="9602.64"/>
        <n v="9605.34"/>
        <n v="9610.2099999999991"/>
        <n v="9613.11"/>
        <n v="9631.41"/>
        <n v="9638.64"/>
        <n v="9653.65"/>
        <n v="9671.77"/>
        <n v="9673.65"/>
        <n v="9680.84"/>
        <n v="9683.85"/>
        <n v="9688.52"/>
        <n v="9702.27"/>
        <n v="9705.5499999999993"/>
        <n v="9709.7000000000007"/>
        <n v="9733.4599999999991"/>
        <n v="9733.4699999999993"/>
        <n v="9736.49"/>
        <n v="9744.52"/>
        <n v="9755.9"/>
        <n v="9762.5400000000009"/>
        <n v="9772.3700000000008"/>
        <n v="9775.35"/>
        <n v="9787.4"/>
        <n v="9805.65"/>
        <n v="9813.07"/>
        <n v="9813.32"/>
        <n v="9813.66"/>
        <n v="9813.81"/>
        <n v="9850.1"/>
        <n v="9895.57"/>
        <n v="9907.7199999999993"/>
        <n v="9914.15"/>
        <n v="9933.2199999999993"/>
        <n v="9948.7099999999991"/>
        <n v="9956.75"/>
        <n v="9961.9599999999991"/>
        <n v="9972.11"/>
        <n v="9972.66"/>
        <n v="9976.52"/>
        <n v="9989.0400000000009"/>
      </sharedItems>
    </cacheField>
    <cacheField name="Quantity_Sold" numFmtId="0">
      <sharedItems containsSemiMixedTypes="0" containsString="0" containsNumber="1" containsInteger="1" minValue="1" maxValue="49" count="4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</sharedItems>
    </cacheField>
    <cacheField name="Product_Category" numFmtId="0">
      <sharedItems count="4">
        <s v="Clothing"/>
        <s v="Electronics"/>
        <s v="Food"/>
        <s v="Furniture"/>
      </sharedItems>
    </cacheField>
    <cacheField name="Unit_Cost" numFmtId="0">
      <sharedItems containsSemiMixedTypes="0" containsString="0" containsNumber="1" minValue="60.28" maxValue="4995.3" count="998">
        <n v="60.28"/>
        <n v="61.5"/>
        <n v="63.41"/>
        <n v="68.33"/>
        <n v="68.989999999999995"/>
        <n v="83.64"/>
        <n v="83.86"/>
        <n v="84.86"/>
        <n v="85.35"/>
        <n v="86.59"/>
        <n v="88.44"/>
        <n v="93.45"/>
        <n v="97.24"/>
        <n v="102.23"/>
        <n v="108.99"/>
        <n v="112.35"/>
        <n v="117.63"/>
        <n v="121.19"/>
        <n v="122.5"/>
        <n v="132.47"/>
        <n v="137.47"/>
        <n v="144.88"/>
        <n v="146.27000000000001"/>
        <n v="149.11000000000001"/>
        <n v="152.75"/>
        <n v="157.15"/>
        <n v="159.32"/>
        <n v="169"/>
        <n v="172.59"/>
        <n v="173.67"/>
        <n v="182.99"/>
        <n v="184.05"/>
        <n v="193.27"/>
        <n v="200.56"/>
        <n v="210.33"/>
        <n v="210.63"/>
        <n v="213.41"/>
        <n v="224.32"/>
        <n v="235.12"/>
        <n v="241.85"/>
        <n v="252.62"/>
        <n v="253.29"/>
        <n v="261.56"/>
        <n v="278.67"/>
        <n v="282.61"/>
        <n v="282.94"/>
        <n v="287.17"/>
        <n v="287.99"/>
        <n v="295.82"/>
        <n v="300.01"/>
        <n v="309.77999999999997"/>
        <n v="310.24"/>
        <n v="310.95999999999998"/>
        <n v="316.22000000000003"/>
        <n v="319.83"/>
        <n v="320.73"/>
        <n v="324.45"/>
        <n v="325.75"/>
        <n v="332.62"/>
        <n v="333.32"/>
        <n v="333.69"/>
        <n v="335.82"/>
        <n v="342.3"/>
        <n v="355.72"/>
        <n v="357.92"/>
        <n v="359.41"/>
        <n v="362.38"/>
        <n v="366.2"/>
        <n v="366.31"/>
        <n v="367.98"/>
        <n v="391.19"/>
        <n v="395.11"/>
        <n v="400.42"/>
        <n v="401.64"/>
        <n v="407.77"/>
        <n v="417.96"/>
        <n v="421.05"/>
        <n v="422.74"/>
        <n v="430.14"/>
        <n v="433.19"/>
        <n v="433.54"/>
        <n v="437.59"/>
        <n v="442.11"/>
        <n v="444.05"/>
        <n v="450.72"/>
        <n v="465.61"/>
        <n v="467.11"/>
        <n v="472.08"/>
        <n v="479.58"/>
        <n v="481"/>
        <n v="481.19"/>
        <n v="493.35"/>
        <n v="498.27"/>
        <n v="502.86"/>
        <n v="504.3"/>
        <n v="508.94"/>
        <n v="523.02"/>
        <n v="523.41999999999996"/>
        <n v="530.04"/>
        <n v="530.24"/>
        <n v="536.80999999999995"/>
        <n v="541.19000000000005"/>
        <n v="547.79"/>
        <n v="551.83000000000004"/>
        <n v="556.72"/>
        <n v="557.52"/>
        <n v="558.70000000000005"/>
        <n v="560.91999999999996"/>
        <n v="563.59"/>
        <n v="566.86"/>
        <n v="575.32000000000005"/>
        <n v="576.74"/>
        <n v="580.75"/>
        <n v="585.37"/>
        <n v="591.98"/>
        <n v="600.20000000000005"/>
        <n v="601.86"/>
        <n v="604.08000000000004"/>
        <n v="608.57000000000005"/>
        <n v="610.83000000000004"/>
        <n v="615.47"/>
        <n v="618.79"/>
        <n v="621.04999999999995"/>
        <n v="622.01"/>
        <n v="623.32000000000005"/>
        <n v="635.20000000000005"/>
        <n v="635.28"/>
        <n v="637.37"/>
        <n v="639.16"/>
        <n v="639.58000000000004"/>
        <n v="641.67999999999995"/>
        <n v="647.70000000000005"/>
        <n v="651"/>
        <n v="664.33"/>
        <n v="665.89"/>
        <n v="666.84"/>
        <n v="667"/>
        <n v="668.11"/>
        <n v="688.98"/>
        <n v="689.66"/>
        <n v="698.74"/>
        <n v="700.49"/>
        <n v="702.44"/>
        <n v="709.97"/>
        <n v="710.06"/>
        <n v="710.99"/>
        <n v="725.03"/>
        <n v="727.38"/>
        <n v="728.41"/>
        <n v="729.27"/>
        <n v="734.92"/>
        <n v="737.9"/>
        <n v="738.06"/>
        <n v="739.63"/>
        <n v="741.48"/>
        <n v="745.71"/>
        <n v="745.93"/>
        <n v="760.55"/>
        <n v="816.54"/>
        <n v="834.32"/>
        <n v="844.94"/>
        <n v="845.14"/>
        <n v="854.68"/>
        <n v="859.59"/>
        <n v="864.77"/>
        <n v="866.42"/>
        <n v="868.83"/>
        <n v="890.31"/>
        <n v="894.48"/>
        <n v="900.79"/>
        <n v="900.97"/>
        <n v="902.38"/>
        <n v="906.47"/>
        <n v="911.11"/>
        <n v="912.08"/>
        <n v="914.22"/>
        <n v="919.58"/>
        <n v="921.32"/>
        <n v="927.89"/>
        <n v="933.16"/>
        <n v="939.02"/>
        <n v="951.21"/>
        <n v="955.18"/>
        <n v="957.95"/>
        <n v="959.73"/>
        <n v="967.77"/>
        <n v="970.51"/>
        <n v="975.31"/>
        <n v="978.15"/>
        <n v="984.53"/>
        <n v="987.74"/>
        <n v="991.63"/>
        <n v="992.17"/>
        <n v="999.09"/>
        <n v="1000.18"/>
        <n v="1004.71"/>
        <n v="1006.14"/>
        <n v="1011.65"/>
        <n v="1023.5"/>
        <n v="1036.76"/>
        <n v="1046.26"/>
        <n v="1046.96"/>
        <n v="1047.25"/>
        <n v="1050.6400000000001"/>
        <n v="1054.1199999999999"/>
        <n v="1057.27"/>
        <n v="1067.83"/>
        <n v="1069.73"/>
        <n v="1074.6199999999999"/>
        <n v="1074.93"/>
        <n v="1080.1199999999999"/>
        <n v="1084.73"/>
        <n v="1088.99"/>
        <n v="1089.0899999999999"/>
        <n v="1100.81"/>
        <n v="1102.69"/>
        <n v="1105.05"/>
        <n v="1115.02"/>
        <n v="1122.07"/>
        <n v="1127.76"/>
        <n v="1127.8599999999999"/>
        <n v="1130.5999999999999"/>
        <n v="1134.67"/>
        <n v="1138.32"/>
        <n v="1139.45"/>
        <n v="1140.58"/>
        <n v="1140.6199999999999"/>
        <n v="1141.52"/>
        <n v="1142.53"/>
        <n v="1150.3"/>
        <n v="1153.9000000000001"/>
        <n v="1154.28"/>
        <n v="1156.8800000000001"/>
        <n v="1167.9100000000001"/>
        <n v="1170.07"/>
        <n v="1185.5"/>
        <n v="1190.08"/>
        <n v="1190.4100000000001"/>
        <n v="1195.22"/>
        <n v="1196.42"/>
        <n v="1200.4000000000001"/>
        <n v="1216.1600000000001"/>
        <n v="1218.18"/>
        <n v="1221.74"/>
        <n v="1222.1500000000001"/>
        <n v="1222.4000000000001"/>
        <n v="1233.1199999999999"/>
        <n v="1234.69"/>
        <n v="1236.25"/>
        <n v="1239.0899999999999"/>
        <n v="1247.0999999999999"/>
        <n v="1249.17"/>
        <n v="1250.5899999999999"/>
        <n v="1258.53"/>
        <n v="1265.48"/>
        <n v="1281.6500000000001"/>
        <n v="1291.82"/>
        <n v="1291.9100000000001"/>
        <n v="1296.44"/>
        <n v="1300.03"/>
        <n v="1304.23"/>
        <n v="1307.22"/>
        <n v="1308.58"/>
        <n v="1311.01"/>
        <n v="1312.71"/>
        <n v="1314"/>
        <n v="1319.24"/>
        <n v="1324.52"/>
        <n v="1330.62"/>
        <n v="1331.86"/>
        <n v="1339"/>
        <n v="1340.51"/>
        <n v="1341.55"/>
        <n v="1345.67"/>
        <n v="1349.3"/>
        <n v="1350.47"/>
        <n v="1362.15"/>
        <n v="1362.31"/>
        <n v="1362.78"/>
        <n v="1364.51"/>
        <n v="1370.52"/>
        <n v="1372.36"/>
        <n v="1375.57"/>
        <n v="1392.15"/>
        <n v="1393.58"/>
        <n v="1394.17"/>
        <n v="1394.74"/>
        <n v="1406.24"/>
        <n v="1406.9"/>
        <n v="1411.37"/>
        <n v="1412.09"/>
        <n v="1427.42"/>
        <n v="1434.2"/>
        <n v="1442.69"/>
        <n v="1447.45"/>
        <n v="1447.72"/>
        <n v="1454.8"/>
        <n v="1456.09"/>
        <n v="1458.77"/>
        <n v="1468.05"/>
        <n v="1475"/>
        <n v="1481.76"/>
        <n v="1485.72"/>
        <n v="1486.76"/>
        <n v="1493.88"/>
        <n v="1509.98"/>
        <n v="1512.34"/>
        <n v="1517.4"/>
        <n v="1517.86"/>
        <n v="1524.88"/>
        <n v="1525.13"/>
        <n v="1531.2"/>
        <n v="1532.8"/>
        <n v="1533.36"/>
        <n v="1534.7"/>
        <n v="1542.24"/>
        <n v="1543.91"/>
        <n v="1543.96"/>
        <n v="1551.25"/>
        <n v="1555.41"/>
        <n v="1563.78"/>
        <n v="1566.03"/>
        <n v="1569.31"/>
        <n v="1581.59"/>
        <n v="1582.86"/>
        <n v="1586.02"/>
        <n v="1588.04"/>
        <n v="1591.34"/>
        <n v="1595.35"/>
        <n v="1604.52"/>
        <n v="1612.82"/>
        <n v="1612.93"/>
        <n v="1614.19"/>
        <n v="1615.26"/>
        <n v="1621.07"/>
        <n v="1623.63"/>
        <n v="1645.51"/>
        <n v="1648.8"/>
        <n v="1655.43"/>
        <n v="1656.82"/>
        <n v="1662.83"/>
        <n v="1675.51"/>
        <n v="1676.42"/>
        <n v="1679.69"/>
        <n v="1701.62"/>
        <n v="1702.82"/>
        <n v="1711.63"/>
        <n v="1712.43"/>
        <n v="1719.47"/>
        <n v="1723.01"/>
        <n v="1724.24"/>
        <n v="1727.12"/>
        <n v="1727.78"/>
        <n v="1729.14"/>
        <n v="1741.66"/>
        <n v="1742.24"/>
        <n v="1747.05"/>
        <n v="1748.11"/>
        <n v="1749.34"/>
        <n v="1754.32"/>
        <n v="1762"/>
        <n v="1763.67"/>
        <n v="1768.6"/>
        <n v="1771.52"/>
        <n v="1780.14"/>
        <n v="1783.48"/>
        <n v="1786.35"/>
        <n v="1791.83"/>
        <n v="1792.05"/>
        <n v="1812.66"/>
        <n v="1820.89"/>
        <n v="1821.91"/>
        <n v="1825.37"/>
        <n v="1830.61"/>
        <n v="1833.95"/>
        <n v="1861.2"/>
        <n v="1878.3"/>
        <n v="1896.35"/>
        <n v="1910.47"/>
        <n v="1921.07"/>
        <n v="1922.21"/>
        <n v="1933.39"/>
        <n v="1935.41"/>
        <n v="1941.56"/>
        <n v="1945.27"/>
        <n v="1958.49"/>
        <n v="1964.15"/>
        <n v="1967.96"/>
        <n v="1969.09"/>
        <n v="1969.78"/>
        <n v="1974.4"/>
        <n v="1991.72"/>
        <n v="1994.9"/>
        <n v="1996.64"/>
        <n v="2000.75"/>
        <n v="2007.32"/>
        <n v="2009.1"/>
        <n v="2013.12"/>
        <n v="2014.11"/>
        <n v="2016.49"/>
        <n v="2019.9"/>
        <n v="2025.67"/>
        <n v="2035.68"/>
        <n v="2037.41"/>
        <n v="2038.4"/>
        <n v="2041.42"/>
        <n v="2041.75"/>
        <n v="2045"/>
        <n v="2051"/>
        <n v="2055.2800000000002"/>
        <n v="2055.4899999999998"/>
        <n v="2069.0500000000002"/>
        <n v="2069.08"/>
        <n v="2085.46"/>
        <n v="2091.21"/>
        <n v="2094.88"/>
        <n v="2097.84"/>
        <n v="2101.3200000000002"/>
        <n v="2116.09"/>
        <n v="2120.54"/>
        <n v="2120.81"/>
        <n v="2124.7199999999998"/>
        <n v="2146.2399999999998"/>
        <n v="2152.6799999999998"/>
        <n v="2153.52"/>
        <n v="2158.69"/>
        <n v="2162.9499999999998"/>
        <n v="2171.79"/>
        <n v="2172.38"/>
        <n v="2182.75"/>
        <n v="2183.37"/>
        <n v="2184.4899999999998"/>
        <n v="2188.35"/>
        <n v="2188.4499999999998"/>
        <n v="2189.54"/>
        <n v="2206.58"/>
        <n v="2211.9499999999998"/>
        <n v="2221.31"/>
        <n v="2228.35"/>
        <n v="2231.66"/>
        <n v="2242.0100000000002"/>
        <n v="2245.64"/>
        <n v="2246.67"/>
        <n v="2248.71"/>
        <n v="2249.7600000000002"/>
        <n v="2250.91"/>
        <n v="2251.9499999999998"/>
        <n v="2254.11"/>
        <n v="2254.9899999999998"/>
        <n v="2257.48"/>
        <n v="2258.44"/>
        <n v="2258.54"/>
        <n v="2263.65"/>
        <n v="2265.38"/>
        <n v="2269.3200000000002"/>
        <n v="2273.88"/>
        <n v="2273.91"/>
        <n v="2278.04"/>
        <n v="2278.67"/>
        <n v="2278.87"/>
        <n v="2278.9"/>
        <n v="2289.2199999999998"/>
        <n v="2296.9299999999998"/>
        <n v="2302.62"/>
        <n v="2310.8200000000002"/>
        <n v="2311.25"/>
        <n v="2312.4499999999998"/>
        <n v="2315"/>
        <n v="2315.83"/>
        <n v="2316.13"/>
        <n v="2316.92"/>
        <n v="2344.9299999999998"/>
        <n v="2346.8000000000002"/>
        <n v="2347.81"/>
        <n v="2357.9499999999998"/>
        <n v="2361.0500000000002"/>
        <n v="2361.7399999999998"/>
        <n v="2371.85"/>
        <n v="2382.98"/>
        <n v="2387.52"/>
        <n v="2387.63"/>
        <n v="2388.9499999999998"/>
        <n v="2396.6799999999998"/>
        <n v="2403.16"/>
        <n v="2403.54"/>
        <n v="2407.8000000000002"/>
        <n v="2408.81"/>
        <n v="2414.8200000000002"/>
        <n v="2416.89"/>
        <n v="2427.46"/>
        <n v="2437.2600000000002"/>
        <n v="2440.11"/>
        <n v="2443.5700000000002"/>
        <n v="2443.69"/>
        <n v="2449.21"/>
        <n v="2461.6999999999998"/>
        <n v="2462.5500000000002"/>
        <n v="2462.66"/>
        <n v="2466.1799999999998"/>
        <n v="2468.29"/>
        <n v="2471.67"/>
        <n v="2471.73"/>
        <n v="2485.86"/>
        <n v="2487.19"/>
        <n v="2492.36"/>
        <n v="2495.1999999999998"/>
        <n v="2505.41"/>
        <n v="2511.2800000000002"/>
        <n v="2511.41"/>
        <n v="2520.9699999999998"/>
        <n v="2521.0300000000002"/>
        <n v="2522.7600000000002"/>
        <n v="2530.15"/>
        <n v="2534.94"/>
        <n v="2537.1999999999998"/>
        <n v="2538.61"/>
        <n v="2543.2600000000002"/>
        <n v="2543.36"/>
        <n v="2551.56"/>
        <n v="2558.09"/>
        <n v="2559.65"/>
        <n v="2564.35"/>
        <n v="2565.3000000000002"/>
        <n v="2570.2199999999998"/>
        <n v="2572.8000000000002"/>
        <n v="2577.08"/>
        <n v="2579.31"/>
        <n v="2588.54"/>
        <n v="2588.67"/>
        <n v="2590.29"/>
        <n v="2590.64"/>
        <n v="2593.64"/>
        <n v="2594.08"/>
        <n v="2594.42"/>
        <n v="2594.71"/>
        <n v="2595.42"/>
        <n v="2596.7199999999998"/>
        <n v="2598.1799999999998"/>
        <n v="2600.7600000000002"/>
        <n v="2602.6"/>
        <n v="2607.31"/>
        <n v="2610.19"/>
        <n v="2610.6"/>
        <n v="2614.48"/>
        <n v="2615.48"/>
        <n v="2628.38"/>
        <n v="2631.68"/>
        <n v="2632.58"/>
        <n v="2636.36"/>
        <n v="2644.77"/>
        <n v="2650.95"/>
        <n v="2654.11"/>
        <n v="2658.9"/>
        <n v="2678.99"/>
        <n v="2680.22"/>
        <n v="2680.82"/>
        <n v="2684.5"/>
        <n v="2687.49"/>
        <n v="2693.99"/>
        <n v="2701.39"/>
        <n v="2703.97"/>
        <n v="2709.84"/>
        <n v="2719"/>
        <n v="2729.75"/>
        <n v="2735.74"/>
        <n v="2742.67"/>
        <n v="2745.75"/>
        <n v="2747.66"/>
        <n v="2750.18"/>
        <n v="2751.06"/>
        <n v="2757.06"/>
        <n v="2759.16"/>
        <n v="2759.26"/>
        <n v="2760.21"/>
        <n v="2774.24"/>
        <n v="2782.08"/>
        <n v="2790.11"/>
        <n v="2792.2"/>
        <n v="2799.71"/>
        <n v="2831.23"/>
        <n v="2831.58"/>
        <n v="2843.76"/>
        <n v="2844.97"/>
        <n v="2863.74"/>
        <n v="2866.47"/>
        <n v="2868.02"/>
        <n v="2872.4"/>
        <n v="2873.53"/>
        <n v="2882.25"/>
        <n v="2885.16"/>
        <n v="2888.49"/>
        <n v="2890.95"/>
        <n v="2894.18"/>
        <n v="2900.14"/>
        <n v="2907.22"/>
        <n v="2915.88"/>
        <n v="2919"/>
        <n v="2927.02"/>
        <n v="2928.74"/>
        <n v="2933.54"/>
        <n v="2934.3"/>
        <n v="2936.48"/>
        <n v="2937.94"/>
        <n v="2940.4"/>
        <n v="2945.92"/>
        <n v="2947.22"/>
        <n v="2953.23"/>
        <n v="2958.75"/>
        <n v="2962.41"/>
        <n v="2981.5"/>
        <n v="2983.85"/>
        <n v="2985.63"/>
        <n v="3002.35"/>
        <n v="3016.9"/>
        <n v="3018.01"/>
        <n v="3026.85"/>
        <n v="3031.17"/>
        <n v="3034.32"/>
        <n v="3048.48"/>
        <n v="3049.33"/>
        <n v="3067.05"/>
        <n v="3070.47"/>
        <n v="3085.1"/>
        <n v="3087.73"/>
        <n v="3089.96"/>
        <n v="3094.57"/>
        <n v="3102.73"/>
        <n v="3105.24"/>
        <n v="3110.54"/>
        <n v="3114.88"/>
        <n v="3115.06"/>
        <n v="3117.75"/>
        <n v="3120.19"/>
        <n v="3124.48"/>
        <n v="3124.87"/>
        <n v="3125.07"/>
        <n v="3126.52"/>
        <n v="3136.42"/>
        <n v="3139.36"/>
        <n v="3139.99"/>
        <n v="3144.82"/>
        <n v="3146.12"/>
        <n v="3155.97"/>
        <n v="3160.61"/>
        <n v="3161.09"/>
        <n v="3161.4"/>
        <n v="3162.92"/>
        <n v="3169.37"/>
        <n v="3173.69"/>
        <n v="3177.81"/>
        <n v="3184.65"/>
        <n v="3191.05"/>
        <n v="3196.38"/>
        <n v="3197.76"/>
        <n v="3219.88"/>
        <n v="3223.07"/>
        <n v="3233.37"/>
        <n v="3240.2"/>
        <n v="3271.62"/>
        <n v="3279.76"/>
        <n v="3285.25"/>
        <n v="3286.24"/>
        <n v="3288.39"/>
        <n v="3289.01"/>
        <n v="3290.89"/>
        <n v="3305.94"/>
        <n v="3316.97"/>
        <n v="3318.92"/>
        <n v="3325.43"/>
        <n v="3325.96"/>
        <n v="3333.64"/>
        <n v="3335.53"/>
        <n v="3350.32"/>
        <n v="3351.33"/>
        <n v="3356.62"/>
        <n v="3365.28"/>
        <n v="3373.46"/>
        <n v="3374.72"/>
        <n v="3380.14"/>
        <n v="3380.52"/>
        <n v="3386.49"/>
        <n v="3401.87"/>
        <n v="3410.49"/>
        <n v="3414.54"/>
        <n v="3417.9"/>
        <n v="3418.78"/>
        <n v="3419.33"/>
        <n v="3420.72"/>
        <n v="3434.75"/>
        <n v="3435.68"/>
        <n v="3441.61"/>
        <n v="3443.98"/>
        <n v="3450.36"/>
        <n v="3451.59"/>
        <n v="3457.28"/>
        <n v="3459.61"/>
        <n v="3461.15"/>
        <n v="3462.61"/>
        <n v="3466.11"/>
        <n v="3472.51"/>
        <n v="3484.62"/>
        <n v="3489.85"/>
        <n v="3494.19"/>
        <n v="3496.15"/>
        <n v="3497.98"/>
        <n v="3512.69"/>
        <n v="3513"/>
        <n v="3519.29"/>
        <n v="3519.63"/>
        <n v="3536.46"/>
        <n v="3542.18"/>
        <n v="3542.8"/>
        <n v="3544.48"/>
        <n v="3549.43"/>
        <n v="3551.76"/>
        <n v="3559.56"/>
        <n v="3570.24"/>
        <n v="3573.3"/>
        <n v="3577.69"/>
        <n v="3578.77"/>
        <n v="3586.58"/>
        <n v="3587.74"/>
        <n v="3591.05"/>
        <n v="3591.14"/>
        <n v="3592.32"/>
        <n v="3592.89"/>
        <n v="3597.2"/>
        <n v="3600.95"/>
        <n v="3604.93"/>
        <n v="3609.42"/>
        <n v="3610.21"/>
        <n v="3617.59"/>
        <n v="3619.61"/>
        <n v="3624.97"/>
        <n v="3625.94"/>
        <n v="3637.25"/>
        <n v="3639.3"/>
        <n v="3640.17"/>
        <n v="3648.04"/>
        <n v="3650.89"/>
        <n v="3653.66"/>
        <n v="3657.91"/>
        <n v="3663.51"/>
        <n v="3681.53"/>
        <n v="3685.03"/>
        <n v="3686.81"/>
        <n v="3697.29"/>
        <n v="3702.51"/>
        <n v="3703.93"/>
        <n v="3706.78"/>
        <n v="3712.35"/>
        <n v="3717.3"/>
        <n v="3724.38"/>
        <n v="3730"/>
        <n v="3736.88"/>
        <n v="3741.3"/>
        <n v="3743.59"/>
        <n v="3745.69"/>
        <n v="3749.12"/>
        <n v="3752.68"/>
        <n v="3756.06"/>
        <n v="3760.25"/>
        <n v="3762.27"/>
        <n v="3763.26"/>
        <n v="3764.14"/>
        <n v="3765.46"/>
        <n v="3771.27"/>
        <n v="3771.38"/>
        <n v="3777.94"/>
        <n v="3780.91"/>
        <n v="3784.96"/>
        <n v="3796.79"/>
        <n v="3808.23"/>
        <n v="3808.59"/>
        <n v="3813.62"/>
        <n v="3816.39"/>
        <n v="3831.09"/>
        <n v="3835.64"/>
        <n v="3841.05"/>
        <n v="3850.99"/>
        <n v="3851.45"/>
        <n v="3861.61"/>
        <n v="3883.38"/>
        <n v="3884.13"/>
        <n v="3895.62"/>
        <n v="3899.7"/>
        <n v="3907.86"/>
        <n v="3925.85"/>
        <n v="3932.14"/>
        <n v="3936.69"/>
        <n v="3942.34"/>
        <n v="3951.59"/>
        <n v="3955.19"/>
        <n v="3955.66"/>
        <n v="3956.03"/>
        <n v="3966.86"/>
        <n v="3967.25"/>
        <n v="3969.86"/>
        <n v="3970.08"/>
        <n v="3970.37"/>
        <n v="3975.99"/>
        <n v="3981.2"/>
        <n v="3988.52"/>
        <n v="3991.69"/>
        <n v="3993.39"/>
        <n v="3997.1"/>
        <n v="4020.09"/>
        <n v="4024.76"/>
        <n v="4035.33"/>
        <n v="4037.21"/>
        <n v="4037.73"/>
        <n v="4043.53"/>
        <n v="4052.42"/>
        <n v="4055.51"/>
        <n v="4067.28"/>
        <n v="4071.01"/>
        <n v="4074.66"/>
        <n v="4075.08"/>
        <n v="4083.23"/>
        <n v="4089.66"/>
        <n v="4093.61"/>
        <n v="4094.68"/>
        <n v="4095.1"/>
        <n v="4100.62"/>
        <n v="4110.6000000000004"/>
        <n v="4111.7"/>
        <n v="4111.93"/>
        <n v="4114.66"/>
        <n v="4117.13"/>
        <n v="4117.67"/>
        <n v="4122.38"/>
        <n v="4127.05"/>
        <n v="4127.54"/>
        <n v="4132.79"/>
        <n v="4133.92"/>
        <n v="4138.41"/>
        <n v="4146.99"/>
        <n v="4148.4799999999996"/>
        <n v="4154.3"/>
        <n v="4155.46"/>
        <n v="4157.62"/>
        <n v="4171.83"/>
        <n v="4173.04"/>
        <n v="4173.5200000000004"/>
        <n v="4190.26"/>
        <n v="4190.28"/>
        <n v="4190.83"/>
        <n v="4195.38"/>
        <n v="4200.08"/>
        <n v="4201.1099999999997"/>
        <n v="4205.29"/>
        <n v="4208.09"/>
        <n v="4218.43"/>
        <n v="4231.75"/>
        <n v="4232.6099999999997"/>
        <n v="4232.8100000000004"/>
        <n v="4236.05"/>
        <n v="4243.9799999999996"/>
        <n v="4248.5"/>
        <n v="4252.17"/>
        <n v="4257.24"/>
        <n v="4260"/>
        <n v="4262.21"/>
        <n v="4264.46"/>
        <n v="4266.3599999999997"/>
        <n v="4266.6400000000003"/>
        <n v="4268.45"/>
        <n v="4271.99"/>
        <n v="4275.59"/>
        <n v="4284.9799999999996"/>
        <n v="4287.21"/>
        <n v="4291.33"/>
        <n v="4291.97"/>
        <n v="4292.63"/>
        <n v="4298.12"/>
        <n v="4298.74"/>
        <n v="4310.3100000000004"/>
        <n v="4310.95"/>
        <n v="4317.95"/>
        <n v="4319.32"/>
        <n v="4325.0200000000004"/>
        <n v="4330.03"/>
        <n v="4334.58"/>
        <n v="4337.6099999999997"/>
        <n v="4337.82"/>
        <n v="4337.8500000000004"/>
        <n v="4342.53"/>
        <n v="4349.34"/>
        <n v="4349.3599999999997"/>
        <n v="4353.29"/>
        <n v="4354.6000000000004"/>
        <n v="4354.92"/>
        <n v="4364.3500000000004"/>
        <n v="4368.97"/>
        <n v="4369.5"/>
        <n v="4376.37"/>
        <n v="4384.6400000000003"/>
        <n v="4389.24"/>
        <n v="4394.58"/>
        <n v="4398.16"/>
        <n v="4399.8"/>
        <n v="4402.66"/>
        <n v="4418.95"/>
        <n v="4429.8"/>
        <n v="4440.8599999999997"/>
        <n v="4450.6099999999997"/>
        <n v="4456.67"/>
        <n v="4457.68"/>
        <n v="4470.91"/>
        <n v="4472.3500000000004"/>
        <n v="4480.63"/>
        <n v="4483.8500000000004"/>
        <n v="4495.82"/>
        <n v="4496.8599999999997"/>
        <n v="4502.09"/>
        <n v="4503.7299999999996"/>
        <n v="4535.38"/>
        <n v="4535.8599999999997"/>
        <n v="4548.88"/>
        <n v="4553.2299999999996"/>
        <n v="4557.79"/>
        <n v="4562.58"/>
        <n v="4567.3900000000003"/>
        <n v="4573.6899999999996"/>
        <n v="4590.24"/>
        <n v="4596.68"/>
        <n v="4609.66"/>
        <n v="4622.1400000000003"/>
        <n v="4624.16"/>
        <n v="4625.33"/>
        <n v="4632.8500000000004"/>
        <n v="4635.2299999999996"/>
        <n v="4643.67"/>
        <n v="4646.55"/>
        <n v="4651.7700000000004"/>
        <n v="4658.4399999999996"/>
        <n v="4660.82"/>
        <n v="4665.12"/>
        <n v="4668.1400000000003"/>
        <n v="4673.1899999999996"/>
        <n v="4680.3500000000004"/>
        <n v="4682.34"/>
        <n v="4686.79"/>
        <n v="4691.32"/>
        <n v="4691.42"/>
        <n v="4692.24"/>
        <n v="4696.6400000000003"/>
        <n v="4697.4399999999996"/>
        <n v="4705.46"/>
        <n v="4714.74"/>
        <n v="4721.7"/>
        <n v="4723.83"/>
        <n v="4729.59"/>
        <n v="4737.0600000000004"/>
        <n v="4739.13"/>
        <n v="4741.59"/>
        <n v="4745.18"/>
        <n v="4754.0200000000004"/>
        <n v="4756.55"/>
        <n v="4762.87"/>
        <n v="4763.1099999999997"/>
        <n v="4764.96"/>
        <n v="4766.53"/>
        <n v="4771.99"/>
        <n v="4772.03"/>
        <n v="4775.04"/>
        <n v="4781.42"/>
        <n v="4809"/>
        <n v="4812.41"/>
        <n v="4834.47"/>
        <n v="4840.33"/>
        <n v="4848.9799999999996"/>
        <n v="4849.6000000000004"/>
        <n v="4865.33"/>
        <n v="4867.6400000000003"/>
        <n v="4881.63"/>
        <n v="4885.9799999999996"/>
        <n v="4900.03"/>
        <n v="4904.93"/>
        <n v="4906.17"/>
        <n v="4906.8500000000004"/>
        <n v="4916.17"/>
        <n v="4920.34"/>
        <n v="4920.46"/>
        <n v="4929.55"/>
        <n v="4929.7299999999996"/>
        <n v="4933.1099999999997"/>
        <n v="4934.1000000000004"/>
        <n v="4943.03"/>
        <n v="4965.07"/>
        <n v="4966.66"/>
        <n v="4974.1400000000003"/>
        <n v="4977.78"/>
        <n v="4984.21"/>
        <n v="4987.71"/>
        <n v="4991.09"/>
        <n v="4991.68"/>
        <n v="4995.3"/>
      </sharedItems>
    </cacheField>
    <cacheField name="Unit_Price" numFmtId="0">
      <sharedItems containsSemiMixedTypes="0" containsString="0" containsNumber="1" minValue="167.12" maxValue="5442.15" count="1000">
        <n v="167.12"/>
        <n v="175.29"/>
        <n v="181.62"/>
        <n v="211.18"/>
        <n v="219.08"/>
        <n v="234.63"/>
        <n v="258.92"/>
        <n v="260.73"/>
        <n v="267.22000000000003"/>
        <n v="297.69"/>
        <n v="303.36"/>
        <n v="314.93"/>
        <n v="316.39"/>
        <n v="336.37"/>
        <n v="338.94"/>
        <n v="350.38"/>
        <n v="351.6"/>
        <n v="360.54"/>
        <n v="371.4"/>
        <n v="381.92"/>
        <n v="385.83"/>
        <n v="390.89"/>
        <n v="404.69"/>
        <n v="423.13"/>
        <n v="429.29"/>
        <n v="436.53"/>
        <n v="438.27"/>
        <n v="445.48"/>
        <n v="446.11"/>
        <n v="451.81"/>
        <n v="457.84"/>
        <n v="461.3"/>
        <n v="471.75"/>
        <n v="477.67"/>
        <n v="477.68"/>
        <n v="487.03"/>
        <n v="487.65"/>
        <n v="488.23"/>
        <n v="492.68"/>
        <n v="498.31"/>
        <n v="498.46"/>
        <n v="503.36"/>
        <n v="517.17999999999995"/>
        <n v="526.14"/>
        <n v="528.49"/>
        <n v="531.02"/>
        <n v="533.58000000000004"/>
        <n v="540.38"/>
        <n v="548.25"/>
        <n v="552.29"/>
        <n v="557.69000000000005"/>
        <n v="565.62"/>
        <n v="569.63"/>
        <n v="576.44000000000005"/>
        <n v="584.44000000000005"/>
        <n v="586.17999999999995"/>
        <n v="595.20000000000005"/>
        <n v="612.46"/>
        <n v="613.09"/>
        <n v="624.71"/>
        <n v="632.44000000000005"/>
        <n v="634.16"/>
        <n v="641.09"/>
        <n v="641.17999999999995"/>
        <n v="648.29"/>
        <n v="657.44"/>
        <n v="665.07"/>
        <n v="666.64"/>
        <n v="675.54"/>
        <n v="675.91"/>
        <n v="676.66"/>
        <n v="677.5"/>
        <n v="678.04"/>
        <n v="682.24"/>
        <n v="683.78"/>
        <n v="684.67"/>
        <n v="685.1"/>
        <n v="686.25"/>
        <n v="687.6"/>
        <n v="692.71"/>
        <n v="693.4"/>
        <n v="700.25"/>
        <n v="715.06"/>
        <n v="715.84"/>
        <n v="718.72"/>
        <n v="732.69"/>
        <n v="733"/>
        <n v="735.95"/>
        <n v="737.49"/>
        <n v="742"/>
        <n v="746.28"/>
        <n v="752.24"/>
        <n v="753.81"/>
        <n v="757.26"/>
        <n v="759.32"/>
        <n v="764.54"/>
        <n v="768.06"/>
        <n v="779.33"/>
        <n v="792.21"/>
        <n v="799.04"/>
        <n v="799.27"/>
        <n v="800.6"/>
        <n v="802.43"/>
        <n v="803.49"/>
        <n v="803.71"/>
        <n v="803.87"/>
        <n v="806.14"/>
        <n v="808.69"/>
        <n v="812.91"/>
        <n v="814.14"/>
        <n v="817.36"/>
        <n v="818.14"/>
        <n v="820.37"/>
        <n v="822.39"/>
        <n v="828.95"/>
        <n v="831.13"/>
        <n v="838.97"/>
        <n v="839.92"/>
        <n v="842.46"/>
        <n v="851.35"/>
        <n v="853.66"/>
        <n v="856.91"/>
        <n v="860.95"/>
        <n v="863.03"/>
        <n v="863.81"/>
        <n v="865.76"/>
        <n v="876.46"/>
        <n v="878.09"/>
        <n v="878.43"/>
        <n v="882.28"/>
        <n v="884.51"/>
        <n v="902.26"/>
        <n v="907.63"/>
        <n v="909.88"/>
        <n v="914.77"/>
        <n v="918.17"/>
        <n v="934.04"/>
        <n v="938.04"/>
        <n v="944.79"/>
        <n v="956.16"/>
        <n v="958.76"/>
        <n v="970.49"/>
        <n v="971.57"/>
        <n v="987.41"/>
        <n v="991.21"/>
        <n v="993.24"/>
        <n v="999.18"/>
        <n v="1001.77"/>
        <n v="1004.08"/>
        <n v="1004.7"/>
        <n v="1023.64"/>
        <n v="1024.31"/>
        <n v="1029.71"/>
        <n v="1032.22"/>
        <n v="1040.21"/>
        <n v="1043.45"/>
        <n v="1059.82"/>
        <n v="1065.55"/>
        <n v="1067.53"/>
        <n v="1067.6600000000001"/>
        <n v="1072.82"/>
        <n v="1075.8900000000001"/>
        <n v="1084.28"/>
        <n v="1086.8900000000001"/>
        <n v="1094.92"/>
        <n v="1095.45"/>
        <n v="1098.97"/>
        <n v="1103.03"/>
        <n v="1106.51"/>
        <n v="1107.45"/>
        <n v="1111.4100000000001"/>
        <n v="1115.24"/>
        <n v="1126.52"/>
        <n v="1128.9100000000001"/>
        <n v="1137.44"/>
        <n v="1138.49"/>
        <n v="1143.02"/>
        <n v="1150.28"/>
        <n v="1159.06"/>
        <n v="1164.4100000000001"/>
        <n v="1167.33"/>
        <n v="1170.1600000000001"/>
        <n v="1174.48"/>
        <n v="1175.22"/>
        <n v="1176.17"/>
        <n v="1177.75"/>
        <n v="1180.04"/>
        <n v="1182"/>
        <n v="1189.22"/>
        <n v="1189.3499999999999"/>
        <n v="1191.9000000000001"/>
        <n v="1200.96"/>
        <n v="1201.3900000000001"/>
        <n v="1214.56"/>
        <n v="1225.6400000000001"/>
        <n v="1236.0999999999999"/>
        <n v="1258.3"/>
        <n v="1258.6300000000001"/>
        <n v="1263.49"/>
        <n v="1265.6600000000001"/>
        <n v="1266.25"/>
        <n v="1271.45"/>
        <n v="1271.99"/>
        <n v="1273.98"/>
        <n v="1283.04"/>
        <n v="1284.3599999999999"/>
        <n v="1286.92"/>
        <n v="1292.94"/>
        <n v="1295.3699999999999"/>
        <n v="1306.02"/>
        <n v="1308.44"/>
        <n v="1320.06"/>
        <n v="1320.32"/>
        <n v="1321.18"/>
        <n v="1329.26"/>
        <n v="1330.84"/>
        <n v="1336.37"/>
        <n v="1352.11"/>
        <n v="1355.44"/>
        <n v="1366.62"/>
        <n v="1367.76"/>
        <n v="1382.43"/>
        <n v="1384.3"/>
        <n v="1389.35"/>
        <n v="1399.09"/>
        <n v="1408.4"/>
        <n v="1414.88"/>
        <n v="1420.9"/>
        <n v="1424.17"/>
        <n v="1427.21"/>
        <n v="1429.44"/>
        <n v="1430.45"/>
        <n v="1437.12"/>
        <n v="1438.76"/>
        <n v="1441.88"/>
        <n v="1444.97"/>
        <n v="1448.54"/>
        <n v="1454.41"/>
        <n v="1454.68"/>
        <n v="1462.19"/>
        <n v="1464.71"/>
        <n v="1466.18"/>
        <n v="1475.29"/>
        <n v="1482.58"/>
        <n v="1482.88"/>
        <n v="1485.34"/>
        <n v="1485.75"/>
        <n v="1486.29"/>
        <n v="1492.48"/>
        <n v="1505.44"/>
        <n v="1510.3"/>
        <n v="1510.43"/>
        <n v="1511.26"/>
        <n v="1514.61"/>
        <n v="1515.49"/>
        <n v="1528.15"/>
        <n v="1528.4"/>
        <n v="1528.59"/>
        <n v="1533.09"/>
        <n v="1535.57"/>
        <n v="1538.79"/>
        <n v="1543.38"/>
        <n v="1543.69"/>
        <n v="1545"/>
        <n v="1545.02"/>
        <n v="1547.26"/>
        <n v="1547.35"/>
        <n v="1550.19"/>
        <n v="1558.87"/>
        <n v="1566.36"/>
        <n v="1567.78"/>
        <n v="1567.92"/>
        <n v="1575.59"/>
        <n v="1576.34"/>
        <n v="1576.69"/>
        <n v="1582.89"/>
        <n v="1586.29"/>
        <n v="1596.65"/>
        <n v="1608.76"/>
        <n v="1609.94"/>
        <n v="1611.92"/>
        <n v="1619.69"/>
        <n v="1624.89"/>
        <n v="1625.71"/>
        <n v="1636.14"/>
        <n v="1647.25"/>
        <n v="1649.74"/>
        <n v="1668.95"/>
        <n v="1669.95"/>
        <n v="1670.36"/>
        <n v="1674.97"/>
        <n v="1675.35"/>
        <n v="1687.5"/>
        <n v="1687.83"/>
        <n v="1697.19"/>
        <n v="1703.02"/>
        <n v="1703.64"/>
        <n v="1705.71"/>
        <n v="1709.71"/>
        <n v="1710.95"/>
        <n v="1715.83"/>
        <n v="1717.97"/>
        <n v="1727.15"/>
        <n v="1729.71"/>
        <n v="1729.81"/>
        <n v="1739.45"/>
        <n v="1745.52"/>
        <n v="1750.38"/>
        <n v="1751.24"/>
        <n v="1756.34"/>
        <n v="1758.98"/>
        <n v="1763.69"/>
        <n v="1781.09"/>
        <n v="1792.83"/>
        <n v="1798.02"/>
        <n v="1805.56"/>
        <n v="1814.63"/>
        <n v="1829.16"/>
        <n v="1830.27"/>
        <n v="1830.76"/>
        <n v="1832.6"/>
        <n v="1838.21"/>
        <n v="1840.77"/>
        <n v="1844.07"/>
        <n v="1844.8"/>
        <n v="1848.69"/>
        <n v="1856.4"/>
        <n v="1862.61"/>
        <n v="1862.88"/>
        <n v="1865.83"/>
        <n v="1868.32"/>
        <n v="1870.88"/>
        <n v="1871.22"/>
        <n v="1875.75"/>
        <n v="1882.57"/>
        <n v="1882.79"/>
        <n v="1891.02"/>
        <n v="1906.64"/>
        <n v="1931.56"/>
        <n v="1935.25"/>
        <n v="1935.29"/>
        <n v="1939.04"/>
        <n v="1942.55"/>
        <n v="1948.46"/>
        <n v="1951.24"/>
        <n v="1955.56"/>
        <n v="1964.15"/>
        <n v="1972.62"/>
        <n v="1980.06"/>
        <n v="1982.92"/>
        <n v="1983.82"/>
        <n v="1984.34"/>
        <n v="1993.4"/>
        <n v="1994.01"/>
        <n v="2001.08"/>
        <n v="2002.95"/>
        <n v="2027.74"/>
        <n v="2034.15"/>
        <n v="2036.2"/>
        <n v="2043.82"/>
        <n v="2044.04"/>
        <n v="2045.53"/>
        <n v="2047.13"/>
        <n v="2056.35"/>
        <n v="2066.5"/>
        <n v="2070.52"/>
        <n v="2073.3200000000002"/>
        <n v="2073.88"/>
        <n v="2074.25"/>
        <n v="2075.35"/>
        <n v="2079.64"/>
        <n v="2081.5500000000002"/>
        <n v="2082.52"/>
        <n v="2087.4499999999998"/>
        <n v="2091.23"/>
        <n v="2116.7399999999998"/>
        <n v="2121.5500000000002"/>
        <n v="2147.14"/>
        <n v="2147.8000000000002"/>
        <n v="2152.1999999999998"/>
        <n v="2168.91"/>
        <n v="2169.86"/>
        <n v="2173.4699999999998"/>
        <n v="2180.83"/>
        <n v="2185.42"/>
        <n v="2186.42"/>
        <n v="2188.66"/>
        <n v="2191.19"/>
        <n v="2193.2199999999998"/>
        <n v="2196.3000000000002"/>
        <n v="2197.42"/>
        <n v="2202.87"/>
        <n v="2211.17"/>
        <n v="2217.5100000000002"/>
        <n v="2217.8000000000002"/>
        <n v="2220.9"/>
        <n v="2238.65"/>
        <n v="2241.96"/>
        <n v="2246.2399999999998"/>
        <n v="2254.84"/>
        <n v="2255.0500000000002"/>
        <n v="2257.92"/>
        <n v="2259.5"/>
        <n v="2260.81"/>
        <n v="2263.36"/>
        <n v="2270.9899999999998"/>
        <n v="2282.23"/>
        <n v="2289.27"/>
        <n v="2291.17"/>
        <n v="2299.37"/>
        <n v="2303.6999999999998"/>
        <n v="2305.44"/>
        <n v="2307.64"/>
        <n v="2309.4299999999998"/>
        <n v="2319.62"/>
        <n v="2321.87"/>
        <n v="2329.37"/>
        <n v="2333.19"/>
        <n v="2338.66"/>
        <n v="2341.4699999999998"/>
        <n v="2363.9"/>
        <n v="2365.35"/>
        <n v="2367.11"/>
        <n v="2382.23"/>
        <n v="2384.38"/>
        <n v="2385.48"/>
        <n v="2394.1999999999998"/>
        <n v="2406.58"/>
        <n v="2426.9899999999998"/>
        <n v="2429.9299999999998"/>
        <n v="2437.6999999999998"/>
        <n v="2438.9699999999998"/>
        <n v="2439.4899999999998"/>
        <n v="2440.63"/>
        <n v="2441.46"/>
        <n v="2441.79"/>
        <n v="2449.64"/>
        <n v="2453.35"/>
        <n v="2457.29"/>
        <n v="2462.34"/>
        <n v="2462.63"/>
        <n v="2467.2800000000002"/>
        <n v="2472.98"/>
        <n v="2475.56"/>
        <n v="2475.9299999999998"/>
        <n v="2476.8000000000002"/>
        <n v="2482.34"/>
        <n v="2483.87"/>
        <n v="2486.14"/>
        <n v="2490.4699999999998"/>
        <n v="2494.48"/>
        <n v="2502.7600000000002"/>
        <n v="2504.0300000000002"/>
        <n v="2504.6"/>
        <n v="2512.84"/>
        <n v="2517.6"/>
        <n v="2519.0700000000002"/>
        <n v="2521.4499999999998"/>
        <n v="2521.77"/>
        <n v="2525.27"/>
        <n v="2527"/>
        <n v="2529.02"/>
        <n v="2532.87"/>
        <n v="2533.04"/>
        <n v="2540.42"/>
        <n v="2558.6799999999998"/>
        <n v="2558.9499999999998"/>
        <n v="2568.13"/>
        <n v="2568.73"/>
        <n v="2578.8000000000002"/>
        <n v="2581"/>
        <n v="2584.35"/>
        <n v="2596.61"/>
        <n v="2597.67"/>
        <n v="2598.4"/>
        <n v="2598.58"/>
        <n v="2600.9299999999998"/>
        <n v="2604.06"/>
        <n v="2605.36"/>
        <n v="2610.84"/>
        <n v="2611.94"/>
        <n v="2616.19"/>
        <n v="2617"/>
        <n v="2624.09"/>
        <n v="2626.02"/>
        <n v="2626.32"/>
        <n v="2626.9"/>
        <n v="2637.91"/>
        <n v="2638.96"/>
        <n v="2644.54"/>
        <n v="2646.53"/>
        <n v="2654.65"/>
        <n v="2658.06"/>
        <n v="2661.54"/>
        <n v="2668.02"/>
        <n v="2682.34"/>
        <n v="2682.53"/>
        <n v="2684.83"/>
        <n v="2693.33"/>
        <n v="2696.02"/>
        <n v="2696.78"/>
        <n v="2707.11"/>
        <n v="2707.25"/>
        <n v="2709.4"/>
        <n v="2714.12"/>
        <n v="2714.71"/>
        <n v="2715.05"/>
        <n v="2723.13"/>
        <n v="2738.68"/>
        <n v="2740.93"/>
        <n v="2742.97"/>
        <n v="2743.09"/>
        <n v="2747.81"/>
        <n v="2755.56"/>
        <n v="2760.6"/>
        <n v="2765.79"/>
        <n v="2766.05"/>
        <n v="2766.51"/>
        <n v="2769.52"/>
        <n v="2771.02"/>
        <n v="2774.86"/>
        <n v="2778.4"/>
        <n v="2790.1"/>
        <n v="2796.88"/>
        <n v="2836.94"/>
        <n v="2838.27"/>
        <n v="2839.73"/>
        <n v="2840.14"/>
        <n v="2841.68"/>
        <n v="2847.76"/>
        <n v="2848.4"/>
        <n v="2850.56"/>
        <n v="2860.42"/>
        <n v="2864.45"/>
        <n v="2867.36"/>
        <n v="2869.6"/>
        <n v="2872.8"/>
        <n v="2879.24"/>
        <n v="2882.85"/>
        <n v="2889.67"/>
        <n v="2904.06"/>
        <n v="2908.09"/>
        <n v="2910.51"/>
        <n v="2913.78"/>
        <n v="2925.86"/>
        <n v="2926.68"/>
        <n v="2929.32"/>
        <n v="2929.45"/>
        <n v="2937.57"/>
        <n v="2943.31"/>
        <n v="2953.91"/>
        <n v="2955.51"/>
        <n v="2958.55"/>
        <n v="2961.56"/>
        <n v="2971.75"/>
        <n v="2976.01"/>
        <n v="2977.52"/>
        <n v="2979.64"/>
        <n v="2994.74"/>
        <n v="3001.56"/>
        <n v="3007.47"/>
        <n v="3007.53"/>
        <n v="3013.49"/>
        <n v="3023.97"/>
        <n v="3027.01"/>
        <n v="3027.74"/>
        <n v="3027.92"/>
        <n v="3036.18"/>
        <n v="3040.73"/>
        <n v="3042.73"/>
        <n v="3045.94"/>
        <n v="3049.04"/>
        <n v="3054.79"/>
        <n v="3062.22"/>
        <n v="3069.94"/>
        <n v="3074.59"/>
        <n v="3080.61"/>
        <n v="3081.04"/>
        <n v="3081.5"/>
        <n v="3083.06"/>
        <n v="3096.64"/>
        <n v="3104.43"/>
        <n v="3108.3"/>
        <n v="3125.01"/>
        <n v="3133.55"/>
        <n v="3145.27"/>
        <n v="3146.6"/>
        <n v="3152.28"/>
        <n v="3159.88"/>
        <n v="3163.7"/>
        <n v="3177.64"/>
        <n v="3181.23"/>
        <n v="3183.58"/>
        <n v="3185.81"/>
        <n v="3186.15"/>
        <n v="3192.37"/>
        <n v="3192.99"/>
        <n v="3193.25"/>
        <n v="3193.76"/>
        <n v="3193.92"/>
        <n v="3198.49"/>
        <n v="3198.54"/>
        <n v="3200.75"/>
        <n v="3202.68"/>
        <n v="3204.01"/>
        <n v="3206.98"/>
        <n v="3209.22"/>
        <n v="3215"/>
        <n v="3216.42"/>
        <n v="3218.9"/>
        <n v="3219.58"/>
        <n v="3222.65"/>
        <n v="3224.84"/>
        <n v="3231.08"/>
        <n v="3231.32"/>
        <n v="3239.74"/>
        <n v="3244.76"/>
        <n v="3246.33"/>
        <n v="3254.55"/>
        <n v="3255.53"/>
        <n v="3256.78"/>
        <n v="3258.45"/>
        <n v="3263.49"/>
        <n v="3263.96"/>
        <n v="3273.22"/>
        <n v="3286.47"/>
        <n v="3304.15"/>
        <n v="3307.75"/>
        <n v="3317.75"/>
        <n v="3337.4"/>
        <n v="3339.66"/>
        <n v="3349.37"/>
        <n v="3360.4"/>
        <n v="3375.79"/>
        <n v="3381.22"/>
        <n v="3383.67"/>
        <n v="3384.5"/>
        <n v="3385.61"/>
        <n v="3386.33"/>
        <n v="3387.21"/>
        <n v="3388.84"/>
        <n v="3391.46"/>
        <n v="3397.36"/>
        <n v="3401.1"/>
        <n v="3409.93"/>
        <n v="3418.19"/>
        <n v="3423.66"/>
        <n v="3430.99"/>
        <n v="3449.94"/>
        <n v="3452.14"/>
        <n v="3454.76"/>
        <n v="3465.35"/>
        <n v="3465.79"/>
        <n v="3475.29"/>
        <n v="3480.58"/>
        <n v="3481.72"/>
        <n v="3483.15"/>
        <n v="3503.11"/>
        <n v="3508.14"/>
        <n v="3513.74"/>
        <n v="3544.02"/>
        <n v="3552.63"/>
        <n v="3553.27"/>
        <n v="3555.35"/>
        <n v="3557.38"/>
        <n v="3563.97"/>
        <n v="3564.19"/>
        <n v="3565.58"/>
        <n v="3565.6"/>
        <n v="3572.61"/>
        <n v="3578.49"/>
        <n v="3590.83"/>
        <n v="3596.64"/>
        <n v="3598.72"/>
        <n v="3599.27"/>
        <n v="3600.14"/>
        <n v="3603.02"/>
        <n v="3606.09"/>
        <n v="3607.15"/>
        <n v="3609.34"/>
        <n v="3625.35"/>
        <n v="3631.75"/>
        <n v="3634.58"/>
        <n v="3635.02"/>
        <n v="3651.42"/>
        <n v="3657.23"/>
        <n v="3659.42"/>
        <n v="3672.89"/>
        <n v="3693.45"/>
        <n v="3696.1"/>
        <n v="3702.84"/>
        <n v="3710.92"/>
        <n v="3711.47"/>
        <n v="3712.25"/>
        <n v="3714.52"/>
        <n v="3722.38"/>
        <n v="3723.21"/>
        <n v="3723.66"/>
        <n v="3729.27"/>
        <n v="3730.43"/>
        <n v="3732"/>
        <n v="3733.71"/>
        <n v="3740.13"/>
        <n v="3742.12"/>
        <n v="3743.39"/>
        <n v="3745.91"/>
        <n v="3746"/>
        <n v="3750.63"/>
        <n v="3753.83"/>
        <n v="3759.01"/>
        <n v="3764.52"/>
        <n v="3765.31"/>
        <n v="3774.65"/>
        <n v="3778.94"/>
        <n v="3780.88"/>
        <n v="3781.4"/>
        <n v="3781.55"/>
        <n v="3785.91"/>
        <n v="3799.67"/>
        <n v="3813.48"/>
        <n v="3817.99"/>
        <n v="3820.3"/>
        <n v="3822.98"/>
        <n v="3822.99"/>
        <n v="3824.1"/>
        <n v="3830.71"/>
        <n v="3836.52"/>
        <n v="3838.42"/>
        <n v="3839.72"/>
        <n v="3840.24"/>
        <n v="3842.55"/>
        <n v="3844.51"/>
        <n v="3860.56"/>
        <n v="3862.26"/>
        <n v="3880.53"/>
        <n v="3883.77"/>
        <n v="3890.36"/>
        <n v="3891.62"/>
        <n v="3892.73"/>
        <n v="3893.6"/>
        <n v="3896.19"/>
        <n v="3908.37"/>
        <n v="3915.41"/>
        <n v="3929.26"/>
        <n v="3930.06"/>
        <n v="3931.25"/>
        <n v="3945.82"/>
        <n v="3946.77"/>
        <n v="3947.5"/>
        <n v="3955.75"/>
        <n v="3964.63"/>
        <n v="3964.65"/>
        <n v="3967.69"/>
        <n v="3988.7"/>
        <n v="3998.91"/>
        <n v="4002.63"/>
        <n v="4003.5"/>
        <n v="4003.96"/>
        <n v="4004"/>
        <n v="4007.98"/>
        <n v="4017.91"/>
        <n v="4045.34"/>
        <n v="4055.44"/>
        <n v="4061.04"/>
        <n v="4061.37"/>
        <n v="4068.43"/>
        <n v="4071.82"/>
        <n v="4076.77"/>
        <n v="4076.96"/>
        <n v="4082.11"/>
        <n v="4082.62"/>
        <n v="4082.76"/>
        <n v="4087.91"/>
        <n v="4096.4799999999996"/>
        <n v="4096.96"/>
        <n v="4100.3999999999996"/>
        <n v="4102.72"/>
        <n v="4116.38"/>
        <n v="4117.88"/>
        <n v="4134.55"/>
        <n v="4138.83"/>
        <n v="4142.09"/>
        <n v="4143.51"/>
        <n v="4147.1099999999997"/>
        <n v="4152.72"/>
        <n v="4163.68"/>
        <n v="4166.95"/>
        <n v="4172.3500000000004"/>
        <n v="4177.0600000000004"/>
        <n v="4186.9799999999996"/>
        <n v="4188.66"/>
        <n v="4199.3"/>
        <n v="4205.37"/>
        <n v="4209.4399999999996"/>
        <n v="4211.25"/>
        <n v="4212.55"/>
        <n v="4212.6499999999996"/>
        <n v="4226.5600000000004"/>
        <n v="4228.18"/>
        <n v="4230"/>
        <n v="4234.92"/>
        <n v="4240.2299999999996"/>
        <n v="4255.7299999999996"/>
        <n v="4257.5200000000004"/>
        <n v="4258.84"/>
        <n v="4261.1099999999997"/>
        <n v="4262.21"/>
        <n v="4269.0200000000004"/>
        <n v="4270.59"/>
        <n v="4270.6499999999996"/>
        <n v="4272.92"/>
        <n v="4273.6000000000004"/>
        <n v="4275.96"/>
        <n v="4276.99"/>
        <n v="4280.0600000000004"/>
        <n v="4281.79"/>
        <n v="4288.3"/>
        <n v="4293.6899999999996"/>
        <n v="4294.8500000000004"/>
        <n v="4304.7"/>
        <n v="4313.45"/>
        <n v="4314.5600000000004"/>
        <n v="4315.5200000000004"/>
        <n v="4320.93"/>
        <n v="4321.04"/>
        <n v="4323.62"/>
        <n v="4323.71"/>
        <n v="4331.42"/>
        <n v="4331.43"/>
        <n v="4338.67"/>
        <n v="4345.25"/>
        <n v="4355.87"/>
        <n v="4357.49"/>
        <n v="4358.37"/>
        <n v="4358.78"/>
        <n v="4361.7"/>
        <n v="4362.4399999999996"/>
        <n v="4362.51"/>
        <n v="4381.8900000000003"/>
        <n v="4382.32"/>
        <n v="4382.3500000000004"/>
        <n v="4384.8500000000004"/>
        <n v="4386.82"/>
        <n v="4387.01"/>
        <n v="4387.99"/>
        <n v="4391.67"/>
        <n v="4393.68"/>
        <n v="4405.8"/>
        <n v="4417.79"/>
        <n v="4420.1499999999996"/>
        <n v="4422.59"/>
        <n v="4431.04"/>
        <n v="4432.3500000000004"/>
        <n v="4436.5"/>
        <n v="4439.12"/>
        <n v="4446.45"/>
        <n v="4446.8999999999996"/>
        <n v="4454.97"/>
        <n v="4460.71"/>
        <n v="4461.51"/>
        <n v="4462.3999999999996"/>
        <n v="4464.28"/>
        <n v="4467.75"/>
        <n v="4469.07"/>
        <n v="4474.51"/>
        <n v="4475.1899999999996"/>
        <n v="4488.37"/>
        <n v="4495.13"/>
        <n v="4495.88"/>
        <n v="4506.8100000000004"/>
        <n v="4521.57"/>
        <n v="4523.3599999999997"/>
        <n v="4528.7700000000004"/>
        <n v="4533.3100000000004"/>
        <n v="4537.9399999999996"/>
        <n v="4545.78"/>
        <n v="4548.09"/>
        <n v="4551.6000000000004"/>
        <n v="4557.5600000000004"/>
        <n v="4572.21"/>
        <n v="4576.5"/>
        <n v="4576.72"/>
        <n v="4612.49"/>
        <n v="4624.1000000000004"/>
        <n v="4625.5600000000004"/>
        <n v="4629.9799999999996"/>
        <n v="4633.1000000000004"/>
        <n v="4636.59"/>
        <n v="4641.41"/>
        <n v="4642.46"/>
        <n v="4642.83"/>
        <n v="4645.17"/>
        <n v="4645.3500000000004"/>
        <n v="4645.6400000000003"/>
        <n v="4647.28"/>
        <n v="4647.87"/>
        <n v="4656.58"/>
        <n v="4658.6400000000003"/>
        <n v="4663.34"/>
        <n v="4675.8999999999996"/>
        <n v="4693.8999999999996"/>
        <n v="4694.21"/>
        <n v="4695.54"/>
        <n v="4696.8500000000004"/>
        <n v="4706.7"/>
        <n v="4710.1000000000004"/>
        <n v="4711.7"/>
        <n v="4713.68"/>
        <n v="4720.2700000000004"/>
        <n v="4723.2"/>
        <n v="4724.7"/>
        <n v="4727.75"/>
        <n v="4731.9799999999996"/>
        <n v="4743.03"/>
        <n v="4747.07"/>
        <n v="4752.24"/>
        <n v="4752.88"/>
        <n v="4758.1099999999997"/>
        <n v="4761.18"/>
        <n v="4770.42"/>
        <n v="4784.28"/>
        <n v="4785.66"/>
        <n v="4794.01"/>
        <n v="4795.42"/>
        <n v="4801.0600000000004"/>
        <n v="4805.17"/>
        <n v="4818.95"/>
        <n v="4820.2"/>
        <n v="4820.3"/>
        <n v="4823.5"/>
        <n v="4825.92"/>
        <n v="4829.5200000000004"/>
        <n v="4853.41"/>
        <n v="4856.22"/>
        <n v="4864.34"/>
        <n v="4868.95"/>
        <n v="4869.5"/>
        <n v="4879.1499999999996"/>
        <n v="4879.72"/>
        <n v="4879.88"/>
        <n v="4880.8"/>
        <n v="4884.12"/>
        <n v="4884.29"/>
        <n v="4888.46"/>
        <n v="4925.17"/>
        <n v="4949.95"/>
        <n v="4954.3900000000003"/>
        <n v="4958.78"/>
        <n v="4967.4399999999996"/>
        <n v="4973.38"/>
        <n v="4975.2299999999996"/>
        <n v="4976.68"/>
        <n v="4984.3900000000003"/>
        <n v="4985.75"/>
        <n v="4990.33"/>
        <n v="4995.55"/>
        <n v="4998.78"/>
        <n v="5011.43"/>
        <n v="5017.58"/>
        <n v="5026.1899999999996"/>
        <n v="5034.3500000000004"/>
        <n v="5036.3999999999996"/>
        <n v="5037.2700000000004"/>
        <n v="5038.74"/>
        <n v="5040.22"/>
        <n v="5043.3599999999997"/>
        <n v="5044.74"/>
        <n v="5046.51"/>
        <n v="5050.46"/>
        <n v="5074.42"/>
        <n v="5075.4399999999996"/>
        <n v="5079.6499999999996"/>
        <n v="5079.68"/>
        <n v="5080.74"/>
        <n v="5088"/>
        <n v="5088.0200000000004"/>
        <n v="5088.0600000000004"/>
        <n v="5088.28"/>
        <n v="5107.43"/>
        <n v="5118.83"/>
        <n v="5119.91"/>
        <n v="5122.07"/>
        <n v="5129.1099999999997"/>
        <n v="5129.1899999999996"/>
        <n v="5145.88"/>
        <n v="5165.09"/>
        <n v="5166.72"/>
        <n v="5184.6400000000003"/>
        <n v="5186.1899999999996"/>
        <n v="5191.0200000000004"/>
        <n v="5227.93"/>
        <n v="5243.13"/>
        <n v="5245.86"/>
        <n v="5253.07"/>
        <n v="5287.05"/>
        <n v="5296.65"/>
        <n v="5309.32"/>
        <n v="5316.13"/>
        <n v="5402.28"/>
        <n v="5442.15"/>
      </sharedItems>
    </cacheField>
    <cacheField name="Customer_Type" numFmtId="0">
      <sharedItems count="2">
        <s v="New"/>
        <s v="Returning"/>
      </sharedItems>
    </cacheField>
    <cacheField name="Discount" numFmtId="0">
      <sharedItems containsSemiMixedTypes="0" containsString="0" containsNumber="1" minValue="0" maxValue="0.3" count="31">
        <n v="0"/>
        <n v="0.01"/>
        <n v="0.02"/>
        <n v="0.03"/>
        <n v="0.04"/>
        <n v="0.05"/>
        <n v="0.06"/>
        <n v="7.0000000000000007E-2"/>
        <n v="0.08"/>
        <n v="0.09"/>
        <n v="0.1"/>
        <n v="0.11"/>
        <n v="0.12"/>
        <n v="0.13"/>
        <n v="0.14000000000000001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000000000000003"/>
        <n v="0.28999999999999998"/>
        <n v="0.3"/>
      </sharedItems>
    </cacheField>
    <cacheField name="Payment_Method" numFmtId="0">
      <sharedItems count="3">
        <s v="Bank Transfer"/>
        <s v="Cash"/>
        <s v="Credit Card"/>
      </sharedItems>
    </cacheField>
    <cacheField name="Sales_Channel" numFmtId="0">
      <sharedItems count="2">
        <s v="Online"/>
        <s v="Retail"/>
      </sharedItems>
    </cacheField>
    <cacheField name="Region_and_Sales_Rep" numFmtId="0">
      <sharedItems count="20">
        <s v="East-Alice"/>
        <s v="East-Bob"/>
        <s v="East-Charlie"/>
        <s v="East-David"/>
        <s v="East-Eve"/>
        <s v="North-Alice"/>
        <s v="North-Bob"/>
        <s v="North-Charlie"/>
        <s v="North-David"/>
        <s v="North-Eve"/>
        <s v="South-Alice"/>
        <s v="South-Bob"/>
        <s v="South-Charlie"/>
        <s v="South-David"/>
        <s v="South-Eve"/>
        <s v="West-Alice"/>
        <s v="West-Bob"/>
        <s v="West-Charlie"/>
        <s v="West-David"/>
        <s v="West-Eve"/>
      </sharedItems>
    </cacheField>
    <cacheField name="List_Value" numFmtId="0">
      <sharedItems containsSemiMixedTypes="0" containsString="0" containsNumber="1" minValue="211.18" maxValue="252147.36" count="1000">
        <n v="211.18"/>
        <n v="260.73"/>
        <n v="404.69"/>
        <n v="612.46"/>
        <n v="752.24"/>
        <n v="808.69"/>
        <n v="865.76"/>
        <n v="1415.25"/>
        <n v="1535.57"/>
        <n v="1705.71"/>
        <n v="1709.71"/>
        <n v="1829.54"/>
        <n v="1862.61"/>
        <n v="1889.58"/>
        <n v="1986.48"/>
        <n v="2189.84"/>
        <n v="2193"/>
        <n v="2314.98"/>
        <n v="2333.19"/>
        <n v="2378.6999999999998"/>
        <n v="2441.15"/>
        <n v="2451.2800000000002"/>
        <n v="2475.56"/>
        <n v="2637.91"/>
        <n v="2673.92"/>
        <n v="2847.51"/>
        <n v="2897.08"/>
        <n v="3027.74"/>
        <n v="3070.92"/>
        <n v="3153.38"/>
        <n v="3317.75"/>
        <n v="3386.73"/>
        <n v="3455.24"/>
        <n v="3590.83"/>
        <n v="3815.97"/>
        <n v="3886.11"/>
        <n v="4014.99"/>
        <n v="4065"/>
        <n v="4066.29"/>
        <n v="4146.6400000000003"/>
        <n v="4177.26"/>
        <n v="4284.55"/>
        <n v="4424.9399999999996"/>
        <n v="4427.08"/>
        <n v="4452"/>
        <n v="4460.96"/>
        <n v="4484.79"/>
        <n v="4528.7700000000004"/>
        <n v="4610.88"/>
        <n v="4693.8999999999996"/>
        <n v="4700.88"/>
        <n v="4711"/>
        <n v="4748.67"/>
        <n v="4803.75"/>
        <n v="4805.5600000000004"/>
        <n v="4809.96"/>
        <n v="4877.13"/>
        <n v="4956.05"/>
        <n v="5033.82"/>
        <n v="5117.3599999999997"/>
        <n v="5433.99"/>
        <n v="5455.31"/>
        <n v="5536.96"/>
        <n v="5808.12"/>
        <n v="5901.16"/>
        <n v="5944.18"/>
        <n v="5953.8"/>
        <n v="5955.04"/>
        <n v="5989.48"/>
        <n v="6075.19"/>
        <n v="6273.69"/>
        <n v="6337.68"/>
        <n v="6404.84"/>
        <n v="6430.96"/>
        <n v="6473"/>
        <n v="6478.76"/>
        <n v="6511.06"/>
        <n v="6559.26"/>
        <n v="6569.64"/>
        <n v="6589"/>
        <n v="6961.16"/>
        <n v="7006.22"/>
        <n v="7448.72"/>
        <n v="7450.59"/>
        <n v="7484.88"/>
        <n v="7661.42"/>
        <n v="7792.48"/>
        <n v="8035.82"/>
        <n v="8039.47"/>
        <n v="8134.56"/>
        <n v="8136.6"/>
        <n v="8169.39"/>
        <n v="8181.4"/>
        <n v="8205.36"/>
        <n v="8274"/>
        <n v="8399.2000000000007"/>
        <n v="8403"/>
        <n v="8464.1200000000008"/>
        <n v="8955.36"/>
        <n v="8955.5400000000009"/>
        <n v="8984.33"/>
        <n v="9005.23"/>
        <n v="9091.56"/>
        <n v="9267.39"/>
        <n v="9512.4"/>
        <n v="9524.9699999999993"/>
        <n v="9532.92"/>
        <n v="9535.2000000000007"/>
        <n v="9629.16"/>
        <n v="9658.99"/>
        <n v="9707.9599999999991"/>
        <n v="9782.01"/>
        <n v="10125"/>
        <n v="10131.48"/>
        <n v="10214.86"/>
        <n v="10303.299999999999"/>
        <n v="10356.36"/>
        <n v="10375.92"/>
        <n v="10517.52"/>
        <n v="10553.34"/>
        <n v="10620.07"/>
        <n v="10978.26"/>
        <n v="11104.36"/>
        <n v="11142"/>
        <n v="11196"/>
        <n v="11201.13"/>
        <n v="11251.2"/>
        <n v="11457.6"/>
        <n v="11503.22"/>
        <n v="11541.24"/>
        <n v="11590.83"/>
        <n v="11635.82"/>
        <n v="11642.04"/>
        <n v="11904.04"/>
        <n v="11927.4"/>
        <n v="11985.6"/>
        <n v="12383.14"/>
        <n v="12411.7"/>
        <n v="12419.42"/>
        <n v="12452.35"/>
        <n v="12700.44"/>
        <n v="12782.06"/>
        <n v="12913.2"/>
        <n v="12997.18"/>
        <n v="13087.32"/>
        <n v="13227.06"/>
        <n v="13422.64"/>
        <n v="13462.89"/>
        <n v="13479.36"/>
        <n v="13487.98"/>
        <n v="13614.09"/>
        <n v="13856.58"/>
        <n v="13951.71"/>
        <n v="13954.56"/>
        <n v="14007.56"/>
        <n v="14221.4"/>
        <n v="14222.34"/>
        <n v="14330.4"/>
        <n v="14384.16"/>
        <n v="14499.94"/>
        <n v="14593.14"/>
        <n v="14633.28"/>
        <n v="14715.96"/>
        <n v="14853.82"/>
        <n v="15020.55"/>
        <n v="15482.32"/>
        <n v="15574.4"/>
        <n v="15726.35"/>
        <n v="15949.64"/>
        <n v="16069.8"/>
        <n v="16361.4"/>
        <n v="16402.98"/>
        <n v="16457.82"/>
        <n v="16538.2"/>
        <n v="16543.89"/>
        <n v="16549.759999999998"/>
        <n v="16670.39"/>
        <n v="16705.04"/>
        <n v="16759.400000000001"/>
        <n v="16945.38"/>
        <n v="17040.84"/>
        <n v="17049.650000000001"/>
        <n v="17069.36"/>
        <n v="17120.240000000002"/>
        <n v="17153.2"/>
        <n v="17201.03"/>
        <n v="17227.77"/>
        <n v="17335"/>
        <n v="17407.95"/>
        <n v="17461.2"/>
        <n v="17800.3"/>
        <n v="17855.759999999998"/>
        <n v="18437.580000000002"/>
        <n v="18486.240000000002"/>
        <n v="18540"/>
        <n v="18540.240000000002"/>
        <n v="18572.599999999999"/>
        <n v="18686.72"/>
        <n v="18744.439999999999"/>
        <n v="18911"/>
        <n v="18914.97"/>
        <n v="19027.52"/>
        <n v="19170.759999999998"/>
        <n v="19241.88"/>
        <n v="19555.599999999999"/>
        <n v="19601.39"/>
        <n v="19650.3"/>
        <n v="19704.02"/>
        <n v="19934.32"/>
        <n v="19938.900000000001"/>
        <n v="19983.599999999999"/>
        <n v="20004.27"/>
        <n v="20021.68"/>
        <n v="20045.55"/>
        <n v="20070.32"/>
        <n v="20132.8"/>
        <n v="20142.64"/>
        <n v="20178.96"/>
        <n v="20341.2"/>
        <n v="20402.97"/>
        <n v="20413.8"/>
        <n v="20440.400000000001"/>
        <n v="20482.400000000001"/>
        <n v="20549.759999999998"/>
        <n v="20589.400000000001"/>
        <n v="20751.98"/>
        <n v="20758.5"/>
        <n v="20815.599999999999"/>
        <n v="21204.54"/>
        <n v="21238.1"/>
        <n v="21240.720000000001"/>
        <n v="21368.05"/>
        <n v="21456.400000000001"/>
        <n v="21768.6"/>
        <n v="21911.9"/>
        <n v="21991.68"/>
        <n v="22145.9"/>
        <n v="22274.85"/>
        <n v="22522.639999999999"/>
        <n v="22710.43"/>
        <n v="22822.3"/>
        <n v="22833.86"/>
        <n v="22886.080000000002"/>
        <n v="22897.05"/>
        <n v="22931.64"/>
        <n v="23030.55"/>
        <n v="23041.439999999999"/>
        <n v="23048.82"/>
        <n v="23154.17"/>
        <n v="23232.54"/>
        <n v="23407.200000000001"/>
        <n v="23427.62"/>
        <n v="23741.06"/>
        <n v="23808"/>
        <n v="23963.45"/>
        <n v="23977.1"/>
        <n v="24159.3"/>
        <n v="24177.34"/>
        <n v="24202.44"/>
        <n v="24368.22"/>
        <n v="24389.7"/>
        <n v="24473.41"/>
        <n v="24495.72"/>
        <n v="24560.639999999999"/>
        <n v="24616.32"/>
        <n v="24800.04"/>
        <n v="24955.68"/>
        <n v="25049.4"/>
        <n v="25172.6"/>
        <n v="25252.3"/>
        <n v="25441.200000000001"/>
        <n v="25588.32"/>
        <n v="25611.84"/>
        <n v="25645.55"/>
        <n v="25664.25"/>
        <n v="25743.78"/>
        <n v="25788"/>
        <n v="25796.48"/>
        <n v="25955.1"/>
        <n v="25986.03"/>
        <n v="26359.06"/>
        <n v="26378.1"/>
        <n v="26386.52"/>
        <n v="26468.400000000001"/>
        <n v="26591.89"/>
        <n v="26785.03"/>
        <n v="27489"/>
        <n v="27498.1"/>
        <n v="27575.75"/>
        <n v="27709.77"/>
        <n v="27829.49"/>
        <n v="28063.200000000001"/>
        <n v="28131.599999999999"/>
        <n v="28451.85"/>
        <n v="28553.22"/>
        <n v="28610.23"/>
        <n v="28665.52"/>
        <n v="28874.720000000001"/>
        <n v="28947.78"/>
        <n v="28988.19"/>
        <n v="29054.9"/>
        <n v="29070.3"/>
        <n v="29149.439999999999"/>
        <n v="29216.6"/>
        <n v="29257.84"/>
        <n v="29278.32"/>
        <n v="29589.3"/>
        <n v="29699.7"/>
        <n v="29721.599999999999"/>
        <n v="29834.16"/>
        <n v="29933.759999999998"/>
        <n v="29992.68"/>
        <n v="30299.61"/>
        <n v="30303.24"/>
        <n v="30464.720000000001"/>
        <n v="30491.09"/>
        <n v="30511.46"/>
        <n v="30543.919999999998"/>
        <n v="30547.9"/>
        <n v="30707.360000000001"/>
        <n v="30899.68"/>
        <n v="31054.87"/>
        <n v="31132.959999999999"/>
        <n v="31293.09"/>
        <n v="31690.1"/>
        <n v="31719.11"/>
        <n v="31855.15"/>
        <n v="31923.360000000001"/>
        <n v="32035.5"/>
        <n v="32116.05"/>
        <n v="32246.61"/>
        <n v="32559.8"/>
        <n v="32600.77"/>
        <n v="32634.9"/>
        <n v="32728.799999999999"/>
        <n v="32780.58"/>
        <n v="32826.239999999998"/>
        <n v="32850.74"/>
        <n v="32863.5"/>
        <n v="32917.08"/>
        <n v="32994.800000000003"/>
        <n v="33062.400000000001"/>
        <n v="33101.46"/>
        <n v="33226.6"/>
        <n v="33229.49"/>
        <n v="33335.599999999999"/>
        <n v="33416.480000000003"/>
        <n v="33510.11"/>
        <n v="33573.870000000003"/>
        <n v="33755.93"/>
        <n v="33872.1"/>
        <n v="33967.15"/>
        <n v="34019.440000000002"/>
        <n v="34060.160000000003"/>
        <n v="34097.599999999999"/>
        <n v="34290.6"/>
        <n v="34451"/>
        <n v="34560.75"/>
        <n v="34744.94"/>
        <n v="34746.839999999997"/>
        <n v="34833.96"/>
        <n v="35076.160000000003"/>
        <n v="35210"/>
        <n v="35342.32"/>
        <n v="35367.14"/>
        <n v="35378.720000000001"/>
        <n v="35408.32"/>
        <n v="35497.74"/>
        <n v="35581.919999999998"/>
        <n v="35661"/>
        <n v="35781.24"/>
        <n v="36048.639999999999"/>
        <n v="36058.94"/>
        <n v="36213.760000000002"/>
        <n v="36367"/>
        <n v="36427.56"/>
        <n v="36475.040000000001"/>
        <n v="36699.64"/>
        <n v="36768.480000000003"/>
        <n v="37039.839999999997"/>
        <n v="37093.699999999997"/>
        <n v="37152.14"/>
        <n v="37477.050000000003"/>
        <n v="37637.440000000002"/>
        <n v="37774.370000000003"/>
        <n v="37775.43"/>
        <n v="37879.14"/>
        <n v="37931.599999999999"/>
        <n v="38120.46"/>
        <n v="38462.400000000001"/>
        <n v="38527.279999999999"/>
        <n v="38533.050000000003"/>
        <n v="38592.25"/>
        <n v="39078.93"/>
        <n v="39156.32"/>
        <n v="39164.230000000003"/>
        <n v="39221.599999999999"/>
        <n v="39253.75"/>
        <n v="39269.07"/>
        <n v="39555.199999999997"/>
        <n v="39731.9"/>
        <n v="39952.080000000002"/>
        <n v="40440.300000000003"/>
        <n v="40781.61"/>
        <n v="40832.639999999999"/>
        <n v="40864.800000000003"/>
        <n v="40929.919999999998"/>
        <n v="40932.81"/>
        <n v="41090.080000000002"/>
        <n v="41127"/>
        <n v="41273.760000000002"/>
        <n v="41330"/>
        <n v="41410.080000000002"/>
        <n v="41435.769999999997"/>
        <n v="41515.440000000002"/>
        <n v="41634.839999999997"/>
        <n v="41746.800000000003"/>
        <n v="41851.5"/>
        <n v="42023.88"/>
        <n v="42125.760000000002"/>
        <n v="42402.3"/>
        <n v="42431.48"/>
        <n v="42484.86"/>
        <n v="42586.879999999997"/>
        <n v="42701.2"/>
        <n v="42822.99"/>
        <n v="42900.480000000003"/>
        <n v="43010.400000000001"/>
        <n v="43035.6"/>
        <n v="43069.51"/>
        <n v="43221.86"/>
        <n v="43455.76"/>
        <n v="43668.41"/>
        <n v="43825.5"/>
        <n v="44137.52"/>
        <n v="44169.599999999999"/>
        <n v="44418"/>
        <n v="44456.4"/>
        <n v="44683.92"/>
        <n v="44709.120000000003"/>
        <n v="44709.66"/>
        <n v="45129.05"/>
        <n v="45384.480000000003"/>
        <n v="45578.61"/>
        <n v="45639.82"/>
        <n v="46057.62"/>
        <n v="46074"/>
        <n v="46162.71"/>
        <n v="46241.3"/>
        <n v="46302.85"/>
        <n v="46530"/>
        <n v="46745.68"/>
        <n v="46766.1"/>
        <n v="46784.46"/>
        <n v="47097.93"/>
        <n v="47101"/>
        <n v="47323.85"/>
        <n v="47469"/>
        <n v="47576.57"/>
        <n v="47707.75"/>
        <n v="47759.360000000001"/>
        <n v="47897.96"/>
        <n v="48095.08"/>
        <n v="48275.41"/>
        <n v="48282.12"/>
        <n v="48651.68"/>
        <n v="48909.919999999998"/>
        <n v="49047.57"/>
        <n v="49399.4"/>
        <n v="49573"/>
        <n v="50180.02"/>
        <n v="50187.28"/>
        <n v="50316.5"/>
        <n v="50653.88"/>
        <n v="50693.5"/>
        <n v="50744.2"/>
        <n v="50832.6"/>
        <n v="51100.160000000003"/>
        <n v="51316.3"/>
        <n v="51952.88"/>
        <n v="52037.7"/>
        <n v="52076.7"/>
        <n v="52188.98"/>
        <n v="52365.599999999999"/>
        <n v="52370.54"/>
        <n v="52606.84"/>
        <n v="52706.1"/>
        <n v="52933.66"/>
        <n v="53351.26"/>
        <n v="53487"/>
        <n v="53562.86"/>
        <n v="53727.19"/>
        <n v="53807.040000000001"/>
        <n v="54164.55"/>
        <n v="54176.87"/>
        <n v="54184.65"/>
        <n v="54242.82"/>
        <n v="54357.760000000002"/>
        <n v="54446.54"/>
        <n v="54468.17"/>
        <n v="54570.18"/>
        <n v="54634.720000000001"/>
        <n v="55170.720000000001"/>
        <n v="55265"/>
        <n v="55497.2"/>
        <n v="55639.08"/>
        <n v="55726.879999999997"/>
        <n v="56445.120000000003"/>
        <n v="56647.37"/>
        <n v="56658.81"/>
        <n v="56871.15"/>
        <n v="56928.480000000003"/>
        <n v="56958.02"/>
        <n v="57274.62"/>
        <n v="57427.88"/>
        <n v="57952.44"/>
        <n v="58005.599999999999"/>
        <n v="58082.64"/>
        <n v="58274.64"/>
        <n v="58442.85"/>
        <n v="58547.76"/>
        <n v="59243.77"/>
        <n v="59424.959999999999"/>
        <n v="59567.78"/>
        <n v="59570.42"/>
        <n v="59746.41"/>
        <n v="59815.14"/>
        <n v="59816.4"/>
        <n v="60045.08"/>
        <n v="60261.599999999999"/>
        <n v="60436.800000000003"/>
        <n v="60464.88"/>
        <n v="60531.94"/>
        <n v="60648.480000000003"/>
        <n v="60729.48"/>
        <n v="60794.720000000001"/>
        <n v="60857.16"/>
        <n v="60956.160000000003"/>
        <n v="60968.88"/>
        <n v="60975.18"/>
        <n v="61085"/>
        <n v="61159.1"/>
        <n v="61509.35"/>
        <n v="61750.559999999998"/>
        <n v="61751.09"/>
        <n v="62032.11"/>
        <n v="62140.32"/>
        <n v="62280.959999999999"/>
        <n v="62350.720000000001"/>
        <n v="62519.6"/>
        <n v="62555.22"/>
        <n v="62931.82"/>
        <n v="63122.2"/>
        <n v="63188.25"/>
        <n v="63587.72"/>
        <n v="63725.18"/>
        <n v="63916.65"/>
        <n v="63958.86"/>
        <n v="63994.98"/>
        <n v="64336.36"/>
        <n v="64608.75"/>
        <n v="64733.919999999998"/>
        <n v="64854.3"/>
        <n v="65021.22"/>
        <n v="65080.05"/>
        <n v="65404.75"/>
        <n v="65650.5"/>
        <n v="65787.12"/>
        <n v="65802.33"/>
        <n v="65882.350000000006"/>
        <n v="66107.520000000004"/>
        <n v="66385.2"/>
        <n v="66840.3"/>
        <n v="67002.84"/>
        <n v="67052.789999999994"/>
        <n v="67215.75"/>
        <n v="67336.38"/>
        <n v="67455.960000000006"/>
        <n v="67650.880000000005"/>
        <n v="67677.75"/>
        <n v="67775.600000000006"/>
        <n v="68318.320000000007"/>
        <n v="68345.55"/>
        <n v="68375.679999999993"/>
        <n v="68589.919999999998"/>
        <n v="68686.8"/>
        <n v="68770.78"/>
        <n v="68813.820000000007"/>
        <n v="69042.8"/>
        <n v="69136.639999999999"/>
        <n v="69173.19"/>
        <n v="69630.75"/>
        <n v="69982.789999999994"/>
        <n v="70042.559999999998"/>
        <n v="70044.5"/>
        <n v="70087.820000000007"/>
        <n v="70137.899999999994"/>
        <n v="70250.22"/>
        <n v="70309.62"/>
        <n v="70545.679999999993"/>
        <n v="70761.440000000002"/>
        <n v="71264"/>
        <n v="71279.399999999994"/>
        <n v="71311.600000000006"/>
        <n v="71384.160000000003"/>
        <n v="71428.479999999996"/>
        <n v="71560.479999999996"/>
        <n v="71801.97"/>
        <n v="71849.45"/>
        <n v="72023.710000000006"/>
        <n v="72457.570000000007"/>
        <n v="72573.34"/>
        <n v="72647.820000000007"/>
        <n v="73045.69"/>
        <n v="73103.520000000004"/>
        <n v="73262.22"/>
        <n v="73326.899999999994"/>
        <n v="73493.279999999999"/>
        <n v="73506.03"/>
        <n v="73844.479999999996"/>
        <n v="74129.600000000006"/>
        <n v="74254.25"/>
        <n v="74267.45"/>
        <n v="74891.600000000006"/>
        <n v="75030"/>
        <n v="75142.55"/>
        <n v="75180.2"/>
        <n v="75590.679999999993"/>
        <n v="75636.14"/>
        <n v="75675.25"/>
        <n v="75695.490000000005"/>
        <n v="75718.2"/>
        <n v="75888.479999999996"/>
        <n v="75952.350000000006"/>
        <n v="76004.72"/>
        <n v="76053.850000000006"/>
        <n v="76098.61"/>
        <n v="76114.100000000006"/>
        <n v="76663.8"/>
        <n v="76836.56"/>
        <n v="77289.2"/>
        <n v="77442.12"/>
        <n v="77585.56"/>
        <n v="77610.600000000006"/>
        <n v="77835.179999999993"/>
        <n v="78225.3"/>
        <n v="78919.399999999994"/>
        <n v="78970.95"/>
        <n v="79071.509999999995"/>
        <n v="79333.98"/>
        <n v="79758.720000000001"/>
        <n v="79928.800000000003"/>
        <n v="79960.759999999995"/>
        <n v="80041.94"/>
        <n v="80070"/>
        <n v="80331.240000000005"/>
        <n v="80693.759999999995"/>
        <n v="80803.58"/>
        <n v="80917.960000000006"/>
        <n v="81139.08"/>
        <n v="81658.350000000006"/>
        <n v="82036.56"/>
        <n v="82267.86"/>
        <n v="82708.62"/>
        <n v="83016"/>
        <n v="83435"/>
        <n v="83453.3"/>
        <n v="83762.7"/>
        <n v="83857.320000000007"/>
        <n v="84074.4"/>
        <n v="84192.42"/>
        <n v="84334.61"/>
        <n v="84861.32"/>
        <n v="85029.08"/>
        <n v="85633.59"/>
        <n v="85740.18"/>
        <n v="85761.81"/>
        <n v="85979.46"/>
        <n v="86045.72"/>
        <n v="86068.76"/>
        <n v="86296.960000000006"/>
        <n v="86382.48"/>
        <n v="86687.7"/>
        <n v="87032.4"/>
        <n v="87288.08"/>
        <n v="87830.82"/>
        <n v="89503.8"/>
        <n v="89675.43"/>
        <n v="90015.12"/>
        <n v="90837.6"/>
        <n v="91595.7"/>
        <n v="92438.82"/>
        <n v="92628.55"/>
        <n v="93073.919999999998"/>
        <n v="93456.85"/>
        <n v="93743.07"/>
        <n v="93888.55"/>
        <n v="94112.38"/>
        <n v="94214.68"/>
        <n v="94753.75"/>
        <n v="95291.24"/>
        <n v="96026"/>
        <n v="96411.04"/>
        <n v="96460.47"/>
        <n v="97109.28"/>
        <n v="97140.05"/>
        <n v="97570.44"/>
        <n v="97583.2"/>
        <n v="97625.2"/>
        <n v="97643.7"/>
        <n v="97881.79"/>
        <n v="98126.43"/>
        <n v="98386.880000000005"/>
        <n v="99076.38"/>
        <n v="99115.75"/>
        <n v="99283.8"/>
        <n v="99426.6"/>
        <n v="99504.6"/>
        <n v="100053.66"/>
        <n v="100099.86"/>
        <n v="100636.35"/>
        <n v="100687.84"/>
        <n v="100872.96000000001"/>
        <n v="100969.88"/>
        <n v="101197.95"/>
        <n v="101477.25"/>
        <n v="101740.98"/>
        <n v="101765.6"/>
        <n v="102184"/>
        <n v="102240.16"/>
        <n v="102428.65"/>
        <n v="102441.4"/>
        <n v="102444.76"/>
        <n v="103232.51"/>
        <n v="103529.46"/>
        <n v="103586.04"/>
        <n v="103664.34"/>
        <n v="103936"/>
        <n v="103997.26"/>
        <n v="104068.38"/>
        <n v="104102.96"/>
        <n v="104484.15"/>
        <n v="104563.36"/>
        <n v="104607.35"/>
        <n v="105167.03999999999"/>
        <n v="105209.86"/>
        <n v="105244.2"/>
        <n v="105316.25"/>
        <n v="105415.58"/>
        <n v="105844.62"/>
        <n v="105889.52"/>
        <n v="106046.6"/>
        <n v="106338.14"/>
        <n v="106777.44"/>
        <n v="107342.25"/>
        <n v="107578.36"/>
        <n v="107591.4"/>
        <n v="107609.58"/>
        <n v="107803.72"/>
        <n v="108304"/>
        <n v="108357.6"/>
        <n v="108690.09"/>
        <n v="108887.06"/>
        <n v="108996.44"/>
        <n v="109155.75"/>
        <n v="109507.14"/>
        <n v="109701.48"/>
        <n v="109890.56"/>
        <n v="110564.96"/>
        <n v="110836.32"/>
        <n v="110983"/>
        <n v="111161.25"/>
        <n v="111289.48"/>
        <n v="111343.05"/>
        <n v="111971.97"/>
        <n v="112500.36"/>
        <n v="112617.18"/>
        <n v="112697.13"/>
        <n v="112869.4"/>
        <n v="113239.5"/>
        <n v="113552.32000000001"/>
        <n v="113566.6"/>
        <n v="114206.71"/>
        <n v="115079.75"/>
        <n v="115191.6"/>
        <n v="116854.8"/>
        <n v="117097"/>
        <n v="117172.8"/>
        <n v="117750.36"/>
        <n v="117770.16"/>
        <n v="118048.84"/>
        <n v="118206.24"/>
        <n v="118496.56"/>
        <n v="118577.76"/>
        <n v="118629.36"/>
        <n v="118767.03999999999"/>
        <n v="118863.94"/>
        <n v="119334.72"/>
        <n v="119924.74"/>
        <n v="120062.39999999999"/>
        <n v="120107.45"/>
        <n v="120122.56"/>
        <n v="120298.8"/>
        <n v="120500.86"/>
        <n v="120896.72"/>
        <n v="120903.64"/>
        <n v="121029.6"/>
        <n v="121182.46"/>
        <n v="121907.88"/>
        <n v="122150.28"/>
        <n v="122999"/>
        <n v="123619.02"/>
        <n v="124030.92"/>
        <n v="124177.2"/>
        <n v="125285.75"/>
        <n v="126082.78"/>
        <n v="126586.51"/>
        <n v="127111.25"/>
        <n v="127164.42"/>
        <n v="127423.67999999999"/>
        <n v="127591.37"/>
        <n v="127694.8"/>
        <n v="127768.2"/>
        <n v="128119.5"/>
        <n v="128381.88"/>
        <n v="128453.7"/>
        <n v="128486.36"/>
        <n v="128814.14"/>
        <n v="128976.21"/>
        <n v="129243.2"/>
        <n v="129582.46"/>
        <n v="129589.6"/>
        <n v="130145.4"/>
        <n v="130277.75999999999"/>
        <n v="130322.4"/>
        <n v="130338"/>
        <n v="130717.28"/>
        <n v="130950.72"/>
        <n v="131097.72"/>
        <n v="131724.16"/>
        <n v="131758.20000000001"/>
        <n v="132070.9"/>
        <n v="132714.96"/>
        <n v="133134.75"/>
        <n v="134120.88"/>
        <n v="134738.91"/>
        <n v="135165.81"/>
        <n v="136231.76"/>
        <n v="136236.96"/>
        <n v="136255.76999999999"/>
        <n v="136628.1"/>
        <n v="137067.29999999999"/>
        <n v="137894.39999999999"/>
        <n v="138946.76"/>
        <n v="139413.6"/>
        <n v="139592.19"/>
        <n v="140480.64000000001"/>
        <n v="140517.78"/>
        <n v="140670.59"/>
        <n v="140673.54"/>
        <n v="142300.79999999999"/>
        <n v="142567.20000000001"/>
        <n v="142742.72"/>
        <n v="142873.85"/>
        <n v="143367.14000000001"/>
        <n v="143528.4"/>
        <n v="143820.29999999999"/>
        <n v="144747.51999999999"/>
        <n v="145171.4"/>
        <n v="145542.07999999999"/>
        <n v="145602.35"/>
        <n v="145992.21"/>
        <n v="146062.70000000001"/>
        <n v="146094"/>
        <n v="146353.92000000001"/>
        <n v="146603.1"/>
        <n v="146763.72"/>
        <n v="147130.54"/>
        <n v="147869.28"/>
        <n v="148928.4"/>
        <n v="149224.24"/>
        <n v="150614.39999999999"/>
        <n v="150664.5"/>
        <n v="150841"/>
        <n v="151205.88"/>
        <n v="151304.79999999999"/>
        <n v="152475.4"/>
        <n v="153141.12"/>
        <n v="153318.75"/>
        <n v="154183.4"/>
        <n v="154376.95000000001"/>
        <n v="155519.28"/>
        <n v="155684.48000000001"/>
        <n v="155995.42000000001"/>
        <n v="156156"/>
        <n v="157328.22"/>
        <n v="157453.56"/>
        <n v="157803.35999999999"/>
        <n v="157832.79999999999"/>
        <n v="157854.6"/>
        <n v="157925.51999999999"/>
        <n v="157932.35999999999"/>
        <n v="158570.60999999999"/>
        <n v="158662.13"/>
        <n v="159564.6"/>
        <n v="159597.65"/>
        <n v="161817.57"/>
        <n v="162282.42000000001"/>
        <n v="162580.95000000001"/>
        <n v="163708.04999999999"/>
        <n v="165894.89000000001"/>
        <n v="166347.56"/>
        <n v="166642.98000000001"/>
        <n v="167196.85999999999"/>
        <n v="167323.32"/>
        <n v="168211.12"/>
        <n v="169464.75"/>
        <n v="169929.72"/>
        <n v="170031.38"/>
        <n v="170139.6"/>
        <n v="170163"/>
        <n v="170710.88"/>
        <n v="170944.2"/>
        <n v="171038.4"/>
        <n v="171258.78"/>
        <n v="173716.7"/>
        <n v="174242.25"/>
        <n v="174722.76"/>
        <n v="176277.76000000001"/>
        <n v="176413.48"/>
        <n v="177285.6"/>
        <n v="177639.22"/>
        <n v="178469.5"/>
        <n v="179159.05"/>
        <n v="180040.14"/>
        <n v="180569.9"/>
        <n v="180862.8"/>
        <n v="181389.12"/>
        <n v="181870.26"/>
        <n v="182373.9"/>
        <n v="183677.52"/>
        <n v="183735.56"/>
        <n v="183955.95"/>
        <n v="184058.7"/>
        <n v="184295.58"/>
        <n v="184367.08"/>
        <n v="184422.43"/>
        <n v="185046.75"/>
        <n v="185943.24"/>
        <n v="187948.77"/>
        <n v="188187.56"/>
        <n v="188351.28"/>
        <n v="189279.2"/>
        <n v="191617.12"/>
        <n v="192170.01"/>
        <n v="192866.72"/>
        <n v="193346.28"/>
        <n v="194678.23"/>
        <n v="194998.86"/>
        <n v="195131.42"/>
        <n v="196605.03"/>
        <n v="197185.05"/>
        <n v="197563.1"/>
        <n v="197928.75"/>
        <n v="198432.78"/>
        <n v="201374"/>
        <n v="202688.24"/>
        <n v="202784.32"/>
        <n v="203083.71"/>
        <n v="203162.1"/>
        <n v="203998.95"/>
        <n v="204822"/>
        <n v="208084.5"/>
        <n v="209166.62"/>
        <n v="209732.8"/>
        <n v="210800.16"/>
        <n v="211299.3"/>
        <n v="211460.48000000001"/>
        <n v="213227.54"/>
        <n v="213855.34"/>
        <n v="214968.33"/>
        <n v="215091.4"/>
        <n v="217166.4"/>
        <n v="217819.98"/>
        <n v="218146.27"/>
        <n v="218956.08"/>
        <n v="220627.87"/>
        <n v="222026.88"/>
        <n v="224358.75"/>
        <n v="224440.9"/>
        <n v="227636.36"/>
        <n v="230395.95"/>
        <n v="230817.84"/>
        <n v="231204.74"/>
        <n v="232502.39999999999"/>
        <n v="233903.96"/>
        <n v="235256.85"/>
        <n v="249312"/>
        <n v="249858.11"/>
        <n v="252147.36"/>
      </sharedItems>
    </cacheField>
    <cacheField name="Net_List_Value" numFmtId="0">
      <sharedItems containsSemiMixedTypes="0" containsString="0" containsNumber="1" minValue="154.16" maxValue="249625.89" count="1000">
        <n v="154.16"/>
        <n v="216.41"/>
        <n v="287.33"/>
        <n v="465.47"/>
        <n v="586.75"/>
        <n v="630.78"/>
        <n v="787.84"/>
        <n v="1033.1300000000001"/>
        <n v="1353.86"/>
        <n v="1412.72"/>
        <n v="1415.58"/>
        <n v="1470.35"/>
        <n v="1664.28"/>
        <n v="1688.65"/>
        <n v="1700.62"/>
        <n v="1736.45"/>
        <n v="1807.7"/>
        <n v="1820.19"/>
        <n v="1856.67"/>
        <n v="1887.49"/>
        <n v="2083.48"/>
        <n v="2110.33"/>
        <n v="2270.27"/>
        <n v="2309.86"/>
        <n v="2448.86"/>
        <n v="2522.33"/>
        <n v="2566.96"/>
        <n v="2573.58"/>
        <n v="2753.73"/>
        <n v="2774.97"/>
        <n v="2839.14"/>
        <n v="2908.57"/>
        <n v="2924.08"/>
        <n v="2948.08"/>
        <n v="3243.57"/>
        <n v="3299.1"/>
        <n v="3318.74"/>
        <n v="3342.05"/>
        <n v="3352.86"/>
        <n v="3363.89"/>
        <n v="3390.33"/>
        <n v="3414.6"/>
        <n v="3472.56"/>
        <n v="3483.18"/>
        <n v="3532.44"/>
        <n v="3541.66"/>
        <n v="3560.3"/>
        <n v="3584.2"/>
        <n v="3596.49"/>
        <n v="3659.66"/>
        <n v="3721.69"/>
        <n v="3915.28"/>
        <n v="3927.82"/>
        <n v="3974.84"/>
        <n v="4036.75"/>
        <n v="4041.98"/>
        <n v="4136.7700000000004"/>
        <n v="4178.07"/>
        <n v="4377.0600000000004"/>
        <n v="4611.6000000000004"/>
        <n v="4643.96"/>
        <n v="4653.7"/>
        <n v="4656.8"/>
        <n v="4795.84"/>
        <n v="4874.2299999999996"/>
        <n v="4911.37"/>
        <n v="4919.45"/>
        <n v="4936.8999999999996"/>
        <n v="4981.66"/>
        <n v="5053.6099999999997"/>
        <n v="5070.1400000000003"/>
        <n v="5273.39"/>
        <n v="5299.99"/>
        <n v="5370.06"/>
        <n v="5372.59"/>
        <n v="5604.98"/>
        <n v="5636.26"/>
        <n v="5709.06"/>
        <n v="5775.54"/>
        <n v="6009.53"/>
        <n v="6078.13"/>
        <n v="6110"/>
        <n v="6120.4"/>
        <n v="6125.82"/>
        <n v="6136.05"/>
        <n v="6154.02"/>
        <n v="6154.82"/>
        <n v="6325.44"/>
        <n v="6370.98"/>
        <n v="6427.91"/>
        <n v="6586.69"/>
        <n v="6742.05"/>
        <n v="6750.09"/>
        <n v="6857.88"/>
        <n v="7003.55"/>
        <n v="7139.32"/>
        <n v="7226.58"/>
        <n v="7273.25"/>
        <n v="7299.75"/>
        <n v="7515.84"/>
        <n v="7767.27"/>
        <n v="7816.37"/>
        <n v="7912.32"/>
        <n v="7995.14"/>
        <n v="8057.61"/>
        <n v="8062.63"/>
        <n v="8139.61"/>
        <n v="8213.3799999999992"/>
        <n v="8284.81"/>
        <n v="8314.7099999999991"/>
        <n v="8466.0400000000009"/>
        <n v="8478.6200000000008"/>
        <n v="8508.25"/>
        <n v="8548.2099999999991"/>
        <n v="8570.91"/>
        <n v="8597.15"/>
        <n v="8627.42"/>
        <n v="8776.43"/>
        <n v="8910"/>
        <n v="8913.6"/>
        <n v="8965.69"/>
        <n v="9080.7900000000009"/>
        <n v="9133.26"/>
        <n v="9143.9699999999993"/>
        <n v="9193.3700000000008"/>
        <n v="9203.08"/>
        <n v="9221.74"/>
        <n v="9243.99"/>
        <n v="9249.14"/>
        <n v="9504.48"/>
        <n v="9657.73"/>
        <n v="9681.1299999999992"/>
        <n v="9684.9"/>
        <n v="10030.17"/>
        <n v="10040.879999999999"/>
        <n v="10045.23"/>
        <n v="10077.24"/>
        <n v="10138.290000000001"/>
        <n v="10201.99"/>
        <n v="10239.41"/>
        <n v="10253.870000000001"/>
        <n v="10524.24"/>
        <n v="10529.06"/>
        <n v="10680.7"/>
        <n v="10787.66"/>
        <n v="10891.27"/>
        <n v="10897.16"/>
        <n v="11140.37"/>
        <n v="11303.39"/>
        <n v="11309.95"/>
        <n v="11346.12"/>
        <n v="11482.09"/>
        <n v="11680.8"/>
        <n v="11919.93"/>
        <n v="11985.6"/>
        <n v="12200.67"/>
        <n v="12343.37"/>
        <n v="12373.44"/>
        <n v="12438.29"/>
        <n v="12483.06"/>
        <n v="12654.55"/>
        <n v="12678.7"/>
        <n v="12695.14"/>
        <n v="12754.06"/>
        <n v="12830.25"/>
        <n v="13072.33"/>
        <n v="13089.12"/>
        <n v="13093.11"/>
        <n v="13169.61"/>
        <n v="13218.08"/>
        <n v="13239.81"/>
        <n v="13279.76"/>
        <n v="13377.27"/>
        <n v="13429.63"/>
        <n v="13462.89"/>
        <n v="13479.36"/>
        <n v="13535.92"/>
        <n v="13558"/>
        <n v="13643.81"/>
        <n v="13865.18"/>
        <n v="13876.19"/>
        <n v="14038.6"/>
        <n v="14062.31"/>
        <n v="14080.36"/>
        <n v="14153.72"/>
        <n v="14274.52"/>
        <n v="14433.22"/>
        <n v="14833.71"/>
        <n v="14863.03"/>
        <n v="14923.28"/>
        <n v="14946.12"/>
        <n v="14949.38"/>
        <n v="15049.76"/>
        <n v="15106.21"/>
        <n v="15253.44"/>
        <n v="15455.71"/>
        <n v="15548.77"/>
        <n v="15751.73"/>
        <n v="15847.98"/>
        <n v="16309.75"/>
        <n v="16557.28"/>
        <n v="16567.759999999998"/>
        <n v="16637.62"/>
        <n v="16641.68"/>
        <n v="16652.48"/>
        <n v="16685"/>
        <n v="16714.849999999999"/>
        <n v="16762.75"/>
        <n v="16963.63"/>
        <n v="17049.650000000001"/>
        <n v="17061.98"/>
        <n v="17147"/>
        <n v="17224.14"/>
        <n v="17266.29"/>
        <n v="17314.21"/>
        <n v="17320.09"/>
        <n v="17487.03"/>
        <n v="17529.52"/>
        <n v="17546.55"/>
        <n v="17567.66"/>
        <n v="17620.86"/>
        <n v="17641.25"/>
        <n v="17735.48"/>
        <n v="17798.400000000001"/>
        <n v="17805.8"/>
        <n v="17819.689999999999"/>
        <n v="17984.03"/>
        <n v="17985.240000000002"/>
        <n v="18087.37"/>
        <n v="18118.669999999998"/>
        <n v="18168.57"/>
        <n v="18191.96"/>
        <n v="18203.89"/>
        <n v="18257.84"/>
        <n v="18353.71"/>
        <n v="18462.37"/>
        <n v="18521.78"/>
        <n v="18627.72"/>
        <n v="18713.900000000001"/>
        <n v="18749.52"/>
        <n v="18939.23"/>
        <n v="18952.099999999999"/>
        <n v="18992.23"/>
        <n v="19146.16"/>
        <n v="19156.37"/>
        <n v="19193.900000000001"/>
        <n v="19234.16"/>
        <n v="19284.48"/>
        <n v="19538.36"/>
        <n v="19555.599999999999"/>
        <n v="19761.47"/>
        <n v="19769.3"/>
        <n v="19821.46"/>
        <n v="19933.27"/>
        <n v="19977.169999999998"/>
        <n v="20067.189999999999"/>
        <n v="20098.55"/>
        <n v="20121.25"/>
        <n v="20388.580000000002"/>
        <n v="20406.060000000001"/>
        <n v="20452.259999999998"/>
        <n v="20630.939999999999"/>
        <n v="20812.71"/>
        <n v="20898.560000000001"/>
        <n v="21038.61"/>
        <n v="21428.54"/>
        <n v="21540.17"/>
        <n v="21576.03"/>
        <n v="21608.66"/>
        <n v="21908.52"/>
        <n v="22021.96"/>
        <n v="22126.87"/>
        <n v="22177.68"/>
        <n v="22226.560000000001"/>
        <n v="22228"/>
        <n v="22339.63"/>
        <n v="22424.85"/>
        <n v="22428.36"/>
        <n v="22473.01"/>
        <n v="22498.14"/>
        <n v="22578.48"/>
        <n v="22602.080000000002"/>
        <n v="22654.53"/>
        <n v="22736.560000000001"/>
        <n v="22802.400000000001"/>
        <n v="22956.27"/>
        <n v="23038.39"/>
        <n v="23067.91"/>
        <n v="23127.57"/>
        <n v="23244.55"/>
        <n v="23348.33"/>
        <n v="23371.13"/>
        <n v="23637.17"/>
        <n v="23796.93"/>
        <n v="23899.55"/>
        <n v="23901.91"/>
        <n v="23957.45"/>
        <n v="24026.66"/>
        <n v="24190.32"/>
        <n v="24257.53"/>
        <n v="24587.37"/>
        <n v="24638.06"/>
        <n v="24650.75"/>
        <n v="24668.91"/>
        <n v="24820.67"/>
        <n v="24834.11"/>
        <n v="24893.919999999998"/>
        <n v="24999.1"/>
        <n v="25058.1"/>
        <n v="25062.36"/>
        <n v="25201.18"/>
        <n v="25472.14"/>
        <n v="25568.85"/>
        <n v="25594.53"/>
        <n v="25668.98"/>
        <n v="25962.33"/>
        <n v="26149.41"/>
        <n v="26266.17"/>
        <n v="26276"/>
        <n v="26336.53"/>
        <n v="26379.25"/>
        <n v="26573.72"/>
        <n v="26596.13"/>
        <n v="26666.85"/>
        <n v="26715.4"/>
        <n v="26790.74"/>
        <n v="26956.39"/>
        <n v="26966.65"/>
        <n v="27046.66"/>
        <n v="27102.36"/>
        <n v="27149.09"/>
        <n v="27411.09"/>
        <n v="27432.48"/>
        <n v="27488.35"/>
        <n v="27518.83"/>
        <n v="27560.799999999999"/>
        <n v="27576.06"/>
        <n v="27709.77"/>
        <n v="27710.17"/>
        <n v="27813.94"/>
        <n v="27829.49"/>
        <n v="27866.31"/>
        <n v="27949.19"/>
        <n v="27972.57"/>
        <n v="28001.9"/>
        <n v="28104.07"/>
        <n v="28163.78"/>
        <n v="28172.34"/>
        <n v="28242.61"/>
        <n v="28308.21"/>
        <n v="28380.1"/>
        <n v="28465.54"/>
        <n v="28482.560000000001"/>
        <n v="28488.89"/>
        <n v="28527.62"/>
        <n v="28665.52"/>
        <n v="28669.64"/>
        <n v="28846.799999999999"/>
        <n v="28872.080000000002"/>
        <n v="29021.95"/>
        <n v="29047.1"/>
        <n v="29180.03"/>
        <n v="29357.200000000001"/>
        <n v="29475.96"/>
        <n v="29576.36"/>
        <n v="29695.32"/>
        <n v="29791.31"/>
        <n v="29807.45"/>
        <n v="30051.279999999999"/>
        <n v="30123.22"/>
        <n v="30160.07"/>
        <n v="30255.3"/>
        <n v="30313.54"/>
        <n v="30441.11"/>
        <n v="30606.21"/>
        <n v="30650.1"/>
        <n v="30717.9"/>
        <n v="30856.67"/>
        <n v="30970.73"/>
        <n v="30985.63"/>
        <n v="31123.08"/>
        <n v="31220.33"/>
        <n v="31329.5"/>
        <n v="31409.279999999999"/>
        <n v="31579.32"/>
        <n v="31604.13"/>
        <n v="31638.080000000002"/>
        <n v="31947.97"/>
        <n v="32247.919999999998"/>
        <n v="32314.560000000001"/>
        <n v="32490.33"/>
        <n v="32504.81"/>
        <n v="32760.71"/>
        <n v="32778.629999999997"/>
        <n v="32979.97"/>
        <n v="33036.300000000003"/>
        <n v="33074.44"/>
        <n v="33128.06"/>
        <n v="33138.19"/>
        <n v="33241.449999999997"/>
        <n v="33276.550000000003"/>
        <n v="33671.589999999997"/>
        <n v="33758.230000000003"/>
        <n v="33759.120000000003"/>
        <n v="33848.74"/>
        <n v="33895.49"/>
        <n v="33928.629999999997"/>
        <n v="34066"/>
        <n v="34177.68"/>
        <n v="34184.980000000003"/>
        <n v="34201.86"/>
        <n v="34231.43"/>
        <n v="34391.69"/>
        <n v="34686.26"/>
        <n v="34790.43"/>
        <n v="34808.58"/>
        <n v="34848.81"/>
        <n v="35014.980000000003"/>
        <n v="35247.81"/>
        <n v="35299.440000000002"/>
        <n v="35310.019999999997"/>
        <n v="35590.36"/>
        <n v="35853.74"/>
        <n v="35924.94"/>
        <n v="36002.239999999998"/>
        <n v="36020.870000000003"/>
        <n v="36193.980000000003"/>
        <n v="36213.760000000002"/>
        <n v="36595.64"/>
        <n v="36669.440000000002"/>
        <n v="36912.6"/>
        <n v="36950.67"/>
        <n v="36974.46"/>
        <n v="37172.07"/>
        <n v="37491.93"/>
        <n v="37544.160000000003"/>
        <n v="37582.9"/>
        <n v="37752.42"/>
        <n v="37830.25"/>
        <n v="37887.699999999997"/>
        <n v="38136.82"/>
        <n v="38565.26"/>
        <n v="38850.199999999997"/>
        <n v="38921.9"/>
        <n v="39146.080000000002"/>
        <n v="39230.21"/>
        <n v="39262.269999999997"/>
        <n v="39733.83"/>
        <n v="40031.67"/>
        <n v="40033.24"/>
        <n v="40035.550000000003"/>
        <n v="40076.04"/>
        <n v="40115.25"/>
        <n v="40161.56"/>
        <n v="40185.51"/>
        <n v="40219.01"/>
        <n v="40282.19"/>
        <n v="40512.959999999999"/>
        <n v="40679.18"/>
        <n v="40681.839999999997"/>
        <n v="40685.300000000003"/>
        <n v="40713.269999999997"/>
        <n v="40757.72"/>
        <n v="41080.47"/>
        <n v="41132.89"/>
        <n v="41145.589999999997"/>
        <n v="41165.06"/>
        <n v="41180.33"/>
        <n v="41289.980000000003"/>
        <n v="41484.99"/>
        <n v="41617.17"/>
        <n v="41716.19"/>
        <n v="41929.75"/>
        <n v="41982.82"/>
        <n v="42001.4"/>
        <n v="42005.440000000002"/>
        <n v="42208.12"/>
        <n v="42305.279999999999"/>
        <n v="42615.08"/>
        <n v="42785.74"/>
        <n v="42890.7"/>
        <n v="43061.65"/>
        <n v="43272.19"/>
        <n v="43422.96"/>
        <n v="43486.21"/>
        <n v="43509.55"/>
        <n v="43574.54"/>
        <n v="43803.93"/>
        <n v="44188.32"/>
        <n v="44212.34"/>
        <n v="44427.26"/>
        <n v="44645.18"/>
        <n v="44654.9"/>
        <n v="44723.63"/>
        <n v="44842.29"/>
        <n v="44997.13"/>
        <n v="45121.63"/>
        <n v="45190.63"/>
        <n v="45613.26"/>
        <n v="45624.05"/>
        <n v="45783.33"/>
        <n v="45848.99"/>
        <n v="45941.440000000002"/>
        <n v="46046.55"/>
        <n v="46257.67"/>
        <n v="46742.66"/>
        <n v="46757.59"/>
        <n v="46802.58"/>
        <n v="46820.09"/>
        <n v="46838.21"/>
        <n v="46930.83"/>
        <n v="47100.800000000003"/>
        <n v="47652.7"/>
        <n v="48155.37"/>
        <n v="48159.24"/>
        <n v="48349.440000000002"/>
        <n v="48775.1"/>
        <n v="48895.63"/>
        <n v="49056.15"/>
        <n v="49293.16"/>
        <n v="49322.720000000001"/>
        <n v="49385.14"/>
        <n v="49533.440000000002"/>
        <n v="49679.63"/>
        <n v="49903.39"/>
        <n v="49914.25"/>
        <n v="49918.12"/>
        <n v="50017.95"/>
        <n v="50036.94"/>
        <n v="50044.18"/>
        <n v="50130.23"/>
        <n v="50147.34"/>
        <n v="50275.72"/>
        <n v="50476.57"/>
        <n v="50758.31"/>
        <n v="50955.06"/>
        <n v="50974.41"/>
        <n v="51132.49"/>
        <n v="51266.53"/>
        <n v="51651.98"/>
        <n v="51685.09"/>
        <n v="51687"/>
        <n v="51921.919999999998"/>
        <n v="52062.1"/>
        <n v="52115.58"/>
        <n v="52321.46"/>
        <n v="52391.43"/>
        <n v="52730.9"/>
        <n v="52839.67"/>
        <n v="52978.54"/>
        <n v="53078.13"/>
        <n v="53100.44"/>
        <n v="53186.92"/>
        <n v="53235.21"/>
        <n v="53279.87"/>
        <n v="53365.57"/>
        <n v="53373.31"/>
        <n v="53459.55"/>
        <n v="53478.78"/>
        <n v="53512.77"/>
        <n v="53778.69"/>
        <n v="53833.63"/>
        <n v="54023.53"/>
        <n v="54214.04"/>
        <n v="54262.57"/>
        <n v="54272.3"/>
        <n v="54612.34"/>
        <n v="54771.44"/>
        <n v="54948.15"/>
        <n v="55023.040000000001"/>
        <n v="55105.32"/>
        <n v="55321.32"/>
        <n v="55557.84"/>
        <n v="55587.35"/>
        <n v="55653.82"/>
        <n v="55763.57"/>
        <n v="55828.9"/>
        <n v="55871.12"/>
        <n v="56005.54"/>
        <n v="56227.42"/>
        <n v="56283.8"/>
        <n v="56588.6"/>
        <n v="56637.46"/>
        <n v="56689.56"/>
        <n v="56761.07"/>
        <n v="56917.62"/>
        <n v="57009.57"/>
        <n v="57142.78"/>
        <n v="57305.52"/>
        <n v="57528.57"/>
        <n v="57545.83"/>
        <n v="57598.69"/>
        <n v="57608.75"/>
        <n v="57609.26"/>
        <n v="57706.1"/>
        <n v="57767.46"/>
        <n v="57793.52"/>
        <n v="57909.29"/>
        <n v="57977.43"/>
        <n v="58239.83"/>
        <n v="58269.94"/>
        <n v="58835.69"/>
        <n v="58835.75"/>
        <n v="58984.06"/>
        <n v="58986.61"/>
        <n v="59060.08"/>
        <n v="59155.91"/>
        <n v="59264.42"/>
        <n v="59283.68"/>
        <n v="59393.62"/>
        <n v="59445.120000000003"/>
        <n v="59529.56"/>
        <n v="59555.21"/>
        <n v="59946.6"/>
        <n v="60139.78"/>
        <n v="60155.28"/>
        <n v="60186.77"/>
        <n v="60285.58"/>
        <n v="60377.27"/>
        <n v="60398.46"/>
        <n v="60538.14"/>
        <n v="60720.82"/>
        <n v="61103.71"/>
        <n v="61331.040000000001"/>
        <n v="61374.74"/>
        <n v="61469.67"/>
        <n v="61603.62"/>
        <n v="61721.35"/>
        <n v="61999.68"/>
        <n v="62071.23"/>
        <n v="62576.25"/>
        <n v="62620.58"/>
        <n v="62797.38"/>
        <n v="63168.15"/>
        <n v="63688.83"/>
        <n v="63813.51"/>
        <n v="63896.54"/>
        <n v="64276.959999999999"/>
        <n v="64484.6"/>
        <n v="64959.59"/>
        <n v="64991.61"/>
        <n v="65021.22"/>
        <n v="65081.53"/>
        <n v="65276.1"/>
        <n v="65444.800000000003"/>
        <n v="66292.3"/>
        <n v="66338.94"/>
        <n v="66978.64"/>
        <n v="67097.990000000005"/>
        <n v="67734.740000000005"/>
        <n v="68073.119999999995"/>
        <n v="68128.2"/>
        <n v="68153.33"/>
        <n v="68326.05"/>
        <n v="69311.64"/>
        <n v="69386.94"/>
        <n v="69396.63"/>
        <n v="69467.070000000007"/>
        <n v="69494.44"/>
        <n v="69565.86"/>
        <n v="69741.91"/>
        <n v="69863"/>
        <n v="69921.27"/>
        <n v="70250.22"/>
        <n v="70402.77"/>
        <n v="70436.91"/>
        <n v="70515.520000000004"/>
        <n v="70565.789999999994"/>
        <n v="71421.19"/>
        <n v="71563.56"/>
        <n v="72021.27"/>
        <n v="72136.850000000006"/>
        <n v="72242.649999999994"/>
        <n v="72325.759999999995"/>
        <n v="72386.720000000001"/>
        <n v="72745.789999999994"/>
        <n v="73780.600000000006"/>
        <n v="73977.539999999994"/>
        <n v="74057.03"/>
        <n v="74078.87"/>
        <n v="74214.460000000006"/>
        <n v="74433.3"/>
        <n v="75183.19"/>
        <n v="75264.84"/>
        <n v="75371.740000000005"/>
        <n v="75720.23"/>
        <n v="75799.83"/>
        <n v="75806.64"/>
        <n v="75942.5"/>
        <n v="76075.89"/>
        <n v="76114.899999999994"/>
        <n v="76737.11"/>
        <n v="76821.490000000005"/>
        <n v="77128.83"/>
        <n v="78022.3"/>
        <n v="78163.55"/>
        <n v="78490.42"/>
        <n v="78530.23"/>
        <n v="78608.06"/>
        <n v="78680.91"/>
        <n v="79118.25"/>
        <n v="79269.3"/>
        <n v="80535.55"/>
        <n v="80626.240000000005"/>
        <n v="80744.149999999994"/>
        <n v="81249.820000000007"/>
        <n v="81747.199999999997"/>
        <n v="82146.679999999993"/>
        <n v="82353.320000000007"/>
        <n v="82639.81"/>
        <n v="83383.3"/>
        <n v="83486.7"/>
        <n v="83968.12"/>
        <n v="83973.58"/>
        <n v="84291.98"/>
        <n v="84332.46"/>
        <n v="84470.14"/>
        <n v="84522.85"/>
        <n v="84612.72"/>
        <n v="84697.27"/>
        <n v="85045.61"/>
        <n v="85184"/>
        <n v="85227.520000000004"/>
        <n v="85375.99"/>
        <n v="85483.1"/>
        <n v="85500.27"/>
        <n v="85677"/>
        <n v="85931.02"/>
        <n v="85980.3"/>
        <n v="86272.09"/>
        <n v="87138.47"/>
        <n v="87321.01"/>
        <n v="87338.14"/>
        <n v="87352.69"/>
        <n v="87769.5"/>
        <n v="88259.66"/>
        <n v="88559.99"/>
        <n v="88743.63"/>
        <n v="88846.18"/>
        <n v="89170.64"/>
        <n v="89764.800000000003"/>
        <n v="90212.77"/>
        <n v="90314.75"/>
        <n v="90549.19"/>
        <n v="90591.6"/>
        <n v="90844.61"/>
        <n v="90890.93"/>
        <n v="90993.74"/>
        <n v="91001.36"/>
        <n v="91289.01"/>
        <n v="91465.13"/>
        <n v="91573.11"/>
        <n v="91762.67"/>
        <n v="92333.93"/>
        <n v="92539.98"/>
        <n v="92713.87"/>
        <n v="92791.21"/>
        <n v="93038.43"/>
        <n v="93141.440000000002"/>
        <n v="93220.11"/>
        <n v="93258.58"/>
        <n v="93601.7"/>
        <n v="93620.33"/>
        <n v="93695.6"/>
        <n v="93770.34"/>
        <n v="93966.52"/>
        <n v="94284.52"/>
        <n v="94494.15"/>
        <n v="94562.09"/>
        <n v="94600.41"/>
        <n v="95065.74"/>
        <n v="95299.16"/>
        <n v="95534.6"/>
        <n v="95664.63"/>
        <n v="95702.01"/>
        <n v="96138.19"/>
        <n v="96142.28"/>
        <n v="96610.61"/>
        <n v="96850.77"/>
        <n v="97012.31"/>
        <n v="97067.68"/>
        <n v="97243.92"/>
        <n v="97526.3"/>
        <n v="98096.8"/>
        <n v="98099.99"/>
        <n v="98674.08"/>
        <n v="98864.960000000006"/>
        <n v="98934.5"/>
        <n v="99303.02"/>
        <n v="99536.15"/>
        <n v="99752.69"/>
        <n v="99764.31"/>
        <n v="99848"/>
        <n v="99919.9"/>
        <n v="100208.75"/>
        <n v="100495.13"/>
        <n v="100552.39"/>
        <n v="101156.74"/>
        <n v="101197.95"/>
        <n v="101323.26"/>
        <n v="101421.69"/>
        <n v="101458.87"/>
        <n v="101804.74"/>
        <n v="102177.72"/>
        <n v="102386.32"/>
        <n v="102444.76"/>
        <n v="102495.6"/>
        <n v="102648.38"/>
        <n v="102762.21"/>
        <n v="102939.72"/>
        <n v="103213.18"/>
        <n v="103349.01"/>
        <n v="103800.94"/>
        <n v="103983.16"/>
        <n v="103997.26"/>
        <n v="104363.66"/>
        <n v="104462.68"/>
        <n v="104694.14"/>
        <n v="105274.76"/>
        <n v="105433.85"/>
        <n v="106091.68"/>
        <n v="106142.36"/>
        <n v="107152.83"/>
        <n v="107354.31"/>
        <n v="107798.98"/>
        <n v="107888.27"/>
        <n v="108064.19"/>
        <n v="108378.47"/>
        <n v="109201.76"/>
        <n v="109570.5"/>
        <n v="110145.75"/>
        <n v="110276.04"/>
        <n v="111129.77"/>
        <n v="111441.60000000001"/>
        <n v="111627.36"/>
        <n v="111925.04"/>
        <n v="112901"/>
        <n v="113477.99"/>
        <n v="113599.76"/>
        <n v="113884.19"/>
        <n v="114170.84"/>
        <n v="114236.73"/>
        <n v="114452.35"/>
        <n v="115328.39"/>
        <n v="115389.53"/>
        <n v="115754.68"/>
        <n v="115926.03"/>
        <n v="116164.15"/>
        <n v="116515.75"/>
        <n v="116774.49"/>
        <n v="116996.57"/>
        <n v="117234.5"/>
        <n v="117932.65"/>
        <n v="118026.37"/>
        <n v="118177.4"/>
        <n v="118496.56"/>
        <n v="118725.49"/>
        <n v="118952.72"/>
        <n v="119952.93"/>
        <n v="120813.35"/>
        <n v="121121.81"/>
        <n v="121252.81"/>
        <n v="121602.65"/>
        <n v="121680.57"/>
        <n v="121769.01"/>
        <n v="122385.98"/>
        <n v="122476.76"/>
        <n v="122483.97"/>
        <n v="122608.58"/>
        <n v="122657.47"/>
        <n v="122790.61"/>
        <n v="122794.12"/>
        <n v="124218.99"/>
        <n v="124352.55"/>
        <n v="125109.5"/>
        <n v="125892.78"/>
        <n v="126028.1"/>
        <n v="126972.38"/>
        <n v="127406.36"/>
        <n v="128070.72"/>
        <n v="128974.98"/>
        <n v="129123.04"/>
        <n v="129175.56"/>
        <n v="129442.98"/>
        <n v="129571.47"/>
        <n v="129796.7"/>
        <n v="130156.67"/>
        <n v="131042.07"/>
        <n v="131699.57"/>
        <n v="131718.53"/>
        <n v="132029.84"/>
        <n v="132087.35"/>
        <n v="132442.92000000001"/>
        <n v="133233.66"/>
        <n v="133316.38"/>
        <n v="133757.49"/>
        <n v="134062.03"/>
        <n v="134126.96"/>
        <n v="134178.35"/>
        <n v="134240.6"/>
        <n v="135696.63"/>
        <n v="135754.96"/>
        <n v="135855.72"/>
        <n v="136809.56"/>
        <n v="137225.56"/>
        <n v="137940.06"/>
        <n v="138044.03"/>
        <n v="138221.4"/>
        <n v="138559.13"/>
        <n v="140961.57999999999"/>
        <n v="141316.85999999999"/>
        <n v="141595.4"/>
        <n v="141672.88"/>
        <n v="141763.03"/>
        <n v="141848.73000000001"/>
        <n v="142226.51"/>
        <n v="143298.95000000001"/>
        <n v="143312.95999999999"/>
        <n v="143601.34"/>
        <n v="143719.69"/>
        <n v="144328.54999999999"/>
        <n v="144532.29"/>
        <n v="145114.32999999999"/>
        <n v="146310.54"/>
        <n v="146877.09"/>
        <n v="147659.20000000001"/>
        <n v="147970.91"/>
        <n v="148546.89000000001"/>
        <n v="148919.23000000001"/>
        <n v="149108.26"/>
        <n v="149128.98000000001"/>
        <n v="150225.57"/>
        <n v="151007.62"/>
        <n v="151423.35999999999"/>
        <n v="152108.51999999999"/>
        <n v="152793.24"/>
        <n v="153483.76999999999"/>
        <n v="153964.09"/>
        <n v="154043.06"/>
        <n v="154546.12"/>
        <n v="154636.04999999999"/>
        <n v="156331.56"/>
        <n v="156874.97"/>
        <n v="157108.63"/>
        <n v="157949.07999999999"/>
        <n v="158229.82999999999"/>
        <n v="159042.21"/>
        <n v="159246.78"/>
        <n v="160399.35999999999"/>
        <n v="160489.03"/>
        <n v="160630.39000000001"/>
        <n v="162291.74"/>
        <n v="162410.88"/>
        <n v="162512.91"/>
        <n v="163581.12"/>
        <n v="164106.43"/>
        <n v="164684.07999999999"/>
        <n v="165470.9"/>
        <n v="165828.67000000001"/>
        <n v="166406.62"/>
        <n v="166617.92000000001"/>
        <n v="168310.99"/>
        <n v="168331.07"/>
        <n v="168450.91"/>
        <n v="169764.34"/>
        <n v="169899.58"/>
        <n v="170757.41"/>
        <n v="171394.89"/>
        <n v="172918.59"/>
        <n v="174224.03"/>
        <n v="174376.8"/>
        <n v="175904.78"/>
        <n v="176871.83"/>
        <n v="176896.31"/>
        <n v="177072.13"/>
        <n v="179487"/>
        <n v="180339.7"/>
        <n v="181236.6"/>
        <n v="182845.89"/>
        <n v="183223.38"/>
        <n v="183677.52"/>
        <n v="184073.74"/>
        <n v="185852.91"/>
        <n v="188436.24"/>
        <n v="188837.88"/>
        <n v="188867.85"/>
        <n v="191636.21"/>
        <n v="191801.25"/>
        <n v="193241.35"/>
        <n v="194638.98"/>
        <n v="196658.25"/>
        <n v="198621.34"/>
        <n v="199824.19"/>
        <n v="200811.51999999999"/>
        <n v="204698.44"/>
        <n v="207439.68"/>
        <n v="212818.65"/>
        <n v="226873.92"/>
        <n v="234866.62"/>
        <n v="249625.89"/>
      </sharedItems>
    </cacheField>
    <cacheField name="COGS" numFmtId="0">
      <sharedItems containsSemiMixedTypes="0" containsString="0" containsNumber="1" minValue="60.28" maxValue="235808.09" count="1000">
        <n v="60.28"/>
        <n v="172.59"/>
        <n v="182.99"/>
        <n v="332.62"/>
        <n v="610.83000000000004"/>
        <n v="641.67999999999995"/>
        <n v="651"/>
        <n v="735"/>
        <n v="1130.44"/>
        <n v="1150.6400000000001"/>
        <n v="1173.57"/>
        <n v="1192.23"/>
        <n v="1281.6500000000001"/>
        <n v="1304.23"/>
        <n v="1331.78"/>
        <n v="1406.24"/>
        <n v="1410.72"/>
        <n v="1421.88"/>
        <n v="1456.82"/>
        <n v="1515.72"/>
        <n v="1537.5"/>
        <n v="1555.84"/>
        <n v="1635.68"/>
        <n v="1689.88"/>
        <n v="1702.82"/>
        <n v="1824.16"/>
        <n v="1862.73"/>
        <n v="1980.58"/>
        <n v="2073.52"/>
        <n v="2105.25"/>
        <n v="2117.34"/>
        <n v="2122.56"/>
        <n v="2149.35"/>
        <n v="2206.16"/>
        <n v="2258.44"/>
        <n v="2313.63"/>
        <n v="2315.83"/>
        <n v="2323.2199999999998"/>
        <n v="2347.5100000000002"/>
        <n v="2536.44"/>
        <n v="2543.2600000000002"/>
        <n v="2663.22"/>
        <n v="2698.6"/>
        <n v="2707.14"/>
        <n v="2715.52"/>
        <n v="2749.5"/>
        <n v="2755.92"/>
        <n v="2784.3"/>
        <n v="2792.16"/>
        <n v="2928.74"/>
        <n v="2997.27"/>
        <n v="3000.54"/>
        <n v="3022.38"/>
        <n v="3039.48"/>
        <n v="3223.07"/>
        <n v="3290.42"/>
        <n v="3290.89"/>
        <n v="3381.54"/>
        <n v="3418.72"/>
        <n v="3475.32"/>
        <n v="3487.68"/>
        <n v="3536.88"/>
        <n v="3571.23"/>
        <n v="3603.78"/>
        <n v="3648.48"/>
        <n v="3661.14"/>
        <n v="3663.94"/>
        <n v="3674.6"/>
        <n v="3728.55"/>
        <n v="3736.88"/>
        <n v="3837.96"/>
        <n v="3849.16"/>
        <n v="3857.56"/>
        <n v="3865.4"/>
        <n v="3870.82"/>
        <n v="3876.86"/>
        <n v="3999.84"/>
        <n v="4011.45"/>
        <n v="4076.8"/>
        <n v="4185.04"/>
        <n v="4190.83"/>
        <n v="4216.4799999999996"/>
        <n v="4384.6400000000003"/>
        <n v="4491.28"/>
        <n v="4501.82"/>
        <n v="4538.68"/>
        <n v="4743.3"/>
        <n v="4760.6000000000004"/>
        <n v="4762.03"/>
        <n v="4786.05"/>
        <n v="5036.43"/>
        <n v="5055.75"/>
        <n v="5070"/>
        <n v="5073.32"/>
        <n v="5165.3"/>
        <n v="5263.36"/>
        <n v="5294.73"/>
        <n v="5320.7"/>
        <n v="5337.45"/>
        <n v="5368.1"/>
        <n v="5376.15"/>
        <n v="5668.6"/>
        <n v="5736.04"/>
        <n v="5817.12"/>
        <n v="5906.46"/>
        <n v="6027.3"/>
        <n v="6047.24"/>
        <n v="6131.2"/>
        <n v="6280.96"/>
        <n v="6286"/>
        <n v="6289.64"/>
        <n v="6292.24"/>
        <n v="6326.36"/>
        <n v="6347.38"/>
        <n v="6389.73"/>
        <n v="6451.28"/>
        <n v="6503.7"/>
        <n v="6532.32"/>
        <n v="6716.87"/>
        <n v="6844.95"/>
        <n v="6874.69"/>
        <n v="6987.2"/>
        <n v="7060.2"/>
        <n v="7167.32"/>
        <n v="7209.86"/>
        <n v="7328.72"/>
        <n v="7404.87"/>
        <n v="7474.05"/>
        <n v="7505.36"/>
        <n v="7553.28"/>
        <n v="7669.06"/>
        <n v="7669.92"/>
        <n v="7742.52"/>
        <n v="7846.8"/>
        <n v="7971.96"/>
        <n v="8003"/>
        <n v="8156.28"/>
        <n v="8237.26"/>
        <n v="8285.81"/>
        <n v="8436.9500000000007"/>
        <n v="8531.8799999999992"/>
        <n v="8789.16"/>
        <n v="8876.25"/>
        <n v="8893.92"/>
        <n v="9000.2999999999993"/>
        <n v="9497.9"/>
        <n v="9621.9"/>
        <n v="9707.7999999999993"/>
        <n v="9726.42"/>
        <n v="9812.34"/>
        <n v="9943.44"/>
        <n v="10096.56"/>
        <n v="10110.24"/>
        <n v="10205.61"/>
        <n v="10269.36"/>
        <n v="10273.68"/>
        <n v="10304.25"/>
        <n v="10344.39"/>
        <n v="10353.700000000001"/>
        <n v="10417.530000000001"/>
        <n v="10611.6"/>
        <n v="11004.24"/>
        <n v="11032.9"/>
        <n v="11262.94"/>
        <n v="11556.25"/>
        <n v="11588.01"/>
        <n v="11600.56"/>
        <n v="11660.88"/>
        <n v="11671.62"/>
        <n v="11775.36"/>
        <n v="12029.75"/>
        <n v="12034.26"/>
        <n v="12111.54"/>
        <n v="12119.4"/>
        <n v="12127.44"/>
        <n v="12195.52"/>
        <n v="12329.1"/>
        <n v="12365.46"/>
        <n v="12383.57"/>
        <n v="12510.24"/>
        <n v="12519.12"/>
        <n v="12554.48"/>
        <n v="12764.2"/>
        <n v="12822.96"/>
        <n v="13010.76"/>
        <n v="13042.05"/>
        <n v="13062.21"/>
        <n v="13067.88"/>
        <n v="13090.88"/>
        <n v="13212.45"/>
        <n v="13232.44"/>
        <n v="13274.45"/>
        <n v="13335.84"/>
        <n v="13357.25"/>
        <n v="13362.2"/>
        <n v="13417.2"/>
        <n v="13496.99"/>
        <n v="13756.49"/>
        <n v="13907.82"/>
        <n v="13997.11"/>
        <n v="14290.8"/>
        <n v="14333.7"/>
        <n v="14369.25"/>
        <n v="14585.4"/>
        <n v="14713.28"/>
        <n v="14736.1"/>
        <n v="14873.76"/>
        <n v="14897.1"/>
        <n v="14920"/>
        <n v="15087.49"/>
        <n v="15135.27"/>
        <n v="15136.56"/>
        <n v="15225.63"/>
        <n v="15248.8"/>
        <n v="15310.25"/>
        <n v="15312"/>
        <n v="15451.24"/>
        <n v="15566.52"/>
        <n v="15708.98"/>
        <n v="15814.6"/>
        <n v="15968.12"/>
        <n v="15973.56"/>
        <n v="16106.4"/>
        <n v="16296.35"/>
        <n v="16380.4"/>
        <n v="16470.68"/>
        <n v="16597"/>
        <n v="16602.95"/>
        <n v="16829.64"/>
        <n v="16892.27"/>
        <n v="16927"/>
        <n v="16987.38"/>
        <n v="17043.13"/>
        <n v="17085.28"/>
        <n v="17089.5"/>
        <n v="17342"/>
        <n v="17407"/>
        <n v="17411.46"/>
        <n v="17446.52"/>
        <n v="17554.32"/>
        <n v="17973.59"/>
        <n v="18120.689999999999"/>
        <n v="18208.8"/>
        <n v="18254.45"/>
        <n v="18306.099999999999"/>
        <n v="18355.04"/>
        <n v="18386.72"/>
        <n v="18475.439999999999"/>
        <n v="18490.75"/>
        <n v="18547.82"/>
        <n v="18605.82"/>
        <n v="18671.52"/>
        <n v="18754.97"/>
        <n v="18886.8"/>
        <n v="18906.580000000002"/>
        <n v="19103.599999999999"/>
        <n v="19198.62"/>
        <n v="19255.14"/>
        <n v="19420.439999999999"/>
        <n v="19554.400000000001"/>
        <n v="19660.7"/>
        <n v="19772.12"/>
        <n v="19850.400000000001"/>
        <n v="19939.259999999998"/>
        <n v="19958.45"/>
        <n v="20175.75"/>
        <n v="20301.48"/>
        <n v="20372.849999999999"/>
        <n v="20468.05"/>
        <n v="20487.95"/>
        <n v="20683"/>
        <n v="20962.2"/>
        <n v="21007"/>
        <n v="21391.63"/>
        <n v="21441.91"/>
        <n v="21629.5"/>
        <n v="21647.599999999999"/>
        <n v="21656.52"/>
        <n v="21866.639999999999"/>
        <n v="21962.47"/>
        <n v="22141.8"/>
        <n v="22223.58"/>
        <n v="22245.86"/>
        <n v="22282.37"/>
        <n v="22303.62"/>
        <n v="22303.8"/>
        <n v="22377.9"/>
        <n v="22415.68"/>
        <n v="22419.25"/>
        <n v="22420.1"/>
        <n v="22539.599999999999"/>
        <n v="22579.56"/>
        <n v="22581.02"/>
        <n v="22598.66"/>
        <n v="22739.1"/>
        <n v="22812.400000000001"/>
        <n v="22814.46"/>
        <n v="23020.5"/>
        <n v="23087.22"/>
        <n v="23225.599999999999"/>
        <n v="23429.279999999999"/>
        <n v="23573.7"/>
        <n v="23814.35"/>
        <n v="23858.55"/>
        <n v="23876.3"/>
        <n v="23993.13"/>
        <n v="24006.240000000002"/>
        <n v="24044.12"/>
        <n v="24074.400000000001"/>
        <n v="24174.15"/>
        <n v="24228.9"/>
        <n v="24387.84"/>
        <n v="24428.16"/>
        <n v="24670.5"/>
        <n v="24827.759999999998"/>
        <n v="25053.03"/>
        <n v="25075"/>
        <n v="25353.54"/>
        <n v="25607.14"/>
        <n v="25792.05"/>
        <n v="25796.42"/>
        <n v="25937.1"/>
        <n v="26056.799999999999"/>
        <n v="26128.48"/>
        <n v="26199.34"/>
        <n v="26563.02"/>
        <n v="26655.72"/>
        <n v="26722.560000000001"/>
        <n v="26865.5"/>
        <n v="27012.54"/>
        <n v="27041.119999999999"/>
        <n v="27052.78"/>
        <n v="27120.98"/>
        <n v="27220.959999999999"/>
        <n v="27226.76"/>
        <n v="27344.04"/>
        <n v="27447.200000000001"/>
        <n v="27676.880000000001"/>
        <n v="27793.56"/>
        <n v="27952.959999999999"/>
        <n v="28104"/>
        <n v="28171.919999999998"/>
        <n v="28433.75"/>
        <n v="28449.81"/>
        <n v="28521.68"/>
        <n v="28541.81"/>
        <n v="28591.86"/>
        <n v="28662.76"/>
        <n v="28825.279999999999"/>
        <n v="28856.66"/>
        <n v="28857"/>
        <n v="28881.68"/>
        <n v="28922"/>
        <n v="29011.58"/>
        <n v="29129.52"/>
        <n v="29139.439999999999"/>
        <n v="29263.279999999999"/>
        <n v="29270.2"/>
        <n v="29315.88"/>
        <n v="29361.040000000001"/>
        <n v="29404"/>
        <n v="29482.240000000002"/>
        <n v="29487.51"/>
        <n v="29800.68"/>
        <n v="29926.26"/>
        <n v="30061.85"/>
        <n v="30098.16"/>
        <n v="30158.03"/>
        <n v="30176.65"/>
        <n v="30222"/>
        <n v="30262.38"/>
        <n v="30287.52"/>
        <n v="30463.32"/>
        <n v="30465.84"/>
        <n v="30636.9"/>
        <n v="30667.200000000001"/>
        <n v="30765.15"/>
        <n v="31056.32"/>
        <n v="31131.72"/>
        <n v="31209.919999999998"/>
        <n v="31426.400000000001"/>
        <n v="31527.3"/>
        <n v="31533.95"/>
        <n v="31559.7"/>
        <n v="31721.43"/>
        <n v="31732.16"/>
        <n v="31762.959999999999"/>
        <n v="32296.080000000002"/>
        <n v="32461.51"/>
        <n v="32706.720000000001"/>
        <n v="32892.480000000003"/>
        <n v="32937.040000000001"/>
        <n v="32938.22"/>
        <n v="33014.68"/>
        <n v="33257.1"/>
        <n v="33265.5"/>
        <n v="33384.449999999997"/>
        <n v="33460.080000000002"/>
        <n v="33587.32"/>
        <n v="33886.120000000003"/>
        <n v="34040.269999999997"/>
        <n v="34082.879999999997"/>
        <n v="34108.199999999997"/>
        <n v="34175.919999999998"/>
        <n v="34397.760000000002"/>
        <n v="34596.910000000003"/>
        <n v="34794.720000000001"/>
        <n v="34898.5"/>
        <n v="34933.919999999998"/>
        <n v="34962.199999999997"/>
        <n v="35287.919999999998"/>
        <n v="35430.46"/>
        <n v="35734.019999999997"/>
        <n v="35752.339999999997"/>
        <n v="35835.1"/>
        <n v="36521.99"/>
        <n v="36605.519999999997"/>
        <n v="37013.760000000002"/>
        <n v="37053.839999999997"/>
        <n v="37399.14"/>
        <n v="37571.699999999997"/>
        <n v="37792.480000000003"/>
        <n v="37823.040000000001"/>
        <n v="37855.58"/>
        <n v="37967.49"/>
        <n v="38150.400000000001"/>
        <n v="38245.089999999997"/>
        <n v="38389.199999999997"/>
        <n v="38557.660000000003"/>
        <n v="38689.65"/>
        <n v="38978.21"/>
        <n v="39000.9"/>
        <n v="39183.69"/>
        <n v="39314.43"/>
        <n v="39571"/>
        <n v="39583.440000000002"/>
        <n v="39708.94"/>
        <n v="39738.94"/>
        <n v="39885.199999999997"/>
        <n v="39895.599999999999"/>
        <n v="39898"/>
        <n v="40110.300000000003"/>
        <n v="40128.44"/>
        <n v="40140.49"/>
        <n v="40282.199999999997"/>
        <n v="40335.49"/>
        <n v="40482.400000000001"/>
        <n v="40510.660000000003"/>
        <n v="40646.339999999997"/>
        <n v="40744.959999999999"/>
        <n v="40774.58"/>
        <n v="40950.61"/>
        <n v="41164.800000000003"/>
        <n v="41255.74"/>
        <n v="41472.25"/>
        <n v="41890"/>
        <n v="41953.8"/>
        <n v="42019.41"/>
        <n v="42123.15"/>
        <n v="42533.760000000002"/>
        <n v="42633.54"/>
        <n v="42725.43"/>
        <n v="42854.879999999997"/>
        <n v="43070.400000000001"/>
        <n v="43460.56"/>
        <n v="43643.5"/>
        <n v="43848.84"/>
        <n v="44048.55"/>
        <n v="44271.15"/>
        <n v="44283.06"/>
        <n v="44391.24"/>
        <n v="44956.23"/>
        <n v="45106.82"/>
        <n v="45288.38"/>
        <n v="45365.04"/>
        <n v="45482.84"/>
        <n v="45547.75"/>
        <n v="45741.78"/>
        <n v="45812"/>
        <n v="45944.85"/>
        <n v="45958.400000000001"/>
        <n v="46318.8"/>
        <n v="46430.11"/>
        <n v="46625.39"/>
        <n v="46654.080000000002"/>
        <n v="46763.6"/>
        <n v="46846.8"/>
        <n v="46918.22"/>
        <n v="47081"/>
        <n v="47162.080000000002"/>
        <n v="47258.16"/>
        <n v="47334.83"/>
        <n v="47649.599999999999"/>
        <n v="47728.12"/>
        <n v="47838.84"/>
        <n v="47925.64"/>
        <n v="48136.86"/>
        <n v="48258.36"/>
        <n v="48270.400000000001"/>
        <n v="48334.75"/>
        <n v="48571.519999999997"/>
        <n v="48772.42"/>
        <n v="48950.98"/>
        <n v="49053.22"/>
        <n v="49142.94"/>
        <n v="49293.599999999999"/>
        <n v="49683.78"/>
        <n v="49740.12"/>
        <n v="49925.04"/>
        <n v="49967.29"/>
        <n v="50188.38"/>
        <n v="50212.12"/>
        <n v="50524.959999999999"/>
        <n v="50723.74"/>
        <n v="51163.56"/>
        <n v="51191.25"/>
        <n v="51310.8"/>
        <n v="51615.34"/>
        <n v="51617.2"/>
        <n v="51815.4"/>
        <n v="51925.5"/>
        <n v="52146.2"/>
        <n v="52190.32"/>
        <n v="52515.72"/>
        <n v="52589.68"/>
        <n v="52670.879999999997"/>
        <n v="52739.61"/>
        <n v="52829.39"/>
        <n v="53000.12"/>
        <n v="53076.92"/>
        <n v="53155.06"/>
        <n v="53243.63"/>
        <n v="53281.2"/>
        <n v="53451.44"/>
        <n v="53714.31"/>
        <n v="53740.959999999999"/>
        <n v="54054.43"/>
        <n v="54139.05"/>
        <n v="54204.959999999999"/>
        <n v="54376.74"/>
        <n v="54638.76"/>
        <n v="54804.9"/>
        <n v="55268.46"/>
        <n v="55457.760000000002"/>
        <n v="55865.16"/>
        <n v="56188.08"/>
        <n v="56217.75"/>
        <n v="56240.639999999999"/>
        <n v="56285.79"/>
        <n v="56364.7"/>
        <n v="56452.89"/>
        <n v="56520.94"/>
        <n v="56569.05"/>
        <n v="56942.16"/>
        <n v="57048.24"/>
        <n v="57060.08"/>
        <n v="57269.98"/>
        <n v="57456.800000000003"/>
        <n v="57547.839999999997"/>
        <n v="57550.17"/>
        <n v="57615.75"/>
        <n v="57773.94"/>
        <n v="57785.56"/>
        <n v="57908.800000000003"/>
        <n v="57937.27"/>
        <n v="58636.2"/>
        <n v="58656.639999999999"/>
        <n v="58739.519999999997"/>
        <n v="58889.16"/>
        <n v="59026.25"/>
        <n v="59043.5"/>
        <n v="59045.52"/>
        <n v="59430.58"/>
        <n v="59712.6"/>
        <n v="59758.14"/>
        <n v="59931.040000000001"/>
        <n v="59934.6"/>
        <n v="60088.5"/>
        <n v="60094.720000000001"/>
        <n v="60138.54"/>
        <n v="60236.4"/>
        <n v="60504.72"/>
        <n v="60829.71"/>
        <n v="61107.9"/>
        <n v="61119.9"/>
        <n v="61206.400000000001"/>
        <n v="61317.52"/>
        <n v="61402.95"/>
        <n v="61678.95"/>
        <n v="61756.2"/>
        <n v="61909.18"/>
        <n v="61993.87"/>
        <n v="62004.28"/>
        <n v="62301.2"/>
        <n v="62395.199999999997"/>
        <n v="62427.72"/>
        <n v="62556.4"/>
        <n v="62771.519999999997"/>
        <n v="63022.43"/>
        <n v="63024.25"/>
        <n v="63052.22"/>
        <n v="63310.5"/>
        <n v="63359.91"/>
        <n v="63460.68"/>
        <n v="63469.760000000002"/>
        <n v="63615.839999999997"/>
        <n v="63930.68"/>
        <n v="64053.78"/>
        <n v="64463.040000000001"/>
        <n v="64640.52"/>
        <n v="64787.1"/>
        <n v="64878.63"/>
        <n v="64909.84"/>
        <n v="65316.38"/>
        <n v="65321.34"/>
        <n v="65371.68"/>
        <n v="65466.83"/>
        <n v="65595.199999999997"/>
        <n v="65688.320000000007"/>
        <n v="66207.78"/>
        <n v="66378.399999999994"/>
        <n v="66612.84"/>
        <n v="66910.64"/>
        <n v="67126.080000000002"/>
        <n v="67132.399999999994"/>
        <n v="67572.62"/>
        <n v="68030.149999999994"/>
        <n v="68420.92"/>
        <n v="68547.149999999994"/>
        <n v="68574.5"/>
        <n v="68595.360000000001"/>
        <n v="68630.850000000006"/>
        <n v="68691.5"/>
        <n v="68964.960000000006"/>
        <n v="69271.94"/>
        <n v="69276.36"/>
        <n v="69497.279999999999"/>
        <n v="69855.490000000005"/>
        <n v="69904.69"/>
        <n v="69949.22"/>
        <n v="71079.98"/>
        <n v="71234.42"/>
        <n v="71284.399999999994"/>
        <n v="71322.880000000005"/>
        <n v="71348.25"/>
        <n v="71417.14"/>
        <n v="71461.8"/>
        <n v="71701.919999999998"/>
        <n v="71785"/>
        <n v="71801.8"/>
        <n v="71966.16"/>
        <n v="72275.5"/>
        <n v="72351.8"/>
        <n v="72363.210000000006"/>
        <n v="72432.240000000005"/>
        <n v="72518.8"/>
        <n v="72782.11"/>
        <n v="72924.639999999999"/>
        <n v="73063.350000000006"/>
        <n v="73357.5"/>
        <n v="73457.58"/>
        <n v="74216.12"/>
        <n v="74497.960000000006"/>
        <n v="74641.8"/>
        <n v="74840.17"/>
        <n v="75203.7"/>
        <n v="75554.149999999994"/>
        <n v="75844.800000000003"/>
        <n v="76177.42"/>
        <n v="76484.89"/>
        <n v="76717.19"/>
        <n v="77054.69"/>
        <n v="77601.48"/>
        <n v="77870.539999999994"/>
        <n v="78022.44"/>
        <n v="78211.98"/>
        <n v="78374.7"/>
        <n v="79090.44"/>
        <n v="79342.559999999998"/>
        <n v="79465.98"/>
        <n v="79628.25"/>
        <n v="79631.42"/>
        <n v="79644.479999999996"/>
        <n v="79760.45"/>
        <n v="80364.3"/>
        <n v="80406.600000000006"/>
        <n v="80458.84"/>
        <n v="80625.119999999995"/>
        <n v="82072.55"/>
        <n v="83010.559999999998"/>
        <n v="83726.7"/>
        <n v="84005.04"/>
        <n v="84052.800000000003"/>
        <n v="84060.68"/>
        <n v="84275.09"/>
        <n v="84289"/>
        <n v="84363.520000000004"/>
        <n v="84433.22"/>
        <n v="84762.72"/>
        <n v="85195.11"/>
        <n v="85468.86"/>
        <n v="85648.86"/>
        <n v="85727.679999999993"/>
        <n v="85974.8"/>
        <n v="86302.26"/>
        <n v="86339.520000000004"/>
        <n v="86389.38"/>
        <n v="86900.1"/>
        <n v="86906.61"/>
        <n v="87343.2"/>
        <n v="87817.25"/>
        <n v="88296.320000000007"/>
        <n v="88888.28"/>
        <n v="89074.02"/>
        <n v="89863.55"/>
        <n v="89980"/>
        <n v="89990.399999999994"/>
        <n v="90590.399999999994"/>
        <n v="90621.23"/>
        <n v="90991.87"/>
        <n v="91147.88"/>
        <n v="91356.65"/>
        <n v="91362.96"/>
        <n v="91727.039999999994"/>
        <n v="91760.24"/>
        <n v="91804.800000000003"/>
        <n v="91903.77"/>
        <n v="92156.49"/>
        <n v="92401.76"/>
        <n v="92442.8"/>
        <n v="92758.54"/>
        <n v="92805.46"/>
        <n v="93193.1"/>
        <n v="93720"/>
        <n v="94062.98"/>
        <n v="94258.71"/>
        <n v="94543.8"/>
        <n v="94644.42"/>
        <n v="94672.62"/>
        <n v="94831.8"/>
        <n v="94841.919999999998"/>
        <n v="95053.14"/>
        <n v="95750.9"/>
        <n v="96101.25"/>
        <n v="96129.54"/>
        <n v="96228.12"/>
        <n v="96806.82"/>
        <n v="97325.8"/>
        <n v="97477.119999999995"/>
        <n v="97715.8"/>
        <n v="97874.19"/>
        <n v="97939.92"/>
        <n v="98003.4"/>
        <n v="98030.94"/>
        <n v="98250.47"/>
        <n v="98436.46"/>
        <n v="98480.25"/>
        <n v="98670.3"/>
        <n v="98904.21"/>
        <n v="99202.8"/>
        <n v="99329.12"/>
        <n v="99927.5"/>
        <n v="99929.48"/>
        <n v="100584.96000000001"/>
        <n v="100621.18"/>
        <n v="100943.25"/>
        <n v="100980.6"/>
        <n v="101526.75"/>
        <n v="102612"/>
        <n v="102629.94"/>
        <n v="102908.38"/>
        <n v="103036.16"/>
        <n v="103209.04"/>
        <n v="103227.24"/>
        <n v="103299.44"/>
        <n v="103712"/>
        <n v="103730.5"/>
        <n v="103784.33"/>
        <n v="105084"/>
        <n v="105227.22"/>
        <n v="105588.9"/>
        <n v="105598.64"/>
        <n v="105865.48"/>
        <n v="105920.52"/>
        <n v="106164.4"/>
        <n v="106252.38"/>
        <n v="106472.86"/>
        <n v="106790.13"/>
        <n v="107242.56"/>
        <n v="107460.74"/>
        <n v="107483.37"/>
        <n v="107499.6"/>
        <n v="107840.16"/>
        <n v="108497.7"/>
        <n v="108608.54"/>
        <n v="109077.36"/>
        <n v="109265.28"/>
        <n v="109410.34"/>
        <n v="109420.08"/>
        <n v="110227.32"/>
        <n v="110413.8"/>
        <n v="110677.44"/>
        <n v="110823.65"/>
        <n v="110925.36"/>
        <n v="111212.16"/>
        <n v="111604.4"/>
        <n v="111944.96000000001"/>
        <n v="111988.4"/>
        <n v="112784.1"/>
        <n v="112837.89"/>
        <n v="113435"/>
        <n v="113739.12"/>
        <n v="114065.28"/>
        <n v="114408.6"/>
        <n v="115114.05"/>
        <n v="115250.56"/>
        <n v="115638"/>
        <n v="115699.9"/>
        <n v="116281.1"/>
        <n v="116520.5"/>
        <n v="116578.8"/>
        <n v="116677.4"/>
        <n v="117371.76"/>
        <n v="117562.08"/>
        <n v="117574.2"/>
        <n v="117919.88"/>
        <n v="117988.08"/>
        <n v="118428.09"/>
        <n v="118545.68"/>
        <n v="118661.38"/>
        <n v="119095.8"/>
        <n v="119354"/>
        <n v="119385.12"/>
        <n v="119794.88"/>
        <n v="121140.25"/>
        <n v="121229.55"/>
        <n v="121492.2"/>
        <n v="121934.28"/>
        <n v="123598.39999999999"/>
        <n v="124071.74"/>
        <n v="124249.92"/>
        <n v="124642.56"/>
        <n v="125495.03999999999"/>
        <n v="125708.4"/>
        <n v="126245.41"/>
        <n v="126363.84"/>
        <n v="126425.97"/>
        <n v="126543.33"/>
        <n v="126924.21"/>
        <n v="127312.16"/>
        <n v="127578.1"/>
        <n v="127627.2"/>
        <n v="127980.76"/>
        <n v="128790.62"/>
        <n v="129334.8"/>
        <n v="129843"/>
        <n v="130340.31"/>
        <n v="130871.24"/>
        <n v="130945.5"/>
        <n v="131047.98"/>
        <n v="131879.57999999999"/>
        <n v="132227.9"/>
        <n v="133097.85"/>
        <n v="133525.32"/>
        <n v="134874.6"/>
        <n v="135438.07"/>
        <n v="135952"/>
        <n v="136273.41"/>
        <n v="136532.48000000001"/>
        <n v="137404.75"/>
        <n v="137539.84"/>
        <n v="138014.56"/>
        <n v="138083.04"/>
        <n v="138169.20000000001"/>
        <n v="138215.5"/>
        <n v="138810.23999999999"/>
        <n v="138846.09"/>
        <n v="139344.24"/>
        <n v="139396.5"/>
        <n v="139402.66"/>
        <n v="139529.91"/>
        <n v="140122.71"/>
        <n v="140923.20000000001"/>
        <n v="141458.4"/>
        <n v="142257.24"/>
        <n v="142453.78"/>
        <n v="142485.35"/>
        <n v="142613.04"/>
        <n v="142837.74"/>
        <n v="143323.20000000001"/>
        <n v="143618.35"/>
        <n v="143716.17000000001"/>
        <n v="144112.79999999999"/>
        <n v="144275.32"/>
        <n v="144689.16"/>
        <n v="145567.07999999999"/>
        <n v="147458.51999999999"/>
        <n v="147568.44"/>
        <n v="148315.65"/>
        <n v="149076.06"/>
        <n v="149668.20000000001"/>
        <n v="150315.07999999999"/>
        <n v="150685.07999999999"/>
        <n v="151239.9"/>
        <n v="152227.6"/>
        <n v="152700.85"/>
        <n v="152801.28"/>
        <n v="153078.12"/>
        <n v="153212.07999999999"/>
        <n v="153438.63"/>
        <n v="154848.76"/>
        <n v="155855.92000000001"/>
        <n v="156153.96"/>
        <n v="156822.04999999999"/>
        <n v="157476.99"/>
        <n v="158611.84"/>
        <n v="159082.20000000001"/>
        <n v="161132.04"/>
        <n v="161271.24"/>
        <n v="162166.92000000001"/>
        <n v="162197.23000000001"/>
        <n v="162264.95999999999"/>
        <n v="162792.6"/>
        <n v="163329.20000000001"/>
        <n v="163586.4"/>
        <n v="163759.67999999999"/>
        <n v="165079.59"/>
        <n v="165197.28"/>
        <n v="165612.35"/>
        <n v="166538.23999999999"/>
        <n v="166932.72"/>
        <n v="167055.75"/>
        <n v="168521.46"/>
        <n v="168752.68"/>
        <n v="168871.17"/>
        <n v="169353.46"/>
        <n v="169463.14"/>
        <n v="169697.06"/>
        <n v="170315.46"/>
        <n v="170367.4"/>
        <n v="170591.75"/>
        <n v="171501.05"/>
        <n v="172115.49"/>
        <n v="172362.28"/>
        <n v="173031.91"/>
        <n v="173573.79"/>
        <n v="174254.06"/>
        <n v="176138.74"/>
        <n v="176622.18"/>
        <n v="176803.1"/>
        <n v="178634.9"/>
        <n v="179830.8"/>
        <n v="180290.46"/>
        <n v="180904.05"/>
        <n v="181103.13"/>
        <n v="181495.67"/>
        <n v="182002.23"/>
        <n v="184966.39999999999"/>
        <n v="185289.98"/>
        <n v="185501.94"/>
        <n v="185975.55"/>
        <n v="189314.38"/>
        <n v="189660.51"/>
        <n v="191799.45"/>
        <n v="191981.92"/>
        <n v="192080.25"/>
        <n v="192259.47"/>
        <n v="194263.86"/>
        <n v="195408.14"/>
        <n v="196076.01"/>
        <n v="196197.2"/>
        <n v="196397.77"/>
        <n v="196627.5"/>
        <n v="198400.86"/>
        <n v="201190.95"/>
        <n v="201394.06"/>
        <n v="201692.51"/>
        <n v="201955.52"/>
        <n v="203567.87"/>
        <n v="205601.06"/>
        <n v="207327.35999999999"/>
        <n v="207600.96"/>
        <n v="207882.21"/>
        <n v="208200.6"/>
        <n v="208958.54"/>
        <n v="210306.53"/>
        <n v="211150.8"/>
        <n v="212044.36"/>
        <n v="213185.42"/>
        <n v="214339.95"/>
        <n v="214595.52"/>
        <n v="215805.32"/>
        <n v="217056.84"/>
        <n v="218204.1"/>
        <n v="218232"/>
        <n v="222290.73"/>
        <n v="223836.3"/>
        <n v="228670.51"/>
        <n v="228793.44"/>
        <n v="235808.09"/>
      </sharedItems>
    </cacheField>
    <cacheField name="Net_Margin" numFmtId="0">
      <sharedItems containsSemiMixedTypes="0" containsString="0" containsNumber="1" minValue="-54935.73" maxValue="20832.45" count="1000">
        <n v="-54935.73"/>
        <n v="-53938.64"/>
        <n v="-50758.83"/>
        <n v="-50386.44"/>
        <n v="-48726.09"/>
        <n v="-47912.46"/>
        <n v="-43855.199999999997"/>
        <n v="-43306.15"/>
        <n v="-42880.22"/>
        <n v="-42729.7"/>
        <n v="-41855.620000000003"/>
        <n v="-40534.089999999997"/>
        <n v="-40371.49"/>
        <n v="-39812.639999999999"/>
        <n v="-39584.25"/>
        <n v="-39466.230000000003"/>
        <n v="-38890.339999999997"/>
        <n v="-38717.1"/>
        <n v="-38596.01"/>
        <n v="-38578.15"/>
        <n v="-38513.94"/>
        <n v="-38274.82"/>
        <n v="-37983.39"/>
        <n v="-37433.22"/>
        <n v="-37133.74"/>
        <n v="-36464.79"/>
        <n v="-36314.78"/>
        <n v="-35465.620000000003"/>
        <n v="-35352.39"/>
        <n v="-35292.58"/>
        <n v="-35285.89"/>
        <n v="-35246.019999999997"/>
        <n v="-35209.22"/>
        <n v="-34852.86"/>
        <n v="-34551.31"/>
        <n v="-34186.04"/>
        <n v="-33543.040000000001"/>
        <n v="-33454.1"/>
        <n v="-32717.61"/>
        <n v="-32054.639999999999"/>
        <n v="-31886.83"/>
        <n v="-31388.04"/>
        <n v="-31319.08"/>
        <n v="-31299.360000000001"/>
        <n v="-31058.42"/>
        <n v="-30967.49"/>
        <n v="-30793.95"/>
        <n v="-30663.99"/>
        <n v="-30528.83"/>
        <n v="-30489.48"/>
        <n v="-30301.4"/>
        <n v="-30299.85"/>
        <n v="-28831.18"/>
        <n v="-28501.279999999999"/>
        <n v="-28409.43"/>
        <n v="-28376.31"/>
        <n v="-28349.040000000001"/>
        <n v="-28228.82"/>
        <n v="-27716.32"/>
        <n v="-27097.15"/>
        <n v="-26702.91"/>
        <n v="-26236.31"/>
        <n v="-26079.919999999998"/>
        <n v="-25963.15"/>
        <n v="-25449.48"/>
        <n v="-25449.21"/>
        <n v="-24771.57"/>
        <n v="-24753.59"/>
        <n v="-24376.86"/>
        <n v="-24371.24"/>
        <n v="-23407.24"/>
        <n v="-23212.799999999999"/>
        <n v="-23152.6"/>
        <n v="-23091.06"/>
        <n v="-22986.03"/>
        <n v="-22859.99"/>
        <n v="-22289.94"/>
        <n v="-22167.1"/>
        <n v="-21961.84"/>
        <n v="-21595.94"/>
        <n v="-21505.47"/>
        <n v="-21428.98"/>
        <n v="-20832.53"/>
        <n v="-20806.7"/>
        <n v="-20587.43"/>
        <n v="-20225.73"/>
        <n v="-20222.650000000001"/>
        <n v="-20186.3"/>
        <n v="-19697.88"/>
        <n v="-19583.73"/>
        <n v="-19451.87"/>
        <n v="-19351.689999999999"/>
        <n v="-19286.150000000001"/>
        <n v="-19273.52"/>
        <n v="-18911.22"/>
        <n v="-18878.509999999998"/>
        <n v="-18653.419999999998"/>
        <n v="-18638.82"/>
        <n v="-18600.59"/>
        <n v="-18408.099999999999"/>
        <n v="-18031.560000000001"/>
        <n v="-18004.34"/>
        <n v="-17780.82"/>
        <n v="-17538.009999999998"/>
        <n v="-17296.79"/>
        <n v="-17190.810000000001"/>
        <n v="-17110.25"/>
        <n v="-17011.29"/>
        <n v="-16970.68"/>
        <n v="-16941.95"/>
        <n v="-16836.849999999999"/>
        <n v="-16636.16"/>
        <n v="-16592.439999999999"/>
        <n v="-16245.32"/>
        <n v="-16064.27"/>
        <n v="-15992.07"/>
        <n v="-15991.96"/>
        <n v="-15950.61"/>
        <n v="-15776.14"/>
        <n v="-15774.07"/>
        <n v="-15591.65"/>
        <n v="-15569.68"/>
        <n v="-15459.27"/>
        <n v="-15394.11"/>
        <n v="-15085.92"/>
        <n v="-14997.3"/>
        <n v="-14960.6"/>
        <n v="-14932.44"/>
        <n v="-14860.44"/>
        <n v="-14774.9"/>
        <n v="-14657.11"/>
        <n v="-14537.97"/>
        <n v="-14188.61"/>
        <n v="-14074.59"/>
        <n v="-13989.7"/>
        <n v="-13971.8"/>
        <n v="-13898.88"/>
        <n v="-13534.74"/>
        <n v="-13519.71"/>
        <n v="-13462.23"/>
        <n v="-13280.17"/>
        <n v="-13243.99"/>
        <n v="-13242.92"/>
        <n v="-13170.65"/>
        <n v="-13010.46"/>
        <n v="-13010.06"/>
        <n v="-12913.88"/>
        <n v="-12894.34"/>
        <n v="-12887.5"/>
        <n v="-12878.93"/>
        <n v="-12869.35"/>
        <n v="-12862.83"/>
        <n v="-12815.64"/>
        <n v="-12768.94"/>
        <n v="-12647.21"/>
        <n v="-12400.47"/>
        <n v="-12383.08"/>
        <n v="-12376.12"/>
        <n v="-12375.02"/>
        <n v="-12332.62"/>
        <n v="-12300.29"/>
        <n v="-12278.4"/>
        <n v="-12268.16"/>
        <n v="-12265.94"/>
        <n v="-12135.65"/>
        <n v="-12070.52"/>
        <n v="-11971.66"/>
        <n v="-11898.59"/>
        <n v="-11881.79"/>
        <n v="-11816.63"/>
        <n v="-11810.15"/>
        <n v="-11748.92"/>
        <n v="-11741.15"/>
        <n v="-11686.66"/>
        <n v="-11633.24"/>
        <n v="-11569.2"/>
        <n v="-11474.92"/>
        <n v="-11452.58"/>
        <n v="-11416.2"/>
        <n v="-11411.83"/>
        <n v="-11358.43"/>
        <n v="-11324.65"/>
        <n v="-11317.61"/>
        <n v="-11262.54"/>
        <n v="-11153.66"/>
        <n v="-11130.3"/>
        <n v="-11069.46"/>
        <n v="-10904.37"/>
        <n v="-10890.15"/>
        <n v="-10791.61"/>
        <n v="-10781.25"/>
        <n v="-10672.79"/>
        <n v="-10647.27"/>
        <n v="-10612.5"/>
        <n v="-10564.51"/>
        <n v="-10547.33"/>
        <n v="-10530.29"/>
        <n v="-10495.46"/>
        <n v="-10421.56"/>
        <n v="-10234.549999999999"/>
        <n v="-10220.94"/>
        <n v="-10186.219999999999"/>
        <n v="-10130.76"/>
        <n v="-10073.91"/>
        <n v="-10050.99"/>
        <n v="-9894.7199999999993"/>
        <n v="-9853.21000000001"/>
        <n v="-9837.1499999999905"/>
        <n v="-9826.4299999999894"/>
        <n v="-9823.75"/>
        <n v="-9812.1200000000008"/>
        <n v="-9804.9"/>
        <n v="-9797.5699999999906"/>
        <n v="-9667.52"/>
        <n v="-9627.01"/>
        <n v="-9493.5999999999894"/>
        <n v="-9469.1200000000008"/>
        <n v="-9446.7099999999991"/>
        <n v="-9437.15"/>
        <n v="-9301.3799999999992"/>
        <n v="-9264.86"/>
        <n v="-9264.09"/>
        <n v="-9180.7000000000007"/>
        <n v="-9145.8700000000008"/>
        <n v="-9136.58"/>
        <n v="-9103.7199999999993"/>
        <n v="-9089.6799999999894"/>
        <n v="-9032.25"/>
        <n v="-8975.98"/>
        <n v="-8962.89"/>
        <n v="-8934.1699999999801"/>
        <n v="-8895.5699999999797"/>
        <n v="-8837.5400000000009"/>
        <n v="-8832.5699999999906"/>
        <n v="-8825.9200000000092"/>
        <n v="-8800.7400000000107"/>
        <n v="-8680.69"/>
        <n v="-8571.2199999999993"/>
        <n v="-8552.34"/>
        <n v="-8538.82"/>
        <n v="-8515.74"/>
        <n v="-8472.19"/>
        <n v="-8464.3499999999894"/>
        <n v="-8352.73"/>
        <n v="-8324.3000000000193"/>
        <n v="-8288.92"/>
        <n v="-8273.14"/>
        <n v="-8246.4800000000105"/>
        <n v="-8199.2000000000007"/>
        <n v="-8182.32"/>
        <n v="-8177.3999999999896"/>
        <n v="-8165.5"/>
        <n v="-8122.1000000000104"/>
        <n v="-7985.45999999999"/>
        <n v="-7945.78"/>
        <n v="-7892.57"/>
        <n v="-7874.68"/>
        <n v="-7866.05"/>
        <n v="-7838.64"/>
        <n v="-7791.87"/>
        <n v="-7776.12"/>
        <n v="-7768.6799999999903"/>
        <n v="-7712.19"/>
        <n v="-7699.37"/>
        <n v="-7636.39"/>
        <n v="-7524.84"/>
        <n v="-7513.23"/>
        <n v="-7503.1699999999801"/>
        <n v="-7478.25"/>
        <n v="-7427.45"/>
        <n v="-7378.5"/>
        <n v="-7366.75"/>
        <n v="-7360.25"/>
        <n v="-7356.5"/>
        <n v="-7269.78"/>
        <n v="-7264.52"/>
        <n v="-7208.16"/>
        <n v="-7189.16"/>
        <n v="-7136.16"/>
        <n v="-7095.38"/>
        <n v="-7069.17"/>
        <n v="-7046.7699999999904"/>
        <n v="-7038.7600000000102"/>
        <n v="-7022.70999999999"/>
        <n v="-6976.57"/>
        <n v="-6971.8"/>
        <n v="-6924.21000000001"/>
        <n v="-6822.73"/>
        <n v="-6571.22"/>
        <n v="-6549.1200000000099"/>
        <n v="-6520.25"/>
        <n v="-6501.93"/>
        <n v="-6500.9699999999903"/>
        <n v="-6481.3"/>
        <n v="-6468.4899999999898"/>
        <n v="-6422.18"/>
        <n v="-6339.78"/>
        <n v="-6321.7"/>
        <n v="-6281.9299999999903"/>
        <n v="-6278.18"/>
        <n v="-6237.91"/>
        <n v="-6191.35"/>
        <n v="-6176.19"/>
        <n v="-6097.6400000000103"/>
        <n v="-6082.12"/>
        <n v="-6015.3499999999904"/>
        <n v="-5995.69"/>
        <n v="-5965.12"/>
        <n v="-5923.53"/>
        <n v="-5833.29000000001"/>
        <n v="-5799.99"/>
        <n v="-5784.86"/>
        <n v="-5763.1000000000104"/>
        <n v="-5758.39"/>
        <n v="-5649.16"/>
        <n v="-5620.0699999999897"/>
        <n v="-5586.7700000000204"/>
        <n v="-5567.52"/>
        <n v="-5550.4899999999898"/>
        <n v="-5527.09"/>
        <n v="-5516.98"/>
        <n v="-5474.53"/>
        <n v="-5465.69"/>
        <n v="-5402.96"/>
        <n v="-5323.28"/>
        <n v="-5310.56"/>
        <n v="-5259.53"/>
        <n v="-5224.28"/>
        <n v="-5136.03"/>
        <n v="-5113.1400000000003"/>
        <n v="-5093.16"/>
        <n v="-5074.42"/>
        <n v="-5052.68"/>
        <n v="-5044.41"/>
        <n v="-5032.34"/>
        <n v="-4913.3999999999896"/>
        <n v="-4883.1299999999801"/>
        <n v="-4875.12"/>
        <n v="-4857.75"/>
        <n v="-4845.12"/>
        <n v="-4762.8799999999901"/>
        <n v="-4741.1499999999996"/>
        <n v="-4737.22"/>
        <n v="-4734.3100000000104"/>
        <n v="-4665.13"/>
        <n v="-4616.8599999999997"/>
        <n v="-4603.8800000000101"/>
        <n v="-4560.08"/>
        <n v="-4554.49"/>
        <n v="-4549.4900000000098"/>
        <n v="-4509.5200000000004"/>
        <n v="-4497.26"/>
        <n v="-4467.43"/>
        <n v="-4447.8"/>
        <n v="-4426.9399999999996"/>
        <n v="-4423.1499999999996"/>
        <n v="-4410.6899999999996"/>
        <n v="-4375.47"/>
        <n v="-4339.54"/>
        <n v="-4337.3100000000004"/>
        <n v="-4328.4399999999996"/>
        <n v="-4316.41"/>
        <n v="-4309.6400000000003"/>
        <n v="-4302.9399999999996"/>
        <n v="-4282.6099999999997"/>
        <n v="-4266.9899999999898"/>
        <n v="-4254.3899999999903"/>
        <n v="-4237.91"/>
        <n v="-4184.68"/>
        <n v="-4162.26"/>
        <n v="-4157.7700000000004"/>
        <n v="-4121.5"/>
        <n v="-4099.9799999999996"/>
        <n v="-4033.79"/>
        <n v="-3956.88"/>
        <n v="-3912.9200000000101"/>
        <n v="-3857.9"/>
        <n v="-3856.78999999999"/>
        <n v="-3789.58"/>
        <n v="-3699.19"/>
        <n v="-3662.7599999999902"/>
        <n v="-3644.0100000000102"/>
        <n v="-3633.36"/>
        <n v="-3620.64"/>
        <n v="-3591.46000000001"/>
        <n v="-3587.94"/>
        <n v="-3539.14"/>
        <n v="-3531.5"/>
        <n v="-3528.0099999999902"/>
        <n v="-3524.78999999998"/>
        <n v="-3496.34"/>
        <n v="-3490.9200000000101"/>
        <n v="-3477.21"/>
        <n v="-3418.2"/>
        <n v="-3386.1499999999901"/>
        <n v="-3375.3"/>
        <n v="-3360.96"/>
        <n v="-3338.59"/>
        <n v="-3337.81"/>
        <n v="-3307.39"/>
        <n v="-3276.8"/>
        <n v="-3258.35"/>
        <n v="-3241.96"/>
        <n v="-3239.2"/>
        <n v="-3230.76"/>
        <n v="-3167.87"/>
        <n v="-3137.44"/>
        <n v="-3126.02"/>
        <n v="-3060.57"/>
        <n v="-3035.93"/>
        <n v="-3004.92"/>
        <n v="-2994.7"/>
        <n v="-2973.78"/>
        <n v="-2926.13"/>
        <n v="-2920.56"/>
        <n v="-2919.35"/>
        <n v="-2829.36"/>
        <n v="-2785.52"/>
        <n v="-2764"/>
        <n v="-2709.64"/>
        <n v="-2687.38"/>
        <n v="-2575.0300000000002"/>
        <n v="-2571.92"/>
        <n v="-2569.6100000000201"/>
        <n v="-2560.38"/>
        <n v="-2524.79"/>
        <n v="-2519.77"/>
        <n v="-2480.1999999999998"/>
        <n v="-2447.86"/>
        <n v="-2447.79"/>
        <n v="-2441.88"/>
        <n v="-2433.33"/>
        <n v="-2432.08"/>
        <n v="-2421.21"/>
        <n v="-2407.08"/>
        <n v="-2392.62"/>
        <n v="-2384.11"/>
        <n v="-2383.87"/>
        <n v="-2363.12"/>
        <n v="-2351.48"/>
        <n v="-2349.38"/>
        <n v="-2337.6999999999998"/>
        <n v="-2325.85"/>
        <n v="-2298.19"/>
        <n v="-2272.15"/>
        <n v="-2267.25"/>
        <n v="-2254.8499999999899"/>
        <n v="-2250.64"/>
        <n v="-2245.4699999999998"/>
        <n v="-2227.73"/>
        <n v="-2212.61"/>
        <n v="-2210.6499999999901"/>
        <n v="-2166.4900000000098"/>
        <n v="-2159.6799999999998"/>
        <n v="-2134.02"/>
        <n v="-2130.3000000000002"/>
        <n v="-2128.2399999999998"/>
        <n v="-2114.19"/>
        <n v="-2096.2600000000002"/>
        <n v="-2075.98"/>
        <n v="-2067.21"/>
        <n v="-2030.71"/>
        <n v="-2020.4"/>
        <n v="-2019.94"/>
        <n v="-1990.33"/>
        <n v="-1990"/>
        <n v="-1949.24"/>
        <n v="-1944.7"/>
        <n v="-1942.95"/>
        <n v="-1922.49"/>
        <n v="-1875.82"/>
        <n v="-1875.12"/>
        <n v="-1852.72"/>
        <n v="-1795.27"/>
        <n v="-1739.98"/>
        <n v="-1730.9"/>
        <n v="-1722.61"/>
        <n v="-1682.46"/>
        <n v="-1652.07"/>
        <n v="-1601.73"/>
        <n v="-1577.8"/>
        <n v="-1575.05"/>
        <n v="-1540.4"/>
        <n v="-1529.69"/>
        <n v="-1515.91"/>
        <n v="-1456.87"/>
        <n v="-1449.42"/>
        <n v="-1441.3100000000099"/>
        <n v="-1439.41"/>
        <n v="-1417.75"/>
        <n v="-1408.01999999999"/>
        <n v="-1388.6"/>
        <n v="-1330.64"/>
        <n v="-1299.93"/>
        <n v="-1298.4000000000001"/>
        <n v="-1281.94"/>
        <n v="-1238.43"/>
        <n v="-1225.75"/>
        <n v="-1220.27"/>
        <n v="-1215.9100000000001"/>
        <n v="-1205"/>
        <n v="-1204.02"/>
        <n v="-1189.8"/>
        <n v="-1174.79"/>
        <n v="-1160.28"/>
        <n v="-1158.3599999999999"/>
        <n v="-1137.0999999999999"/>
        <n v="-1136.0999999999999"/>
        <n v="-1134.1099999999999"/>
        <n v="-1126.71"/>
        <n v="-1107.8499999999999"/>
        <n v="-1103.56"/>
        <n v="-1090.83"/>
        <n v="-1082.51"/>
        <n v="-1060.01"/>
        <n v="-1050.28"/>
        <n v="-1047.8"/>
        <n v="-971.88000000000102"/>
        <n v="-963.93"/>
        <n v="-951.10999999999899"/>
        <n v="-926.70000000000095"/>
        <n v="-918.40000000000896"/>
        <n v="-896.82999999999799"/>
        <n v="-852.70999999999901"/>
        <n v="-824.67"/>
        <n v="-816.42"/>
        <n v="-816.01"/>
        <n v="-802.08000000000197"/>
        <n v="-795.04000000000099"/>
        <n v="-765.11999999999898"/>
        <n v="-760.33999999999696"/>
        <n v="-755.27"/>
        <n v="-742.400000000001"/>
        <n v="-734.5"/>
        <n v="-717.43999999999903"/>
        <n v="-711.79000000000804"/>
        <n v="-671.04000000000099"/>
        <n v="-667.06000000000097"/>
        <n v="-658.39"/>
        <n v="-633.33000000000197"/>
        <n v="-619.130000000005"/>
        <n v="-618.969999999999"/>
        <n v="-606.47"/>
        <n v="-599.33000000000197"/>
        <n v="-593.62"/>
        <n v="-586.87999999999897"/>
        <n v="-584.64999999999395"/>
        <n v="-582.38000000000102"/>
        <n v="-580.63"/>
        <n v="-561.41999999999803"/>
        <n v="-537.16"/>
        <n v="-534.42000000000598"/>
        <n v="-517.30999999999801"/>
        <n v="-474.62999999998999"/>
        <n v="-470.70999999999901"/>
        <n v="-467.81"/>
        <n v="-442.52999999999901"/>
        <n v="-441.81"/>
        <n v="-432.93"/>
        <n v="-429.45"/>
        <n v="-401.77"/>
        <n v="-399.08000000000197"/>
        <n v="-384.54000000000099"/>
        <n v="-355.16"/>
        <n v="-347.89"/>
        <n v="-345.71000000002101"/>
        <n v="-337.07"/>
        <n v="-326.45999999999998"/>
        <n v="-314.5"/>
        <n v="-306.43"/>
        <n v="-297.38000000000102"/>
        <n v="-287.24"/>
        <n v="-285.32"/>
        <n v="-274.33"/>
        <n v="-247.29000000000099"/>
        <n v="-241.88999999999899"/>
        <n v="-233.59"/>
        <n v="-230.20000000000101"/>
        <n v="-228.45000000000101"/>
        <n v="-224.77"/>
        <n v="-224.32"/>
        <n v="-215.199999999997"/>
        <n v="-204.69"/>
        <n v="-202.120000000001"/>
        <n v="-171.84"/>
        <n v="-163.82000000000099"/>
        <n v="-140.44"/>
        <n v="-125.84"/>
        <n v="-122.28"/>
        <n v="-117.76"/>
        <n v="-114.13999999999901"/>
        <n v="-107.89999999999399"/>
        <n v="-79.709999999999098"/>
        <n v="-73.950000000011599"/>
        <n v="-71.949999999998894"/>
        <n v="-54.93"/>
        <n v="-52.46"/>
        <n v="-49.6900000000023"/>
        <n v="-28.83"/>
        <n v="-28.389999999999901"/>
        <n v="-16.46"/>
        <n v="-5.9699999999997999"/>
        <n v="-4.75"/>
        <n v="-1"/>
        <n v="6.48000000000002"/>
        <n v="19.9499999999999"/>
        <n v="23.619999999999902"/>
        <n v="25.6100000000006"/>
        <n v="43.1600000000035"/>
        <n v="51.060000000001303"/>
        <n v="54.609999999999701"/>
        <n v="54.839999999999698"/>
        <n v="61.840000000000103"/>
        <n v="76.369999999999905"/>
        <n v="82.049999999999301"/>
        <n v="86.729999999999606"/>
        <n v="92.610000000000596"/>
        <n v="101.55"/>
        <n v="106.709999999999"/>
        <n v="110.97"/>
        <n v="114.74"/>
        <n v="132.85"/>
        <n v="136.84"/>
        <n v="141.11000000000101"/>
        <n v="154.97999999999999"/>
        <n v="156.13"/>
        <n v="160.43"/>
        <n v="165.02"/>
        <n v="169.38999999999899"/>
        <n v="188.7"/>
        <n v="190.92000000000601"/>
        <n v="196.77999999999901"/>
        <n v="197.61"/>
        <n v="203.22"/>
        <n v="207.46"/>
        <n v="213.49000000000501"/>
        <n v="235.599999999999"/>
        <n v="240.68"/>
        <n v="246.3"/>
        <n v="246.37"/>
        <n v="296.36"/>
        <n v="323.44999999999902"/>
        <n v="324.02"/>
        <n v="332.91000000000099"/>
        <n v="341.18"/>
        <n v="368.84"/>
        <n v="371.06"/>
        <n v="378.86999999999898"/>
        <n v="380.11999999999898"/>
        <n v="384.27999999999901"/>
        <n v="384.42"/>
        <n v="388.35000000000599"/>
        <n v="396.99000000000501"/>
        <n v="400.68"/>
        <n v="428.099999999999"/>
        <n v="430.490000000002"/>
        <n v="432.82999999999799"/>
        <n v="461.21000000002101"/>
        <n v="466.94000000000199"/>
        <n v="467.45"/>
        <n v="537.25"/>
        <n v="544.36000000000104"/>
        <n v="551.52999999999895"/>
        <n v="562.33000000000004"/>
        <n v="572.23000000000104"/>
        <n v="576.67999999999302"/>
        <n v="606.66999999999996"/>
        <n v="624.79999999999905"/>
        <n v="645.72"/>
        <n v="669.29000000000099"/>
        <n v="689.75"/>
        <n v="697.81999999999198"/>
        <n v="703.21999999999798"/>
        <n v="711.42"/>
        <n v="763.81"/>
        <n v="771.5"/>
        <n v="774.73"/>
        <n v="778.56"/>
        <n v="793.099999999999"/>
        <n v="796.53"/>
        <n v="815.27"/>
        <n v="816.119999999995"/>
        <n v="822.79000000000099"/>
        <n v="849.85999999999899"/>
        <n v="862.86000000000104"/>
        <n v="867.5"/>
        <n v="869.92000000000201"/>
        <n v="874.23000000000104"/>
        <n v="881.44999999999698"/>
        <n v="927.23"/>
        <n v="931.28"/>
        <n v="946.68"/>
        <n v="949.91999999999803"/>
        <n v="950.46000000000095"/>
        <n v="956.31"/>
        <n v="969.849999999999"/>
        <n v="991.99000000000103"/>
        <n v="1047.76"/>
        <n v="1066.8"/>
        <n v="1068.3900000000001"/>
        <n v="1071.0999999999999"/>
        <n v="1079.4100000000001"/>
        <n v="1082.47"/>
        <n v="1099.99"/>
        <n v="1144.4100000000001"/>
        <n v="1146.75"/>
        <n v="1160.76"/>
        <n v="1165.0999999999999"/>
        <n v="1183.5600000000099"/>
        <n v="1185.02"/>
        <n v="1205.68"/>
        <n v="1232.6300000000001"/>
        <n v="1235.05"/>
        <n v="1256.6300000000001"/>
        <n v="1257.33"/>
        <n v="1259.1700000000101"/>
        <n v="1279.8399999999999"/>
        <n v="1310.75"/>
        <n v="1316.94"/>
        <n v="1333.26"/>
        <n v="1333.37"/>
        <n v="1348.48"/>
        <n v="1370.3500000000099"/>
        <n v="1382.48"/>
        <n v="1416.51"/>
        <n v="1435.73"/>
        <n v="1469.76"/>
        <n v="1492.73"/>
        <n v="1529.6"/>
        <n v="1532.92"/>
        <n v="1535.94"/>
        <n v="1548.19"/>
        <n v="1557.9299999999901"/>
        <n v="1580.96000000001"/>
        <n v="1590.45"/>
        <n v="1602.16"/>
        <n v="1618.26"/>
        <n v="1627.56"/>
        <n v="1634.58"/>
        <n v="1670.11"/>
        <n v="1672.9"/>
        <n v="1694.47"/>
        <n v="1706.32"/>
        <n v="1709.11"/>
        <n v="1712.15"/>
        <n v="1736.51"/>
        <n v="1771.22"/>
        <n v="1789.23"/>
        <n v="1858.68"/>
        <n v="1874.72"/>
        <n v="1874.76999999999"/>
        <n v="1884.66"/>
        <n v="1886.23999999999"/>
        <n v="1895.14"/>
        <n v="1910.55"/>
        <n v="1911.18"/>
        <n v="1915.31"/>
        <n v="1947.24"/>
        <n v="1956.84"/>
        <n v="1966.78"/>
        <n v="1996.64"/>
        <n v="2003.88"/>
        <n v="2111.04"/>
        <n v="2155.6099999999901"/>
        <n v="2204.3000000000002"/>
        <n v="2265.83"/>
        <n v="2287.3000000000002"/>
        <n v="2298.36"/>
        <n v="2314.71"/>
        <n v="2327.04"/>
        <n v="2393.66"/>
        <n v="2404.11"/>
        <n v="2406.7600000000102"/>
        <n v="2418.27"/>
        <n v="2482.73"/>
        <n v="2496.2000000000098"/>
        <n v="2504.4900000000198"/>
        <n v="2521.4499999999998"/>
        <n v="2523.0300000000002"/>
        <n v="2542.86"/>
        <n v="2598.88"/>
        <n v="2600.33"/>
        <n v="2600.9299999999998"/>
        <n v="2668.03"/>
        <n v="2668.07"/>
        <n v="2716.82"/>
        <n v="2724.19"/>
        <n v="2797.3200000000102"/>
        <n v="2807.56"/>
        <n v="2823.8500000000099"/>
        <n v="2899.6499999999901"/>
        <n v="2951.54"/>
        <n v="3037.8400000000101"/>
        <n v="3056.59"/>
        <n v="3088.78"/>
        <n v="3097.75"/>
        <n v="3114.54"/>
        <n v="3155.5099999999902"/>
        <n v="3178.85"/>
        <n v="3226.74"/>
        <n v="3372.4399999999901"/>
        <n v="3386.51"/>
        <n v="3399.84"/>
        <n v="3408.62"/>
        <n v="3455.47"/>
        <n v="3457.38"/>
        <n v="3474.89"/>
        <n v="3487.81"/>
        <n v="3514.22"/>
        <n v="3521.95"/>
        <n v="3547.25"/>
        <n v="3547.8999999999901"/>
        <n v="3552.03999999998"/>
        <n v="3570.24"/>
        <n v="3631.46000000001"/>
        <n v="3652.98"/>
        <n v="3715.9300000000098"/>
        <n v="3737.73"/>
        <n v="3753.76"/>
        <n v="3756.84"/>
        <n v="3790.58"/>
        <n v="3808.69"/>
        <n v="3835.09"/>
        <n v="3869.17"/>
        <n v="3923.88"/>
        <n v="3974.97"/>
        <n v="4023.6599999999899"/>
        <n v="4062.9000000000101"/>
        <n v="4072.1500000000101"/>
        <n v="4131.88"/>
        <n v="4180.71"/>
        <n v="4220.54000000001"/>
        <n v="4243.6000000000004"/>
        <n v="4254.58"/>
        <n v="4288.79000000001"/>
        <n v="4303.37"/>
        <n v="4383.37"/>
        <n v="4400.58"/>
        <n v="4457.8500000000104"/>
        <n v="4462.1600000000199"/>
        <n v="4495.76"/>
        <n v="4522.29"/>
        <n v="4531.53"/>
        <n v="4603.8900000000003"/>
        <n v="4611.1000000000104"/>
        <n v="4619.8500000000104"/>
        <n v="4640.25"/>
        <n v="4725.7"/>
        <n v="4729.01"/>
        <n v="4730.5200000000004"/>
        <n v="4766.87"/>
        <n v="4793.4399999999996"/>
        <n v="4814"/>
        <n v="4881.57"/>
        <n v="4971.3999999999996"/>
        <n v="4976.53"/>
        <n v="4987.34"/>
        <n v="5054.58"/>
        <n v="5074.18"/>
        <n v="5122.1400000000003"/>
        <n v="5147.33"/>
        <n v="5192.6499999999996"/>
        <n v="5196.4799999999996"/>
        <n v="5262.98"/>
        <n v="5291.51"/>
        <n v="5297.23"/>
        <n v="5302.92"/>
        <n v="5326.34"/>
        <n v="5329.53"/>
        <n v="5383.83"/>
        <n v="5389.54"/>
        <n v="5406.03"/>
        <n v="5433.8299999999899"/>
        <n v="5435.07"/>
        <n v="5472.74"/>
        <n v="5592.67"/>
        <n v="5598.8800000000101"/>
        <n v="5628.55"/>
        <n v="5639.94"/>
        <n v="5926.08"/>
        <n v="5941.39"/>
        <n v="6196.1099999999897"/>
        <n v="6207.2"/>
        <n v="6223.4900000000098"/>
        <n v="6360.21"/>
        <n v="6390.91"/>
        <n v="6394.49"/>
        <n v="6445.66"/>
        <n v="6509.51"/>
        <n v="6647.86"/>
        <n v="6670.17"/>
        <n v="6769.51"/>
        <n v="6776.06"/>
        <n v="6803.84"/>
        <n v="6917.5"/>
        <n v="6926.61"/>
        <n v="6961.02"/>
        <n v="6997.39"/>
        <n v="7059.38"/>
        <n v="7059.8300000000199"/>
        <n v="7070.34"/>
        <n v="7084.6400000000103"/>
        <n v="7094.06"/>
        <n v="7095.01"/>
        <n v="7109.61"/>
        <n v="7111.1499999999896"/>
        <n v="7149.6200000000099"/>
        <n v="7242.3"/>
        <n v="7284.3800000000101"/>
        <n v="7306.6"/>
        <n v="7358"/>
        <n v="7367.3"/>
        <n v="7369.92"/>
        <n v="7577.14"/>
        <n v="7603.2"/>
        <n v="7641.75"/>
        <n v="7770.99"/>
        <n v="7775.9099999999899"/>
        <n v="7849.95"/>
        <n v="7914.5199999999904"/>
        <n v="7952.84"/>
        <n v="7961.14"/>
        <n v="8111.95"/>
        <n v="8189.22"/>
        <n v="8272.91"/>
        <n v="8300.2999999999993"/>
        <n v="8300.6700000000092"/>
        <n v="8325.0300000000007"/>
        <n v="8342.44"/>
        <n v="8345.89"/>
        <n v="8349.4"/>
        <n v="8384.1299999999992"/>
        <n v="8468.59"/>
        <n v="8651.7999999999993"/>
        <n v="8656.6099999999897"/>
        <n v="8676.3800000000101"/>
        <n v="8681.01"/>
        <n v="8707.19"/>
        <n v="8724.76"/>
        <n v="8816.56"/>
        <n v="8975.35"/>
        <n v="9043.39"/>
        <n v="9048.4500000000007"/>
        <n v="9078.5300000000007"/>
        <n v="9092"/>
        <n v="9250.7800000000007"/>
        <n v="9294.1799999999894"/>
        <n v="9297.1299999999992"/>
        <n v="9346.89"/>
        <n v="9729.7099999999991"/>
        <n v="9835.9300000000094"/>
        <n v="9956.36"/>
        <n v="10044.19"/>
        <n v="10083.219999999999"/>
        <n v="10167.030000000001"/>
        <n v="10358.07"/>
        <n v="10476.75"/>
        <n v="10524.29"/>
        <n v="10668.53"/>
        <n v="10940.58"/>
        <n v="11073.66"/>
        <n v="11257.37"/>
        <n v="11412.9"/>
        <n v="11451.23"/>
        <n v="11665.5"/>
        <n v="11787.02"/>
        <n v="11967.97"/>
        <n v="12092.89"/>
        <n v="12195.53"/>
        <n v="12303.8"/>
        <n v="12445.64"/>
        <n v="12532.19"/>
        <n v="12578.41"/>
        <n v="12636.75"/>
        <n v="12649.95"/>
        <n v="12677.1"/>
        <n v="12808.79"/>
        <n v="12848.45"/>
        <n v="12890.85"/>
        <n v="13076.73"/>
        <n v="13156.26"/>
        <n v="13217.9"/>
        <n v="13376.78"/>
        <n v="13540.5"/>
        <n v="13582.15"/>
        <n v="13936.48"/>
        <n v="13980.46"/>
        <n v="14282.89"/>
        <n v="14467.08"/>
        <n v="14477.13"/>
        <n v="14611.74"/>
        <n v="15147.27"/>
        <n v="15599.76"/>
        <n v="16281.95"/>
        <n v="17250.099999999999"/>
        <n v="17682.61"/>
        <n v="17931.2"/>
        <n v="18860.63"/>
        <n v="19041.32"/>
        <n v="20832.45"/>
      </sharedItems>
    </cacheField>
    <cacheField name="Net_Margin_Pct" numFmtId="0">
      <sharedItems containsSemiMixedTypes="0" containsString="0" containsNumber="1" minValue="-0.40229575390625499" maxValue="0.82091320542038404" count="1000">
        <n v="-0.40229575390625499"/>
        <n v="-0.39129634432287003"/>
        <n v="-0.38931342837545702"/>
        <n v="-0.389215161344237"/>
        <n v="-0.381118309428784"/>
        <n v="-0.38060146695902303"/>
        <n v="-0.379310076022914"/>
        <n v="-0.375604775420466"/>
        <n v="-0.37287310330664702"/>
        <n v="-0.370699538899049"/>
        <n v="-0.37044510305961498"/>
        <n v="-0.36537142476609102"/>
        <n v="-0.35786690972377"/>
        <n v="-0.35785547827829101"/>
        <n v="-0.35191700152619099"/>
        <n v="-0.34966716977927897"/>
        <n v="-0.349235557643086"/>
        <n v="-0.34855038557631801"/>
        <n v="-0.347493951536893"/>
        <n v="-0.34428278515855398"/>
        <n v="-0.34329446600519298"/>
        <n v="-0.34076101931435399"/>
        <n v="-0.33967106664290703"/>
        <n v="-0.33957875768439899"/>
        <n v="-0.33871102448664903"/>
        <n v="-0.335621641586696"/>
        <n v="-0.33366819502221201"/>
        <n v="-0.33308824189268799"/>
        <n v="-0.32876515774284998"/>
        <n v="-0.32859044549649202"/>
        <n v="-0.32476806687694298"/>
        <n v="-0.32314482383235499"/>
        <n v="-0.32239449023998601"/>
        <n v="-0.32053922441851901"/>
        <n v="-0.32033121335544501"/>
        <n v="-0.31788749001102801"/>
        <n v="-0.31609977491479901"/>
        <n v="-0.31602338009686598"/>
        <n v="-0.31420345091204499"/>
        <n v="-0.314090667081389"/>
        <n v="-0.312329950704194"/>
        <n v="-0.31103290209893297"/>
        <n v="-0.310604617167417"/>
        <n v="-0.31029760647194499"/>
        <n v="-0.30912109484547701"/>
        <n v="-0.30641340973262998"/>
        <n v="-0.30551428308780498"/>
        <n v="-0.30149786081353303"/>
        <n v="-0.30015219631729601"/>
        <n v="-0.29734534513862898"/>
        <n v="-0.296535014302379"/>
        <n v="-0.29647447897167101"/>
        <n v="-0.29622186050881799"/>
        <n v="-0.29615670551745998"/>
        <n v="-0.292472051338871"/>
        <n v="-0.29212447195049401"/>
        <n v="-0.29143580212526199"/>
        <n v="-0.28925200504200999"/>
        <n v="-0.288870665053714"/>
        <n v="-0.28794279959680202"/>
        <n v="-0.28755416901541597"/>
        <n v="-0.28714860627315297"/>
        <n v="-0.28599770158423199"/>
        <n v="-0.28413287045964902"/>
        <n v="-0.28402431383795301"/>
        <n v="-0.28390567629341601"/>
        <n v="-0.28072930552890801"/>
        <n v="-0.27946264680913802"/>
        <n v="-0.27927607337353"/>
        <n v="-0.279092303124446"/>
        <n v="-0.278945123298181"/>
        <n v="-0.27871140070759898"/>
        <n v="-0.27816953067690497"/>
        <n v="-0.27806034772934202"/>
        <n v="-0.27795478040184801"/>
        <n v="-0.277483566958381"/>
        <n v="-0.277309773303199"/>
        <n v="-0.275384849620046"/>
        <n v="-0.27253605833019501"/>
        <n v="-0.27186771399277199"/>
        <n v="-0.26769229217574497"/>
        <n v="-0.265554481517283"/>
        <n v="-0.26484449477692701"/>
        <n v="-0.26370442722550103"/>
        <n v="-0.26344078400911702"/>
        <n v="-0.26299177698722798"/>
        <n v="-0.26166472217192299"/>
        <n v="-0.261043769848263"/>
        <n v="-0.26047352116831402"/>
        <n v="-0.26020332394864698"/>
        <n v="-0.26015197447355198"/>
        <n v="-0.25872796432548001"/>
        <n v="-0.25854572945802801"/>
        <n v="-0.25829827288170598"/>
        <n v="-0.25823090343981903"/>
        <n v="-0.25740856412853103"/>
        <n v="-0.25721857343670501"/>
        <n v="-0.25576640086122698"/>
        <n v="-0.25523618663490899"/>
        <n v="-0.25490376892643601"/>
        <n v="-0.25399585139179398"/>
        <n v="-0.25188112478847502"/>
        <n v="-0.25149675874313598"/>
        <n v="-0.25125009365522499"/>
        <n v="-0.25046952338522799"/>
        <n v="-0.24967256698554899"/>
        <n v="-0.249404997418783"/>
        <n v="-0.24912242658834799"/>
        <n v="-0.24907073675161301"/>
        <n v="-0.248473694799274"/>
        <n v="-0.24839917949332099"/>
        <n v="-0.24806783588805001"/>
        <n v="-0.24792439362093299"/>
        <n v="-0.24657573043759401"/>
        <n v="-0.24638902783048999"/>
        <n v="-0.24530275741403601"/>
        <n v="-0.24474663792269399"/>
        <n v="-0.24469286910160801"/>
        <n v="-0.244639353327811"/>
        <n v="-0.24427864800214999"/>
        <n v="-0.243705285638014"/>
        <n v="-0.242446850844553"/>
        <n v="-0.242316348524001"/>
        <n v="-0.24211795072679401"/>
        <n v="-0.24182427537565801"/>
        <n v="-0.241653829688183"/>
        <n v="-0.24025537683641701"/>
        <n v="-0.23982120218538899"/>
        <n v="-0.23901741905088"/>
        <n v="-0.23819938322109599"/>
        <n v="-0.237492510031312"/>
        <n v="-0.237062773082206"/>
        <n v="-0.23686577455792901"/>
        <n v="-0.23609686846070399"/>
        <n v="-0.23389003235684699"/>
        <n v="-0.232975388005915"/>
        <n v="-0.23172170911211301"/>
        <n v="-0.23065697360186099"/>
        <n v="-0.23056898019003499"/>
        <n v="-0.230440769396277"/>
        <n v="-0.229914476234999"/>
        <n v="-0.22946436715275301"/>
        <n v="-0.22904875037236699"/>
        <n v="-0.22797110720654801"/>
        <n v="-0.22752041683344201"/>
        <n v="-0.22700621310878999"/>
        <n v="-0.22647606336272"/>
        <n v="-0.22614611828338099"/>
        <n v="-0.226067696380887"/>
        <n v="-0.22561629933410099"/>
        <n v="-0.22519793879397099"/>
        <n v="-0.224647997715233"/>
        <n v="-0.223107621840264"/>
        <n v="-0.221518265081425"/>
        <n v="-0.220813758289196"/>
        <n v="-0.220413486224845"/>
        <n v="-0.220085935257787"/>
        <n v="-0.2194551822901"/>
        <n v="-0.21714540784039399"/>
        <n v="-0.21645208303001401"/>
        <n v="-0.21639278924095301"/>
        <n v="-0.21570977285262999"/>
        <n v="-0.21512997802657"/>
        <n v="-0.21501094880131899"/>
        <n v="-0.21436611143753101"/>
        <n v="-0.21436610972783801"/>
        <n v="-0.21432134660934701"/>
        <n v="-0.21341215707552899"/>
        <n v="-0.212395059147716"/>
        <n v="-0.212046191431567"/>
        <n v="-0.20995185161590499"/>
        <n v="-0.20931140085598901"/>
        <n v="-0.20931107600806301"/>
        <n v="-0.20927858336331101"/>
        <n v="-0.208422644622418"/>
        <n v="-0.208278408994406"/>
        <n v="-0.208259527952844"/>
        <n v="-0.207229853489446"/>
        <n v="-0.20657744125777899"/>
        <n v="-0.206037183663798"/>
        <n v="-0.205714305967515"/>
        <n v="-0.205148010026868"/>
        <n v="-0.20488720410086"/>
        <n v="-0.20487374756468399"/>
        <n v="-0.20437339399205501"/>
        <n v="-0.204169873071291"/>
        <n v="-0.20411482210351301"/>
        <n v="-0.203091173954285"/>
        <n v="-0.20291329349100701"/>
        <n v="-0.20264024764328201"/>
        <n v="-0.20215136868761499"/>
        <n v="-0.20042042056756801"/>
        <n v="-0.20036988193271399"/>
        <n v="-0.200310431095681"/>
        <n v="-0.19816296288090099"/>
        <n v="-0.19701583083475899"/>
        <n v="-0.196660080947235"/>
        <n v="-0.19636346601354601"/>
        <n v="-0.19621757686744301"/>
        <n v="-0.196053643576033"/>
        <n v="-0.195066328216637"/>
        <n v="-0.19411442886348601"/>
        <n v="-0.19368813351333999"/>
        <n v="-0.19311193019435499"/>
        <n v="-0.19225151924825701"/>
        <n v="-0.189329647062941"/>
        <n v="-0.18924900865085201"/>
        <n v="-0.18853163073086701"/>
        <n v="-0.187564790524646"/>
        <n v="-0.18701349247535001"/>
        <n v="-0.18647624045842201"/>
        <n v="-0.18638391593346201"/>
        <n v="-0.18409341955977199"/>
        <n v="-0.18291910792174401"/>
        <n v="-0.182553308674474"/>
        <n v="-0.181548950168578"/>
        <n v="-0.18107205578334701"/>
        <n v="-0.18078583461650699"/>
        <n v="-0.18022492888407499"/>
        <n v="-0.17928257358949001"/>
        <n v="-0.17884967789567"/>
        <n v="-0.17877687857052799"/>
        <n v="-0.17793591107787901"/>
        <n v="-0.17615483133569099"/>
        <n v="-0.17588129586082399"/>
        <n v="-0.17516117321167801"/>
        <n v="-0.17472492191751299"/>
        <n v="-0.17468591926517901"/>
        <n v="-0.17441085368067499"/>
        <n v="-0.17370811203974901"/>
        <n v="-0.17360909442234301"/>
        <n v="-0.173242346102888"/>
        <n v="-0.17240900643144699"/>
        <n v="-0.172289806436148"/>
        <n v="-0.171718526145239"/>
        <n v="-0.170424726830081"/>
        <n v="-0.16998218382928301"/>
        <n v="-0.16977268554486999"/>
        <n v="-0.16961810431962199"/>
        <n v="-0.169362075507724"/>
        <n v="-0.16931211867448301"/>
        <n v="-0.16869928896647399"/>
        <n v="-0.16836917579815999"/>
        <n v="-0.16791037938497799"/>
        <n v="-0.16775368132163701"/>
        <n v="-0.16642938549255701"/>
        <n v="-0.166394102904769"/>
        <n v="-0.16617301132603901"/>
        <n v="-0.16616004805756099"/>
        <n v="-0.165548461446757"/>
        <n v="-0.165409868433323"/>
        <n v="-0.16518161113850299"/>
        <n v="-0.16499810529661299"/>
        <n v="-0.163603791199044"/>
        <n v="-0.16347891446396301"/>
        <n v="-0.16245605871615801"/>
        <n v="-0.162205391676364"/>
        <n v="-0.16212473195139401"/>
        <n v="-0.161473957376257"/>
        <n v="-0.16145633531831499"/>
        <n v="-0.161246888005464"/>
        <n v="-0.16099453755218299"/>
        <n v="-0.160293848982759"/>
        <n v="-0.160048109018568"/>
        <n v="-0.158963927503079"/>
        <n v="-0.15845533684945001"/>
        <n v="-0.15824287163453801"/>
        <n v="-0.157280775674391"/>
        <n v="-0.15551926996642301"/>
        <n v="-0.154321555576001"/>
        <n v="-0.15409516152619099"/>
        <n v="-0.15389325301271001"/>
        <n v="-0.153487576771418"/>
        <n v="-0.151980060403655"/>
        <n v="-0.15192240477101801"/>
        <n v="-0.15038815097407901"/>
        <n v="-0.15015366647121101"/>
        <n v="-0.14665761147033801"/>
        <n v="-0.14625970785137801"/>
        <n v="-0.145668054151702"/>
        <n v="-0.14532243780818699"/>
        <n v="-0.14365784199710599"/>
        <n v="-0.14353753811191"/>
        <n v="-0.143149353599996"/>
        <n v="-0.143118876237398"/>
        <n v="-0.14232785806876"/>
        <n v="-0.14217680490371101"/>
        <n v="-0.14185218650551401"/>
        <n v="-0.141654242508993"/>
        <n v="-0.139080018124771"/>
        <n v="-0.13903131259462501"/>
        <n v="-0.13843450201377699"/>
        <n v="-0.138264869751616"/>
        <n v="-0.13800231584019099"/>
        <n v="-0.13749423991607901"/>
        <n v="-0.13607023097877599"/>
        <n v="-0.1359738819463"/>
        <n v="-0.13593642619999399"/>
        <n v="-0.13570364752800301"/>
        <n v="-0.13440425286027999"/>
        <n v="-0.13328212803540301"/>
        <n v="-0.13267651902578101"/>
        <n v="-0.13245363944206801"/>
        <n v="-0.13214384222512299"/>
        <n v="-0.13178738113976299"/>
        <n v="-0.131505794237602"/>
        <n v="-0.13143367042689799"/>
        <n v="-0.13052705148070701"/>
        <n v="-0.130209695578796"/>
        <n v="-0.130171865054106"/>
        <n v="-0.12966625033735901"/>
        <n v="-0.12956223786582899"/>
        <n v="-0.12541924589331099"/>
        <n v="-0.12537699222138901"/>
        <n v="-0.124833275151194"/>
        <n v="-0.12461691964440801"/>
        <n v="-0.124585126980456"/>
        <n v="-0.124411834475346"/>
        <n v="-0.124391509712852"/>
        <n v="-0.12400986482357999"/>
        <n v="-0.123549549400492"/>
        <n v="-0.123000040981532"/>
        <n v="-0.122977951348424"/>
        <n v="-0.122539990707553"/>
        <n v="-0.12231029925133299"/>
        <n v="-0.12182646809026899"/>
        <n v="-0.121460599221242"/>
        <n v="-0.120116105724821"/>
        <n v="-0.119235426661966"/>
        <n v="-0.119206863998749"/>
        <n v="-0.118244196589887"/>
        <n v="-0.117785594424129"/>
        <n v="-0.117386740463297"/>
        <n v="-0.117280436390378"/>
        <n v="-0.117069008864141"/>
        <n v="-0.116729540748813"/>
        <n v="-0.11467044153132"/>
        <n v="-0.114536216599867"/>
        <n v="-0.114428517789656"/>
        <n v="-0.11395877257124"/>
        <n v="-0.113507382069574"/>
        <n v="-0.113379644236195"/>
        <n v="-0.113198200353904"/>
        <n v="-0.112561721264948"/>
        <n v="-0.112445608695367"/>
        <n v="-0.112041111826261"/>
        <n v="-0.111890359980385"/>
        <n v="-0.111242294369753"/>
        <n v="-0.109606608232607"/>
        <n v="-0.10812873680193399"/>
        <n v="-0.10777658992882"/>
        <n v="-0.10695848653963801"/>
        <n v="-0.10623327275163499"/>
        <n v="-0.105859780522386"/>
        <n v="-0.104393358028846"/>
        <n v="-0.10439191275295601"/>
        <n v="-0.10434828891197299"/>
        <n v="-0.10389222370100799"/>
        <n v="-0.103859093727159"/>
        <n v="-0.103714819107835"/>
        <n v="-0.103140435453088"/>
        <n v="-0.102623005680058"/>
        <n v="-0.100673303293183"/>
        <n v="-0.100118558251008"/>
        <n v="-9.9666076181739699E-2"/>
        <n v="-9.8974014809393496E-2"/>
        <n v="-9.8153920362692798E-2"/>
        <n v="-9.7190798708231899E-2"/>
        <n v="-9.6634589854193001E-2"/>
        <n v="-9.6436835981947605E-2"/>
        <n v="-9.5685035467583598E-2"/>
        <n v="-9.5460183079348795E-2"/>
        <n v="-9.4153551552869405E-2"/>
        <n v="-9.3617383894333106E-2"/>
        <n v="-9.3242754367130407E-2"/>
        <n v="-9.2608818037290999E-2"/>
        <n v="-9.2541824408930398E-2"/>
        <n v="-9.1689232656602906E-2"/>
        <n v="-9.1629629629629603E-2"/>
        <n v="-9.1513121301886796E-2"/>
        <n v="-9.1482436190401403E-2"/>
        <n v="-9.1330248362978303E-2"/>
        <n v="-9.0411588361812401E-2"/>
        <n v="-9.0231585883315202E-2"/>
        <n v="-8.9814476299006296E-2"/>
        <n v="-8.9713024628233398E-2"/>
        <n v="-8.9561368825042703E-2"/>
        <n v="-8.8416027896790303E-2"/>
        <n v="-8.8337964003829705E-2"/>
        <n v="-8.8295677601987504E-2"/>
        <n v="-8.8152015655815E-2"/>
        <n v="-8.7962183121072193E-2"/>
        <n v="-8.7611726478063506E-2"/>
        <n v="-8.6886638381615602E-2"/>
        <n v="-8.6680478239048203E-2"/>
        <n v="-8.6390350834207194E-2"/>
        <n v="-8.6180714683842294E-2"/>
        <n v="-8.5603921632015301E-2"/>
        <n v="-8.5596213309104704E-2"/>
        <n v="-8.5385460166419402E-2"/>
        <n v="-8.5068441912356796E-2"/>
        <n v="-8.5022354200062905E-2"/>
        <n v="-8.4717139720145204E-2"/>
        <n v="-8.3876910829534607E-2"/>
        <n v="-8.3224824515049006E-2"/>
        <n v="-8.2547344189860095E-2"/>
        <n v="-8.0898346867749493E-2"/>
        <n v="-8.0506025295522698E-2"/>
        <n v="-8.0114303609175694E-2"/>
        <n v="-7.9691226999504802E-2"/>
        <n v="-7.9215197376114294E-2"/>
        <n v="-7.9194020600060297E-2"/>
        <n v="-7.9124410221252398E-2"/>
        <n v="-7.7873328350968593E-2"/>
        <n v="-7.7630850013247502E-2"/>
        <n v="-7.7570976675596301E-2"/>
        <n v="-7.7193711500674403E-2"/>
        <n v="-7.6277147997074995E-2"/>
        <n v="-7.4959171270768093E-2"/>
        <n v="-7.4861348694195695E-2"/>
        <n v="-7.42808215384064E-2"/>
        <n v="-7.4093370313948206E-2"/>
        <n v="-7.3952629233146605E-2"/>
        <n v="-7.3936650000874501E-2"/>
        <n v="-7.3469138972056397E-2"/>
        <n v="-7.2847691256607602E-2"/>
        <n v="-7.2278169431157405E-2"/>
        <n v="-7.2247490983947005E-2"/>
        <n v="-7.2191616851227797E-2"/>
        <n v="-7.1832617471676699E-2"/>
        <n v="-7.0934176934753401E-2"/>
        <n v="-7.0378629899056994E-2"/>
        <n v="-6.9982419521875006E-2"/>
        <n v="-6.9386907542957899E-2"/>
        <n v="-6.8567121248925098E-2"/>
        <n v="-6.7655553022930207E-2"/>
        <n v="-6.7395576119111095E-2"/>
        <n v="-6.7327867800382205E-2"/>
        <n v="-6.7124573800464396E-2"/>
        <n v="-6.70631890341261E-2"/>
        <n v="-6.6679584276150602E-2"/>
        <n v="-6.6629911198415007E-2"/>
        <n v="-6.6370772944876102E-2"/>
        <n v="-6.6213675552865794E-2"/>
        <n v="-6.6126516639996802E-2"/>
        <n v="-6.5769460981387404E-2"/>
        <n v="-6.5630845652191294E-2"/>
        <n v="-6.4606455393175097E-2"/>
        <n v="-6.4495853553545202E-2"/>
        <n v="-6.4361784839105499E-2"/>
        <n v="-6.4194740789601898E-2"/>
        <n v="-6.33398366840663E-2"/>
        <n v="-6.3109560857302405E-2"/>
        <n v="-6.2546524236842399E-2"/>
        <n v="-6.1942288965735497E-2"/>
        <n v="-6.1788113515729499E-2"/>
        <n v="-6.16105654957569E-2"/>
        <n v="-6.1493901499802002E-2"/>
        <n v="-6.1341829905664003E-2"/>
        <n v="-6.1228047798656399E-2"/>
        <n v="-6.0750061128329903E-2"/>
        <n v="-6.05314232258524E-2"/>
        <n v="-6.0473913852546399E-2"/>
        <n v="-5.7982258773631203E-2"/>
        <n v="-5.7398418522777397E-2"/>
        <n v="-5.7363735201065399E-2"/>
        <n v="-5.7347946356665097E-2"/>
        <n v="-5.5884296527694201E-2"/>
        <n v="-5.5779115733108099E-2"/>
        <n v="-5.5259820340857101E-2"/>
        <n v="-5.4881026266058598E-2"/>
        <n v="-5.4503046875499499E-2"/>
        <n v="-5.44596667605136E-2"/>
        <n v="-5.3359346711518901E-2"/>
        <n v="-5.3146986496740399E-2"/>
        <n v="-5.2544517035653097E-2"/>
        <n v="-5.1977511098467502E-2"/>
        <n v="-5.1952202284901397E-2"/>
        <n v="-5.1901022253347098E-2"/>
        <n v="-5.1470717524661799E-2"/>
        <n v="-5.1087083875348001E-2"/>
        <n v="-5.0890956768719901E-2"/>
        <n v="-5.0838347625813997E-2"/>
        <n v="-5.06367357076737E-2"/>
        <n v="-5.0472709234680703E-2"/>
        <n v="-4.9926953467834101E-2"/>
        <n v="-4.9856168983188398E-2"/>
        <n v="-4.9561503919664303E-2"/>
        <n v="-4.8955190830904903E-2"/>
        <n v="-4.8087947288376003E-2"/>
        <n v="-4.7814277052432602E-2"/>
        <n v="-4.7295950411041801E-2"/>
        <n v="-4.7015065309525102E-2"/>
        <n v="-4.6648261137705503E-2"/>
        <n v="-4.6254154647351803E-2"/>
        <n v="-4.6180459833728697E-2"/>
        <n v="-4.6023673551906202E-2"/>
        <n v="-4.5942687625167199E-2"/>
        <n v="-4.5428882706176003E-2"/>
        <n v="-4.5391856222416503E-2"/>
        <n v="-4.5313098465174097E-2"/>
        <n v="-4.4563202706837897E-2"/>
        <n v="-4.4435162079134602E-2"/>
        <n v="-4.26724679214276E-2"/>
        <n v="-4.2251334522075301E-2"/>
        <n v="-4.2004330472875898E-2"/>
        <n v="-4.1870145544275997E-2"/>
        <n v="-4.1629453975208099E-2"/>
        <n v="-4.14619466019778E-2"/>
        <n v="-4.1196073545136998E-2"/>
        <n v="-4.1146779786515597E-2"/>
        <n v="-4.0719972269130801E-2"/>
        <n v="-4.0373207195087503E-2"/>
        <n v="-4.0311254992393103E-2"/>
        <n v="-4.0213390331202498E-2"/>
        <n v="-3.9379449167184902E-2"/>
        <n v="-3.8950715192768402E-2"/>
        <n v="-3.8618527001015597E-2"/>
        <n v="-3.8165097977236502E-2"/>
        <n v="-3.7548857323029698E-2"/>
        <n v="-3.7101921082817603E-2"/>
        <n v="-3.5818527142163901E-2"/>
        <n v="-3.5812123742500201E-2"/>
        <n v="-3.5428830161074502E-2"/>
        <n v="-3.5376731738405401E-2"/>
        <n v="-3.4526182637520303E-2"/>
        <n v="-3.4013754236917298E-2"/>
        <n v="-3.33513496621516E-2"/>
        <n v="-3.3003848980997001E-2"/>
        <n v="-3.2728389524005801E-2"/>
        <n v="-3.22568075862599E-2"/>
        <n v="-3.1754501443032303E-2"/>
        <n v="-3.1408246925488201E-2"/>
        <n v="-3.0629179880703999E-2"/>
        <n v="-3.04837918003244E-2"/>
        <n v="-3.0350717055023801E-2"/>
        <n v="-2.93073518142585E-2"/>
        <n v="-2.9251703952478399E-2"/>
        <n v="-2.9118587304003601E-2"/>
        <n v="-2.8640047597091999E-2"/>
        <n v="-2.8076596300895401E-2"/>
        <n v="-2.7778362084906898E-2"/>
        <n v="-2.7682076756670101E-2"/>
        <n v="-2.7020490002220399E-2"/>
        <n v="-2.69702601273611E-2"/>
        <n v="-2.6742542222918799E-2"/>
        <n v="-2.6352888466604E-2"/>
        <n v="-2.5314640665750399E-2"/>
        <n v="-2.50376864681548E-2"/>
        <n v="-2.3853341313808198E-2"/>
        <n v="-2.28175634285471E-2"/>
        <n v="-2.2742137312933699E-2"/>
        <n v="-2.2537829724334501E-2"/>
        <n v="-2.22309546907682E-2"/>
        <n v="-2.1839816777484498E-2"/>
        <n v="-2.1319182240272402E-2"/>
        <n v="-2.1255612796025999E-2"/>
        <n v="-2.1159030517439399E-2"/>
        <n v="-2.06409950464518E-2"/>
        <n v="-2.02325074921605E-2"/>
        <n v="-2.0222224830954202E-2"/>
        <n v="-1.9894268224819201E-2"/>
        <n v="-1.96477504909746E-2"/>
        <n v="-1.9338159156646401E-2"/>
        <n v="-1.92686564638593E-2"/>
        <n v="-1.8681454817116201E-2"/>
        <n v="-1.7794632438739799E-2"/>
        <n v="-1.7522905941197299E-2"/>
        <n v="-1.7144903639536399E-2"/>
        <n v="-1.6230868382690201E-2"/>
        <n v="-1.6130753519855101E-2"/>
        <n v="-1.5473811714959601E-2"/>
        <n v="-1.54616659769147E-2"/>
        <n v="-1.2937230208999799E-2"/>
        <n v="-1.2909375767222399E-2"/>
        <n v="-1.2882249700434001E-2"/>
        <n v="-1.2498311001482999E-2"/>
        <n v="-1.2256172508986401E-2"/>
        <n v="-1.09950729591011E-2"/>
        <n v="-1.00877005751878E-2"/>
        <n v="-9.7846212131314902E-3"/>
        <n v="-9.3438255568194899E-3"/>
        <n v="-9.1054931681142006E-3"/>
        <n v="-8.9090094779272194E-3"/>
        <n v="-8.8078640118424492E-3"/>
        <n v="-8.3738161181949496E-3"/>
        <n v="-7.77136745266023E-3"/>
        <n v="-7.5844356776831098E-3"/>
        <n v="-7.3477074322922699E-3"/>
        <n v="-7.2885347861083999E-3"/>
        <n v="-7.2550834101863396E-3"/>
        <n v="-7.0736843234795897E-3"/>
        <n v="-6.5723750107459303E-3"/>
        <n v="-6.2742002510999002E-3"/>
        <n v="-5.7845572019947196E-3"/>
        <n v="-3.2425236390188901E-3"/>
        <n v="-2.5845722251564198E-3"/>
        <n v="-2.3973762543892199E-3"/>
        <n v="-2.1332948450363898E-3"/>
        <n v="-1.8039910098411E-3"/>
        <n v="-1.42587365250068E-3"/>
        <n v="-8.1006465071766702E-4"/>
        <n v="-1.2070282842937899E-4"/>
        <n v="-4.07670207675786E-5"/>
        <n v="7.6682811039772503E-4"/>
        <n v="1.0714624898177801E-3"/>
        <n v="1.8053171842885901E-3"/>
        <n v="2.11048715093038E-3"/>
        <n v="2.40913351445987E-3"/>
        <n v="3.2185162557019499E-3"/>
        <n v="3.5415713012263198E-3"/>
        <n v="3.66245677043134E-3"/>
        <n v="3.7322505485195201E-3"/>
        <n v="3.8376426930438099E-3"/>
        <n v="3.8997610193453902E-3"/>
        <n v="4.3140433096256004E-3"/>
        <n v="4.5868962002378498E-3"/>
        <n v="4.8373639783299196E-3"/>
        <n v="4.8666391665715299E-3"/>
        <n v="4.9175906502846398E-3"/>
        <n v="5.1137373670870198E-3"/>
        <n v="5.3144138862863902E-3"/>
        <n v="5.64662747680809E-3"/>
        <n v="6.6053614982426699E-3"/>
        <n v="6.7099844745908896E-3"/>
        <n v="6.77744393188547E-3"/>
        <n v="6.98398343675665E-3"/>
        <n v="7.5374860777439002E-3"/>
        <n v="8.2106624317178998E-3"/>
        <n v="8.5097416977343004E-3"/>
        <n v="8.6469122656943603E-3"/>
        <n v="9.6382135410366804E-3"/>
        <n v="9.6997841496380896E-3"/>
        <n v="9.8552238594774803E-3"/>
        <n v="1.0074817612063899E-2"/>
        <n v="1.01394494994412E-2"/>
        <n v="1.0926455581272599E-2"/>
        <n v="1.10463141833786E-2"/>
        <n v="1.1625784811198501E-2"/>
        <n v="1.26295077915671E-2"/>
        <n v="1.2989599077937E-2"/>
        <n v="1.32906586751443E-2"/>
        <n v="1.39673280021924E-2"/>
        <n v="1.47648167071146E-2"/>
        <n v="1.5163223251277501E-2"/>
        <n v="1.5719574543103999E-2"/>
        <n v="1.5798292135390801E-2"/>
        <n v="1.6652692839247599E-2"/>
        <n v="1.74382883298476E-2"/>
        <n v="1.7656062200909501E-2"/>
        <n v="1.7693671296988799E-2"/>
        <n v="1.7785932985495401E-2"/>
        <n v="1.8024017485561501E-2"/>
        <n v="1.82695929289763E-2"/>
        <n v="1.8291786437121801E-2"/>
        <n v="1.87880736640339E-2"/>
        <n v="1.8935214468935702E-2"/>
        <n v="1.90069165771596E-2"/>
        <n v="1.9315708277858699E-2"/>
        <n v="1.9446887096404599E-2"/>
        <n v="1.98217455982365E-2"/>
        <n v="1.9854596727431499E-2"/>
        <n v="1.9967131952196199E-2"/>
        <n v="2.0073998102423801E-2"/>
        <n v="2.0710799070051699E-2"/>
        <n v="2.1568812237345501E-2"/>
        <n v="2.2400983042881101E-2"/>
        <n v="2.3165056542955802E-2"/>
        <n v="2.4403964964924901E-2"/>
        <n v="2.4778630096440699E-2"/>
        <n v="2.5075982778728599E-2"/>
        <n v="2.6381398940385801E-2"/>
        <n v="2.70905077919396E-2"/>
        <n v="2.75210182452423E-2"/>
        <n v="2.7576777810059301E-2"/>
        <n v="2.7878963026325601E-2"/>
        <n v="2.9687034550072901E-2"/>
        <n v="2.9761811914083901E-2"/>
        <n v="3.0719741363426499E-2"/>
        <n v="3.08256429710605E-2"/>
        <n v="3.1453850290743102E-2"/>
        <n v="3.1627508798630202E-2"/>
        <n v="3.2986584439693198E-2"/>
        <n v="3.3137158916611002E-2"/>
        <n v="3.3245274791337202E-2"/>
        <n v="3.32803641985914E-2"/>
        <n v="3.3691193157022001E-2"/>
        <n v="3.3832741940293398E-2"/>
        <n v="3.4057840383990103E-2"/>
        <n v="3.4169017351840199E-2"/>
        <n v="3.4954983121351403E-2"/>
        <n v="3.5341262547716801E-2"/>
        <n v="3.5671104130830598E-2"/>
        <n v="3.6487164392192399E-2"/>
        <n v="3.73888828307559E-2"/>
        <n v="3.7692385014995798E-2"/>
        <n v="3.8260845088263197E-2"/>
        <n v="3.8500225055052802E-2"/>
        <n v="3.8666681075308303E-2"/>
        <n v="3.8762814710050698E-2"/>
        <n v="3.9244134217657899E-2"/>
        <n v="4.0550724275182602E-2"/>
        <n v="4.1013165793747801E-2"/>
        <n v="4.1384320403958598E-2"/>
        <n v="4.1534864314762103E-2"/>
        <n v="4.1702607909226599E-2"/>
        <n v="4.1940148066545398E-2"/>
        <n v="4.2461795825528899E-2"/>
        <n v="4.2689947985615997E-2"/>
        <n v="4.3467900956988499E-2"/>
        <n v="4.3806291750118798E-2"/>
        <n v="4.4388144937404402E-2"/>
        <n v="4.4485636234360797E-2"/>
        <n v="4.4890263617192901E-2"/>
        <n v="4.5116537286599097E-2"/>
        <n v="4.5173992135300801E-2"/>
        <n v="4.6730610510885999E-2"/>
        <n v="4.7248401572656501E-2"/>
        <n v="4.8078881409046703E-2"/>
        <n v="4.8485284115013197E-2"/>
        <n v="4.9023667230586897E-2"/>
        <n v="4.9373545483640202E-2"/>
        <n v="5.0043086787849897E-2"/>
        <n v="5.0377104036437803E-2"/>
        <n v="5.0899662177451302E-2"/>
        <n v="5.1124860374197202E-2"/>
        <n v="5.1512229879735603E-2"/>
        <n v="5.2835806971739702E-2"/>
        <n v="5.2946127884102502E-2"/>
        <n v="5.3013092776393898E-2"/>
        <n v="5.3655711011280798E-2"/>
        <n v="5.3759918796545098E-2"/>
        <n v="5.5548068064548699E-2"/>
        <n v="5.5748262676248099E-2"/>
        <n v="5.64098832474446E-2"/>
        <n v="5.8312576851530899E-2"/>
        <n v="5.8554471825896202E-2"/>
        <n v="5.8849764111632501E-2"/>
        <n v="6.0049265491096002E-2"/>
        <n v="6.0170485982778001E-2"/>
        <n v="6.0435305437015599E-2"/>
        <n v="6.0815364533373197E-2"/>
        <n v="6.1250147535067197E-2"/>
        <n v="6.1281509578087701E-2"/>
        <n v="6.1471976461453699E-2"/>
        <n v="6.1506570473646799E-2"/>
        <n v="6.2030411496739497E-2"/>
        <n v="6.2291877388775403E-2"/>
        <n v="6.2977264701993094E-2"/>
        <n v="6.3013255029317497E-2"/>
        <n v="6.31470264176867E-2"/>
        <n v="6.3698992542040006E-2"/>
        <n v="6.3764393214856704E-2"/>
        <n v="6.4378198324039099E-2"/>
        <n v="6.4924045532914296E-2"/>
        <n v="6.6198420609991704E-2"/>
        <n v="6.6367584983380606E-2"/>
        <n v="6.6674303989421493E-2"/>
        <n v="6.6761793888168899E-2"/>
        <n v="6.8269643623872903E-2"/>
        <n v="6.8373218257784404E-2"/>
        <n v="6.9218817830785706E-2"/>
        <n v="7.0232040223868294E-2"/>
        <n v="7.0392501743988506E-2"/>
        <n v="7.24384371526689E-2"/>
        <n v="7.2687389605641597E-2"/>
        <n v="7.4270531953797597E-2"/>
        <n v="7.5934849563906504E-2"/>
        <n v="7.6114159206853396E-2"/>
        <n v="7.6180930729052104E-2"/>
        <n v="7.8121466421998298E-2"/>
        <n v="7.8572251011310199E-2"/>
        <n v="7.9087943025949098E-2"/>
        <n v="7.9613378671753707E-2"/>
        <n v="8.0636592692801601E-2"/>
        <n v="8.1084891365930098E-2"/>
        <n v="8.2118570815621794E-2"/>
        <n v="8.3063538440260806E-2"/>
        <n v="8.3170506704659405E-2"/>
        <n v="8.3454684928714801E-2"/>
        <n v="8.3584310621676594E-2"/>
        <n v="8.4331004591813502E-2"/>
        <n v="8.4964696154022801E-2"/>
        <n v="8.51655077331432E-2"/>
        <n v="8.5320864555525594E-2"/>
        <n v="8.65907278254687E-2"/>
        <n v="8.6816414930205699E-2"/>
        <n v="8.7265814129808106E-2"/>
        <n v="8.7766867512330399E-2"/>
        <n v="8.7851616756732004E-2"/>
        <n v="8.8039954108461202E-2"/>
        <n v="8.8232938939801303E-2"/>
        <n v="8.84892558231061E-2"/>
        <n v="8.9029988933568602E-2"/>
        <n v="8.9257299319410399E-2"/>
        <n v="8.9298950806631305E-2"/>
        <n v="8.9399371791019006E-2"/>
        <n v="9.1493491093361495E-2"/>
        <n v="9.1841583747496805E-2"/>
        <n v="9.2229112883425293E-2"/>
        <n v="9.3352185245192301E-2"/>
        <n v="9.3859863197501198E-2"/>
        <n v="9.5492631310710396E-2"/>
        <n v="9.6385896738490698E-2"/>
        <n v="9.76745458282956E-2"/>
        <n v="9.7985372199775794E-2"/>
        <n v="9.91997727730205E-2"/>
        <n v="0.101835408758466"/>
        <n v="0.102310330577266"/>
        <n v="0.10290841227792299"/>
        <n v="0.103786205052445"/>
        <n v="0.10417299199670101"/>
        <n v="0.104584687173468"/>
        <n v="0.104694594408447"/>
        <n v="0.105200963062394"/>
        <n v="0.10546126893695"/>
        <n v="0.105801227938155"/>
        <n v="0.10661340668519199"/>
        <n v="0.107853183903968"/>
        <n v="0.108304938134582"/>
        <n v="0.109252099417295"/>
        <n v="0.10967206816698601"/>
        <n v="0.10999822523935"/>
        <n v="0.111156559389868"/>
        <n v="0.11127293162709399"/>
        <n v="0.112863666793819"/>
        <n v="0.113110951681097"/>
        <n v="0.11365571826566701"/>
        <n v="0.117172845864182"/>
        <n v="0.117539454907992"/>
        <n v="0.119500093416672"/>
        <n v="0.119682283252558"/>
        <n v="0.12243910526440401"/>
        <n v="0.122674315698868"/>
        <n v="0.124200366250132"/>
        <n v="0.124553738326129"/>
        <n v="0.12465450525152"/>
        <n v="0.126307360086378"/>
        <n v="0.128336790560071"/>
        <n v="0.13026097475635101"/>
        <n v="0.13120832134214899"/>
        <n v="0.13261200475207"/>
        <n v="0.13343207855973799"/>
        <n v="0.13430957274361099"/>
        <n v="0.135103407194786"/>
        <n v="0.13567250117692001"/>
        <n v="0.136546465720956"/>
        <n v="0.13787464717419001"/>
        <n v="0.143490403237266"/>
        <n v="0.14353442727308799"/>
        <n v="0.145217487339938"/>
        <n v="0.15010414666213601"/>
        <n v="0.150219386272894"/>
        <n v="0.15188245046090201"/>
        <n v="0.15242467540642601"/>
        <n v="0.153018020269715"/>
        <n v="0.15395591865199301"/>
        <n v="0.154396715855492"/>
        <n v="0.154459875971906"/>
        <n v="0.15488858782706699"/>
        <n v="0.155108174569662"/>
        <n v="0.156875406863005"/>
        <n v="0.15731040243802999"/>
        <n v="0.15780748214479401"/>
        <n v="0.15811695621643601"/>
        <n v="0.15898098690388399"/>
        <n v="0.163704336114817"/>
        <n v="0.164094446642923"/>
        <n v="0.16543206505041999"/>
        <n v="0.16563179418676799"/>
        <n v="0.167503999400759"/>
        <n v="0.16765002282534699"/>
        <n v="0.16964210698142199"/>
        <n v="0.170314899379713"/>
        <n v="0.17160370285241699"/>
        <n v="0.172339481569314"/>
        <n v="0.17369008935824501"/>
        <n v="0.175910412077842"/>
        <n v="0.17676623718686499"/>
        <n v="0.18155949190706899"/>
        <n v="0.182729768516907"/>
        <n v="0.18283933833573199"/>
        <n v="0.184255306118878"/>
        <n v="0.18658474546539"/>
        <n v="0.18903500870713999"/>
        <n v="0.18924561056540701"/>
        <n v="0.19064544155555099"/>
        <n v="0.192587820547234"/>
        <n v="0.19270483203230701"/>
        <n v="0.19640998477614299"/>
        <n v="0.19739607659972"/>
        <n v="0.198233101423194"/>
        <n v="0.202362649901107"/>
        <n v="0.20379350095226401"/>
        <n v="0.20386763182751999"/>
        <n v="0.205097039115956"/>
        <n v="0.206102003642987"/>
        <n v="0.207488127323218"/>
        <n v="0.21385313507805601"/>
        <n v="0.21390165002414899"/>
        <n v="0.21541435192062"/>
        <n v="0.216885606425892"/>
        <n v="0.21700177954141001"/>
        <n v="0.22067164985121199"/>
        <n v="0.221450908846445"/>
        <n v="0.22365020133526101"/>
        <n v="0.22420623471366499"/>
        <n v="0.227649305658366"/>
        <n v="0.22890025575447601"/>
        <n v="0.23260416442830401"/>
        <n v="0.237043878393075"/>
        <n v="0.23940259060590099"/>
        <n v="0.242285095310421"/>
        <n v="0.245552255921761"/>
        <n v="0.24809365597843999"/>
        <n v="0.24975970026820599"/>
        <n v="0.25055194901240802"/>
        <n v="0.259369838995823"/>
        <n v="0.259989694960572"/>
        <n v="0.262963152891242"/>
        <n v="0.26331619967919401"/>
        <n v="0.26494829142841497"/>
        <n v="0.26578344120819902"/>
        <n v="0.28026293573528699"/>
        <n v="0.285410445356307"/>
        <n v="0.29038884624869399"/>
        <n v="0.29078904675254902"/>
        <n v="0.29232743708498399"/>
        <n v="0.29373757992635002"/>
        <n v="0.29431882867102699"/>
        <n v="0.29980502410784199"/>
        <n v="0.30259626706193099"/>
        <n v="0.31245426957262301"/>
        <n v="0.31416590137089401"/>
        <n v="0.31813151293643599"/>
        <n v="0.31993540740666698"/>
        <n v="0.32364788908318798"/>
        <n v="0.32862552659397198"/>
        <n v="0.32929671425781099"/>
        <n v="0.34690591650996"/>
        <n v="0.362794901361922"/>
        <n v="0.37183863141012502"/>
        <n v="0.37894395640015599"/>
        <n v="0.38564262288252998"/>
        <n v="0.387090723055935"/>
        <n v="0.39416028823497901"/>
        <n v="0.39933177879093701"/>
        <n v="0.402025329593731"/>
        <n v="0.40650498759389397"/>
        <n v="0.41477989687519401"/>
        <n v="0.41921780909356299"/>
        <n v="0.42636109312640702"/>
        <n v="0.439641051207179"/>
        <n v="0.44650996737045701"/>
        <n v="0.448438719677824"/>
        <n v="0.458572450191786"/>
        <n v="0.47374679277451698"/>
        <n v="0.479372745098682"/>
        <n v="0.485842074607645"/>
        <n v="0.492092563630534"/>
        <n v="0.492638035606207"/>
        <n v="0.495755915495109"/>
        <n v="0.50609845271871101"/>
        <n v="0.51025470339825396"/>
        <n v="0.51314897544163396"/>
        <n v="0.52031662788244704"/>
        <n v="0.53557047249310497"/>
        <n v="0.53942291927698705"/>
        <n v="0.54738286867874497"/>
        <n v="0.55457515847800898"/>
        <n v="0.56136644112700695"/>
        <n v="0.56351510125094995"/>
        <n v="0.56799771990879599"/>
        <n v="0.57536604905653899"/>
        <n v="0.58034341060203298"/>
        <n v="0.58481564778845496"/>
        <n v="0.58685643999297099"/>
        <n v="0.58880351985592605"/>
        <n v="0.60425010012014402"/>
        <n v="0.62500186425258397"/>
        <n v="0.63249150728763004"/>
        <n v="0.63702191803908004"/>
        <n v="0.64722483537159003"/>
        <n v="0.67121067941350798"/>
        <n v="0.68173978560909598"/>
        <n v="0.68312324117395995"/>
        <n v="0.68782569762182799"/>
        <n v="0.69692871172612103"/>
        <n v="0.69744490894919597"/>
        <n v="0.70463997156288405"/>
        <n v="0.71382517556709202"/>
        <n v="0.72145464627327804"/>
        <n v="0.73379903255173295"/>
        <n v="0.74402653447688705"/>
        <n v="0.75114271442423497"/>
        <n v="0.79242649207926596"/>
        <n v="0.79489735879895596"/>
        <n v="0.80401558002121098"/>
        <n v="0.818089471199547"/>
        <n v="0.82091320542038404"/>
      </sharedItems>
    </cacheField>
    <cacheField name="Loss_Flag" numFmtId="0">
      <sharedItems count="2">
        <s v="Loss"/>
        <s v="OK"/>
      </sharedItems>
    </cacheField>
    <cacheField name="Discount_Band" numFmtId="0">
      <sharedItems count="3">
        <s v="0-9%"/>
        <s v="10-19%"/>
        <s v="20%+"/>
      </sharedItems>
    </cacheField>
    <cacheField name="Sales_Size" numFmtId="0">
      <sharedItems count="3">
        <s v="High"/>
        <s v="Low"/>
        <s v="Mid"/>
      </sharedItems>
    </cacheField>
    <cacheField name="Year_Month" numFmtId="0">
      <sharedItems count="13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</sharedItems>
    </cacheField>
    <cacheField name="Month_End" numFmtId="0">
      <sharedItems containsSemiMixedTypes="0" containsNonDate="0" containsDate="1" containsString="0" minDate="2023-01-31T00:00:00" maxDate="2024-01-31T00:00:00" count="13"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</sharedItems>
    </cacheField>
    <cacheField name="Year_Quarter" numFmtId="0">
      <sharedItems count="5">
        <s v="2023-Q1"/>
        <s v="2023-Q2"/>
        <s v="2023-Q3"/>
        <s v="2023-Q4"/>
        <s v="2024-Q1"/>
      </sharedItems>
    </cacheField>
    <cacheField name="Weekday" numFmtId="0">
      <sharedItems count="7">
        <s v="Fri"/>
        <s v="Mon"/>
        <s v="Sat"/>
        <s v="Sun"/>
        <s v="Thu"/>
        <s v="Tue"/>
        <s v="Wed"/>
      </sharedItems>
    </cacheField>
    <cacheField name="Weekday_No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Week_No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Day_Type" numFmtId="0">
      <sharedItems count="2">
        <s v="Weekday"/>
        <s v="Weekend"/>
      </sharedItems>
    </cacheField>
    <cacheField name="Days_Since_Sale" numFmtId="0">
      <sharedItems containsSemiMixedTypes="0" containsString="0" containsNumber="1" containsInteger="1" minValue="1027" maxValue="1392" count="340">
        <n v="1027"/>
        <n v="1028"/>
        <n v="1029"/>
        <n v="1030"/>
        <n v="1031"/>
        <n v="1032"/>
        <n v="1033"/>
        <n v="1034"/>
        <n v="1036"/>
        <n v="1037"/>
        <n v="1038"/>
        <n v="1039"/>
        <n v="1040"/>
        <n v="1041"/>
        <n v="1043"/>
        <n v="1044"/>
        <n v="1045"/>
        <n v="1046"/>
        <n v="1047"/>
        <n v="1048"/>
        <n v="1049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6"/>
        <n v="1087"/>
        <n v="1088"/>
        <n v="1089"/>
        <n v="1090"/>
        <n v="1091"/>
        <n v="1092"/>
        <n v="1093"/>
        <n v="1094"/>
        <n v="1096"/>
        <n v="1097"/>
        <n v="1098"/>
        <n v="1099"/>
        <n v="1100"/>
        <n v="1101"/>
        <n v="1102"/>
        <n v="1104"/>
        <n v="1105"/>
        <n v="1106"/>
        <n v="1107"/>
        <n v="1108"/>
        <n v="1109"/>
        <n v="1110"/>
        <n v="1111"/>
        <n v="1112"/>
        <n v="1113"/>
        <n v="1115"/>
        <n v="1116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2"/>
        <n v="1143"/>
        <n v="1144"/>
        <n v="1146"/>
        <n v="1147"/>
        <n v="1148"/>
        <n v="1149"/>
        <n v="1150"/>
        <n v="1151"/>
        <n v="1152"/>
        <n v="1154"/>
        <n v="1155"/>
        <n v="1156"/>
        <n v="1157"/>
        <n v="1158"/>
        <n v="1159"/>
        <n v="1160"/>
        <n v="1161"/>
        <n v="1162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9"/>
        <n v="1260"/>
        <n v="1261"/>
        <n v="1262"/>
        <n v="1263"/>
        <n v="1264"/>
        <n v="1265"/>
        <n v="1266"/>
        <n v="1268"/>
        <n v="1269"/>
        <n v="1270"/>
        <n v="1271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4"/>
        <n v="1295"/>
        <n v="1296"/>
        <n v="1297"/>
        <n v="1298"/>
        <n v="1299"/>
        <n v="1300"/>
        <n v="1301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3"/>
        <n v="1324"/>
        <n v="1325"/>
        <n v="1326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6"/>
        <n v="1347"/>
        <n v="1348"/>
        <n v="1349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4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</sharedItems>
    </cacheField>
    <cacheField name="Age_Months" numFmtId="0">
      <sharedItems containsSemiMixedTypes="0" containsString="0" containsNumber="1" containsInteger="1" minValue="33" maxValue="45" count="13"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Rep_Code" numFmtId="0">
      <sharedItems count="5">
        <s v="ALI"/>
        <s v="BOB"/>
        <s v="CHA"/>
        <s v="DAV"/>
        <s v="EVE"/>
      </sharedItems>
    </cacheField>
    <cacheField name="Order_Code" numFmtId="0">
      <sharedItems count="1000">
        <s v="EO-230103-0653"/>
        <s v="EO-230103-0941"/>
        <s v="EO-230104-0022"/>
        <s v="EO-230104-0403"/>
        <s v="EO-230105-0165"/>
        <s v="EO-230106-0038"/>
        <s v="EO-230111-0613"/>
        <s v="EO-230112-0498"/>
        <s v="EO-230113-0746"/>
        <s v="EO-230118-0301"/>
        <s v="EO-230122-0940"/>
        <s v="EO-230124-0848"/>
        <s v="EO-230125-0675"/>
        <s v="EO-230125-0950"/>
        <s v="EO-230126-0051"/>
        <s v="EO-230127-0842"/>
        <s v="EO-230202-0792"/>
        <s v="EO-230207-0069"/>
        <s v="EO-230208-0737"/>
        <s v="EO-230216-0182"/>
        <s v="EO-230216-0526"/>
        <s v="EO-230219-0844"/>
        <s v="EO-230221-0619"/>
        <s v="EO-230225-0698"/>
        <s v="EO-230228-0712"/>
        <s v="EO-230228-0973"/>
        <s v="EO-230304-0137"/>
        <s v="EO-230308-0336"/>
        <s v="EO-230310-0095"/>
        <s v="EO-230319-0344"/>
        <s v="EO-230320-0794"/>
        <s v="EO-230320-0841"/>
        <s v="EO-230321-0510"/>
        <s v="EO-230322-0688"/>
        <s v="EO-230324-0005"/>
        <s v="EO-230325-0937"/>
        <s v="EO-230326-0357"/>
        <s v="EO-230327-0893"/>
        <s v="EO-230331-0066"/>
        <s v="EO-230331-0252"/>
        <s v="EO-230402-0710"/>
        <s v="EO-230404-0046"/>
        <s v="EO-230405-0093"/>
        <s v="EO-230407-0338"/>
        <s v="EO-230408-0662"/>
        <s v="EO-230414-0143"/>
        <s v="EO-230414-0487"/>
        <s v="EO-230423-0062"/>
        <s v="EO-230427-0536"/>
        <s v="EO-230507-0221"/>
        <s v="EO-230510-0807"/>
        <s v="EO-230513-0727"/>
        <s v="EO-230521-0574"/>
        <s v="EO-230522-0594"/>
        <s v="EO-230525-0837"/>
        <s v="EO-230527-0707"/>
        <s v="EO-230528-0473"/>
        <s v="EO-230528-0623"/>
        <s v="EO-230601-0028"/>
        <s v="EO-230601-0263"/>
        <s v="EO-230602-0139"/>
        <s v="EO-230602-0852"/>
        <s v="EO-230605-0274"/>
        <s v="EO-230608-0548"/>
        <s v="EO-230609-0734"/>
        <s v="EO-230609-0890"/>
        <s v="EO-230610-0896"/>
        <s v="EO-230611-0825"/>
        <s v="EO-230612-0758"/>
        <s v="EO-230613-0455"/>
        <s v="EO-230622-0958"/>
        <s v="EO-230706-0457"/>
        <s v="EO-230707-0551"/>
        <s v="EO-230711-0774"/>
        <s v="EO-230712-0445"/>
        <s v="EO-230721-0244"/>
        <s v="EO-230728-0868"/>
        <s v="EO-230729-0780"/>
        <s v="EO-230803-0408"/>
        <s v="EO-230811-0544"/>
        <s v="EO-230812-0692"/>
        <s v="EO-230814-0616"/>
        <s v="EO-230815-0789"/>
        <s v="EO-230816-1000"/>
        <s v="EO-230817-0035"/>
        <s v="EO-230822-0368"/>
        <s v="EO-230823-0402"/>
        <s v="EO-230831-0952"/>
        <s v="EO-230904-0328"/>
        <s v="EO-230911-0197"/>
        <s v="EO-230919-0636"/>
        <s v="EO-230924-0452"/>
        <s v="EO-231002-0058"/>
        <s v="EO-231004-0870"/>
        <s v="EO-231008-0397"/>
        <s v="EO-231009-0191"/>
        <s v="EO-231015-0806"/>
        <s v="EO-231021-0170"/>
        <s v="EO-231024-0943"/>
        <s v="EO-231029-0611"/>
        <s v="EO-231030-0365"/>
        <s v="EO-231101-0094"/>
        <s v="EO-231101-0982"/>
        <s v="EO-231105-0242"/>
        <s v="EO-231105-0436"/>
        <s v="EO-231107-0506"/>
        <s v="EO-231109-0245"/>
        <s v="EO-231109-0327"/>
        <s v="EO-231114-0693"/>
        <s v="EO-231115-0086"/>
        <s v="EO-231115-0763"/>
        <s v="EO-231116-0068"/>
        <s v="EO-231120-0183"/>
        <s v="EO-231123-0287"/>
        <s v="EO-231201-0535"/>
        <s v="EO-231203-0276"/>
        <s v="EO-231205-0512"/>
        <s v="EO-231208-0379"/>
        <s v="EO-231215-0694"/>
        <s v="EO-231223-0661"/>
        <s v="EO-231223-0818"/>
        <s v="ER-230103-0593"/>
        <s v="ER-230107-0537"/>
        <s v="ER-230108-0325"/>
        <s v="ER-230112-0508"/>
        <s v="ER-230112-0949"/>
        <s v="ER-230113-0081"/>
        <s v="ER-230114-0393"/>
        <s v="ER-230116-0565"/>
        <s v="ER-230120-0061"/>
        <s v="ER-230120-0371"/>
        <s v="ER-230120-0991"/>
        <s v="ER-230123-0203"/>
        <s v="ER-230126-0796"/>
        <s v="ER-230205-0471"/>
        <s v="ER-230206-0684"/>
        <s v="ER-230207-0091"/>
        <s v="ER-230209-0395"/>
        <s v="ER-230209-0674"/>
        <s v="ER-230209-0701"/>
        <s v="ER-230210-0417"/>
        <s v="ER-230210-0925"/>
        <s v="ER-230211-0125"/>
        <s v="ER-230224-0313"/>
        <s v="ER-230228-0621"/>
        <s v="ER-230301-0105"/>
        <s v="ER-230301-0764"/>
        <s v="ER-230302-0647"/>
        <s v="ER-230303-0650"/>
        <s v="ER-230304-0625"/>
        <s v="ER-230310-0467"/>
        <s v="ER-230314-0480"/>
        <s v="ER-230314-0601"/>
        <s v="ER-230317-0422"/>
        <s v="ER-230323-0363"/>
        <s v="ER-230323-0738"/>
        <s v="ER-230325-0809"/>
        <s v="ER-230325-0819"/>
        <s v="ER-230330-0123"/>
        <s v="ER-230330-0126"/>
        <s v="ER-230331-0683"/>
        <s v="ER-230403-0838"/>
        <s v="ER-230404-0092"/>
        <s v="ER-230408-0553"/>
        <s v="ER-230411-0500"/>
        <s v="ER-230416-0915"/>
        <s v="ER-230421-0212"/>
        <s v="ER-230423-0306"/>
        <s v="ER-230425-0695"/>
        <s v="ER-230502-0913"/>
        <s v="ER-230508-0258"/>
        <s v="ER-230510-0083"/>
        <s v="ER-230510-0442"/>
        <s v="ER-230511-0492"/>
        <s v="ER-230519-0071"/>
        <s v="ER-230526-0412"/>
        <s v="ER-230601-0992"/>
        <s v="ER-230606-0181"/>
        <s v="ER-230606-0804"/>
        <s v="ER-230607-0384"/>
        <s v="ER-230607-0595"/>
        <s v="ER-230608-0985"/>
        <s v="ER-230610-0564"/>
        <s v="ER-230615-0909"/>
        <s v="ER-230617-0432"/>
        <s v="ER-230617-0709"/>
        <s v="ER-230627-0648"/>
        <s v="ER-230628-0133"/>
        <s v="ER-230702-0962"/>
        <s v="ER-230708-0284"/>
        <s v="ER-230713-0908"/>
        <s v="ER-230714-0369"/>
        <s v="ER-230715-0161"/>
        <s v="ER-230721-0383"/>
        <s v="ER-230721-0897"/>
        <s v="ER-230722-0050"/>
        <s v="ER-230725-0854"/>
        <s v="ER-230728-0392"/>
        <s v="ER-230730-0967"/>
        <s v="ER-230731-0059"/>
        <s v="ER-230802-0862"/>
        <s v="ER-230807-0431"/>
        <s v="ER-230807-0773"/>
        <s v="ER-230811-0037"/>
        <s v="ER-230812-0745"/>
        <s v="ER-230813-0901"/>
        <s v="ER-230815-0474"/>
        <s v="ER-230817-0335"/>
        <s v="ER-230823-0728"/>
        <s v="ER-230830-0771"/>
        <s v="ER-230831-0976"/>
        <s v="ER-230906-0333"/>
        <s v="ER-230906-0731"/>
        <s v="ER-230912-0330"/>
        <s v="ER-230918-0638"/>
        <s v="ER-230924-0230"/>
        <s v="ER-230925-0434"/>
        <s v="ER-230926-0656"/>
        <s v="ER-230926-0716"/>
        <s v="ER-230930-0546"/>
        <s v="ER-231001-0575"/>
        <s v="ER-231001-0871"/>
        <s v="ER-231004-0018"/>
        <s v="ER-231016-0704"/>
        <s v="ER-231016-0902"/>
        <s v="ER-231020-0606"/>
        <s v="ER-231023-0227"/>
        <s v="ER-231024-0228"/>
        <s v="ER-231026-0192"/>
        <s v="ER-231030-0507"/>
        <s v="ER-231031-0714"/>
        <s v="ER-231105-0142"/>
        <s v="ER-231106-0443"/>
        <s v="ER-231108-0468"/>
        <s v="ER-231109-0237"/>
        <s v="ER-231110-0730"/>
        <s v="ER-231111-0541"/>
        <s v="ER-231112-0849"/>
        <s v="ER-231114-0509"/>
        <s v="ER-231115-0610"/>
        <s v="ER-231116-0106"/>
        <s v="ER-231117-0326"/>
        <s v="ER-231118-0039"/>
        <s v="ER-231118-0163"/>
        <s v="ER-231120-0596"/>
        <s v="ER-231124-0108"/>
        <s v="ER-231124-0128"/>
        <s v="ER-231124-0220"/>
        <s v="ER-231125-0088"/>
        <s v="ER-231201-0765"/>
        <s v="ER-231202-0708"/>
        <s v="ER-231203-0476"/>
        <s v="ER-231205-0119"/>
        <s v="ER-231207-0414"/>
        <s v="ER-231210-0864"/>
        <s v="ER-231216-0023"/>
        <s v="ER-231216-0026"/>
        <s v="ER-231218-0970"/>
        <s v="ER-231219-0135"/>
        <s v="ER-231227-0110"/>
        <s v="ER-231227-0972"/>
        <s v="ER-231230-0259"/>
        <s v="ER-240101-0628"/>
        <s v="NO-230101-0065"/>
        <s v="NO-230101-0102"/>
        <s v="NO-230104-0988"/>
        <s v="NO-230107-0352"/>
        <s v="NO-230107-0790"/>
        <s v="NO-230109-0394"/>
        <s v="NO-230109-0673"/>
        <s v="NO-230109-0859"/>
        <s v="NO-230110-0164"/>
        <s v="NO-230115-0560"/>
        <s v="NO-230123-0136"/>
        <s v="NO-230123-0733"/>
        <s v="NO-230124-0986"/>
        <s v="NO-230129-0450"/>
        <s v="NO-230131-0033"/>
        <s v="NO-230131-0732"/>
        <s v="NO-230203-0001"/>
        <s v="NO-230203-0418"/>
        <s v="NO-230203-0570"/>
        <s v="NO-230204-0977"/>
        <s v="NO-230205-0360"/>
        <s v="NO-230208-0559"/>
        <s v="NO-230208-0578"/>
        <s v="NO-230224-0240"/>
        <s v="NO-230228-0713"/>
        <s v="NO-230303-0614"/>
        <s v="NO-230305-0441"/>
        <s v="NO-230305-0866"/>
        <s v="NO-230308-0148"/>
        <s v="NO-230313-0835"/>
        <s v="NO-230322-0382"/>
        <s v="NO-230327-0162"/>
        <s v="NO-230328-0320"/>
        <s v="NO-230405-0187"/>
        <s v="NO-230409-0644"/>
        <s v="NO-230411-0233"/>
        <s v="NO-230415-0664"/>
        <s v="NO-230415-0996"/>
        <s v="NO-230422-0021"/>
        <s v="NO-230424-0689"/>
        <s v="NO-230428-0056"/>
        <s v="NO-230429-0370"/>
        <s v="NO-230429-0960"/>
        <s v="NO-230507-0942"/>
        <s v="NO-230508-0388"/>
        <s v="NO-230511-0554"/>
        <s v="NO-230511-0974"/>
        <s v="NO-230517-0538"/>
        <s v="NO-230523-0914"/>
        <s v="NO-230529-0241"/>
        <s v="NO-230530-0017"/>
        <s v="NO-230603-0404"/>
        <s v="NO-230604-0724"/>
        <s v="NO-230610-0355"/>
        <s v="NO-230614-0348"/>
        <s v="NO-230615-0860"/>
        <s v="NO-230622-0185"/>
        <s v="NO-230624-0304"/>
        <s v="NO-230626-0269"/>
        <s v="NO-230626-0279"/>
        <s v="NO-230626-0994"/>
        <s v="NO-230628-0149"/>
        <s v="NO-230702-0557"/>
        <s v="NO-230704-0584"/>
        <s v="NO-230707-0362"/>
        <s v="NO-230709-0438"/>
        <s v="NO-230710-0723"/>
        <s v="NO-230712-0777"/>
        <s v="NO-230714-0812"/>
        <s v="NO-230715-0769"/>
        <s v="NO-230717-0608"/>
        <s v="NO-230718-0618"/>
        <s v="NO-230719-0202"/>
        <s v="NO-230720-0481"/>
        <s v="NO-230726-0979"/>
        <s v="NO-230729-0563"/>
        <s v="NO-230730-0292"/>
        <s v="NO-230804-0175"/>
        <s v="NO-230805-0485"/>
        <s v="NO-230806-0633"/>
        <s v="NO-230808-0040"/>
        <s v="NO-230808-0989"/>
        <s v="NO-230810-0853"/>
        <s v="NO-230811-0924"/>
        <s v="NO-230812-0389"/>
        <s v="NO-230814-0797"/>
        <s v="NO-230824-0856"/>
        <s v="NO-230827-0472"/>
        <s v="NO-230831-0032"/>
        <s v="NO-230831-0627"/>
        <s v="NO-230904-0572"/>
        <s v="NO-230908-0571"/>
        <s v="NO-230908-0788"/>
        <s v="NO-230917-0620"/>
        <s v="NO-230921-0513"/>
        <s v="NO-230923-0588"/>
        <s v="NO-230930-0855"/>
        <s v="NO-231009-0531"/>
        <s v="NO-231012-0785"/>
        <s v="NO-231013-0298"/>
        <s v="NO-231015-0322"/>
        <s v="NO-231018-0341"/>
        <s v="NO-231020-0070"/>
        <s v="NO-231027-0053"/>
        <s v="NO-231027-0965"/>
        <s v="NO-231028-0552"/>
        <s v="NO-231029-0206"/>
        <s v="NO-231030-0817"/>
        <s v="NO-231102-0781"/>
        <s v="NO-231103-0964"/>
        <s v="NO-231109-0428"/>
        <s v="NO-231113-0918"/>
        <s v="NO-231119-0665"/>
        <s v="NO-231119-0697"/>
        <s v="NO-231120-0217"/>
        <s v="NO-231122-0411"/>
        <s v="NO-231125-0659"/>
        <s v="NO-231126-0198"/>
        <s v="NO-231203-0813"/>
        <s v="NO-231208-0282"/>
        <s v="NO-231210-0267"/>
        <s v="NO-231212-0205"/>
        <s v="NO-231213-0702"/>
        <s v="NO-231215-0324"/>
        <s v="NO-231216-0983"/>
        <s v="NO-231221-0378"/>
        <s v="NO-231222-0072"/>
        <s v="NO-231222-0722"/>
        <s v="NO-231226-0199"/>
        <s v="NO-231229-0444"/>
        <s v="NR-230104-0042"/>
        <s v="NR-230105-0637"/>
        <s v="NR-230109-0643"/>
        <s v="NR-230111-0196"/>
        <s v="NR-230111-0367"/>
        <s v="NR-230112-0743"/>
        <s v="NR-230115-0824"/>
        <s v="NR-230115-0851"/>
        <s v="NR-230116-0529"/>
        <s v="NR-230117-0775"/>
        <s v="NR-230121-0816"/>
        <s v="NR-230122-0778"/>
        <s v="NR-230125-0251"/>
        <s v="NR-230126-0525"/>
        <s v="NR-230127-0427"/>
        <s v="NR-230201-0294"/>
        <s v="NR-230213-0501"/>
        <s v="NR-230220-0337"/>
        <s v="NR-230223-0639"/>
        <s v="NR-230224-0321"/>
        <s v="NR-230304-0283"/>
        <s v="NR-230313-0865"/>
        <s v="NR-230313-0869"/>
        <s v="NR-230316-0410"/>
        <s v="NR-230317-0888"/>
        <s v="NR-230403-0978"/>
        <s v="NR-230405-0027"/>
        <s v="NR-230408-0433"/>
        <s v="NR-230412-0496"/>
        <s v="NR-230414-0210"/>
        <s v="NR-230414-0213"/>
        <s v="NR-230418-0494"/>
        <s v="NR-230421-0152"/>
        <s v="NR-230423-0456"/>
        <s v="NR-230424-0307"/>
        <s v="NR-230427-0863"/>
        <s v="NR-230428-0281"/>
        <s v="NR-230430-0779"/>
        <s v="NR-230502-0439"/>
        <s v="NR-230502-0953"/>
        <s v="NR-230512-0122"/>
        <s v="NR-230516-0179"/>
        <s v="NR-230517-0668"/>
        <s v="NR-230520-0604"/>
        <s v="NR-230521-0209"/>
        <s v="NR-230525-0140"/>
        <s v="NR-230525-0651"/>
        <s v="NR-230528-0280"/>
        <s v="NR-230528-0895"/>
        <s v="NR-230529-0514"/>
        <s v="NR-230530-0968"/>
        <s v="NR-230606-0156"/>
        <s v="NR-230607-0736"/>
        <s v="NR-230611-0319"/>
        <s v="NR-230614-0420"/>
        <s v="NR-230615-0309"/>
        <s v="NR-230617-0082"/>
        <s v="NR-230619-0721"/>
        <s v="NR-230621-0080"/>
        <s v="NR-230623-0912"/>
        <s v="NR-230626-0592"/>
        <s v="NR-230626-0642"/>
        <s v="NR-230627-0929"/>
        <s v="NR-230628-0261"/>
        <s v="NR-230630-0447"/>
        <s v="NR-230630-0720"/>
        <s v="NR-230701-0236"/>
        <s v="NR-230701-0349"/>
        <s v="NR-230703-0176"/>
        <s v="NR-230712-0600"/>
        <s v="NR-230717-0517"/>
        <s v="NR-230720-0399"/>
        <s v="NR-230721-0975"/>
        <s v="NR-230727-0938"/>
        <s v="NR-230802-0229"/>
        <s v="NR-230806-0208"/>
        <s v="NR-230809-0959"/>
        <s v="NR-230810-0308"/>
        <s v="NR-230811-0350"/>
        <s v="NR-230812-0289"/>
        <s v="NR-230815-0655"/>
        <s v="NR-230820-0459"/>
        <s v="NR-230821-0761"/>
        <s v="NR-230824-0586"/>
        <s v="NR-230825-0435"/>
        <s v="NR-230827-0587"/>
        <s v="NR-230907-0997"/>
        <s v="NR-230908-0260"/>
        <s v="NR-230908-0935"/>
        <s v="NR-230916-0074"/>
        <s v="NR-230920-0354"/>
        <s v="NR-230921-0340"/>
        <s v="NR-230923-0317"/>
        <s v="NR-230923-0528"/>
        <s v="NR-230926-0573"/>
        <s v="NR-230927-0112"/>
        <s v="NR-230927-0782"/>
        <s v="NR-230929-0585"/>
        <s v="NR-230930-0089"/>
        <s v="NR-231012-0270"/>
        <s v="NR-231012-0296"/>
        <s v="NR-231015-0132"/>
        <s v="NR-231015-0316"/>
        <s v="NR-231016-0016"/>
        <s v="NR-231016-0154"/>
        <s v="NR-231016-0159"/>
        <s v="NR-231018-0491"/>
        <s v="NR-231020-0219"/>
        <s v="NR-231022-0129"/>
        <s v="NR-231022-0458"/>
        <s v="NR-231028-0951"/>
        <s v="NR-231029-0579"/>
        <s v="NR-231101-0916"/>
        <s v="NR-231106-0626"/>
        <s v="NR-231110-0939"/>
        <s v="NR-231112-0113"/>
        <s v="NR-231114-0293"/>
        <s v="NR-231114-0931"/>
        <s v="NR-231114-0933"/>
        <s v="NR-231115-0861"/>
        <s v="NR-231116-0011"/>
        <s v="NR-231117-0085"/>
        <s v="NR-231119-0329"/>
        <s v="NR-231124-0331"/>
        <s v="NR-231129-0073"/>
        <s v="NR-231206-0590"/>
        <s v="NR-231206-0857"/>
        <s v="NR-231210-0603"/>
        <s v="NR-231210-0756"/>
        <s v="NR-231219-0168"/>
        <s v="NR-231220-0497"/>
        <s v="NR-231220-0700"/>
        <s v="NR-231225-0398"/>
        <s v="NR-231225-0910"/>
        <s v="NR-231226-0752"/>
        <s v="NR-231229-0207"/>
        <s v="NR-231229-0717"/>
        <s v="SO-230102-0364"/>
        <s v="SO-230104-0799"/>
        <s v="SO-230105-0118"/>
        <s v="SO-230106-0008"/>
        <s v="SO-230109-0920"/>
        <s v="SO-230110-0077"/>
        <s v="SO-230111-0878"/>
        <s v="SO-230112-0830"/>
        <s v="SO-230117-0257"/>
        <s v="SO-230117-0751"/>
        <s v="SO-230122-0810"/>
        <s v="SO-230125-0519"/>
        <s v="SO-230127-0834"/>
        <s v="SO-230129-0405"/>
        <s v="SO-230209-0699"/>
        <s v="SO-230214-0729"/>
        <s v="SO-230215-0850"/>
        <s v="SO-230306-0591"/>
        <s v="SO-230310-0194"/>
        <s v="SO-230311-0020"/>
        <s v="SO-230315-0760"/>
        <s v="SO-230316-0253"/>
        <s v="SO-230321-0891"/>
        <s v="SO-230323-0543"/>
        <s v="SO-230327-0532"/>
        <s v="SO-230330-0658"/>
        <s v="SO-230402-0339"/>
        <s v="SO-230405-0875"/>
        <s v="SO-230406-0576"/>
        <s v="SO-230408-0462"/>
        <s v="SO-230411-0087"/>
        <s v="SO-230417-0630"/>
        <s v="SO-230418-0550"/>
        <s v="SO-230419-0406"/>
        <s v="SO-230423-0749"/>
        <s v="SO-230425-0391"/>
        <s v="SO-230427-0424"/>
        <s v="SO-230427-0998"/>
        <s v="SO-230428-0045"/>
        <s v="SO-230503-0166"/>
        <s v="SO-230510-0186"/>
        <s v="SO-230511-0315"/>
        <s v="SO-230514-0044"/>
        <s v="SO-230514-0147"/>
        <s v="SO-230514-0793"/>
        <s v="SO-230524-0299"/>
        <s v="SO-230526-0597"/>
        <s v="SO-230528-0195"/>
        <s v="SO-230529-0451"/>
        <s v="SO-230530-0272"/>
        <s v="SO-230601-0549"/>
        <s v="SO-230603-0273"/>
        <s v="SO-230603-0479"/>
        <s v="SO-230604-0748"/>
        <s v="SO-230606-0153"/>
        <s v="SO-230606-0178"/>
        <s v="SO-230609-0654"/>
        <s v="SO-230610-0075"/>
        <s v="SO-230614-0117"/>
        <s v="SO-230622-0052"/>
        <s v="SO-230622-0437"/>
        <s v="SO-230625-0682"/>
        <s v="SO-230629-0009"/>
        <s v="SO-230629-0265"/>
        <s v="SO-230706-0605"/>
        <s v="SO-230707-0944"/>
        <s v="SO-230713-0305"/>
        <s v="SO-230714-0669"/>
        <s v="SO-230716-0366"/>
        <s v="SO-230718-0845"/>
        <s v="SO-230724-0867"/>
        <s v="SO-230727-0833"/>
        <s v="SO-230803-0542"/>
        <s v="SO-230804-0652"/>
        <s v="SO-230810-0375"/>
        <s v="SO-230816-0858"/>
        <s v="SO-230827-0334"/>
        <s v="SO-230829-0646"/>
        <s v="SO-230903-0400"/>
        <s v="SO-230913-0374"/>
        <s v="SO-230914-0231"/>
        <s v="SO-230914-0822"/>
        <s v="SO-230918-0676"/>
        <s v="SO-230919-0820"/>
        <s v="SO-230921-0312"/>
        <s v="SO-230921-0927"/>
        <s v="SO-231005-0401"/>
        <s v="SO-231007-0381"/>
        <s v="SO-231011-0687"/>
        <s v="SO-231012-0803"/>
        <s v="SO-231014-0224"/>
        <s v="SO-231014-0429"/>
        <s v="SO-231015-0963"/>
        <s v="SO-231019-0448"/>
        <s v="SO-231101-0502"/>
        <s v="SO-231105-0961"/>
        <s v="SO-231106-0461"/>
        <s v="SO-231106-0892"/>
        <s v="SO-231109-0632"/>
        <s v="SO-231116-0104"/>
        <s v="SO-231116-0827"/>
        <s v="SO-231120-0772"/>
        <s v="SO-231126-0167"/>
        <s v="SO-231127-0024"/>
        <s v="SO-231130-0098"/>
        <s v="SO-231208-0426"/>
        <s v="SO-231215-0107"/>
        <s v="SO-231226-0917"/>
        <s v="SO-231227-0278"/>
        <s v="SO-231231-0014"/>
        <s v="SO-231231-0524"/>
        <s v="SO-240101-0874"/>
        <s v="SR-230101-0238"/>
        <s v="SR-230104-0561"/>
        <s v="SR-230108-0840"/>
        <s v="SR-230114-0547"/>
        <s v="SR-230115-0177"/>
        <s v="SR-230117-0419"/>
        <s v="SR-230125-0264"/>
        <s v="SR-230129-0226"/>
        <s v="SR-230205-0036"/>
        <s v="SR-230208-0145"/>
        <s v="SR-230209-0690"/>
        <s v="SR-230211-0488"/>
        <s v="SR-230215-0440"/>
        <s v="SR-230215-0747"/>
        <s v="SR-230216-0064"/>
        <s v="SR-230218-0286"/>
        <s v="SR-230222-0377"/>
        <s v="SR-230304-0249"/>
        <s v="SR-230309-0660"/>
        <s v="SR-230313-0622"/>
        <s v="SR-230314-0922"/>
        <s v="SR-230316-0805"/>
        <s v="SR-230317-0100"/>
        <s v="SR-230318-0742"/>
        <s v="SR-230318-0904"/>
        <s v="SR-230319-0120"/>
        <s v="SR-230322-0515"/>
        <s v="SR-230328-0948"/>
        <s v="SR-230329-0886"/>
        <s v="SR-230402-0815"/>
        <s v="SR-230406-0995"/>
        <s v="SR-230408-0407"/>
        <s v="SR-230409-0800"/>
        <s v="SR-230412-0882"/>
        <s v="SR-230413-0907"/>
        <s v="SR-230418-0566"/>
        <s v="SR-230422-0359"/>
        <s v="SR-230426-0905"/>
        <s v="SR-230503-0919"/>
        <s v="SR-230505-0134"/>
        <s v="SR-230512-0311"/>
        <s v="SR-230517-0099"/>
        <s v="SR-230522-0067"/>
        <s v="SR-230527-0954"/>
        <s v="SR-230531-0356"/>
        <s v="SR-230601-0465"/>
        <s v="SR-230602-0421"/>
        <s v="SR-230607-0295"/>
        <s v="SR-230610-0268"/>
        <s v="SR-230612-0826"/>
        <s v="SR-230619-0672"/>
        <s v="SR-230620-0556"/>
        <s v="SR-230630-0847"/>
        <s v="SR-230707-0755"/>
        <s v="SR-230717-0266"/>
        <s v="SR-230718-0530"/>
        <s v="SR-230729-0255"/>
        <s v="SR-230801-0116"/>
        <s v="SR-230802-0884"/>
        <s v="SR-230804-0511"/>
        <s v="SR-230810-0766"/>
        <s v="SR-230812-0762"/>
        <s v="SR-230814-0670"/>
        <s v="SR-230815-0460"/>
        <s v="SR-230815-0568"/>
        <s v="SR-230817-0015"/>
        <s v="SR-230821-0903"/>
        <s v="SR-230824-0004"/>
        <s v="SR-230825-0124"/>
        <s v="SR-230825-0396"/>
        <s v="SR-230825-0703"/>
        <s v="SR-230831-0189"/>
        <s v="SR-230902-0582"/>
        <s v="SR-230904-0031"/>
        <s v="SR-230911-0160"/>
        <s v="SR-230915-0740"/>
        <s v="SR-230916-0635"/>
        <s v="SR-230919-0705"/>
        <s v="SR-230921-0003"/>
        <s v="SR-230922-0090"/>
        <s v="SR-230924-0109"/>
        <s v="SR-230924-0883"/>
        <s v="SR-230928-0832"/>
        <s v="SR-231005-0768"/>
        <s v="SR-231012-0798"/>
        <s v="SR-231020-0373"/>
        <s v="SR-231020-0409"/>
        <s v="SR-231020-0555"/>
        <s v="SR-231020-0598"/>
        <s v="SR-231020-0987"/>
        <s v="SR-231022-0744"/>
        <s v="SR-231023-0127"/>
        <s v="SR-231023-0453"/>
        <s v="SR-231023-0482"/>
        <s v="SR-231101-0297"/>
        <s v="SR-231101-0602"/>
        <s v="SR-231108-0971"/>
        <s v="SR-231112-0214"/>
        <s v="SR-231112-0685"/>
        <s v="SR-231114-0025"/>
        <s v="SR-231114-0096"/>
        <s v="SR-231124-0540"/>
        <s v="SR-231126-0504"/>
        <s v="SR-231204-0873"/>
        <s v="SR-231212-0234"/>
        <s v="SR-231214-0930"/>
        <s v="SR-231219-0899"/>
        <s v="SR-231222-0416"/>
        <s v="SR-231225-0314"/>
        <s v="SR-231225-0589"/>
        <s v="SR-231225-0923"/>
        <s v="SR-231229-0735"/>
        <s v="SR-231230-0558"/>
        <s v="SR-231231-0174"/>
        <s v="WO-230102-0900"/>
        <s v="WO-230111-0454"/>
        <s v="WO-230114-0131"/>
        <s v="WO-230114-0946"/>
        <s v="WO-230120-0645"/>
        <s v="WO-230125-0489"/>
        <s v="WO-230127-0811"/>
        <s v="WO-230129-0791"/>
        <s v="WO-230201-0877"/>
        <s v="WO-230206-0969"/>
        <s v="WO-230207-0200"/>
        <s v="WO-230208-0490"/>
        <s v="WO-230209-0034"/>
        <s v="WO-230210-0887"/>
        <s v="WO-230211-0006"/>
        <s v="WO-230211-0150"/>
        <s v="WO-230211-0415"/>
        <s v="WO-230214-0718"/>
        <s v="WO-230219-0993"/>
        <s v="WO-230226-0505"/>
        <s v="WO-230227-0795"/>
        <s v="WO-230228-0523"/>
        <s v="WO-230302-0486"/>
        <s v="WO-230303-0047"/>
        <s v="WO-230303-0121"/>
        <s v="WO-230316-0041"/>
        <s v="WO-230323-0966"/>
        <s v="WO-230325-0084"/>
        <s v="WO-230329-0343"/>
        <s v="WO-230331-0911"/>
        <s v="WO-230402-0894"/>
        <s v="WO-230406-0342"/>
        <s v="WO-230407-0158"/>
        <s v="WO-230411-0007"/>
        <s v="WO-230414-0130"/>
        <s v="WO-230416-0222"/>
        <s v="WO-230420-0235"/>
        <s v="WO-230421-0934"/>
        <s v="WO-230425-0188"/>
        <s v="WO-230427-0246"/>
        <s v="WO-230428-0169"/>
        <s v="WO-230430-0346"/>
        <s v="WO-230430-0385"/>
        <s v="WO-230503-0666"/>
        <s v="WO-230504-0678"/>
        <s v="WO-230513-0054"/>
        <s v="WO-230513-0218"/>
        <s v="WO-230514-0430"/>
        <s v="WO-230517-0030"/>
        <s v="WO-230521-0290"/>
        <s v="WO-230523-0138"/>
        <s v="WO-230527-0358"/>
        <s v="WO-230602-0599"/>
        <s v="WO-230608-0171"/>
        <s v="WO-230613-0787"/>
        <s v="WO-230618-0715"/>
        <s v="WO-230621-0495"/>
        <s v="WO-230624-0808"/>
        <s v="WO-230627-0323"/>
        <s v="WO-230701-0262"/>
        <s v="WO-230705-0696"/>
        <s v="WO-230711-0783"/>
        <s v="WO-230717-0019"/>
        <s v="WO-230717-0146"/>
        <s v="WO-230720-0478"/>
        <s v="WO-230725-0741"/>
        <s v="WO-230728-0390"/>
        <s v="WO-230729-0211"/>
        <s v="WO-230801-0984"/>
        <s v="WO-230803-0387"/>
        <s v="WO-230803-0516"/>
        <s v="WO-230805-0880"/>
        <s v="WO-230811-0753"/>
        <s v="WO-230813-0060"/>
        <s v="WO-230814-0012"/>
        <s v="WO-230814-0376"/>
        <s v="WO-230814-0631"/>
        <s v="WO-230816-0173"/>
        <s v="WO-230817-0111"/>
        <s v="WO-230817-0493"/>
        <s v="WO-230821-0750"/>
        <s v="WO-230824-0583"/>
        <s v="WO-230824-0814"/>
        <s v="WO-230830-0898"/>
        <s v="WO-230901-0250"/>
        <s v="WO-230903-0466"/>
        <s v="WO-230907-0470"/>
        <s v="WO-230907-0533"/>
        <s v="WO-230908-0681"/>
        <s v="WO-230914-0288"/>
        <s v="WO-230918-0078"/>
        <s v="WO-230925-0521"/>
        <s v="WO-230928-0802"/>
        <s v="WO-231001-0831"/>
        <s v="WO-231007-0829"/>
        <s v="WO-231009-0010"/>
        <s v="WO-231010-0193"/>
        <s v="WO-231012-0361"/>
        <s v="WO-231015-0527"/>
        <s v="WO-231016-0881"/>
        <s v="WO-231018-0248"/>
        <s v="WO-231021-0254"/>
        <s v="WO-231022-0609"/>
        <s v="WO-231028-0691"/>
        <s v="WO-231029-0232"/>
        <s v="WO-231030-0172"/>
        <s v="WO-231116-0872"/>
        <s v="WO-231122-0055"/>
        <s v="WO-231126-0629"/>
        <s v="WO-231128-0184"/>
        <s v="WO-231128-0981"/>
        <s v="WO-231201-0043"/>
        <s v="WO-231204-0649"/>
        <s v="WO-231211-0719"/>
        <s v="WO-231213-0256"/>
        <s v="WO-231215-0562"/>
        <s v="WO-231219-0711"/>
        <s v="WO-231220-0999"/>
        <s v="WO-231222-0216"/>
        <s v="WO-231222-0739"/>
        <s v="WO-231222-0957"/>
        <s v="WO-231226-0285"/>
        <s v="WO-231228-0945"/>
        <s v="WO-231231-0477"/>
        <s v="WO-240101-0318"/>
        <s v="WR-230107-0726"/>
        <s v="WR-230107-0936"/>
        <s v="WR-230112-0776"/>
        <s v="WR-230112-0947"/>
        <s v="WR-230115-0151"/>
        <s v="WR-230117-0483"/>
        <s v="WR-230117-0503"/>
        <s v="WR-230119-0300"/>
        <s v="WR-230129-0580"/>
        <s v="WR-230129-0667"/>
        <s v="WR-230204-0101"/>
        <s v="WR-230206-0767"/>
        <s v="WR-230207-0157"/>
        <s v="WR-230207-0679"/>
        <s v="WR-230208-0801"/>
        <s v="WR-230215-0889"/>
        <s v="WR-230216-0640"/>
        <s v="WR-230218-0275"/>
        <s v="WR-230220-0225"/>
        <s v="WR-230223-0332"/>
        <s v="WR-230224-0463"/>
        <s v="WR-230224-0955"/>
        <s v="WR-230227-0823"/>
        <s v="WR-230228-0386"/>
        <s v="WR-230301-0836"/>
        <s v="WR-230302-0607"/>
        <s v="WR-230304-0271"/>
        <s v="WR-230319-0303"/>
        <s v="WR-230325-0277"/>
        <s v="WR-230325-0932"/>
        <s v="WR-230328-0423"/>
        <s v="WR-230330-0520"/>
        <s v="WR-230402-0223"/>
        <s v="WR-230413-0545"/>
        <s v="WR-230414-0144"/>
        <s v="WR-230421-0002"/>
        <s v="WR-230421-0464"/>
        <s v="WR-230430-0657"/>
        <s v="WR-230508-0413"/>
        <s v="WR-230509-0484"/>
        <s v="WR-230514-0201"/>
        <s v="WR-230517-0243"/>
        <s v="WR-230518-0079"/>
        <s v="WR-230520-0063"/>
        <s v="WR-230523-0522"/>
        <s v="WR-230527-0821"/>
        <s v="WR-230602-0617"/>
        <s v="WR-230603-0247"/>
        <s v="WR-230603-0906"/>
        <s v="WR-230615-0876"/>
        <s v="WR-230619-0569"/>
        <s v="WR-230620-0215"/>
        <s v="WR-230623-0843"/>
        <s v="WR-230624-0784"/>
        <s v="WR-230625-0539"/>
        <s v="WR-230625-0686"/>
        <s v="WR-230627-0076"/>
        <s v="WR-230628-0885"/>
        <s v="WR-230707-0725"/>
        <s v="WR-230713-0048"/>
        <s v="WR-230719-0518"/>
        <s v="WR-230723-0786"/>
        <s v="WR-230723-0926"/>
        <s v="WR-230803-0291"/>
        <s v="WR-230803-0641"/>
        <s v="WR-230804-0706"/>
        <s v="WR-230813-0141"/>
        <s v="WR-230814-0677"/>
        <s v="WR-230815-0577"/>
        <s v="WR-230819-0155"/>
        <s v="WR-230824-0097"/>
        <s v="WR-230826-0956"/>
        <s v="WR-230829-0634"/>
        <s v="WR-230901-0475"/>
        <s v="WR-230914-0302"/>
        <s v="WR-230918-0180"/>
        <s v="WR-230918-0372"/>
        <s v="WR-230919-0921"/>
        <s v="WR-230924-0663"/>
        <s v="WR-230927-0534"/>
        <s v="WR-231002-0499"/>
        <s v="WR-231008-0828"/>
        <s v="WR-231009-0449"/>
        <s v="WR-231013-0114"/>
        <s v="WR-231015-0345"/>
        <s v="WR-231016-0469"/>
        <s v="WR-231018-0115"/>
        <s v="WR-231019-0190"/>
        <s v="WR-231023-0103"/>
        <s v="WR-231028-0879"/>
        <s v="WR-231029-0347"/>
        <s v="WR-231030-0204"/>
        <s v="WR-231103-0446"/>
        <s v="WR-231105-0839"/>
        <s v="WR-231107-0029"/>
        <s v="WR-231107-0351"/>
        <s v="WR-231107-0567"/>
        <s v="WR-231111-0013"/>
        <s v="WR-231114-0581"/>
        <s v="WR-231115-0239"/>
        <s v="WR-231115-0310"/>
        <s v="WR-231120-0057"/>
        <s v="WR-231122-0759"/>
        <s v="WR-231124-0680"/>
        <s v="WR-231124-0928"/>
        <s v="WR-231126-0353"/>
        <s v="WR-231128-0671"/>
        <s v="WR-231129-0615"/>
        <s v="WR-231201-0049"/>
        <s v="WR-231210-0612"/>
        <s v="WR-231215-0624"/>
        <s v="WR-231215-0846"/>
        <s v="WR-231218-0770"/>
        <s v="WR-231219-0980"/>
        <s v="WR-231220-0754"/>
        <s v="WR-231228-0425"/>
        <s v="WR-231230-0380"/>
        <s v="WR-231230-0990"/>
        <s v="WR-231231-0757"/>
      </sharedItems>
    </cacheField>
    <cacheField name="Filter_Seq" numFmtId="0">
      <sharedItems containsMixedTypes="1" containsNumber="1" containsInteger="1" minValue="1" maxValue="90" count="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s v=""/>
      </sharedItems>
    </cacheField>
    <cacheField name="X1_Quantity" numFmtId="0">
      <sharedItems containsSemiMixedTypes="0" containsString="0" containsNumber="1" containsInteger="1" minValue="1" maxValue="49" count="4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</sharedItems>
    </cacheField>
    <cacheField name="X2_Discount" numFmtId="0">
      <sharedItems containsSemiMixedTypes="0" containsString="0" containsNumber="1" minValue="0" maxValue="0.3" count="31">
        <n v="0"/>
        <n v="0.01"/>
        <n v="0.02"/>
        <n v="0.03"/>
        <n v="0.04"/>
        <n v="0.05"/>
        <n v="0.06"/>
        <n v="7.0000000000000007E-2"/>
        <n v="0.08"/>
        <n v="0.09"/>
        <n v="0.1"/>
        <n v="0.11"/>
        <n v="0.12"/>
        <n v="0.13"/>
        <n v="0.14000000000000001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000000000000003"/>
        <n v="0.28999999999999998"/>
        <n v="0.3"/>
      </sharedItems>
    </cacheField>
    <cacheField name="X3_Unit_Price" numFmtId="0">
      <sharedItems containsSemiMixedTypes="0" containsString="0" containsNumber="1" minValue="167.12" maxValue="5442.15" count="1000">
        <n v="167.12"/>
        <n v="175.29"/>
        <n v="181.62"/>
        <n v="211.18"/>
        <n v="219.08"/>
        <n v="234.63"/>
        <n v="258.92"/>
        <n v="260.73"/>
        <n v="267.22000000000003"/>
        <n v="297.69"/>
        <n v="303.36"/>
        <n v="314.93"/>
        <n v="316.39"/>
        <n v="336.37"/>
        <n v="338.94"/>
        <n v="350.38"/>
        <n v="351.6"/>
        <n v="360.54"/>
        <n v="371.4"/>
        <n v="381.92"/>
        <n v="385.83"/>
        <n v="390.89"/>
        <n v="404.69"/>
        <n v="423.13"/>
        <n v="429.29"/>
        <n v="436.53"/>
        <n v="438.27"/>
        <n v="445.48"/>
        <n v="446.11"/>
        <n v="451.81"/>
        <n v="457.84"/>
        <n v="461.3"/>
        <n v="471.75"/>
        <n v="477.67"/>
        <n v="477.68"/>
        <n v="487.03"/>
        <n v="487.65"/>
        <n v="488.23"/>
        <n v="492.68"/>
        <n v="498.31"/>
        <n v="498.46"/>
        <n v="503.36"/>
        <n v="517.17999999999995"/>
        <n v="526.14"/>
        <n v="528.49"/>
        <n v="531.02"/>
        <n v="533.58000000000004"/>
        <n v="540.38"/>
        <n v="548.25"/>
        <n v="552.29"/>
        <n v="557.69000000000005"/>
        <n v="565.62"/>
        <n v="569.63"/>
        <n v="576.44000000000005"/>
        <n v="584.44000000000005"/>
        <n v="586.17999999999995"/>
        <n v="595.20000000000005"/>
        <n v="612.46"/>
        <n v="613.09"/>
        <n v="624.71"/>
        <n v="632.44000000000005"/>
        <n v="634.16"/>
        <n v="641.09"/>
        <n v="641.17999999999995"/>
        <n v="648.29"/>
        <n v="657.44"/>
        <n v="665.07"/>
        <n v="666.64"/>
        <n v="675.54"/>
        <n v="675.91"/>
        <n v="676.66"/>
        <n v="677.5"/>
        <n v="678.04"/>
        <n v="682.24"/>
        <n v="683.78"/>
        <n v="684.67"/>
        <n v="685.1"/>
        <n v="686.25"/>
        <n v="687.6"/>
        <n v="692.71"/>
        <n v="693.4"/>
        <n v="700.25"/>
        <n v="715.06"/>
        <n v="715.84"/>
        <n v="718.72"/>
        <n v="732.69"/>
        <n v="733"/>
        <n v="735.95"/>
        <n v="737.49"/>
        <n v="742"/>
        <n v="746.28"/>
        <n v="752.24"/>
        <n v="753.81"/>
        <n v="757.26"/>
        <n v="759.32"/>
        <n v="764.54"/>
        <n v="768.06"/>
        <n v="779.33"/>
        <n v="792.21"/>
        <n v="799.04"/>
        <n v="799.27"/>
        <n v="800.6"/>
        <n v="802.43"/>
        <n v="803.49"/>
        <n v="803.71"/>
        <n v="803.87"/>
        <n v="806.14"/>
        <n v="808.69"/>
        <n v="812.91"/>
        <n v="814.14"/>
        <n v="817.36"/>
        <n v="818.14"/>
        <n v="820.37"/>
        <n v="822.39"/>
        <n v="828.95"/>
        <n v="831.13"/>
        <n v="838.97"/>
        <n v="839.92"/>
        <n v="842.46"/>
        <n v="851.35"/>
        <n v="853.66"/>
        <n v="856.91"/>
        <n v="860.95"/>
        <n v="863.03"/>
        <n v="863.81"/>
        <n v="865.76"/>
        <n v="876.46"/>
        <n v="878.09"/>
        <n v="878.43"/>
        <n v="882.28"/>
        <n v="884.51"/>
        <n v="902.26"/>
        <n v="907.63"/>
        <n v="909.88"/>
        <n v="914.77"/>
        <n v="918.17"/>
        <n v="934.04"/>
        <n v="938.04"/>
        <n v="944.79"/>
        <n v="956.16"/>
        <n v="958.76"/>
        <n v="970.49"/>
        <n v="971.57"/>
        <n v="987.41"/>
        <n v="991.21"/>
        <n v="993.24"/>
        <n v="999.18"/>
        <n v="1001.77"/>
        <n v="1004.08"/>
        <n v="1004.7"/>
        <n v="1023.64"/>
        <n v="1024.31"/>
        <n v="1029.71"/>
        <n v="1032.22"/>
        <n v="1040.21"/>
        <n v="1043.45"/>
        <n v="1059.82"/>
        <n v="1065.55"/>
        <n v="1067.53"/>
        <n v="1067.6600000000001"/>
        <n v="1072.82"/>
        <n v="1075.8900000000001"/>
        <n v="1084.28"/>
        <n v="1086.8900000000001"/>
        <n v="1094.92"/>
        <n v="1095.45"/>
        <n v="1098.97"/>
        <n v="1103.03"/>
        <n v="1106.51"/>
        <n v="1107.45"/>
        <n v="1111.4100000000001"/>
        <n v="1115.24"/>
        <n v="1126.52"/>
        <n v="1128.9100000000001"/>
        <n v="1137.44"/>
        <n v="1138.49"/>
        <n v="1143.02"/>
        <n v="1150.28"/>
        <n v="1159.06"/>
        <n v="1164.4100000000001"/>
        <n v="1167.33"/>
        <n v="1170.1600000000001"/>
        <n v="1174.48"/>
        <n v="1175.22"/>
        <n v="1176.17"/>
        <n v="1177.75"/>
        <n v="1180.04"/>
        <n v="1182"/>
        <n v="1189.22"/>
        <n v="1189.3499999999999"/>
        <n v="1191.9000000000001"/>
        <n v="1200.96"/>
        <n v="1201.3900000000001"/>
        <n v="1214.56"/>
        <n v="1225.6400000000001"/>
        <n v="1236.0999999999999"/>
        <n v="1258.3"/>
        <n v="1258.6300000000001"/>
        <n v="1263.49"/>
        <n v="1265.6600000000001"/>
        <n v="1266.25"/>
        <n v="1271.45"/>
        <n v="1271.99"/>
        <n v="1273.98"/>
        <n v="1283.04"/>
        <n v="1284.3599999999999"/>
        <n v="1286.92"/>
        <n v="1292.94"/>
        <n v="1295.3699999999999"/>
        <n v="1306.02"/>
        <n v="1308.44"/>
        <n v="1320.06"/>
        <n v="1320.32"/>
        <n v="1321.18"/>
        <n v="1329.26"/>
        <n v="1330.84"/>
        <n v="1336.37"/>
        <n v="1352.11"/>
        <n v="1355.44"/>
        <n v="1366.62"/>
        <n v="1367.76"/>
        <n v="1382.43"/>
        <n v="1384.3"/>
        <n v="1389.35"/>
        <n v="1399.09"/>
        <n v="1408.4"/>
        <n v="1414.88"/>
        <n v="1420.9"/>
        <n v="1424.17"/>
        <n v="1427.21"/>
        <n v="1429.44"/>
        <n v="1430.45"/>
        <n v="1437.12"/>
        <n v="1438.76"/>
        <n v="1441.88"/>
        <n v="1444.97"/>
        <n v="1448.54"/>
        <n v="1454.41"/>
        <n v="1454.68"/>
        <n v="1462.19"/>
        <n v="1464.71"/>
        <n v="1466.18"/>
        <n v="1475.29"/>
        <n v="1482.58"/>
        <n v="1482.88"/>
        <n v="1485.34"/>
        <n v="1485.75"/>
        <n v="1486.29"/>
        <n v="1492.48"/>
        <n v="1505.44"/>
        <n v="1510.3"/>
        <n v="1510.43"/>
        <n v="1511.26"/>
        <n v="1514.61"/>
        <n v="1515.49"/>
        <n v="1528.15"/>
        <n v="1528.4"/>
        <n v="1528.59"/>
        <n v="1533.09"/>
        <n v="1535.57"/>
        <n v="1538.79"/>
        <n v="1543.38"/>
        <n v="1543.69"/>
        <n v="1545"/>
        <n v="1545.02"/>
        <n v="1547.26"/>
        <n v="1547.35"/>
        <n v="1550.19"/>
        <n v="1558.87"/>
        <n v="1566.36"/>
        <n v="1567.78"/>
        <n v="1567.92"/>
        <n v="1575.59"/>
        <n v="1576.34"/>
        <n v="1576.69"/>
        <n v="1582.89"/>
        <n v="1586.29"/>
        <n v="1596.65"/>
        <n v="1608.76"/>
        <n v="1609.94"/>
        <n v="1611.92"/>
        <n v="1619.69"/>
        <n v="1624.89"/>
        <n v="1625.71"/>
        <n v="1636.14"/>
        <n v="1647.25"/>
        <n v="1649.74"/>
        <n v="1668.95"/>
        <n v="1669.95"/>
        <n v="1670.36"/>
        <n v="1674.97"/>
        <n v="1675.35"/>
        <n v="1687.5"/>
        <n v="1687.83"/>
        <n v="1697.19"/>
        <n v="1703.02"/>
        <n v="1703.64"/>
        <n v="1705.71"/>
        <n v="1709.71"/>
        <n v="1710.95"/>
        <n v="1715.83"/>
        <n v="1717.97"/>
        <n v="1727.15"/>
        <n v="1729.71"/>
        <n v="1729.81"/>
        <n v="1739.45"/>
        <n v="1745.52"/>
        <n v="1750.38"/>
        <n v="1751.24"/>
        <n v="1756.34"/>
        <n v="1758.98"/>
        <n v="1763.69"/>
        <n v="1781.09"/>
        <n v="1792.83"/>
        <n v="1798.02"/>
        <n v="1805.56"/>
        <n v="1814.63"/>
        <n v="1829.16"/>
        <n v="1830.27"/>
        <n v="1830.76"/>
        <n v="1832.6"/>
        <n v="1838.21"/>
        <n v="1840.77"/>
        <n v="1844.07"/>
        <n v="1844.8"/>
        <n v="1848.69"/>
        <n v="1856.4"/>
        <n v="1862.61"/>
        <n v="1862.88"/>
        <n v="1865.83"/>
        <n v="1868.32"/>
        <n v="1870.88"/>
        <n v="1871.22"/>
        <n v="1875.75"/>
        <n v="1882.57"/>
        <n v="1882.79"/>
        <n v="1891.02"/>
        <n v="1906.64"/>
        <n v="1931.56"/>
        <n v="1935.25"/>
        <n v="1935.29"/>
        <n v="1939.04"/>
        <n v="1942.55"/>
        <n v="1948.46"/>
        <n v="1951.24"/>
        <n v="1955.56"/>
        <n v="1964.15"/>
        <n v="1972.62"/>
        <n v="1980.06"/>
        <n v="1982.92"/>
        <n v="1983.82"/>
        <n v="1984.34"/>
        <n v="1993.4"/>
        <n v="1994.01"/>
        <n v="2001.08"/>
        <n v="2002.95"/>
        <n v="2027.74"/>
        <n v="2034.15"/>
        <n v="2036.2"/>
        <n v="2043.82"/>
        <n v="2044.04"/>
        <n v="2045.53"/>
        <n v="2047.13"/>
        <n v="2056.35"/>
        <n v="2066.5"/>
        <n v="2070.52"/>
        <n v="2073.3200000000002"/>
        <n v="2073.88"/>
        <n v="2074.25"/>
        <n v="2075.35"/>
        <n v="2079.64"/>
        <n v="2081.5500000000002"/>
        <n v="2082.52"/>
        <n v="2087.4499999999998"/>
        <n v="2091.23"/>
        <n v="2116.7399999999998"/>
        <n v="2121.5500000000002"/>
        <n v="2147.14"/>
        <n v="2147.8000000000002"/>
        <n v="2152.1999999999998"/>
        <n v="2168.91"/>
        <n v="2169.86"/>
        <n v="2173.4699999999998"/>
        <n v="2180.83"/>
        <n v="2185.42"/>
        <n v="2186.42"/>
        <n v="2188.66"/>
        <n v="2191.19"/>
        <n v="2193.2199999999998"/>
        <n v="2196.3000000000002"/>
        <n v="2197.42"/>
        <n v="2202.87"/>
        <n v="2211.17"/>
        <n v="2217.5100000000002"/>
        <n v="2217.8000000000002"/>
        <n v="2220.9"/>
        <n v="2238.65"/>
        <n v="2241.96"/>
        <n v="2246.2399999999998"/>
        <n v="2254.84"/>
        <n v="2255.0500000000002"/>
        <n v="2257.92"/>
        <n v="2259.5"/>
        <n v="2260.81"/>
        <n v="2263.36"/>
        <n v="2270.9899999999998"/>
        <n v="2282.23"/>
        <n v="2289.27"/>
        <n v="2291.17"/>
        <n v="2299.37"/>
        <n v="2303.6999999999998"/>
        <n v="2305.44"/>
        <n v="2307.64"/>
        <n v="2309.4299999999998"/>
        <n v="2319.62"/>
        <n v="2321.87"/>
        <n v="2329.37"/>
        <n v="2333.19"/>
        <n v="2338.66"/>
        <n v="2341.4699999999998"/>
        <n v="2363.9"/>
        <n v="2365.35"/>
        <n v="2367.11"/>
        <n v="2382.23"/>
        <n v="2384.38"/>
        <n v="2385.48"/>
        <n v="2394.1999999999998"/>
        <n v="2406.58"/>
        <n v="2426.9899999999998"/>
        <n v="2429.9299999999998"/>
        <n v="2437.6999999999998"/>
        <n v="2438.9699999999998"/>
        <n v="2439.4899999999998"/>
        <n v="2440.63"/>
        <n v="2441.46"/>
        <n v="2441.79"/>
        <n v="2449.64"/>
        <n v="2453.35"/>
        <n v="2457.29"/>
        <n v="2462.34"/>
        <n v="2462.63"/>
        <n v="2467.2800000000002"/>
        <n v="2472.98"/>
        <n v="2475.56"/>
        <n v="2475.9299999999998"/>
        <n v="2476.8000000000002"/>
        <n v="2482.34"/>
        <n v="2483.87"/>
        <n v="2486.14"/>
        <n v="2490.4699999999998"/>
        <n v="2494.48"/>
        <n v="2502.7600000000002"/>
        <n v="2504.0300000000002"/>
        <n v="2504.6"/>
        <n v="2512.84"/>
        <n v="2517.6"/>
        <n v="2519.0700000000002"/>
        <n v="2521.4499999999998"/>
        <n v="2521.77"/>
        <n v="2525.27"/>
        <n v="2527"/>
        <n v="2529.02"/>
        <n v="2532.87"/>
        <n v="2533.04"/>
        <n v="2540.42"/>
        <n v="2558.6799999999998"/>
        <n v="2558.9499999999998"/>
        <n v="2568.13"/>
        <n v="2568.73"/>
        <n v="2578.8000000000002"/>
        <n v="2581"/>
        <n v="2584.35"/>
        <n v="2596.61"/>
        <n v="2597.67"/>
        <n v="2598.4"/>
        <n v="2598.58"/>
        <n v="2600.9299999999998"/>
        <n v="2604.06"/>
        <n v="2605.36"/>
        <n v="2610.84"/>
        <n v="2611.94"/>
        <n v="2616.19"/>
        <n v="2617"/>
        <n v="2624.09"/>
        <n v="2626.02"/>
        <n v="2626.32"/>
        <n v="2626.9"/>
        <n v="2637.91"/>
        <n v="2638.96"/>
        <n v="2644.54"/>
        <n v="2646.53"/>
        <n v="2654.65"/>
        <n v="2658.06"/>
        <n v="2661.54"/>
        <n v="2668.02"/>
        <n v="2682.34"/>
        <n v="2682.53"/>
        <n v="2684.83"/>
        <n v="2693.33"/>
        <n v="2696.02"/>
        <n v="2696.78"/>
        <n v="2707.11"/>
        <n v="2707.25"/>
        <n v="2709.4"/>
        <n v="2714.12"/>
        <n v="2714.71"/>
        <n v="2715.05"/>
        <n v="2723.13"/>
        <n v="2738.68"/>
        <n v="2740.93"/>
        <n v="2742.97"/>
        <n v="2743.09"/>
        <n v="2747.81"/>
        <n v="2755.56"/>
        <n v="2760.6"/>
        <n v="2765.79"/>
        <n v="2766.05"/>
        <n v="2766.51"/>
        <n v="2769.52"/>
        <n v="2771.02"/>
        <n v="2774.86"/>
        <n v="2778.4"/>
        <n v="2790.1"/>
        <n v="2796.88"/>
        <n v="2836.94"/>
        <n v="2838.27"/>
        <n v="2839.73"/>
        <n v="2840.14"/>
        <n v="2841.68"/>
        <n v="2847.76"/>
        <n v="2848.4"/>
        <n v="2850.56"/>
        <n v="2860.42"/>
        <n v="2864.45"/>
        <n v="2867.36"/>
        <n v="2869.6"/>
        <n v="2872.8"/>
        <n v="2879.24"/>
        <n v="2882.85"/>
        <n v="2889.67"/>
        <n v="2904.06"/>
        <n v="2908.09"/>
        <n v="2910.51"/>
        <n v="2913.78"/>
        <n v="2925.86"/>
        <n v="2926.68"/>
        <n v="2929.32"/>
        <n v="2929.45"/>
        <n v="2937.57"/>
        <n v="2943.31"/>
        <n v="2953.91"/>
        <n v="2955.51"/>
        <n v="2958.55"/>
        <n v="2961.56"/>
        <n v="2971.75"/>
        <n v="2976.01"/>
        <n v="2977.52"/>
        <n v="2979.64"/>
        <n v="2994.74"/>
        <n v="3001.56"/>
        <n v="3007.47"/>
        <n v="3007.53"/>
        <n v="3013.49"/>
        <n v="3023.97"/>
        <n v="3027.01"/>
        <n v="3027.74"/>
        <n v="3027.92"/>
        <n v="3036.18"/>
        <n v="3040.73"/>
        <n v="3042.73"/>
        <n v="3045.94"/>
        <n v="3049.04"/>
        <n v="3054.79"/>
        <n v="3062.22"/>
        <n v="3069.94"/>
        <n v="3074.59"/>
        <n v="3080.61"/>
        <n v="3081.04"/>
        <n v="3081.5"/>
        <n v="3083.06"/>
        <n v="3096.64"/>
        <n v="3104.43"/>
        <n v="3108.3"/>
        <n v="3125.01"/>
        <n v="3133.55"/>
        <n v="3145.27"/>
        <n v="3146.6"/>
        <n v="3152.28"/>
        <n v="3159.88"/>
        <n v="3163.7"/>
        <n v="3177.64"/>
        <n v="3181.23"/>
        <n v="3183.58"/>
        <n v="3185.81"/>
        <n v="3186.15"/>
        <n v="3192.37"/>
        <n v="3192.99"/>
        <n v="3193.25"/>
        <n v="3193.76"/>
        <n v="3193.92"/>
        <n v="3198.49"/>
        <n v="3198.54"/>
        <n v="3200.75"/>
        <n v="3202.68"/>
        <n v="3204.01"/>
        <n v="3206.98"/>
        <n v="3209.22"/>
        <n v="3215"/>
        <n v="3216.42"/>
        <n v="3218.9"/>
        <n v="3219.58"/>
        <n v="3222.65"/>
        <n v="3224.84"/>
        <n v="3231.08"/>
        <n v="3231.32"/>
        <n v="3239.74"/>
        <n v="3244.76"/>
        <n v="3246.33"/>
        <n v="3254.55"/>
        <n v="3255.53"/>
        <n v="3256.78"/>
        <n v="3258.45"/>
        <n v="3263.49"/>
        <n v="3263.96"/>
        <n v="3273.22"/>
        <n v="3286.47"/>
        <n v="3304.15"/>
        <n v="3307.75"/>
        <n v="3317.75"/>
        <n v="3337.4"/>
        <n v="3339.66"/>
        <n v="3349.37"/>
        <n v="3360.4"/>
        <n v="3375.79"/>
        <n v="3381.22"/>
        <n v="3383.67"/>
        <n v="3384.5"/>
        <n v="3385.61"/>
        <n v="3386.33"/>
        <n v="3387.21"/>
        <n v="3388.84"/>
        <n v="3391.46"/>
        <n v="3397.36"/>
        <n v="3401.1"/>
        <n v="3409.93"/>
        <n v="3418.19"/>
        <n v="3423.66"/>
        <n v="3430.99"/>
        <n v="3449.94"/>
        <n v="3452.14"/>
        <n v="3454.76"/>
        <n v="3465.35"/>
        <n v="3465.79"/>
        <n v="3475.29"/>
        <n v="3480.58"/>
        <n v="3481.72"/>
        <n v="3483.15"/>
        <n v="3503.11"/>
        <n v="3508.14"/>
        <n v="3513.74"/>
        <n v="3544.02"/>
        <n v="3552.63"/>
        <n v="3553.27"/>
        <n v="3555.35"/>
        <n v="3557.38"/>
        <n v="3563.97"/>
        <n v="3564.19"/>
        <n v="3565.58"/>
        <n v="3565.6"/>
        <n v="3572.61"/>
        <n v="3578.49"/>
        <n v="3590.83"/>
        <n v="3596.64"/>
        <n v="3598.72"/>
        <n v="3599.27"/>
        <n v="3600.14"/>
        <n v="3603.02"/>
        <n v="3606.09"/>
        <n v="3607.15"/>
        <n v="3609.34"/>
        <n v="3625.35"/>
        <n v="3631.75"/>
        <n v="3634.58"/>
        <n v="3635.02"/>
        <n v="3651.42"/>
        <n v="3657.23"/>
        <n v="3659.42"/>
        <n v="3672.89"/>
        <n v="3693.45"/>
        <n v="3696.1"/>
        <n v="3702.84"/>
        <n v="3710.92"/>
        <n v="3711.47"/>
        <n v="3712.25"/>
        <n v="3714.52"/>
        <n v="3722.38"/>
        <n v="3723.21"/>
        <n v="3723.66"/>
        <n v="3729.27"/>
        <n v="3730.43"/>
        <n v="3732"/>
        <n v="3733.71"/>
        <n v="3740.13"/>
        <n v="3742.12"/>
        <n v="3743.39"/>
        <n v="3745.91"/>
        <n v="3746"/>
        <n v="3750.63"/>
        <n v="3753.83"/>
        <n v="3759.01"/>
        <n v="3764.52"/>
        <n v="3765.31"/>
        <n v="3774.65"/>
        <n v="3778.94"/>
        <n v="3780.88"/>
        <n v="3781.4"/>
        <n v="3781.55"/>
        <n v="3785.91"/>
        <n v="3799.67"/>
        <n v="3813.48"/>
        <n v="3817.99"/>
        <n v="3820.3"/>
        <n v="3822.98"/>
        <n v="3822.99"/>
        <n v="3824.1"/>
        <n v="3830.71"/>
        <n v="3836.52"/>
        <n v="3838.42"/>
        <n v="3839.72"/>
        <n v="3840.24"/>
        <n v="3842.55"/>
        <n v="3844.51"/>
        <n v="3860.56"/>
        <n v="3862.26"/>
        <n v="3880.53"/>
        <n v="3883.77"/>
        <n v="3890.36"/>
        <n v="3891.62"/>
        <n v="3892.73"/>
        <n v="3893.6"/>
        <n v="3896.19"/>
        <n v="3908.37"/>
        <n v="3915.41"/>
        <n v="3929.26"/>
        <n v="3930.06"/>
        <n v="3931.25"/>
        <n v="3945.82"/>
        <n v="3946.77"/>
        <n v="3947.5"/>
        <n v="3955.75"/>
        <n v="3964.63"/>
        <n v="3964.65"/>
        <n v="3967.69"/>
        <n v="3988.7"/>
        <n v="3998.91"/>
        <n v="4002.63"/>
        <n v="4003.5"/>
        <n v="4003.96"/>
        <n v="4004"/>
        <n v="4007.98"/>
        <n v="4017.91"/>
        <n v="4045.34"/>
        <n v="4055.44"/>
        <n v="4061.04"/>
        <n v="4061.37"/>
        <n v="4068.43"/>
        <n v="4071.82"/>
        <n v="4076.77"/>
        <n v="4076.96"/>
        <n v="4082.11"/>
        <n v="4082.62"/>
        <n v="4082.76"/>
        <n v="4087.91"/>
        <n v="4096.4799999999996"/>
        <n v="4096.96"/>
        <n v="4100.3999999999996"/>
        <n v="4102.72"/>
        <n v="4116.38"/>
        <n v="4117.88"/>
        <n v="4134.55"/>
        <n v="4138.83"/>
        <n v="4142.09"/>
        <n v="4143.51"/>
        <n v="4147.1099999999997"/>
        <n v="4152.72"/>
        <n v="4163.68"/>
        <n v="4166.95"/>
        <n v="4172.3500000000004"/>
        <n v="4177.0600000000004"/>
        <n v="4186.9799999999996"/>
        <n v="4188.66"/>
        <n v="4199.3"/>
        <n v="4205.37"/>
        <n v="4209.4399999999996"/>
        <n v="4211.25"/>
        <n v="4212.55"/>
        <n v="4212.6499999999996"/>
        <n v="4226.5600000000004"/>
        <n v="4228.18"/>
        <n v="4230"/>
        <n v="4234.92"/>
        <n v="4240.2299999999996"/>
        <n v="4255.7299999999996"/>
        <n v="4257.5200000000004"/>
        <n v="4258.84"/>
        <n v="4261.1099999999997"/>
        <n v="4262.21"/>
        <n v="4269.0200000000004"/>
        <n v="4270.59"/>
        <n v="4270.6499999999996"/>
        <n v="4272.92"/>
        <n v="4273.6000000000004"/>
        <n v="4275.96"/>
        <n v="4276.99"/>
        <n v="4280.0600000000004"/>
        <n v="4281.79"/>
        <n v="4288.3"/>
        <n v="4293.6899999999996"/>
        <n v="4294.8500000000004"/>
        <n v="4304.7"/>
        <n v="4313.45"/>
        <n v="4314.5600000000004"/>
        <n v="4315.5200000000004"/>
        <n v="4320.93"/>
        <n v="4321.04"/>
        <n v="4323.62"/>
        <n v="4323.71"/>
        <n v="4331.42"/>
        <n v="4331.43"/>
        <n v="4338.67"/>
        <n v="4345.25"/>
        <n v="4355.87"/>
        <n v="4357.49"/>
        <n v="4358.37"/>
        <n v="4358.78"/>
        <n v="4361.7"/>
        <n v="4362.4399999999996"/>
        <n v="4362.51"/>
        <n v="4381.8900000000003"/>
        <n v="4382.32"/>
        <n v="4382.3500000000004"/>
        <n v="4384.8500000000004"/>
        <n v="4386.82"/>
        <n v="4387.01"/>
        <n v="4387.99"/>
        <n v="4391.67"/>
        <n v="4393.68"/>
        <n v="4405.8"/>
        <n v="4417.79"/>
        <n v="4420.1499999999996"/>
        <n v="4422.59"/>
        <n v="4431.04"/>
        <n v="4432.3500000000004"/>
        <n v="4436.5"/>
        <n v="4439.12"/>
        <n v="4446.45"/>
        <n v="4446.8999999999996"/>
        <n v="4454.97"/>
        <n v="4460.71"/>
        <n v="4461.51"/>
        <n v="4462.3999999999996"/>
        <n v="4464.28"/>
        <n v="4467.75"/>
        <n v="4469.07"/>
        <n v="4474.51"/>
        <n v="4475.1899999999996"/>
        <n v="4488.37"/>
        <n v="4495.13"/>
        <n v="4495.88"/>
        <n v="4506.8100000000004"/>
        <n v="4521.57"/>
        <n v="4523.3599999999997"/>
        <n v="4528.7700000000004"/>
        <n v="4533.3100000000004"/>
        <n v="4537.9399999999996"/>
        <n v="4545.78"/>
        <n v="4548.09"/>
        <n v="4551.6000000000004"/>
        <n v="4557.5600000000004"/>
        <n v="4572.21"/>
        <n v="4576.5"/>
        <n v="4576.72"/>
        <n v="4612.49"/>
        <n v="4624.1000000000004"/>
        <n v="4625.5600000000004"/>
        <n v="4629.9799999999996"/>
        <n v="4633.1000000000004"/>
        <n v="4636.59"/>
        <n v="4641.41"/>
        <n v="4642.46"/>
        <n v="4642.83"/>
        <n v="4645.17"/>
        <n v="4645.3500000000004"/>
        <n v="4645.6400000000003"/>
        <n v="4647.28"/>
        <n v="4647.87"/>
        <n v="4656.58"/>
        <n v="4658.6400000000003"/>
        <n v="4663.34"/>
        <n v="4675.8999999999996"/>
        <n v="4693.8999999999996"/>
        <n v="4694.21"/>
        <n v="4695.54"/>
        <n v="4696.8500000000004"/>
        <n v="4706.7"/>
        <n v="4710.1000000000004"/>
        <n v="4711.7"/>
        <n v="4713.68"/>
        <n v="4720.2700000000004"/>
        <n v="4723.2"/>
        <n v="4724.7"/>
        <n v="4727.75"/>
        <n v="4731.9799999999996"/>
        <n v="4743.03"/>
        <n v="4747.07"/>
        <n v="4752.24"/>
        <n v="4752.88"/>
        <n v="4758.1099999999997"/>
        <n v="4761.18"/>
        <n v="4770.42"/>
        <n v="4784.28"/>
        <n v="4785.66"/>
        <n v="4794.01"/>
        <n v="4795.42"/>
        <n v="4801.0600000000004"/>
        <n v="4805.17"/>
        <n v="4818.95"/>
        <n v="4820.2"/>
        <n v="4820.3"/>
        <n v="4823.5"/>
        <n v="4825.92"/>
        <n v="4829.5200000000004"/>
        <n v="4853.41"/>
        <n v="4856.22"/>
        <n v="4864.34"/>
        <n v="4868.95"/>
        <n v="4869.5"/>
        <n v="4879.1499999999996"/>
        <n v="4879.72"/>
        <n v="4879.88"/>
        <n v="4880.8"/>
        <n v="4884.12"/>
        <n v="4884.29"/>
        <n v="4888.46"/>
        <n v="4925.17"/>
        <n v="4949.95"/>
        <n v="4954.3900000000003"/>
        <n v="4958.78"/>
        <n v="4967.4399999999996"/>
        <n v="4973.38"/>
        <n v="4975.2299999999996"/>
        <n v="4976.68"/>
        <n v="4984.3900000000003"/>
        <n v="4985.75"/>
        <n v="4990.33"/>
        <n v="4995.55"/>
        <n v="4998.78"/>
        <n v="5011.43"/>
        <n v="5017.58"/>
        <n v="5026.1899999999996"/>
        <n v="5034.3500000000004"/>
        <n v="5036.3999999999996"/>
        <n v="5037.2700000000004"/>
        <n v="5038.74"/>
        <n v="5040.22"/>
        <n v="5043.3599999999997"/>
        <n v="5044.74"/>
        <n v="5046.51"/>
        <n v="5050.46"/>
        <n v="5074.42"/>
        <n v="5075.4399999999996"/>
        <n v="5079.6499999999996"/>
        <n v="5079.68"/>
        <n v="5080.74"/>
        <n v="5088"/>
        <n v="5088.0200000000004"/>
        <n v="5088.0600000000004"/>
        <n v="5088.28"/>
        <n v="5107.43"/>
        <n v="5118.83"/>
        <n v="5119.91"/>
        <n v="5122.07"/>
        <n v="5129.1099999999997"/>
        <n v="5129.1899999999996"/>
        <n v="5145.88"/>
        <n v="5165.09"/>
        <n v="5166.72"/>
        <n v="5184.6400000000003"/>
        <n v="5186.1899999999996"/>
        <n v="5191.0200000000004"/>
        <n v="5227.93"/>
        <n v="5243.13"/>
        <n v="5245.86"/>
        <n v="5253.07"/>
        <n v="5287.05"/>
        <n v="5296.65"/>
        <n v="5309.32"/>
        <n v="5316.13"/>
        <n v="5402.28"/>
        <n v="5442.15"/>
      </sharedItems>
    </cacheField>
    <cacheField name="Sales_Rank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</cacheFields>
  <extLst>
    <ext xmlns:x14="http://schemas.microsoft.com/office/spreadsheetml/2009/9/main" uri="{725AE2AE-9491-48be-B2B4-4EB974FC3084}">
      <x14:pivotCacheDefinition pivotCacheId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51"/>
    <x v="31"/>
    <x v="1"/>
    <x v="1"/>
    <x v="504"/>
    <x v="17"/>
    <x v="3"/>
    <x v="24"/>
    <x v="8"/>
    <x v="1"/>
    <x v="9"/>
    <x v="1"/>
    <x v="0"/>
    <x v="6"/>
    <x v="55"/>
    <x v="58"/>
    <x v="45"/>
    <x v="737"/>
    <x v="941"/>
    <x v="1"/>
    <x v="0"/>
    <x v="2"/>
    <x v="1"/>
    <x v="1"/>
    <x v="0"/>
    <x v="0"/>
    <x v="4"/>
    <x v="5"/>
    <x v="0"/>
    <x v="308"/>
    <x v="11"/>
    <x v="1"/>
    <x v="279"/>
    <x v="90"/>
    <x v="17"/>
    <x v="9"/>
    <x v="8"/>
    <x v="495"/>
  </r>
  <r>
    <x v="92"/>
    <x v="102"/>
    <x v="1"/>
    <x v="3"/>
    <x v="438"/>
    <x v="16"/>
    <x v="3"/>
    <x v="775"/>
    <x v="793"/>
    <x v="1"/>
    <x v="11"/>
    <x v="1"/>
    <x v="1"/>
    <x v="16"/>
    <x v="606"/>
    <x v="634"/>
    <x v="611"/>
    <x v="502"/>
    <x v="565"/>
    <x v="0"/>
    <x v="1"/>
    <x v="2"/>
    <x v="3"/>
    <x v="3"/>
    <x v="1"/>
    <x v="0"/>
    <x v="4"/>
    <x v="16"/>
    <x v="0"/>
    <x v="237"/>
    <x v="9"/>
    <x v="1"/>
    <x v="916"/>
    <x v="90"/>
    <x v="16"/>
    <x v="11"/>
    <x v="793"/>
    <x v="561"/>
  </r>
  <r>
    <x v="14"/>
    <x v="246"/>
    <x v="3"/>
    <x v="2"/>
    <x v="461"/>
    <x v="29"/>
    <x v="2"/>
    <x v="42"/>
    <x v="18"/>
    <x v="1"/>
    <x v="20"/>
    <x v="0"/>
    <x v="1"/>
    <x v="13"/>
    <x v="123"/>
    <x v="119"/>
    <x v="133"/>
    <x v="698"/>
    <x v="831"/>
    <x v="1"/>
    <x v="2"/>
    <x v="2"/>
    <x v="8"/>
    <x v="8"/>
    <x v="2"/>
    <x v="4"/>
    <x v="3"/>
    <x v="38"/>
    <x v="0"/>
    <x v="93"/>
    <x v="4"/>
    <x v="3"/>
    <x v="720"/>
    <x v="90"/>
    <x v="29"/>
    <x v="20"/>
    <x v="18"/>
    <x v="538"/>
  </r>
  <r>
    <x v="71"/>
    <x v="222"/>
    <x v="1"/>
    <x v="2"/>
    <x v="204"/>
    <x v="38"/>
    <x v="0"/>
    <x v="881"/>
    <x v="862"/>
    <x v="0"/>
    <x v="2"/>
    <x v="2"/>
    <x v="1"/>
    <x v="11"/>
    <x v="926"/>
    <x v="966"/>
    <x v="934"/>
    <x v="752"/>
    <x v="637"/>
    <x v="1"/>
    <x v="0"/>
    <x v="1"/>
    <x v="7"/>
    <x v="7"/>
    <x v="2"/>
    <x v="4"/>
    <x v="3"/>
    <x v="34"/>
    <x v="0"/>
    <x v="117"/>
    <x v="5"/>
    <x v="1"/>
    <x v="709"/>
    <x v="90"/>
    <x v="38"/>
    <x v="2"/>
    <x v="862"/>
    <x v="795"/>
  </r>
  <r>
    <x v="60"/>
    <x v="76"/>
    <x v="2"/>
    <x v="0"/>
    <x v="375"/>
    <x v="12"/>
    <x v="1"/>
    <x v="127"/>
    <x v="79"/>
    <x v="0"/>
    <x v="8"/>
    <x v="2"/>
    <x v="0"/>
    <x v="2"/>
    <x v="101"/>
    <x v="108"/>
    <x v="138"/>
    <x v="603"/>
    <x v="602"/>
    <x v="0"/>
    <x v="0"/>
    <x v="2"/>
    <x v="2"/>
    <x v="2"/>
    <x v="0"/>
    <x v="0"/>
    <x v="4"/>
    <x v="12"/>
    <x v="0"/>
    <x v="263"/>
    <x v="10"/>
    <x v="2"/>
    <x v="34"/>
    <x v="90"/>
    <x v="12"/>
    <x v="8"/>
    <x v="79"/>
    <x v="624"/>
  </r>
  <r>
    <x v="20"/>
    <x v="39"/>
    <x v="2"/>
    <x v="3"/>
    <x v="378"/>
    <x v="31"/>
    <x v="2"/>
    <x v="169"/>
    <x v="168"/>
    <x v="0"/>
    <x v="21"/>
    <x v="1"/>
    <x v="0"/>
    <x v="17"/>
    <x v="366"/>
    <x v="343"/>
    <x v="348"/>
    <x v="523"/>
    <x v="534"/>
    <x v="0"/>
    <x v="2"/>
    <x v="2"/>
    <x v="1"/>
    <x v="1"/>
    <x v="0"/>
    <x v="2"/>
    <x v="5"/>
    <x v="6"/>
    <x v="1"/>
    <x v="300"/>
    <x v="11"/>
    <x v="2"/>
    <x v="770"/>
    <x v="90"/>
    <x v="31"/>
    <x v="21"/>
    <x v="168"/>
    <x v="621"/>
  </r>
  <r>
    <x v="82"/>
    <x v="92"/>
    <x v="1"/>
    <x v="3"/>
    <x v="50"/>
    <x v="28"/>
    <x v="3"/>
    <x v="486"/>
    <x v="483"/>
    <x v="1"/>
    <x v="14"/>
    <x v="1"/>
    <x v="0"/>
    <x v="16"/>
    <x v="636"/>
    <x v="644"/>
    <x v="637"/>
    <x v="356"/>
    <x v="436"/>
    <x v="0"/>
    <x v="1"/>
    <x v="1"/>
    <x v="3"/>
    <x v="3"/>
    <x v="1"/>
    <x v="5"/>
    <x v="1"/>
    <x v="15"/>
    <x v="0"/>
    <x v="247"/>
    <x v="9"/>
    <x v="1"/>
    <x v="789"/>
    <x v="90"/>
    <x v="28"/>
    <x v="14"/>
    <x v="483"/>
    <x v="949"/>
  </r>
  <r>
    <x v="86"/>
    <x v="5"/>
    <x v="4"/>
    <x v="2"/>
    <x v="772"/>
    <x v="45"/>
    <x v="3"/>
    <x v="747"/>
    <x v="751"/>
    <x v="0"/>
    <x v="12"/>
    <x v="0"/>
    <x v="0"/>
    <x v="14"/>
    <x v="939"/>
    <x v="949"/>
    <x v="938"/>
    <x v="208"/>
    <x v="459"/>
    <x v="0"/>
    <x v="1"/>
    <x v="0"/>
    <x v="0"/>
    <x v="0"/>
    <x v="0"/>
    <x v="0"/>
    <x v="4"/>
    <x v="1"/>
    <x v="0"/>
    <x v="334"/>
    <x v="12"/>
    <x v="4"/>
    <x v="533"/>
    <x v="90"/>
    <x v="45"/>
    <x v="12"/>
    <x v="751"/>
    <x v="226"/>
  </r>
  <r>
    <x v="74"/>
    <x v="167"/>
    <x v="3"/>
    <x v="2"/>
    <x v="422"/>
    <x v="29"/>
    <x v="3"/>
    <x v="152"/>
    <x v="165"/>
    <x v="0"/>
    <x v="5"/>
    <x v="0"/>
    <x v="0"/>
    <x v="13"/>
    <x v="338"/>
    <x v="381"/>
    <x v="280"/>
    <x v="943"/>
    <x v="926"/>
    <x v="1"/>
    <x v="0"/>
    <x v="2"/>
    <x v="5"/>
    <x v="5"/>
    <x v="1"/>
    <x v="4"/>
    <x v="3"/>
    <x v="26"/>
    <x v="0"/>
    <x v="172"/>
    <x v="6"/>
    <x v="3"/>
    <x v="592"/>
    <x v="90"/>
    <x v="29"/>
    <x v="5"/>
    <x v="165"/>
    <x v="577"/>
  </r>
  <r>
    <x v="74"/>
    <x v="262"/>
    <x v="2"/>
    <x v="3"/>
    <x v="830"/>
    <x v="17"/>
    <x v="0"/>
    <x v="438"/>
    <x v="495"/>
    <x v="0"/>
    <x v="13"/>
    <x v="0"/>
    <x v="0"/>
    <x v="17"/>
    <x v="464"/>
    <x v="475"/>
    <x v="441"/>
    <x v="753"/>
    <x v="714"/>
    <x v="1"/>
    <x v="1"/>
    <x v="0"/>
    <x v="9"/>
    <x v="9"/>
    <x v="3"/>
    <x v="1"/>
    <x v="0"/>
    <x v="41"/>
    <x v="0"/>
    <x v="77"/>
    <x v="3"/>
    <x v="2"/>
    <x v="851"/>
    <x v="90"/>
    <x v="17"/>
    <x v="13"/>
    <x v="495"/>
    <x v="167"/>
  </r>
  <r>
    <x v="87"/>
    <x v="297"/>
    <x v="4"/>
    <x v="1"/>
    <x v="859"/>
    <x v="12"/>
    <x v="3"/>
    <x v="491"/>
    <x v="455"/>
    <x v="0"/>
    <x v="23"/>
    <x v="0"/>
    <x v="1"/>
    <x v="9"/>
    <x v="334"/>
    <x v="310"/>
    <x v="384"/>
    <x v="290"/>
    <x v="91"/>
    <x v="0"/>
    <x v="2"/>
    <x v="0"/>
    <x v="10"/>
    <x v="10"/>
    <x v="3"/>
    <x v="4"/>
    <x v="3"/>
    <x v="46"/>
    <x v="0"/>
    <x v="42"/>
    <x v="2"/>
    <x v="4"/>
    <x v="513"/>
    <x v="90"/>
    <x v="12"/>
    <x v="23"/>
    <x v="455"/>
    <x v="138"/>
  </r>
  <r>
    <x v="99"/>
    <x v="213"/>
    <x v="1"/>
    <x v="3"/>
    <x v="210"/>
    <x v="42"/>
    <x v="2"/>
    <x v="214"/>
    <x v="174"/>
    <x v="1"/>
    <x v="8"/>
    <x v="0"/>
    <x v="0"/>
    <x v="16"/>
    <x v="466"/>
    <x v="495"/>
    <x v="491"/>
    <x v="441"/>
    <x v="477"/>
    <x v="0"/>
    <x v="0"/>
    <x v="1"/>
    <x v="7"/>
    <x v="7"/>
    <x v="2"/>
    <x v="1"/>
    <x v="0"/>
    <x v="33"/>
    <x v="0"/>
    <x v="126"/>
    <x v="5"/>
    <x v="1"/>
    <x v="830"/>
    <x v="90"/>
    <x v="42"/>
    <x v="8"/>
    <x v="174"/>
    <x v="789"/>
  </r>
  <r>
    <x v="23"/>
    <x v="292"/>
    <x v="4"/>
    <x v="3"/>
    <x v="652"/>
    <x v="20"/>
    <x v="2"/>
    <x v="123"/>
    <x v="62"/>
    <x v="1"/>
    <x v="0"/>
    <x v="0"/>
    <x v="1"/>
    <x v="19"/>
    <x v="147"/>
    <x v="174"/>
    <x v="186"/>
    <x v="653"/>
    <x v="677"/>
    <x v="1"/>
    <x v="0"/>
    <x v="2"/>
    <x v="10"/>
    <x v="10"/>
    <x v="3"/>
    <x v="2"/>
    <x v="5"/>
    <x v="45"/>
    <x v="1"/>
    <x v="47"/>
    <x v="2"/>
    <x v="4"/>
    <x v="978"/>
    <x v="90"/>
    <x v="20"/>
    <x v="0"/>
    <x v="62"/>
    <x v="346"/>
  </r>
  <r>
    <x v="2"/>
    <x v="338"/>
    <x v="0"/>
    <x v="2"/>
    <x v="477"/>
    <x v="29"/>
    <x v="3"/>
    <x v="845"/>
    <x v="809"/>
    <x v="0"/>
    <x v="20"/>
    <x v="1"/>
    <x v="0"/>
    <x v="10"/>
    <x v="823"/>
    <x v="806"/>
    <x v="843"/>
    <x v="71"/>
    <x v="146"/>
    <x v="0"/>
    <x v="2"/>
    <x v="2"/>
    <x v="11"/>
    <x v="11"/>
    <x v="3"/>
    <x v="3"/>
    <x v="6"/>
    <x v="52"/>
    <x v="1"/>
    <x v="1"/>
    <x v="0"/>
    <x v="0"/>
    <x v="639"/>
    <x v="90"/>
    <x v="29"/>
    <x v="20"/>
    <x v="809"/>
    <x v="522"/>
  </r>
  <r>
    <x v="21"/>
    <x v="216"/>
    <x v="2"/>
    <x v="2"/>
    <x v="887"/>
    <x v="20"/>
    <x v="2"/>
    <x v="514"/>
    <x v="535"/>
    <x v="0"/>
    <x v="29"/>
    <x v="0"/>
    <x v="1"/>
    <x v="12"/>
    <x v="529"/>
    <x v="479"/>
    <x v="532"/>
    <x v="197"/>
    <x v="115"/>
    <x v="0"/>
    <x v="2"/>
    <x v="0"/>
    <x v="7"/>
    <x v="7"/>
    <x v="2"/>
    <x v="4"/>
    <x v="3"/>
    <x v="33"/>
    <x v="0"/>
    <x v="123"/>
    <x v="5"/>
    <x v="2"/>
    <x v="707"/>
    <x v="90"/>
    <x v="20"/>
    <x v="29"/>
    <x v="535"/>
    <x v="110"/>
  </r>
  <r>
    <x v="52"/>
    <x v="269"/>
    <x v="1"/>
    <x v="1"/>
    <x v="213"/>
    <x v="47"/>
    <x v="3"/>
    <x v="17"/>
    <x v="36"/>
    <x v="0"/>
    <x v="18"/>
    <x v="1"/>
    <x v="1"/>
    <x v="6"/>
    <x v="250"/>
    <x v="245"/>
    <x v="103"/>
    <x v="982"/>
    <x v="987"/>
    <x v="1"/>
    <x v="1"/>
    <x v="1"/>
    <x v="9"/>
    <x v="9"/>
    <x v="3"/>
    <x v="1"/>
    <x v="0"/>
    <x v="42"/>
    <x v="0"/>
    <x v="70"/>
    <x v="3"/>
    <x v="1"/>
    <x v="496"/>
    <x v="90"/>
    <x v="47"/>
    <x v="18"/>
    <x v="36"/>
    <x v="786"/>
  </r>
  <r>
    <x v="1"/>
    <x v="138"/>
    <x v="3"/>
    <x v="1"/>
    <x v="682"/>
    <x v="16"/>
    <x v="3"/>
    <x v="807"/>
    <x v="849"/>
    <x v="1"/>
    <x v="4"/>
    <x v="1"/>
    <x v="0"/>
    <x v="8"/>
    <x v="625"/>
    <x v="671"/>
    <x v="627"/>
    <x v="816"/>
    <x v="726"/>
    <x v="1"/>
    <x v="0"/>
    <x v="2"/>
    <x v="4"/>
    <x v="4"/>
    <x v="1"/>
    <x v="5"/>
    <x v="1"/>
    <x v="22"/>
    <x v="0"/>
    <x v="201"/>
    <x v="7"/>
    <x v="3"/>
    <x v="313"/>
    <x v="90"/>
    <x v="16"/>
    <x v="4"/>
    <x v="849"/>
    <x v="316"/>
  </r>
  <r>
    <x v="87"/>
    <x v="258"/>
    <x v="1"/>
    <x v="0"/>
    <x v="604"/>
    <x v="39"/>
    <x v="1"/>
    <x v="978"/>
    <x v="960"/>
    <x v="0"/>
    <x v="10"/>
    <x v="2"/>
    <x v="1"/>
    <x v="1"/>
    <x v="965"/>
    <x v="977"/>
    <x v="970"/>
    <x v="126"/>
    <x v="405"/>
    <x v="0"/>
    <x v="1"/>
    <x v="2"/>
    <x v="9"/>
    <x v="9"/>
    <x v="3"/>
    <x v="6"/>
    <x v="2"/>
    <x v="40"/>
    <x v="0"/>
    <x v="81"/>
    <x v="3"/>
    <x v="1"/>
    <x v="222"/>
    <x v="90"/>
    <x v="39"/>
    <x v="10"/>
    <x v="960"/>
    <x v="394"/>
  </r>
  <r>
    <x v="29"/>
    <x v="185"/>
    <x v="3"/>
    <x v="3"/>
    <x v="308"/>
    <x v="18"/>
    <x v="0"/>
    <x v="619"/>
    <x v="606"/>
    <x v="1"/>
    <x v="26"/>
    <x v="1"/>
    <x v="0"/>
    <x v="18"/>
    <x v="539"/>
    <x v="496"/>
    <x v="564"/>
    <x v="152"/>
    <x v="64"/>
    <x v="0"/>
    <x v="2"/>
    <x v="2"/>
    <x v="6"/>
    <x v="6"/>
    <x v="2"/>
    <x v="1"/>
    <x v="0"/>
    <x v="29"/>
    <x v="0"/>
    <x v="154"/>
    <x v="6"/>
    <x v="3"/>
    <x v="818"/>
    <x v="90"/>
    <x v="18"/>
    <x v="26"/>
    <x v="606"/>
    <x v="691"/>
  </r>
  <r>
    <x v="37"/>
    <x v="64"/>
    <x v="1"/>
    <x v="2"/>
    <x v="127"/>
    <x v="14"/>
    <x v="0"/>
    <x v="517"/>
    <x v="522"/>
    <x v="1"/>
    <x v="7"/>
    <x v="1"/>
    <x v="0"/>
    <x v="11"/>
    <x v="417"/>
    <x v="443"/>
    <x v="425"/>
    <x v="675"/>
    <x v="660"/>
    <x v="1"/>
    <x v="0"/>
    <x v="1"/>
    <x v="2"/>
    <x v="2"/>
    <x v="0"/>
    <x v="2"/>
    <x v="5"/>
    <x v="10"/>
    <x v="1"/>
    <x v="275"/>
    <x v="10"/>
    <x v="1"/>
    <x v="549"/>
    <x v="90"/>
    <x v="14"/>
    <x v="7"/>
    <x v="522"/>
    <x v="872"/>
  </r>
  <r>
    <x v="1"/>
    <x v="103"/>
    <x v="4"/>
    <x v="1"/>
    <x v="644"/>
    <x v="8"/>
    <x v="1"/>
    <x v="899"/>
    <x v="854"/>
    <x v="0"/>
    <x v="18"/>
    <x v="0"/>
    <x v="0"/>
    <x v="9"/>
    <x v="401"/>
    <x v="392"/>
    <x v="435"/>
    <x v="287"/>
    <x v="176"/>
    <x v="0"/>
    <x v="1"/>
    <x v="2"/>
    <x v="3"/>
    <x v="3"/>
    <x v="1"/>
    <x v="2"/>
    <x v="5"/>
    <x v="16"/>
    <x v="1"/>
    <x v="236"/>
    <x v="9"/>
    <x v="4"/>
    <x v="301"/>
    <x v="90"/>
    <x v="8"/>
    <x v="18"/>
    <x v="854"/>
    <x v="354"/>
  </r>
  <r>
    <x v="63"/>
    <x v="3"/>
    <x v="4"/>
    <x v="0"/>
    <x v="741"/>
    <x v="9"/>
    <x v="1"/>
    <x v="961"/>
    <x v="969"/>
    <x v="0"/>
    <x v="12"/>
    <x v="1"/>
    <x v="0"/>
    <x v="4"/>
    <x v="475"/>
    <x v="492"/>
    <x v="492"/>
    <x v="411"/>
    <x v="439"/>
    <x v="0"/>
    <x v="1"/>
    <x v="2"/>
    <x v="0"/>
    <x v="0"/>
    <x v="0"/>
    <x v="6"/>
    <x v="2"/>
    <x v="1"/>
    <x v="0"/>
    <x v="336"/>
    <x v="12"/>
    <x v="4"/>
    <x v="2"/>
    <x v="90"/>
    <x v="9"/>
    <x v="12"/>
    <x v="969"/>
    <x v="257"/>
  </r>
  <r>
    <x v="59"/>
    <x v="325"/>
    <x v="4"/>
    <x v="0"/>
    <x v="329"/>
    <x v="43"/>
    <x v="0"/>
    <x v="770"/>
    <x v="813"/>
    <x v="0"/>
    <x v="6"/>
    <x v="0"/>
    <x v="1"/>
    <x v="4"/>
    <x v="950"/>
    <x v="973"/>
    <x v="929"/>
    <x v="955"/>
    <x v="736"/>
    <x v="1"/>
    <x v="0"/>
    <x v="2"/>
    <x v="11"/>
    <x v="11"/>
    <x v="3"/>
    <x v="2"/>
    <x v="5"/>
    <x v="50"/>
    <x v="1"/>
    <x v="14"/>
    <x v="1"/>
    <x v="4"/>
    <x v="255"/>
    <x v="90"/>
    <x v="43"/>
    <x v="6"/>
    <x v="813"/>
    <x v="670"/>
  </r>
  <r>
    <x v="20"/>
    <x v="307"/>
    <x v="0"/>
    <x v="2"/>
    <x v="637"/>
    <x v="30"/>
    <x v="3"/>
    <x v="448"/>
    <x v="435"/>
    <x v="1"/>
    <x v="24"/>
    <x v="0"/>
    <x v="0"/>
    <x v="10"/>
    <x v="630"/>
    <x v="589"/>
    <x v="638"/>
    <x v="157"/>
    <x v="162"/>
    <x v="0"/>
    <x v="2"/>
    <x v="2"/>
    <x v="10"/>
    <x v="10"/>
    <x v="3"/>
    <x v="1"/>
    <x v="0"/>
    <x v="48"/>
    <x v="0"/>
    <x v="32"/>
    <x v="1"/>
    <x v="0"/>
    <x v="633"/>
    <x v="90"/>
    <x v="30"/>
    <x v="24"/>
    <x v="435"/>
    <x v="361"/>
  </r>
  <r>
    <x v="32"/>
    <x v="295"/>
    <x v="3"/>
    <x v="2"/>
    <x v="404"/>
    <x v="22"/>
    <x v="3"/>
    <x v="609"/>
    <x v="632"/>
    <x v="1"/>
    <x v="22"/>
    <x v="0"/>
    <x v="1"/>
    <x v="13"/>
    <x v="640"/>
    <x v="617"/>
    <x v="629"/>
    <x v="245"/>
    <x v="294"/>
    <x v="0"/>
    <x v="2"/>
    <x v="2"/>
    <x v="10"/>
    <x v="10"/>
    <x v="3"/>
    <x v="5"/>
    <x v="1"/>
    <x v="46"/>
    <x v="0"/>
    <x v="44"/>
    <x v="2"/>
    <x v="3"/>
    <x v="741"/>
    <x v="90"/>
    <x v="22"/>
    <x v="22"/>
    <x v="632"/>
    <x v="595"/>
  </r>
  <r>
    <x v="75"/>
    <x v="325"/>
    <x v="4"/>
    <x v="0"/>
    <x v="716"/>
    <x v="29"/>
    <x v="0"/>
    <x v="708"/>
    <x v="712"/>
    <x v="0"/>
    <x v="20"/>
    <x v="2"/>
    <x v="1"/>
    <x v="4"/>
    <x v="779"/>
    <x v="744"/>
    <x v="780"/>
    <x v="125"/>
    <x v="249"/>
    <x v="0"/>
    <x v="2"/>
    <x v="2"/>
    <x v="11"/>
    <x v="11"/>
    <x v="3"/>
    <x v="2"/>
    <x v="5"/>
    <x v="50"/>
    <x v="1"/>
    <x v="14"/>
    <x v="1"/>
    <x v="4"/>
    <x v="256"/>
    <x v="90"/>
    <x v="29"/>
    <x v="20"/>
    <x v="712"/>
    <x v="282"/>
  </r>
  <r>
    <x v="57"/>
    <x v="87"/>
    <x v="0"/>
    <x v="1"/>
    <x v="192"/>
    <x v="32"/>
    <x v="3"/>
    <x v="197"/>
    <x v="162"/>
    <x v="1"/>
    <x v="7"/>
    <x v="0"/>
    <x v="1"/>
    <x v="5"/>
    <x v="370"/>
    <x v="400"/>
    <x v="396"/>
    <x v="591"/>
    <x v="595"/>
    <x v="0"/>
    <x v="0"/>
    <x v="1"/>
    <x v="3"/>
    <x v="3"/>
    <x v="1"/>
    <x v="6"/>
    <x v="2"/>
    <x v="14"/>
    <x v="0"/>
    <x v="252"/>
    <x v="9"/>
    <x v="0"/>
    <x v="419"/>
    <x v="90"/>
    <x v="32"/>
    <x v="7"/>
    <x v="162"/>
    <x v="807"/>
  </r>
  <r>
    <x v="21"/>
    <x v="140"/>
    <x v="3"/>
    <x v="0"/>
    <x v="898"/>
    <x v="8"/>
    <x v="1"/>
    <x v="452"/>
    <x v="466"/>
    <x v="0"/>
    <x v="3"/>
    <x v="1"/>
    <x v="0"/>
    <x v="3"/>
    <x v="245"/>
    <x v="275"/>
    <x v="267"/>
    <x v="759"/>
    <x v="790"/>
    <x v="1"/>
    <x v="0"/>
    <x v="0"/>
    <x v="5"/>
    <x v="5"/>
    <x v="1"/>
    <x v="4"/>
    <x v="3"/>
    <x v="22"/>
    <x v="0"/>
    <x v="199"/>
    <x v="7"/>
    <x v="3"/>
    <x v="58"/>
    <x v="90"/>
    <x v="8"/>
    <x v="3"/>
    <x v="466"/>
    <x v="99"/>
  </r>
  <r>
    <x v="88"/>
    <x v="288"/>
    <x v="1"/>
    <x v="3"/>
    <x v="298"/>
    <x v="46"/>
    <x v="3"/>
    <x v="840"/>
    <x v="821"/>
    <x v="0"/>
    <x v="17"/>
    <x v="0"/>
    <x v="1"/>
    <x v="16"/>
    <x v="967"/>
    <x v="961"/>
    <x v="968"/>
    <x v="59"/>
    <x v="261"/>
    <x v="0"/>
    <x v="1"/>
    <x v="2"/>
    <x v="10"/>
    <x v="10"/>
    <x v="3"/>
    <x v="5"/>
    <x v="1"/>
    <x v="45"/>
    <x v="0"/>
    <x v="51"/>
    <x v="2"/>
    <x v="1"/>
    <x v="975"/>
    <x v="90"/>
    <x v="46"/>
    <x v="17"/>
    <x v="821"/>
    <x v="701"/>
  </r>
  <r>
    <x v="48"/>
    <x v="125"/>
    <x v="0"/>
    <x v="3"/>
    <x v="372"/>
    <x v="0"/>
    <x v="3"/>
    <x v="664"/>
    <x v="628"/>
    <x v="1"/>
    <x v="17"/>
    <x v="0"/>
    <x v="0"/>
    <x v="15"/>
    <x v="30"/>
    <x v="28"/>
    <x v="56"/>
    <x v="550"/>
    <x v="200"/>
    <x v="0"/>
    <x v="1"/>
    <x v="2"/>
    <x v="4"/>
    <x v="4"/>
    <x v="1"/>
    <x v="6"/>
    <x v="2"/>
    <x v="20"/>
    <x v="0"/>
    <x v="214"/>
    <x v="8"/>
    <x v="0"/>
    <x v="804"/>
    <x v="90"/>
    <x v="0"/>
    <x v="17"/>
    <x v="628"/>
    <x v="627"/>
  </r>
  <r>
    <x v="90"/>
    <x v="232"/>
    <x v="2"/>
    <x v="2"/>
    <x v="58"/>
    <x v="43"/>
    <x v="2"/>
    <x v="413"/>
    <x v="427"/>
    <x v="1"/>
    <x v="6"/>
    <x v="0"/>
    <x v="1"/>
    <x v="12"/>
    <x v="750"/>
    <x v="789"/>
    <x v="724"/>
    <x v="917"/>
    <x v="770"/>
    <x v="1"/>
    <x v="0"/>
    <x v="1"/>
    <x v="8"/>
    <x v="8"/>
    <x v="2"/>
    <x v="1"/>
    <x v="0"/>
    <x v="36"/>
    <x v="0"/>
    <x v="107"/>
    <x v="4"/>
    <x v="2"/>
    <x v="715"/>
    <x v="90"/>
    <x v="43"/>
    <x v="6"/>
    <x v="427"/>
    <x v="941"/>
  </r>
  <r>
    <x v="58"/>
    <x v="228"/>
    <x v="0"/>
    <x v="1"/>
    <x v="112"/>
    <x v="34"/>
    <x v="2"/>
    <x v="670"/>
    <x v="710"/>
    <x v="1"/>
    <x v="2"/>
    <x v="2"/>
    <x v="0"/>
    <x v="5"/>
    <x v="840"/>
    <x v="881"/>
    <x v="821"/>
    <x v="970"/>
    <x v="803"/>
    <x v="1"/>
    <x v="0"/>
    <x v="1"/>
    <x v="7"/>
    <x v="7"/>
    <x v="2"/>
    <x v="4"/>
    <x v="3"/>
    <x v="35"/>
    <x v="0"/>
    <x v="111"/>
    <x v="4"/>
    <x v="0"/>
    <x v="351"/>
    <x v="90"/>
    <x v="34"/>
    <x v="2"/>
    <x v="710"/>
    <x v="887"/>
  </r>
  <r>
    <x v="41"/>
    <x v="28"/>
    <x v="0"/>
    <x v="1"/>
    <x v="519"/>
    <x v="10"/>
    <x v="2"/>
    <x v="125"/>
    <x v="109"/>
    <x v="1"/>
    <x v="2"/>
    <x v="1"/>
    <x v="0"/>
    <x v="5"/>
    <x v="99"/>
    <x v="117"/>
    <x v="121"/>
    <x v="747"/>
    <x v="894"/>
    <x v="1"/>
    <x v="0"/>
    <x v="2"/>
    <x v="0"/>
    <x v="0"/>
    <x v="0"/>
    <x v="5"/>
    <x v="1"/>
    <x v="5"/>
    <x v="0"/>
    <x v="311"/>
    <x v="11"/>
    <x v="0"/>
    <x v="277"/>
    <x v="90"/>
    <x v="10"/>
    <x v="2"/>
    <x v="109"/>
    <x v="480"/>
  </r>
  <r>
    <x v="91"/>
    <x v="37"/>
    <x v="3"/>
    <x v="3"/>
    <x v="274"/>
    <x v="33"/>
    <x v="3"/>
    <x v="403"/>
    <x v="396"/>
    <x v="0"/>
    <x v="30"/>
    <x v="2"/>
    <x v="0"/>
    <x v="18"/>
    <x v="637"/>
    <x v="554"/>
    <x v="634"/>
    <x v="115"/>
    <x v="48"/>
    <x v="0"/>
    <x v="2"/>
    <x v="2"/>
    <x v="1"/>
    <x v="1"/>
    <x v="0"/>
    <x v="4"/>
    <x v="3"/>
    <x v="6"/>
    <x v="0"/>
    <x v="302"/>
    <x v="11"/>
    <x v="3"/>
    <x v="768"/>
    <x v="90"/>
    <x v="33"/>
    <x v="30"/>
    <x v="396"/>
    <x v="725"/>
  </r>
  <r>
    <x v="59"/>
    <x v="216"/>
    <x v="1"/>
    <x v="0"/>
    <x v="839"/>
    <x v="15"/>
    <x v="0"/>
    <x v="800"/>
    <x v="850"/>
    <x v="0"/>
    <x v="24"/>
    <x v="1"/>
    <x v="0"/>
    <x v="1"/>
    <x v="600"/>
    <x v="560"/>
    <x v="605"/>
    <x v="207"/>
    <x v="213"/>
    <x v="0"/>
    <x v="2"/>
    <x v="0"/>
    <x v="7"/>
    <x v="7"/>
    <x v="2"/>
    <x v="4"/>
    <x v="3"/>
    <x v="33"/>
    <x v="0"/>
    <x v="123"/>
    <x v="5"/>
    <x v="1"/>
    <x v="84"/>
    <x v="90"/>
    <x v="15"/>
    <x v="24"/>
    <x v="850"/>
    <x v="158"/>
  </r>
  <r>
    <x v="79"/>
    <x v="33"/>
    <x v="2"/>
    <x v="2"/>
    <x v="18"/>
    <x v="8"/>
    <x v="1"/>
    <x v="227"/>
    <x v="267"/>
    <x v="0"/>
    <x v="28"/>
    <x v="2"/>
    <x v="1"/>
    <x v="12"/>
    <x v="152"/>
    <x v="135"/>
    <x v="155"/>
    <x v="578"/>
    <x v="551"/>
    <x v="0"/>
    <x v="2"/>
    <x v="1"/>
    <x v="1"/>
    <x v="1"/>
    <x v="0"/>
    <x v="3"/>
    <x v="6"/>
    <x v="5"/>
    <x v="1"/>
    <x v="306"/>
    <x v="11"/>
    <x v="2"/>
    <x v="650"/>
    <x v="90"/>
    <x v="8"/>
    <x v="28"/>
    <x v="267"/>
    <x v="981"/>
  </r>
  <r>
    <x v="14"/>
    <x v="210"/>
    <x v="4"/>
    <x v="0"/>
    <x v="390"/>
    <x v="31"/>
    <x v="3"/>
    <x v="186"/>
    <x v="215"/>
    <x v="1"/>
    <x v="6"/>
    <x v="1"/>
    <x v="1"/>
    <x v="4"/>
    <x v="423"/>
    <x v="448"/>
    <x v="377"/>
    <x v="940"/>
    <x v="906"/>
    <x v="1"/>
    <x v="0"/>
    <x v="2"/>
    <x v="7"/>
    <x v="7"/>
    <x v="2"/>
    <x v="0"/>
    <x v="4"/>
    <x v="32"/>
    <x v="0"/>
    <x v="129"/>
    <x v="5"/>
    <x v="4"/>
    <x v="203"/>
    <x v="90"/>
    <x v="31"/>
    <x v="6"/>
    <x v="215"/>
    <x v="609"/>
  </r>
  <r>
    <x v="61"/>
    <x v="5"/>
    <x v="4"/>
    <x v="0"/>
    <x v="348"/>
    <x v="14"/>
    <x v="0"/>
    <x v="958"/>
    <x v="943"/>
    <x v="0"/>
    <x v="29"/>
    <x v="2"/>
    <x v="0"/>
    <x v="4"/>
    <x v="616"/>
    <x v="543"/>
    <x v="644"/>
    <x v="92"/>
    <x v="10"/>
    <x v="0"/>
    <x v="2"/>
    <x v="2"/>
    <x v="0"/>
    <x v="0"/>
    <x v="0"/>
    <x v="0"/>
    <x v="4"/>
    <x v="1"/>
    <x v="0"/>
    <x v="334"/>
    <x v="12"/>
    <x v="4"/>
    <x v="5"/>
    <x v="90"/>
    <x v="14"/>
    <x v="29"/>
    <x v="943"/>
    <x v="651"/>
  </r>
  <r>
    <x v="61"/>
    <x v="299"/>
    <x v="0"/>
    <x v="0"/>
    <x v="26"/>
    <x v="11"/>
    <x v="3"/>
    <x v="212"/>
    <x v="263"/>
    <x v="1"/>
    <x v="4"/>
    <x v="0"/>
    <x v="1"/>
    <x v="0"/>
    <x v="194"/>
    <x v="223"/>
    <x v="187"/>
    <x v="849"/>
    <x v="922"/>
    <x v="1"/>
    <x v="0"/>
    <x v="1"/>
    <x v="10"/>
    <x v="10"/>
    <x v="3"/>
    <x v="2"/>
    <x v="5"/>
    <x v="46"/>
    <x v="1"/>
    <x v="40"/>
    <x v="2"/>
    <x v="0"/>
    <x v="242"/>
    <x v="90"/>
    <x v="11"/>
    <x v="4"/>
    <x v="263"/>
    <x v="973"/>
  </r>
  <r>
    <x v="46"/>
    <x v="207"/>
    <x v="3"/>
    <x v="1"/>
    <x v="119"/>
    <x v="32"/>
    <x v="1"/>
    <x v="272"/>
    <x v="229"/>
    <x v="1"/>
    <x v="15"/>
    <x v="2"/>
    <x v="0"/>
    <x v="8"/>
    <x v="454"/>
    <x v="449"/>
    <x v="468"/>
    <x v="367"/>
    <x v="353"/>
    <x v="0"/>
    <x v="1"/>
    <x v="1"/>
    <x v="7"/>
    <x v="7"/>
    <x v="2"/>
    <x v="5"/>
    <x v="1"/>
    <x v="32"/>
    <x v="0"/>
    <x v="132"/>
    <x v="5"/>
    <x v="3"/>
    <x v="343"/>
    <x v="90"/>
    <x v="32"/>
    <x v="15"/>
    <x v="229"/>
    <x v="880"/>
  </r>
  <r>
    <x v="61"/>
    <x v="68"/>
    <x v="3"/>
    <x v="3"/>
    <x v="420"/>
    <x v="44"/>
    <x v="3"/>
    <x v="972"/>
    <x v="986"/>
    <x v="1"/>
    <x v="25"/>
    <x v="2"/>
    <x v="0"/>
    <x v="18"/>
    <x v="994"/>
    <x v="970"/>
    <x v="994"/>
    <x v="6"/>
    <x v="102"/>
    <x v="0"/>
    <x v="2"/>
    <x v="2"/>
    <x v="2"/>
    <x v="2"/>
    <x v="0"/>
    <x v="4"/>
    <x v="3"/>
    <x v="11"/>
    <x v="0"/>
    <x v="271"/>
    <x v="10"/>
    <x v="3"/>
    <x v="781"/>
    <x v="90"/>
    <x v="44"/>
    <x v="25"/>
    <x v="986"/>
    <x v="579"/>
  </r>
  <r>
    <x v="50"/>
    <x v="3"/>
    <x v="4"/>
    <x v="1"/>
    <x v="498"/>
    <x v="13"/>
    <x v="1"/>
    <x v="745"/>
    <x v="691"/>
    <x v="0"/>
    <x v="10"/>
    <x v="0"/>
    <x v="1"/>
    <x v="9"/>
    <x v="479"/>
    <x v="506"/>
    <x v="517"/>
    <x v="338"/>
    <x v="357"/>
    <x v="0"/>
    <x v="1"/>
    <x v="2"/>
    <x v="0"/>
    <x v="0"/>
    <x v="0"/>
    <x v="6"/>
    <x v="2"/>
    <x v="1"/>
    <x v="0"/>
    <x v="336"/>
    <x v="12"/>
    <x v="4"/>
    <x v="393"/>
    <x v="90"/>
    <x v="13"/>
    <x v="10"/>
    <x v="691"/>
    <x v="501"/>
  </r>
  <r>
    <x v="54"/>
    <x v="311"/>
    <x v="2"/>
    <x v="3"/>
    <x v="412"/>
    <x v="7"/>
    <x v="3"/>
    <x v="706"/>
    <x v="727"/>
    <x v="1"/>
    <x v="13"/>
    <x v="0"/>
    <x v="0"/>
    <x v="17"/>
    <x v="319"/>
    <x v="324"/>
    <x v="340"/>
    <x v="491"/>
    <x v="476"/>
    <x v="0"/>
    <x v="1"/>
    <x v="2"/>
    <x v="11"/>
    <x v="11"/>
    <x v="3"/>
    <x v="0"/>
    <x v="4"/>
    <x v="48"/>
    <x v="0"/>
    <x v="28"/>
    <x v="1"/>
    <x v="2"/>
    <x v="867"/>
    <x v="90"/>
    <x v="7"/>
    <x v="13"/>
    <x v="727"/>
    <x v="587"/>
  </r>
  <r>
    <x v="63"/>
    <x v="123"/>
    <x v="1"/>
    <x v="2"/>
    <x v="532"/>
    <x v="7"/>
    <x v="1"/>
    <x v="867"/>
    <x v="848"/>
    <x v="1"/>
    <x v="4"/>
    <x v="1"/>
    <x v="0"/>
    <x v="11"/>
    <x v="363"/>
    <x v="406"/>
    <x v="403"/>
    <x v="574"/>
    <x v="589"/>
    <x v="0"/>
    <x v="0"/>
    <x v="2"/>
    <x v="4"/>
    <x v="4"/>
    <x v="1"/>
    <x v="3"/>
    <x v="6"/>
    <x v="19"/>
    <x v="1"/>
    <x v="216"/>
    <x v="8"/>
    <x v="1"/>
    <x v="572"/>
    <x v="90"/>
    <x v="7"/>
    <x v="4"/>
    <x v="848"/>
    <x v="467"/>
  </r>
  <r>
    <x v="2"/>
    <x v="109"/>
    <x v="2"/>
    <x v="2"/>
    <x v="592"/>
    <x v="26"/>
    <x v="3"/>
    <x v="124"/>
    <x v="120"/>
    <x v="1"/>
    <x v="4"/>
    <x v="1"/>
    <x v="0"/>
    <x v="12"/>
    <x v="247"/>
    <x v="271"/>
    <x v="228"/>
    <x v="865"/>
    <x v="911"/>
    <x v="1"/>
    <x v="0"/>
    <x v="2"/>
    <x v="3"/>
    <x v="3"/>
    <x v="1"/>
    <x v="0"/>
    <x v="4"/>
    <x v="17"/>
    <x v="0"/>
    <x v="230"/>
    <x v="8"/>
    <x v="2"/>
    <x v="568"/>
    <x v="90"/>
    <x v="26"/>
    <x v="4"/>
    <x v="120"/>
    <x v="407"/>
  </r>
  <r>
    <x v="50"/>
    <x v="86"/>
    <x v="1"/>
    <x v="0"/>
    <x v="11"/>
    <x v="11"/>
    <x v="1"/>
    <x v="712"/>
    <x v="697"/>
    <x v="1"/>
    <x v="19"/>
    <x v="1"/>
    <x v="0"/>
    <x v="1"/>
    <x v="438"/>
    <x v="426"/>
    <x v="459"/>
    <x v="296"/>
    <x v="225"/>
    <x v="0"/>
    <x v="1"/>
    <x v="1"/>
    <x v="3"/>
    <x v="3"/>
    <x v="1"/>
    <x v="5"/>
    <x v="1"/>
    <x v="14"/>
    <x v="0"/>
    <x v="253"/>
    <x v="9"/>
    <x v="1"/>
    <x v="41"/>
    <x v="90"/>
    <x v="11"/>
    <x v="19"/>
    <x v="697"/>
    <x v="988"/>
  </r>
  <r>
    <x v="6"/>
    <x v="57"/>
    <x v="4"/>
    <x v="3"/>
    <x v="469"/>
    <x v="0"/>
    <x v="2"/>
    <x v="516"/>
    <x v="487"/>
    <x v="1"/>
    <x v="20"/>
    <x v="2"/>
    <x v="0"/>
    <x v="19"/>
    <x v="23"/>
    <x v="21"/>
    <x v="40"/>
    <x v="558"/>
    <x v="181"/>
    <x v="0"/>
    <x v="2"/>
    <x v="2"/>
    <x v="2"/>
    <x v="2"/>
    <x v="0"/>
    <x v="0"/>
    <x v="4"/>
    <x v="9"/>
    <x v="0"/>
    <x v="282"/>
    <x v="10"/>
    <x v="4"/>
    <x v="779"/>
    <x v="90"/>
    <x v="0"/>
    <x v="20"/>
    <x v="487"/>
    <x v="530"/>
  </r>
  <r>
    <x v="20"/>
    <x v="181"/>
    <x v="1"/>
    <x v="3"/>
    <x v="962"/>
    <x v="42"/>
    <x v="3"/>
    <x v="838"/>
    <x v="863"/>
    <x v="1"/>
    <x v="23"/>
    <x v="1"/>
    <x v="1"/>
    <x v="16"/>
    <x v="954"/>
    <x v="926"/>
    <x v="950"/>
    <x v="47"/>
    <x v="177"/>
    <x v="0"/>
    <x v="2"/>
    <x v="0"/>
    <x v="6"/>
    <x v="6"/>
    <x v="2"/>
    <x v="4"/>
    <x v="3"/>
    <x v="28"/>
    <x v="0"/>
    <x v="158"/>
    <x v="6"/>
    <x v="1"/>
    <x v="940"/>
    <x v="0"/>
    <x v="42"/>
    <x v="23"/>
    <x v="863"/>
    <x v="35"/>
  </r>
  <r>
    <x v="72"/>
    <x v="311"/>
    <x v="3"/>
    <x v="3"/>
    <x v="524"/>
    <x v="39"/>
    <x v="3"/>
    <x v="522"/>
    <x v="560"/>
    <x v="1"/>
    <x v="17"/>
    <x v="2"/>
    <x v="1"/>
    <x v="18"/>
    <x v="802"/>
    <x v="792"/>
    <x v="768"/>
    <x v="418"/>
    <x v="542"/>
    <x v="0"/>
    <x v="1"/>
    <x v="2"/>
    <x v="11"/>
    <x v="11"/>
    <x v="3"/>
    <x v="0"/>
    <x v="4"/>
    <x v="48"/>
    <x v="0"/>
    <x v="28"/>
    <x v="1"/>
    <x v="3"/>
    <x v="989"/>
    <x v="90"/>
    <x v="39"/>
    <x v="17"/>
    <x v="560"/>
    <x v="475"/>
  </r>
  <r>
    <x v="38"/>
    <x v="190"/>
    <x v="0"/>
    <x v="0"/>
    <x v="681"/>
    <x v="41"/>
    <x v="0"/>
    <x v="632"/>
    <x v="675"/>
    <x v="1"/>
    <x v="19"/>
    <x v="2"/>
    <x v="1"/>
    <x v="0"/>
    <x v="884"/>
    <x v="866"/>
    <x v="859"/>
    <x v="237"/>
    <x v="432"/>
    <x v="0"/>
    <x v="1"/>
    <x v="2"/>
    <x v="6"/>
    <x v="6"/>
    <x v="2"/>
    <x v="2"/>
    <x v="5"/>
    <x v="29"/>
    <x v="1"/>
    <x v="149"/>
    <x v="6"/>
    <x v="0"/>
    <x v="195"/>
    <x v="90"/>
    <x v="41"/>
    <x v="19"/>
    <x v="675"/>
    <x v="317"/>
  </r>
  <r>
    <x v="17"/>
    <x v="25"/>
    <x v="0"/>
    <x v="0"/>
    <x v="324"/>
    <x v="10"/>
    <x v="0"/>
    <x v="487"/>
    <x v="456"/>
    <x v="1"/>
    <x v="0"/>
    <x v="1"/>
    <x v="0"/>
    <x v="0"/>
    <x v="289"/>
    <x v="337"/>
    <x v="325"/>
    <x v="705"/>
    <x v="703"/>
    <x v="1"/>
    <x v="0"/>
    <x v="2"/>
    <x v="0"/>
    <x v="0"/>
    <x v="0"/>
    <x v="4"/>
    <x v="3"/>
    <x v="4"/>
    <x v="0"/>
    <x v="314"/>
    <x v="11"/>
    <x v="0"/>
    <x v="14"/>
    <x v="90"/>
    <x v="10"/>
    <x v="0"/>
    <x v="456"/>
    <x v="675"/>
  </r>
  <r>
    <x v="3"/>
    <x v="160"/>
    <x v="4"/>
    <x v="2"/>
    <x v="779"/>
    <x v="38"/>
    <x v="1"/>
    <x v="488"/>
    <x v="521"/>
    <x v="1"/>
    <x v="5"/>
    <x v="1"/>
    <x v="0"/>
    <x v="14"/>
    <x v="760"/>
    <x v="809"/>
    <x v="735"/>
    <x v="936"/>
    <x v="781"/>
    <x v="1"/>
    <x v="0"/>
    <x v="0"/>
    <x v="5"/>
    <x v="5"/>
    <x v="1"/>
    <x v="4"/>
    <x v="3"/>
    <x v="25"/>
    <x v="0"/>
    <x v="179"/>
    <x v="7"/>
    <x v="4"/>
    <x v="589"/>
    <x v="90"/>
    <x v="38"/>
    <x v="5"/>
    <x v="521"/>
    <x v="219"/>
  </r>
  <r>
    <x v="88"/>
    <x v="278"/>
    <x v="3"/>
    <x v="1"/>
    <x v="777"/>
    <x v="42"/>
    <x v="3"/>
    <x v="780"/>
    <x v="789"/>
    <x v="1"/>
    <x v="30"/>
    <x v="2"/>
    <x v="0"/>
    <x v="8"/>
    <x v="934"/>
    <x v="876"/>
    <x v="928"/>
    <x v="14"/>
    <x v="39"/>
    <x v="0"/>
    <x v="2"/>
    <x v="0"/>
    <x v="9"/>
    <x v="9"/>
    <x v="3"/>
    <x v="0"/>
    <x v="4"/>
    <x v="43"/>
    <x v="0"/>
    <x v="61"/>
    <x v="2"/>
    <x v="3"/>
    <x v="366"/>
    <x v="90"/>
    <x v="42"/>
    <x v="30"/>
    <x v="789"/>
    <x v="221"/>
  </r>
  <r>
    <x v="59"/>
    <x v="122"/>
    <x v="2"/>
    <x v="3"/>
    <x v="526"/>
    <x v="30"/>
    <x v="1"/>
    <x v="645"/>
    <x v="630"/>
    <x v="1"/>
    <x v="2"/>
    <x v="0"/>
    <x v="0"/>
    <x v="17"/>
    <x v="734"/>
    <x v="801"/>
    <x v="752"/>
    <x v="804"/>
    <x v="688"/>
    <x v="1"/>
    <x v="0"/>
    <x v="2"/>
    <x v="4"/>
    <x v="4"/>
    <x v="1"/>
    <x v="2"/>
    <x v="5"/>
    <x v="19"/>
    <x v="1"/>
    <x v="217"/>
    <x v="8"/>
    <x v="2"/>
    <x v="801"/>
    <x v="90"/>
    <x v="30"/>
    <x v="2"/>
    <x v="630"/>
    <x v="473"/>
  </r>
  <r>
    <x v="13"/>
    <x v="302"/>
    <x v="3"/>
    <x v="3"/>
    <x v="977"/>
    <x v="16"/>
    <x v="2"/>
    <x v="650"/>
    <x v="604"/>
    <x v="0"/>
    <x v="20"/>
    <x v="0"/>
    <x v="0"/>
    <x v="18"/>
    <x v="499"/>
    <x v="486"/>
    <x v="537"/>
    <x v="194"/>
    <x v="121"/>
    <x v="0"/>
    <x v="2"/>
    <x v="0"/>
    <x v="10"/>
    <x v="10"/>
    <x v="3"/>
    <x v="6"/>
    <x v="2"/>
    <x v="47"/>
    <x v="0"/>
    <x v="37"/>
    <x v="2"/>
    <x v="3"/>
    <x v="863"/>
    <x v="1"/>
    <x v="16"/>
    <x v="20"/>
    <x v="604"/>
    <x v="20"/>
  </r>
  <r>
    <x v="8"/>
    <x v="109"/>
    <x v="0"/>
    <x v="1"/>
    <x v="120"/>
    <x v="32"/>
    <x v="0"/>
    <x v="460"/>
    <x v="486"/>
    <x v="0"/>
    <x v="5"/>
    <x v="2"/>
    <x v="0"/>
    <x v="5"/>
    <x v="682"/>
    <x v="708"/>
    <x v="665"/>
    <x v="906"/>
    <x v="786"/>
    <x v="1"/>
    <x v="0"/>
    <x v="1"/>
    <x v="3"/>
    <x v="3"/>
    <x v="1"/>
    <x v="0"/>
    <x v="4"/>
    <x v="17"/>
    <x v="0"/>
    <x v="230"/>
    <x v="8"/>
    <x v="0"/>
    <x v="303"/>
    <x v="90"/>
    <x v="32"/>
    <x v="5"/>
    <x v="486"/>
    <x v="879"/>
  </r>
  <r>
    <x v="89"/>
    <x v="301"/>
    <x v="0"/>
    <x v="3"/>
    <x v="21"/>
    <x v="31"/>
    <x v="1"/>
    <x v="553"/>
    <x v="587"/>
    <x v="1"/>
    <x v="22"/>
    <x v="1"/>
    <x v="1"/>
    <x v="15"/>
    <x v="722"/>
    <x v="699"/>
    <x v="702"/>
    <x v="281"/>
    <x v="386"/>
    <x v="0"/>
    <x v="2"/>
    <x v="1"/>
    <x v="10"/>
    <x v="10"/>
    <x v="3"/>
    <x v="1"/>
    <x v="0"/>
    <x v="47"/>
    <x v="0"/>
    <x v="38"/>
    <x v="2"/>
    <x v="0"/>
    <x v="982"/>
    <x v="90"/>
    <x v="31"/>
    <x v="22"/>
    <x v="587"/>
    <x v="978"/>
  </r>
  <r>
    <x v="52"/>
    <x v="257"/>
    <x v="3"/>
    <x v="0"/>
    <x v="773"/>
    <x v="28"/>
    <x v="1"/>
    <x v="755"/>
    <x v="763"/>
    <x v="1"/>
    <x v="21"/>
    <x v="2"/>
    <x v="0"/>
    <x v="3"/>
    <x v="789"/>
    <x v="757"/>
    <x v="793"/>
    <x v="122"/>
    <x v="248"/>
    <x v="0"/>
    <x v="2"/>
    <x v="0"/>
    <x v="9"/>
    <x v="9"/>
    <x v="3"/>
    <x v="1"/>
    <x v="0"/>
    <x v="40"/>
    <x v="0"/>
    <x v="82"/>
    <x v="3"/>
    <x v="3"/>
    <x v="92"/>
    <x v="90"/>
    <x v="28"/>
    <x v="21"/>
    <x v="763"/>
    <x v="225"/>
  </r>
  <r>
    <x v="1"/>
    <x v="199"/>
    <x v="3"/>
    <x v="0"/>
    <x v="819"/>
    <x v="20"/>
    <x v="0"/>
    <x v="835"/>
    <x v="835"/>
    <x v="1"/>
    <x v="7"/>
    <x v="2"/>
    <x v="1"/>
    <x v="3"/>
    <x v="690"/>
    <x v="721"/>
    <x v="708"/>
    <x v="476"/>
    <x v="560"/>
    <x v="0"/>
    <x v="0"/>
    <x v="0"/>
    <x v="6"/>
    <x v="6"/>
    <x v="2"/>
    <x v="1"/>
    <x v="0"/>
    <x v="31"/>
    <x v="0"/>
    <x v="140"/>
    <x v="5"/>
    <x v="3"/>
    <x v="199"/>
    <x v="90"/>
    <x v="20"/>
    <x v="7"/>
    <x v="835"/>
    <x v="178"/>
  </r>
  <r>
    <x v="83"/>
    <x v="212"/>
    <x v="0"/>
    <x v="3"/>
    <x v="118"/>
    <x v="20"/>
    <x v="3"/>
    <x v="704"/>
    <x v="711"/>
    <x v="0"/>
    <x v="8"/>
    <x v="1"/>
    <x v="0"/>
    <x v="15"/>
    <x v="648"/>
    <x v="675"/>
    <x v="660"/>
    <x v="535"/>
    <x v="580"/>
    <x v="0"/>
    <x v="0"/>
    <x v="1"/>
    <x v="7"/>
    <x v="7"/>
    <x v="2"/>
    <x v="3"/>
    <x v="6"/>
    <x v="32"/>
    <x v="1"/>
    <x v="127"/>
    <x v="5"/>
    <x v="0"/>
    <x v="829"/>
    <x v="90"/>
    <x v="20"/>
    <x v="8"/>
    <x v="711"/>
    <x v="881"/>
  </r>
  <r>
    <x v="91"/>
    <x v="19"/>
    <x v="2"/>
    <x v="0"/>
    <x v="272"/>
    <x v="39"/>
    <x v="1"/>
    <x v="928"/>
    <x v="912"/>
    <x v="0"/>
    <x v="20"/>
    <x v="0"/>
    <x v="1"/>
    <x v="2"/>
    <x v="952"/>
    <x v="933"/>
    <x v="957"/>
    <x v="36"/>
    <x v="153"/>
    <x v="0"/>
    <x v="2"/>
    <x v="2"/>
    <x v="0"/>
    <x v="0"/>
    <x v="0"/>
    <x v="0"/>
    <x v="4"/>
    <x v="3"/>
    <x v="0"/>
    <x v="320"/>
    <x v="12"/>
    <x v="2"/>
    <x v="129"/>
    <x v="90"/>
    <x v="39"/>
    <x v="20"/>
    <x v="912"/>
    <x v="727"/>
  </r>
  <r>
    <x v="59"/>
    <x v="104"/>
    <x v="4"/>
    <x v="0"/>
    <x v="22"/>
    <x v="22"/>
    <x v="0"/>
    <x v="824"/>
    <x v="866"/>
    <x v="0"/>
    <x v="12"/>
    <x v="2"/>
    <x v="0"/>
    <x v="4"/>
    <x v="733"/>
    <x v="745"/>
    <x v="736"/>
    <x v="379"/>
    <x v="511"/>
    <x v="0"/>
    <x v="1"/>
    <x v="1"/>
    <x v="3"/>
    <x v="3"/>
    <x v="1"/>
    <x v="3"/>
    <x v="6"/>
    <x v="16"/>
    <x v="1"/>
    <x v="235"/>
    <x v="9"/>
    <x v="4"/>
    <x v="47"/>
    <x v="90"/>
    <x v="22"/>
    <x v="12"/>
    <x v="866"/>
    <x v="977"/>
  </r>
  <r>
    <x v="70"/>
    <x v="128"/>
    <x v="4"/>
    <x v="3"/>
    <x v="307"/>
    <x v="5"/>
    <x v="3"/>
    <x v="579"/>
    <x v="605"/>
    <x v="1"/>
    <x v="6"/>
    <x v="0"/>
    <x v="1"/>
    <x v="19"/>
    <x v="203"/>
    <x v="228"/>
    <x v="231"/>
    <x v="703"/>
    <x v="741"/>
    <x v="1"/>
    <x v="0"/>
    <x v="2"/>
    <x v="4"/>
    <x v="4"/>
    <x v="1"/>
    <x v="2"/>
    <x v="5"/>
    <x v="20"/>
    <x v="1"/>
    <x v="211"/>
    <x v="8"/>
    <x v="4"/>
    <x v="924"/>
    <x v="90"/>
    <x v="5"/>
    <x v="6"/>
    <x v="605"/>
    <x v="692"/>
  </r>
  <r>
    <x v="43"/>
    <x v="43"/>
    <x v="3"/>
    <x v="2"/>
    <x v="778"/>
    <x v="21"/>
    <x v="2"/>
    <x v="676"/>
    <x v="650"/>
    <x v="1"/>
    <x v="22"/>
    <x v="0"/>
    <x v="1"/>
    <x v="13"/>
    <x v="634"/>
    <x v="608"/>
    <x v="661"/>
    <x v="127"/>
    <x v="101"/>
    <x v="0"/>
    <x v="2"/>
    <x v="0"/>
    <x v="1"/>
    <x v="1"/>
    <x v="0"/>
    <x v="4"/>
    <x v="3"/>
    <x v="7"/>
    <x v="0"/>
    <x v="296"/>
    <x v="11"/>
    <x v="3"/>
    <x v="656"/>
    <x v="90"/>
    <x v="21"/>
    <x v="22"/>
    <x v="650"/>
    <x v="220"/>
  </r>
  <r>
    <x v="7"/>
    <x v="0"/>
    <x v="4"/>
    <x v="1"/>
    <x v="521"/>
    <x v="37"/>
    <x v="0"/>
    <x v="931"/>
    <x v="970"/>
    <x v="1"/>
    <x v="5"/>
    <x v="1"/>
    <x v="0"/>
    <x v="9"/>
    <x v="955"/>
    <x v="979"/>
    <x v="947"/>
    <x v="901"/>
    <x v="698"/>
    <x v="1"/>
    <x v="0"/>
    <x v="2"/>
    <x v="0"/>
    <x v="0"/>
    <x v="0"/>
    <x v="3"/>
    <x v="6"/>
    <x v="0"/>
    <x v="1"/>
    <x v="339"/>
    <x v="12"/>
    <x v="4"/>
    <x v="263"/>
    <x v="90"/>
    <x v="37"/>
    <x v="5"/>
    <x v="970"/>
    <x v="478"/>
  </r>
  <r>
    <x v="46"/>
    <x v="83"/>
    <x v="0"/>
    <x v="0"/>
    <x v="354"/>
    <x v="36"/>
    <x v="1"/>
    <x v="629"/>
    <x v="620"/>
    <x v="1"/>
    <x v="26"/>
    <x v="2"/>
    <x v="0"/>
    <x v="0"/>
    <x v="803"/>
    <x v="739"/>
    <x v="815"/>
    <x v="62"/>
    <x v="54"/>
    <x v="0"/>
    <x v="2"/>
    <x v="2"/>
    <x v="2"/>
    <x v="2"/>
    <x v="0"/>
    <x v="0"/>
    <x v="4"/>
    <x v="13"/>
    <x v="0"/>
    <x v="256"/>
    <x v="9"/>
    <x v="0"/>
    <x v="38"/>
    <x v="90"/>
    <x v="36"/>
    <x v="26"/>
    <x v="620"/>
    <x v="645"/>
  </r>
  <r>
    <x v="34"/>
    <x v="130"/>
    <x v="0"/>
    <x v="2"/>
    <x v="383"/>
    <x v="44"/>
    <x v="2"/>
    <x v="833"/>
    <x v="883"/>
    <x v="0"/>
    <x v="15"/>
    <x v="2"/>
    <x v="1"/>
    <x v="10"/>
    <x v="972"/>
    <x v="972"/>
    <x v="960"/>
    <x v="225"/>
    <x v="479"/>
    <x v="0"/>
    <x v="1"/>
    <x v="2"/>
    <x v="4"/>
    <x v="4"/>
    <x v="1"/>
    <x v="1"/>
    <x v="0"/>
    <x v="21"/>
    <x v="0"/>
    <x v="209"/>
    <x v="8"/>
    <x v="0"/>
    <x v="684"/>
    <x v="90"/>
    <x v="44"/>
    <x v="15"/>
    <x v="883"/>
    <x v="616"/>
  </r>
  <r>
    <x v="77"/>
    <x v="297"/>
    <x v="3"/>
    <x v="0"/>
    <x v="2"/>
    <x v="7"/>
    <x v="3"/>
    <x v="695"/>
    <x v="685"/>
    <x v="1"/>
    <x v="3"/>
    <x v="0"/>
    <x v="0"/>
    <x v="3"/>
    <x v="304"/>
    <x v="350"/>
    <x v="337"/>
    <x v="672"/>
    <x v="669"/>
    <x v="1"/>
    <x v="0"/>
    <x v="1"/>
    <x v="10"/>
    <x v="10"/>
    <x v="3"/>
    <x v="4"/>
    <x v="3"/>
    <x v="46"/>
    <x v="0"/>
    <x v="42"/>
    <x v="2"/>
    <x v="3"/>
    <x v="111"/>
    <x v="90"/>
    <x v="7"/>
    <x v="3"/>
    <x v="685"/>
    <x v="997"/>
  </r>
  <r>
    <x v="80"/>
    <x v="35"/>
    <x v="3"/>
    <x v="0"/>
    <x v="312"/>
    <x v="40"/>
    <x v="3"/>
    <x v="575"/>
    <x v="537"/>
    <x v="0"/>
    <x v="21"/>
    <x v="0"/>
    <x v="0"/>
    <x v="3"/>
    <x v="790"/>
    <x v="760"/>
    <x v="812"/>
    <x v="83"/>
    <x v="152"/>
    <x v="0"/>
    <x v="2"/>
    <x v="2"/>
    <x v="1"/>
    <x v="1"/>
    <x v="0"/>
    <x v="5"/>
    <x v="1"/>
    <x v="6"/>
    <x v="0"/>
    <x v="304"/>
    <x v="11"/>
    <x v="3"/>
    <x v="17"/>
    <x v="90"/>
    <x v="40"/>
    <x v="21"/>
    <x v="537"/>
    <x v="687"/>
  </r>
  <r>
    <x v="35"/>
    <x v="272"/>
    <x v="3"/>
    <x v="1"/>
    <x v="638"/>
    <x v="48"/>
    <x v="0"/>
    <x v="250"/>
    <x v="230"/>
    <x v="0"/>
    <x v="16"/>
    <x v="1"/>
    <x v="0"/>
    <x v="8"/>
    <x v="593"/>
    <x v="602"/>
    <x v="583"/>
    <x v="444"/>
    <x v="517"/>
    <x v="0"/>
    <x v="1"/>
    <x v="2"/>
    <x v="9"/>
    <x v="9"/>
    <x v="3"/>
    <x v="0"/>
    <x v="4"/>
    <x v="42"/>
    <x v="0"/>
    <x v="67"/>
    <x v="3"/>
    <x v="3"/>
    <x v="365"/>
    <x v="90"/>
    <x v="48"/>
    <x v="16"/>
    <x v="230"/>
    <x v="360"/>
  </r>
  <r>
    <x v="49"/>
    <x v="127"/>
    <x v="2"/>
    <x v="0"/>
    <x v="975"/>
    <x v="34"/>
    <x v="0"/>
    <x v="425"/>
    <x v="424"/>
    <x v="1"/>
    <x v="9"/>
    <x v="0"/>
    <x v="1"/>
    <x v="2"/>
    <x v="666"/>
    <x v="688"/>
    <x v="666"/>
    <x v="651"/>
    <x v="620"/>
    <x v="1"/>
    <x v="0"/>
    <x v="0"/>
    <x v="4"/>
    <x v="4"/>
    <x v="1"/>
    <x v="0"/>
    <x v="4"/>
    <x v="20"/>
    <x v="0"/>
    <x v="212"/>
    <x v="8"/>
    <x v="2"/>
    <x v="174"/>
    <x v="2"/>
    <x v="34"/>
    <x v="9"/>
    <x v="424"/>
    <x v="22"/>
  </r>
  <r>
    <x v="3"/>
    <x v="330"/>
    <x v="4"/>
    <x v="1"/>
    <x v="855"/>
    <x v="10"/>
    <x v="0"/>
    <x v="970"/>
    <x v="942"/>
    <x v="0"/>
    <x v="13"/>
    <x v="1"/>
    <x v="0"/>
    <x v="9"/>
    <x v="491"/>
    <x v="505"/>
    <x v="531"/>
    <x v="292"/>
    <x v="289"/>
    <x v="0"/>
    <x v="1"/>
    <x v="0"/>
    <x v="11"/>
    <x v="11"/>
    <x v="3"/>
    <x v="0"/>
    <x v="4"/>
    <x v="51"/>
    <x v="0"/>
    <x v="9"/>
    <x v="1"/>
    <x v="4"/>
    <x v="389"/>
    <x v="90"/>
    <x v="10"/>
    <x v="13"/>
    <x v="942"/>
    <x v="142"/>
  </r>
  <r>
    <x v="1"/>
    <x v="309"/>
    <x v="3"/>
    <x v="1"/>
    <x v="29"/>
    <x v="23"/>
    <x v="3"/>
    <x v="665"/>
    <x v="674"/>
    <x v="0"/>
    <x v="9"/>
    <x v="2"/>
    <x v="1"/>
    <x v="8"/>
    <x v="681"/>
    <x v="698"/>
    <x v="678"/>
    <x v="533"/>
    <x v="581"/>
    <x v="0"/>
    <x v="0"/>
    <x v="1"/>
    <x v="10"/>
    <x v="10"/>
    <x v="3"/>
    <x v="6"/>
    <x v="2"/>
    <x v="48"/>
    <x v="0"/>
    <x v="30"/>
    <x v="1"/>
    <x v="3"/>
    <x v="517"/>
    <x v="90"/>
    <x v="23"/>
    <x v="9"/>
    <x v="674"/>
    <x v="970"/>
  </r>
  <r>
    <x v="5"/>
    <x v="241"/>
    <x v="1"/>
    <x v="1"/>
    <x v="907"/>
    <x v="48"/>
    <x v="2"/>
    <x v="581"/>
    <x v="586"/>
    <x v="0"/>
    <x v="8"/>
    <x v="1"/>
    <x v="1"/>
    <x v="6"/>
    <x v="889"/>
    <x v="914"/>
    <x v="877"/>
    <x v="776"/>
    <x v="649"/>
    <x v="1"/>
    <x v="0"/>
    <x v="0"/>
    <x v="8"/>
    <x v="8"/>
    <x v="2"/>
    <x v="2"/>
    <x v="5"/>
    <x v="37"/>
    <x v="1"/>
    <x v="98"/>
    <x v="4"/>
    <x v="1"/>
    <x v="482"/>
    <x v="90"/>
    <x v="48"/>
    <x v="8"/>
    <x v="586"/>
    <x v="90"/>
  </r>
  <r>
    <x v="53"/>
    <x v="149"/>
    <x v="1"/>
    <x v="2"/>
    <x v="788"/>
    <x v="20"/>
    <x v="3"/>
    <x v="938"/>
    <x v="964"/>
    <x v="0"/>
    <x v="5"/>
    <x v="0"/>
    <x v="0"/>
    <x v="11"/>
    <x v="749"/>
    <x v="796"/>
    <x v="753"/>
    <x v="777"/>
    <x v="670"/>
    <x v="1"/>
    <x v="0"/>
    <x v="0"/>
    <x v="5"/>
    <x v="5"/>
    <x v="1"/>
    <x v="2"/>
    <x v="5"/>
    <x v="23"/>
    <x v="1"/>
    <x v="190"/>
    <x v="7"/>
    <x v="1"/>
    <x v="587"/>
    <x v="90"/>
    <x v="20"/>
    <x v="5"/>
    <x v="964"/>
    <x v="210"/>
  </r>
  <r>
    <x v="3"/>
    <x v="165"/>
    <x v="0"/>
    <x v="3"/>
    <x v="784"/>
    <x v="1"/>
    <x v="1"/>
    <x v="606"/>
    <x v="556"/>
    <x v="1"/>
    <x v="11"/>
    <x v="2"/>
    <x v="1"/>
    <x v="15"/>
    <x v="67"/>
    <x v="72"/>
    <x v="104"/>
    <x v="542"/>
    <x v="338"/>
    <x v="0"/>
    <x v="1"/>
    <x v="0"/>
    <x v="5"/>
    <x v="5"/>
    <x v="1"/>
    <x v="5"/>
    <x v="1"/>
    <x v="26"/>
    <x v="0"/>
    <x v="174"/>
    <x v="6"/>
    <x v="0"/>
    <x v="937"/>
    <x v="90"/>
    <x v="1"/>
    <x v="11"/>
    <x v="556"/>
    <x v="214"/>
  </r>
  <r>
    <x v="53"/>
    <x v="9"/>
    <x v="4"/>
    <x v="2"/>
    <x v="462"/>
    <x v="39"/>
    <x v="3"/>
    <x v="551"/>
    <x v="546"/>
    <x v="1"/>
    <x v="8"/>
    <x v="1"/>
    <x v="0"/>
    <x v="14"/>
    <x v="787"/>
    <x v="824"/>
    <x v="784"/>
    <x v="738"/>
    <x v="644"/>
    <x v="1"/>
    <x v="0"/>
    <x v="2"/>
    <x v="0"/>
    <x v="0"/>
    <x v="0"/>
    <x v="5"/>
    <x v="1"/>
    <x v="2"/>
    <x v="0"/>
    <x v="330"/>
    <x v="12"/>
    <x v="4"/>
    <x v="535"/>
    <x v="90"/>
    <x v="39"/>
    <x v="8"/>
    <x v="546"/>
    <x v="537"/>
  </r>
  <r>
    <x v="92"/>
    <x v="243"/>
    <x v="3"/>
    <x v="3"/>
    <x v="408"/>
    <x v="18"/>
    <x v="1"/>
    <x v="773"/>
    <x v="731"/>
    <x v="0"/>
    <x v="21"/>
    <x v="2"/>
    <x v="0"/>
    <x v="18"/>
    <x v="613"/>
    <x v="594"/>
    <x v="653"/>
    <x v="130"/>
    <x v="100"/>
    <x v="0"/>
    <x v="2"/>
    <x v="2"/>
    <x v="8"/>
    <x v="8"/>
    <x v="2"/>
    <x v="1"/>
    <x v="0"/>
    <x v="38"/>
    <x v="0"/>
    <x v="96"/>
    <x v="4"/>
    <x v="3"/>
    <x v="846"/>
    <x v="90"/>
    <x v="18"/>
    <x v="21"/>
    <x v="731"/>
    <x v="591"/>
  </r>
  <r>
    <x v="62"/>
    <x v="126"/>
    <x v="1"/>
    <x v="3"/>
    <x v="315"/>
    <x v="38"/>
    <x v="2"/>
    <x v="718"/>
    <x v="745"/>
    <x v="1"/>
    <x v="21"/>
    <x v="1"/>
    <x v="1"/>
    <x v="16"/>
    <x v="888"/>
    <x v="860"/>
    <x v="880"/>
    <x v="99"/>
    <x v="273"/>
    <x v="0"/>
    <x v="2"/>
    <x v="2"/>
    <x v="4"/>
    <x v="4"/>
    <x v="1"/>
    <x v="4"/>
    <x v="3"/>
    <x v="20"/>
    <x v="0"/>
    <x v="213"/>
    <x v="8"/>
    <x v="1"/>
    <x v="923"/>
    <x v="90"/>
    <x v="38"/>
    <x v="21"/>
    <x v="745"/>
    <x v="684"/>
  </r>
  <r>
    <x v="17"/>
    <x v="159"/>
    <x v="4"/>
    <x v="1"/>
    <x v="64"/>
    <x v="27"/>
    <x v="0"/>
    <x v="196"/>
    <x v="155"/>
    <x v="0"/>
    <x v="15"/>
    <x v="0"/>
    <x v="1"/>
    <x v="9"/>
    <x v="303"/>
    <x v="305"/>
    <x v="341"/>
    <x v="398"/>
    <x v="299"/>
    <x v="0"/>
    <x v="1"/>
    <x v="1"/>
    <x v="5"/>
    <x v="5"/>
    <x v="1"/>
    <x v="6"/>
    <x v="2"/>
    <x v="25"/>
    <x v="0"/>
    <x v="180"/>
    <x v="7"/>
    <x v="4"/>
    <x v="451"/>
    <x v="90"/>
    <x v="27"/>
    <x v="15"/>
    <x v="155"/>
    <x v="935"/>
  </r>
  <r>
    <x v="89"/>
    <x v="12"/>
    <x v="0"/>
    <x v="0"/>
    <x v="227"/>
    <x v="16"/>
    <x v="0"/>
    <x v="478"/>
    <x v="526"/>
    <x v="1"/>
    <x v="23"/>
    <x v="0"/>
    <x v="1"/>
    <x v="0"/>
    <x v="463"/>
    <x v="433"/>
    <x v="447"/>
    <x v="397"/>
    <x v="384"/>
    <x v="0"/>
    <x v="2"/>
    <x v="1"/>
    <x v="0"/>
    <x v="0"/>
    <x v="0"/>
    <x v="0"/>
    <x v="4"/>
    <x v="2"/>
    <x v="0"/>
    <x v="327"/>
    <x v="12"/>
    <x v="0"/>
    <x v="126"/>
    <x v="90"/>
    <x v="16"/>
    <x v="23"/>
    <x v="526"/>
    <x v="772"/>
  </r>
  <r>
    <x v="43"/>
    <x v="155"/>
    <x v="2"/>
    <x v="1"/>
    <x v="248"/>
    <x v="5"/>
    <x v="3"/>
    <x v="481"/>
    <x v="510"/>
    <x v="1"/>
    <x v="25"/>
    <x v="2"/>
    <x v="1"/>
    <x v="7"/>
    <x v="172"/>
    <x v="156"/>
    <x v="201"/>
    <x v="464"/>
    <x v="260"/>
    <x v="0"/>
    <x v="2"/>
    <x v="1"/>
    <x v="5"/>
    <x v="5"/>
    <x v="1"/>
    <x v="2"/>
    <x v="5"/>
    <x v="24"/>
    <x v="1"/>
    <x v="184"/>
    <x v="7"/>
    <x v="2"/>
    <x v="449"/>
    <x v="90"/>
    <x v="5"/>
    <x v="25"/>
    <x v="510"/>
    <x v="751"/>
  </r>
  <r>
    <x v="33"/>
    <x v="119"/>
    <x v="4"/>
    <x v="0"/>
    <x v="487"/>
    <x v="18"/>
    <x v="0"/>
    <x v="380"/>
    <x v="383"/>
    <x v="1"/>
    <x v="17"/>
    <x v="2"/>
    <x v="1"/>
    <x v="4"/>
    <x v="413"/>
    <x v="412"/>
    <x v="415"/>
    <x v="455"/>
    <x v="454"/>
    <x v="0"/>
    <x v="1"/>
    <x v="2"/>
    <x v="4"/>
    <x v="4"/>
    <x v="1"/>
    <x v="6"/>
    <x v="2"/>
    <x v="19"/>
    <x v="0"/>
    <x v="220"/>
    <x v="8"/>
    <x v="4"/>
    <x v="171"/>
    <x v="90"/>
    <x v="18"/>
    <x v="17"/>
    <x v="383"/>
    <x v="512"/>
  </r>
  <r>
    <x v="73"/>
    <x v="77"/>
    <x v="4"/>
    <x v="3"/>
    <x v="747"/>
    <x v="37"/>
    <x v="2"/>
    <x v="542"/>
    <x v="524"/>
    <x v="1"/>
    <x v="19"/>
    <x v="2"/>
    <x v="0"/>
    <x v="19"/>
    <x v="758"/>
    <x v="731"/>
    <x v="759"/>
    <x v="168"/>
    <x v="295"/>
    <x v="0"/>
    <x v="1"/>
    <x v="2"/>
    <x v="2"/>
    <x v="2"/>
    <x v="0"/>
    <x v="2"/>
    <x v="5"/>
    <x v="12"/>
    <x v="1"/>
    <x v="262"/>
    <x v="9"/>
    <x v="4"/>
    <x v="783"/>
    <x v="90"/>
    <x v="37"/>
    <x v="19"/>
    <x v="524"/>
    <x v="251"/>
  </r>
  <r>
    <x v="61"/>
    <x v="298"/>
    <x v="2"/>
    <x v="1"/>
    <x v="478"/>
    <x v="27"/>
    <x v="0"/>
    <x v="415"/>
    <x v="380"/>
    <x v="1"/>
    <x v="8"/>
    <x v="1"/>
    <x v="1"/>
    <x v="7"/>
    <x v="534"/>
    <x v="577"/>
    <x v="566"/>
    <x v="417"/>
    <x v="486"/>
    <x v="0"/>
    <x v="0"/>
    <x v="2"/>
    <x v="10"/>
    <x v="10"/>
    <x v="3"/>
    <x v="0"/>
    <x v="4"/>
    <x v="46"/>
    <x v="0"/>
    <x v="41"/>
    <x v="2"/>
    <x v="2"/>
    <x v="514"/>
    <x v="90"/>
    <x v="27"/>
    <x v="8"/>
    <x v="380"/>
    <x v="521"/>
  </r>
  <r>
    <x v="99"/>
    <x v="296"/>
    <x v="4"/>
    <x v="0"/>
    <x v="57"/>
    <x v="1"/>
    <x v="3"/>
    <x v="199"/>
    <x v="189"/>
    <x v="0"/>
    <x v="27"/>
    <x v="0"/>
    <x v="0"/>
    <x v="4"/>
    <x v="19"/>
    <x v="15"/>
    <x v="28"/>
    <x v="566"/>
    <x v="201"/>
    <x v="0"/>
    <x v="2"/>
    <x v="1"/>
    <x v="10"/>
    <x v="10"/>
    <x v="3"/>
    <x v="6"/>
    <x v="2"/>
    <x v="46"/>
    <x v="0"/>
    <x v="43"/>
    <x v="2"/>
    <x v="4"/>
    <x v="109"/>
    <x v="90"/>
    <x v="1"/>
    <x v="27"/>
    <x v="189"/>
    <x v="942"/>
  </r>
  <r>
    <x v="13"/>
    <x v="92"/>
    <x v="0"/>
    <x v="2"/>
    <x v="955"/>
    <x v="37"/>
    <x v="2"/>
    <x v="414"/>
    <x v="460"/>
    <x v="1"/>
    <x v="1"/>
    <x v="2"/>
    <x v="0"/>
    <x v="10"/>
    <x v="701"/>
    <x v="770"/>
    <x v="679"/>
    <x v="992"/>
    <x v="867"/>
    <x v="1"/>
    <x v="0"/>
    <x v="0"/>
    <x v="3"/>
    <x v="3"/>
    <x v="1"/>
    <x v="5"/>
    <x v="1"/>
    <x v="15"/>
    <x v="0"/>
    <x v="247"/>
    <x v="9"/>
    <x v="0"/>
    <x v="560"/>
    <x v="3"/>
    <x v="37"/>
    <x v="1"/>
    <x v="460"/>
    <x v="42"/>
  </r>
  <r>
    <x v="94"/>
    <x v="305"/>
    <x v="0"/>
    <x v="0"/>
    <x v="939"/>
    <x v="36"/>
    <x v="1"/>
    <x v="74"/>
    <x v="122"/>
    <x v="0"/>
    <x v="10"/>
    <x v="2"/>
    <x v="1"/>
    <x v="0"/>
    <x v="326"/>
    <x v="356"/>
    <x v="209"/>
    <x v="984"/>
    <x v="956"/>
    <x v="1"/>
    <x v="1"/>
    <x v="0"/>
    <x v="10"/>
    <x v="10"/>
    <x v="3"/>
    <x v="2"/>
    <x v="5"/>
    <x v="47"/>
    <x v="1"/>
    <x v="34"/>
    <x v="1"/>
    <x v="0"/>
    <x v="248"/>
    <x v="4"/>
    <x v="36"/>
    <x v="10"/>
    <x v="122"/>
    <x v="58"/>
  </r>
  <r>
    <x v="47"/>
    <x v="255"/>
    <x v="2"/>
    <x v="1"/>
    <x v="791"/>
    <x v="3"/>
    <x v="3"/>
    <x v="593"/>
    <x v="542"/>
    <x v="0"/>
    <x v="22"/>
    <x v="2"/>
    <x v="1"/>
    <x v="7"/>
    <x v="132"/>
    <x v="121"/>
    <x v="166"/>
    <x v="426"/>
    <x v="75"/>
    <x v="0"/>
    <x v="2"/>
    <x v="0"/>
    <x v="8"/>
    <x v="8"/>
    <x v="2"/>
    <x v="2"/>
    <x v="5"/>
    <x v="39"/>
    <x v="1"/>
    <x v="84"/>
    <x v="3"/>
    <x v="2"/>
    <x v="491"/>
    <x v="90"/>
    <x v="3"/>
    <x v="22"/>
    <x v="542"/>
    <x v="207"/>
  </r>
  <r>
    <x v="14"/>
    <x v="247"/>
    <x v="3"/>
    <x v="2"/>
    <x v="989"/>
    <x v="21"/>
    <x v="1"/>
    <x v="868"/>
    <x v="881"/>
    <x v="1"/>
    <x v="2"/>
    <x v="1"/>
    <x v="1"/>
    <x v="13"/>
    <x v="721"/>
    <x v="785"/>
    <x v="734"/>
    <x v="844"/>
    <x v="716"/>
    <x v="1"/>
    <x v="0"/>
    <x v="0"/>
    <x v="8"/>
    <x v="8"/>
    <x v="2"/>
    <x v="0"/>
    <x v="4"/>
    <x v="38"/>
    <x v="0"/>
    <x v="92"/>
    <x v="4"/>
    <x v="3"/>
    <x v="721"/>
    <x v="5"/>
    <x v="21"/>
    <x v="2"/>
    <x v="881"/>
    <x v="8"/>
  </r>
  <r>
    <x v="71"/>
    <x v="35"/>
    <x v="1"/>
    <x v="0"/>
    <x v="543"/>
    <x v="25"/>
    <x v="2"/>
    <x v="737"/>
    <x v="755"/>
    <x v="0"/>
    <x v="5"/>
    <x v="2"/>
    <x v="1"/>
    <x v="1"/>
    <x v="739"/>
    <x v="786"/>
    <x v="737"/>
    <x v="831"/>
    <x v="708"/>
    <x v="1"/>
    <x v="0"/>
    <x v="2"/>
    <x v="1"/>
    <x v="1"/>
    <x v="0"/>
    <x v="5"/>
    <x v="1"/>
    <x v="6"/>
    <x v="0"/>
    <x v="304"/>
    <x v="11"/>
    <x v="1"/>
    <x v="136"/>
    <x v="90"/>
    <x v="25"/>
    <x v="5"/>
    <x v="755"/>
    <x v="456"/>
  </r>
  <r>
    <x v="77"/>
    <x v="86"/>
    <x v="3"/>
    <x v="0"/>
    <x v="961"/>
    <x v="48"/>
    <x v="3"/>
    <x v="374"/>
    <x v="377"/>
    <x v="1"/>
    <x v="18"/>
    <x v="2"/>
    <x v="1"/>
    <x v="3"/>
    <x v="745"/>
    <x v="729"/>
    <x v="714"/>
    <x v="384"/>
    <x v="507"/>
    <x v="0"/>
    <x v="1"/>
    <x v="0"/>
    <x v="3"/>
    <x v="3"/>
    <x v="1"/>
    <x v="5"/>
    <x v="1"/>
    <x v="14"/>
    <x v="0"/>
    <x v="253"/>
    <x v="9"/>
    <x v="3"/>
    <x v="162"/>
    <x v="6"/>
    <x v="48"/>
    <x v="18"/>
    <x v="377"/>
    <x v="36"/>
  </r>
  <r>
    <x v="86"/>
    <x v="87"/>
    <x v="4"/>
    <x v="0"/>
    <x v="82"/>
    <x v="42"/>
    <x v="3"/>
    <x v="89"/>
    <x v="45"/>
    <x v="0"/>
    <x v="17"/>
    <x v="1"/>
    <x v="0"/>
    <x v="4"/>
    <x v="241"/>
    <x v="241"/>
    <x v="270"/>
    <x v="475"/>
    <x v="381"/>
    <x v="0"/>
    <x v="1"/>
    <x v="1"/>
    <x v="3"/>
    <x v="3"/>
    <x v="1"/>
    <x v="6"/>
    <x v="2"/>
    <x v="14"/>
    <x v="0"/>
    <x v="252"/>
    <x v="9"/>
    <x v="4"/>
    <x v="42"/>
    <x v="90"/>
    <x v="42"/>
    <x v="17"/>
    <x v="45"/>
    <x v="917"/>
  </r>
  <r>
    <x v="61"/>
    <x v="283"/>
    <x v="1"/>
    <x v="0"/>
    <x v="370"/>
    <x v="35"/>
    <x v="2"/>
    <x v="203"/>
    <x v="180"/>
    <x v="0"/>
    <x v="22"/>
    <x v="1"/>
    <x v="0"/>
    <x v="1"/>
    <x v="418"/>
    <x v="393"/>
    <x v="422"/>
    <x v="333"/>
    <x v="271"/>
    <x v="0"/>
    <x v="2"/>
    <x v="2"/>
    <x v="10"/>
    <x v="10"/>
    <x v="3"/>
    <x v="6"/>
    <x v="2"/>
    <x v="44"/>
    <x v="0"/>
    <x v="56"/>
    <x v="2"/>
    <x v="1"/>
    <x v="101"/>
    <x v="90"/>
    <x v="35"/>
    <x v="22"/>
    <x v="180"/>
    <x v="629"/>
  </r>
  <r>
    <x v="39"/>
    <x v="63"/>
    <x v="2"/>
    <x v="0"/>
    <x v="225"/>
    <x v="12"/>
    <x v="0"/>
    <x v="568"/>
    <x v="538"/>
    <x v="1"/>
    <x v="24"/>
    <x v="2"/>
    <x v="0"/>
    <x v="2"/>
    <x v="382"/>
    <x v="352"/>
    <x v="413"/>
    <x v="274"/>
    <x v="98"/>
    <x v="0"/>
    <x v="2"/>
    <x v="1"/>
    <x v="2"/>
    <x v="2"/>
    <x v="0"/>
    <x v="0"/>
    <x v="4"/>
    <x v="10"/>
    <x v="0"/>
    <x v="276"/>
    <x v="10"/>
    <x v="2"/>
    <x v="28"/>
    <x v="90"/>
    <x v="12"/>
    <x v="24"/>
    <x v="538"/>
    <x v="774"/>
  </r>
  <r>
    <x v="84"/>
    <x v="295"/>
    <x v="2"/>
    <x v="2"/>
    <x v="187"/>
    <x v="31"/>
    <x v="3"/>
    <x v="209"/>
    <x v="248"/>
    <x v="1"/>
    <x v="4"/>
    <x v="2"/>
    <x v="1"/>
    <x v="12"/>
    <x v="460"/>
    <x v="501"/>
    <x v="404"/>
    <x v="963"/>
    <x v="915"/>
    <x v="1"/>
    <x v="0"/>
    <x v="1"/>
    <x v="10"/>
    <x v="10"/>
    <x v="3"/>
    <x v="5"/>
    <x v="1"/>
    <x v="46"/>
    <x v="0"/>
    <x v="44"/>
    <x v="2"/>
    <x v="2"/>
    <x v="742"/>
    <x v="90"/>
    <x v="31"/>
    <x v="4"/>
    <x v="248"/>
    <x v="812"/>
  </r>
  <r>
    <x v="79"/>
    <x v="222"/>
    <x v="1"/>
    <x v="3"/>
    <x v="130"/>
    <x v="16"/>
    <x v="3"/>
    <x v="565"/>
    <x v="557"/>
    <x v="1"/>
    <x v="1"/>
    <x v="1"/>
    <x v="1"/>
    <x v="16"/>
    <x v="473"/>
    <x v="531"/>
    <x v="483"/>
    <x v="809"/>
    <x v="762"/>
    <x v="1"/>
    <x v="0"/>
    <x v="1"/>
    <x v="7"/>
    <x v="7"/>
    <x v="2"/>
    <x v="4"/>
    <x v="3"/>
    <x v="34"/>
    <x v="0"/>
    <x v="117"/>
    <x v="5"/>
    <x v="1"/>
    <x v="951"/>
    <x v="90"/>
    <x v="16"/>
    <x v="1"/>
    <x v="557"/>
    <x v="869"/>
  </r>
  <r>
    <x v="81"/>
    <x v="310"/>
    <x v="0"/>
    <x v="2"/>
    <x v="615"/>
    <x v="40"/>
    <x v="1"/>
    <x v="239"/>
    <x v="235"/>
    <x v="1"/>
    <x v="21"/>
    <x v="0"/>
    <x v="0"/>
    <x v="10"/>
    <x v="521"/>
    <x v="507"/>
    <x v="503"/>
    <x v="447"/>
    <x v="489"/>
    <x v="0"/>
    <x v="2"/>
    <x v="2"/>
    <x v="10"/>
    <x v="10"/>
    <x v="3"/>
    <x v="4"/>
    <x v="3"/>
    <x v="48"/>
    <x v="0"/>
    <x v="29"/>
    <x v="1"/>
    <x v="0"/>
    <x v="634"/>
    <x v="90"/>
    <x v="40"/>
    <x v="21"/>
    <x v="235"/>
    <x v="383"/>
  </r>
  <r>
    <x v="52"/>
    <x v="125"/>
    <x v="1"/>
    <x v="2"/>
    <x v="786"/>
    <x v="35"/>
    <x v="0"/>
    <x v="859"/>
    <x v="908"/>
    <x v="0"/>
    <x v="9"/>
    <x v="1"/>
    <x v="1"/>
    <x v="11"/>
    <x v="917"/>
    <x v="940"/>
    <x v="907"/>
    <x v="732"/>
    <x v="634"/>
    <x v="1"/>
    <x v="0"/>
    <x v="0"/>
    <x v="4"/>
    <x v="4"/>
    <x v="1"/>
    <x v="6"/>
    <x v="2"/>
    <x v="20"/>
    <x v="0"/>
    <x v="214"/>
    <x v="8"/>
    <x v="1"/>
    <x v="683"/>
    <x v="90"/>
    <x v="35"/>
    <x v="9"/>
    <x v="908"/>
    <x v="212"/>
  </r>
  <r>
    <x v="23"/>
    <x v="69"/>
    <x v="4"/>
    <x v="2"/>
    <x v="572"/>
    <x v="45"/>
    <x v="1"/>
    <x v="399"/>
    <x v="418"/>
    <x v="1"/>
    <x v="19"/>
    <x v="0"/>
    <x v="1"/>
    <x v="14"/>
    <x v="755"/>
    <x v="730"/>
    <x v="730"/>
    <x v="315"/>
    <x v="448"/>
    <x v="0"/>
    <x v="1"/>
    <x v="2"/>
    <x v="2"/>
    <x v="2"/>
    <x v="0"/>
    <x v="0"/>
    <x v="4"/>
    <x v="11"/>
    <x v="0"/>
    <x v="270"/>
    <x v="10"/>
    <x v="4"/>
    <x v="664"/>
    <x v="90"/>
    <x v="45"/>
    <x v="19"/>
    <x v="418"/>
    <x v="427"/>
  </r>
  <r>
    <x v="25"/>
    <x v="32"/>
    <x v="0"/>
    <x v="3"/>
    <x v="136"/>
    <x v="18"/>
    <x v="1"/>
    <x v="254"/>
    <x v="300"/>
    <x v="0"/>
    <x v="5"/>
    <x v="2"/>
    <x v="1"/>
    <x v="15"/>
    <x v="332"/>
    <x v="378"/>
    <x v="307"/>
    <x v="895"/>
    <x v="905"/>
    <x v="1"/>
    <x v="0"/>
    <x v="1"/>
    <x v="1"/>
    <x v="1"/>
    <x v="0"/>
    <x v="2"/>
    <x v="5"/>
    <x v="5"/>
    <x v="1"/>
    <x v="307"/>
    <x v="11"/>
    <x v="0"/>
    <x v="891"/>
    <x v="90"/>
    <x v="18"/>
    <x v="5"/>
    <x v="300"/>
    <x v="863"/>
  </r>
  <r>
    <x v="88"/>
    <x v="0"/>
    <x v="2"/>
    <x v="1"/>
    <x v="822"/>
    <x v="34"/>
    <x v="0"/>
    <x v="815"/>
    <x v="819"/>
    <x v="0"/>
    <x v="14"/>
    <x v="2"/>
    <x v="0"/>
    <x v="7"/>
    <x v="882"/>
    <x v="884"/>
    <x v="886"/>
    <x v="146"/>
    <x v="364"/>
    <x v="0"/>
    <x v="1"/>
    <x v="0"/>
    <x v="0"/>
    <x v="0"/>
    <x v="0"/>
    <x v="3"/>
    <x v="6"/>
    <x v="0"/>
    <x v="1"/>
    <x v="339"/>
    <x v="12"/>
    <x v="2"/>
    <x v="264"/>
    <x v="90"/>
    <x v="34"/>
    <x v="14"/>
    <x v="819"/>
    <x v="175"/>
  </r>
  <r>
    <x v="59"/>
    <x v="275"/>
    <x v="1"/>
    <x v="3"/>
    <x v="631"/>
    <x v="45"/>
    <x v="0"/>
    <x v="356"/>
    <x v="318"/>
    <x v="0"/>
    <x v="15"/>
    <x v="0"/>
    <x v="1"/>
    <x v="16"/>
    <x v="670"/>
    <x v="669"/>
    <x v="684"/>
    <x v="235"/>
    <x v="322"/>
    <x v="0"/>
    <x v="1"/>
    <x v="2"/>
    <x v="9"/>
    <x v="9"/>
    <x v="3"/>
    <x v="1"/>
    <x v="0"/>
    <x v="43"/>
    <x v="0"/>
    <x v="64"/>
    <x v="3"/>
    <x v="1"/>
    <x v="969"/>
    <x v="90"/>
    <x v="45"/>
    <x v="15"/>
    <x v="318"/>
    <x v="367"/>
  </r>
  <r>
    <x v="40"/>
    <x v="297"/>
    <x v="3"/>
    <x v="2"/>
    <x v="396"/>
    <x v="39"/>
    <x v="2"/>
    <x v="116"/>
    <x v="158"/>
    <x v="0"/>
    <x v="18"/>
    <x v="1"/>
    <x v="0"/>
    <x v="13"/>
    <x v="424"/>
    <x v="417"/>
    <x v="308"/>
    <x v="959"/>
    <x v="932"/>
    <x v="1"/>
    <x v="1"/>
    <x v="2"/>
    <x v="10"/>
    <x v="10"/>
    <x v="3"/>
    <x v="4"/>
    <x v="3"/>
    <x v="46"/>
    <x v="0"/>
    <x v="42"/>
    <x v="2"/>
    <x v="3"/>
    <x v="629"/>
    <x v="90"/>
    <x v="39"/>
    <x v="18"/>
    <x v="158"/>
    <x v="603"/>
  </r>
  <r>
    <x v="28"/>
    <x v="55"/>
    <x v="3"/>
    <x v="0"/>
    <x v="676"/>
    <x v="27"/>
    <x v="0"/>
    <x v="587"/>
    <x v="582"/>
    <x v="0"/>
    <x v="15"/>
    <x v="2"/>
    <x v="1"/>
    <x v="3"/>
    <x v="683"/>
    <x v="677"/>
    <x v="686"/>
    <x v="293"/>
    <x v="392"/>
    <x v="0"/>
    <x v="1"/>
    <x v="2"/>
    <x v="2"/>
    <x v="2"/>
    <x v="0"/>
    <x v="6"/>
    <x v="2"/>
    <x v="9"/>
    <x v="0"/>
    <x v="284"/>
    <x v="10"/>
    <x v="3"/>
    <x v="145"/>
    <x v="90"/>
    <x v="27"/>
    <x v="15"/>
    <x v="582"/>
    <x v="322"/>
  </r>
  <r>
    <x v="14"/>
    <x v="297"/>
    <x v="4"/>
    <x v="0"/>
    <x v="265"/>
    <x v="0"/>
    <x v="3"/>
    <x v="598"/>
    <x v="565"/>
    <x v="0"/>
    <x v="15"/>
    <x v="0"/>
    <x v="1"/>
    <x v="4"/>
    <x v="27"/>
    <x v="27"/>
    <x v="49"/>
    <x v="563"/>
    <x v="293"/>
    <x v="0"/>
    <x v="1"/>
    <x v="2"/>
    <x v="10"/>
    <x v="10"/>
    <x v="3"/>
    <x v="4"/>
    <x v="3"/>
    <x v="46"/>
    <x v="0"/>
    <x v="42"/>
    <x v="2"/>
    <x v="4"/>
    <x v="240"/>
    <x v="90"/>
    <x v="0"/>
    <x v="15"/>
    <x v="565"/>
    <x v="734"/>
  </r>
  <r>
    <x v="44"/>
    <x v="324"/>
    <x v="3"/>
    <x v="2"/>
    <x v="351"/>
    <x v="41"/>
    <x v="0"/>
    <x v="721"/>
    <x v="705"/>
    <x v="1"/>
    <x v="10"/>
    <x v="1"/>
    <x v="0"/>
    <x v="13"/>
    <x v="895"/>
    <x v="911"/>
    <x v="902"/>
    <x v="226"/>
    <x v="450"/>
    <x v="0"/>
    <x v="1"/>
    <x v="2"/>
    <x v="11"/>
    <x v="11"/>
    <x v="3"/>
    <x v="0"/>
    <x v="4"/>
    <x v="50"/>
    <x v="0"/>
    <x v="15"/>
    <x v="1"/>
    <x v="3"/>
    <x v="636"/>
    <x v="90"/>
    <x v="41"/>
    <x v="10"/>
    <x v="705"/>
    <x v="648"/>
  </r>
  <r>
    <x v="64"/>
    <x v="304"/>
    <x v="1"/>
    <x v="0"/>
    <x v="918"/>
    <x v="17"/>
    <x v="2"/>
    <x v="249"/>
    <x v="203"/>
    <x v="0"/>
    <x v="2"/>
    <x v="0"/>
    <x v="1"/>
    <x v="1"/>
    <x v="244"/>
    <x v="278"/>
    <x v="284"/>
    <x v="628"/>
    <x v="627"/>
    <x v="1"/>
    <x v="0"/>
    <x v="0"/>
    <x v="10"/>
    <x v="10"/>
    <x v="3"/>
    <x v="0"/>
    <x v="4"/>
    <x v="47"/>
    <x v="0"/>
    <x v="35"/>
    <x v="2"/>
    <x v="1"/>
    <x v="245"/>
    <x v="7"/>
    <x v="17"/>
    <x v="2"/>
    <x v="203"/>
    <x v="79"/>
  </r>
  <r>
    <x v="88"/>
    <x v="249"/>
    <x v="1"/>
    <x v="2"/>
    <x v="304"/>
    <x v="47"/>
    <x v="2"/>
    <x v="442"/>
    <x v="448"/>
    <x v="0"/>
    <x v="3"/>
    <x v="1"/>
    <x v="1"/>
    <x v="11"/>
    <x v="797"/>
    <x v="845"/>
    <x v="792"/>
    <x v="919"/>
    <x v="760"/>
    <x v="1"/>
    <x v="0"/>
    <x v="2"/>
    <x v="8"/>
    <x v="8"/>
    <x v="2"/>
    <x v="3"/>
    <x v="6"/>
    <x v="38"/>
    <x v="1"/>
    <x v="90"/>
    <x v="4"/>
    <x v="1"/>
    <x v="722"/>
    <x v="90"/>
    <x v="47"/>
    <x v="3"/>
    <x v="448"/>
    <x v="695"/>
  </r>
  <r>
    <x v="70"/>
    <x v="334"/>
    <x v="3"/>
    <x v="0"/>
    <x v="476"/>
    <x v="39"/>
    <x v="2"/>
    <x v="295"/>
    <x v="333"/>
    <x v="0"/>
    <x v="13"/>
    <x v="1"/>
    <x v="1"/>
    <x v="3"/>
    <x v="624"/>
    <x v="643"/>
    <x v="563"/>
    <x v="911"/>
    <x v="825"/>
    <x v="1"/>
    <x v="1"/>
    <x v="2"/>
    <x v="11"/>
    <x v="11"/>
    <x v="3"/>
    <x v="6"/>
    <x v="2"/>
    <x v="52"/>
    <x v="0"/>
    <x v="5"/>
    <x v="0"/>
    <x v="3"/>
    <x v="259"/>
    <x v="90"/>
    <x v="39"/>
    <x v="13"/>
    <x v="333"/>
    <x v="523"/>
  </r>
  <r>
    <x v="8"/>
    <x v="216"/>
    <x v="1"/>
    <x v="3"/>
    <x v="897"/>
    <x v="32"/>
    <x v="0"/>
    <x v="84"/>
    <x v="135"/>
    <x v="1"/>
    <x v="11"/>
    <x v="1"/>
    <x v="0"/>
    <x v="16"/>
    <x v="312"/>
    <x v="327"/>
    <x v="206"/>
    <x v="967"/>
    <x v="954"/>
    <x v="1"/>
    <x v="1"/>
    <x v="0"/>
    <x v="7"/>
    <x v="7"/>
    <x v="2"/>
    <x v="4"/>
    <x v="3"/>
    <x v="33"/>
    <x v="0"/>
    <x v="123"/>
    <x v="5"/>
    <x v="1"/>
    <x v="834"/>
    <x v="90"/>
    <x v="32"/>
    <x v="11"/>
    <x v="135"/>
    <x v="100"/>
  </r>
  <r>
    <x v="87"/>
    <x v="252"/>
    <x v="4"/>
    <x v="1"/>
    <x v="711"/>
    <x v="11"/>
    <x v="0"/>
    <x v="897"/>
    <x v="933"/>
    <x v="1"/>
    <x v="15"/>
    <x v="1"/>
    <x v="1"/>
    <x v="9"/>
    <x v="518"/>
    <x v="522"/>
    <x v="525"/>
    <x v="406"/>
    <x v="451"/>
    <x v="0"/>
    <x v="1"/>
    <x v="2"/>
    <x v="8"/>
    <x v="8"/>
    <x v="2"/>
    <x v="6"/>
    <x v="2"/>
    <x v="39"/>
    <x v="0"/>
    <x v="87"/>
    <x v="3"/>
    <x v="4"/>
    <x v="488"/>
    <x v="90"/>
    <x v="11"/>
    <x v="15"/>
    <x v="933"/>
    <x v="287"/>
  </r>
  <r>
    <x v="0"/>
    <x v="293"/>
    <x v="0"/>
    <x v="1"/>
    <x v="59"/>
    <x v="7"/>
    <x v="1"/>
    <x v="741"/>
    <x v="698"/>
    <x v="0"/>
    <x v="9"/>
    <x v="0"/>
    <x v="1"/>
    <x v="5"/>
    <x v="309"/>
    <x v="330"/>
    <x v="356"/>
    <x v="457"/>
    <x v="413"/>
    <x v="0"/>
    <x v="0"/>
    <x v="1"/>
    <x v="10"/>
    <x v="10"/>
    <x v="3"/>
    <x v="3"/>
    <x v="6"/>
    <x v="45"/>
    <x v="1"/>
    <x v="46"/>
    <x v="2"/>
    <x v="0"/>
    <x v="508"/>
    <x v="90"/>
    <x v="7"/>
    <x v="9"/>
    <x v="698"/>
    <x v="940"/>
  </r>
  <r>
    <x v="7"/>
    <x v="266"/>
    <x v="4"/>
    <x v="3"/>
    <x v="138"/>
    <x v="23"/>
    <x v="1"/>
    <x v="315"/>
    <x v="305"/>
    <x v="1"/>
    <x v="21"/>
    <x v="0"/>
    <x v="1"/>
    <x v="19"/>
    <x v="416"/>
    <x v="394"/>
    <x v="417"/>
    <x v="373"/>
    <x v="324"/>
    <x v="0"/>
    <x v="2"/>
    <x v="1"/>
    <x v="9"/>
    <x v="9"/>
    <x v="3"/>
    <x v="0"/>
    <x v="4"/>
    <x v="41"/>
    <x v="0"/>
    <x v="73"/>
    <x v="3"/>
    <x v="4"/>
    <x v="964"/>
    <x v="90"/>
    <x v="23"/>
    <x v="21"/>
    <x v="305"/>
    <x v="861"/>
  </r>
  <r>
    <x v="87"/>
    <x v="270"/>
    <x v="4"/>
    <x v="3"/>
    <x v="6"/>
    <x v="15"/>
    <x v="3"/>
    <x v="613"/>
    <x v="568"/>
    <x v="0"/>
    <x v="26"/>
    <x v="0"/>
    <x v="1"/>
    <x v="19"/>
    <x v="465"/>
    <x v="424"/>
    <x v="498"/>
    <x v="162"/>
    <x v="21"/>
    <x v="0"/>
    <x v="2"/>
    <x v="1"/>
    <x v="9"/>
    <x v="9"/>
    <x v="3"/>
    <x v="6"/>
    <x v="2"/>
    <x v="42"/>
    <x v="0"/>
    <x v="69"/>
    <x v="3"/>
    <x v="4"/>
    <x v="967"/>
    <x v="90"/>
    <x v="15"/>
    <x v="26"/>
    <x v="568"/>
    <x v="993"/>
  </r>
  <r>
    <x v="62"/>
    <x v="200"/>
    <x v="1"/>
    <x v="2"/>
    <x v="625"/>
    <x v="3"/>
    <x v="1"/>
    <x v="200"/>
    <x v="242"/>
    <x v="1"/>
    <x v="9"/>
    <x v="0"/>
    <x v="1"/>
    <x v="11"/>
    <x v="64"/>
    <x v="73"/>
    <x v="79"/>
    <x v="709"/>
    <x v="903"/>
    <x v="1"/>
    <x v="0"/>
    <x v="2"/>
    <x v="7"/>
    <x v="7"/>
    <x v="2"/>
    <x v="5"/>
    <x v="1"/>
    <x v="31"/>
    <x v="0"/>
    <x v="139"/>
    <x v="5"/>
    <x v="1"/>
    <x v="699"/>
    <x v="90"/>
    <x v="3"/>
    <x v="9"/>
    <x v="242"/>
    <x v="373"/>
  </r>
  <r>
    <x v="10"/>
    <x v="153"/>
    <x v="0"/>
    <x v="2"/>
    <x v="454"/>
    <x v="37"/>
    <x v="3"/>
    <x v="906"/>
    <x v="889"/>
    <x v="0"/>
    <x v="6"/>
    <x v="0"/>
    <x v="0"/>
    <x v="10"/>
    <x v="929"/>
    <x v="958"/>
    <x v="935"/>
    <x v="389"/>
    <x v="556"/>
    <x v="0"/>
    <x v="0"/>
    <x v="2"/>
    <x v="5"/>
    <x v="5"/>
    <x v="1"/>
    <x v="6"/>
    <x v="2"/>
    <x v="24"/>
    <x v="0"/>
    <x v="186"/>
    <x v="7"/>
    <x v="0"/>
    <x v="588"/>
    <x v="90"/>
    <x v="37"/>
    <x v="6"/>
    <x v="889"/>
    <x v="545"/>
  </r>
  <r>
    <x v="80"/>
    <x v="4"/>
    <x v="1"/>
    <x v="2"/>
    <x v="126"/>
    <x v="43"/>
    <x v="2"/>
    <x v="121"/>
    <x v="137"/>
    <x v="1"/>
    <x v="3"/>
    <x v="1"/>
    <x v="0"/>
    <x v="11"/>
    <x v="410"/>
    <x v="450"/>
    <x v="334"/>
    <x v="976"/>
    <x v="935"/>
    <x v="1"/>
    <x v="0"/>
    <x v="1"/>
    <x v="0"/>
    <x v="0"/>
    <x v="0"/>
    <x v="4"/>
    <x v="3"/>
    <x v="1"/>
    <x v="0"/>
    <x v="335"/>
    <x v="12"/>
    <x v="1"/>
    <x v="532"/>
    <x v="90"/>
    <x v="43"/>
    <x v="3"/>
    <x v="137"/>
    <x v="873"/>
  </r>
  <r>
    <x v="7"/>
    <x v="315"/>
    <x v="2"/>
    <x v="0"/>
    <x v="956"/>
    <x v="26"/>
    <x v="1"/>
    <x v="4"/>
    <x v="24"/>
    <x v="1"/>
    <x v="18"/>
    <x v="2"/>
    <x v="1"/>
    <x v="2"/>
    <x v="130"/>
    <x v="129"/>
    <x v="26"/>
    <x v="915"/>
    <x v="997"/>
    <x v="1"/>
    <x v="1"/>
    <x v="0"/>
    <x v="11"/>
    <x v="11"/>
    <x v="3"/>
    <x v="5"/>
    <x v="1"/>
    <x v="49"/>
    <x v="0"/>
    <x v="24"/>
    <x v="1"/>
    <x v="2"/>
    <x v="252"/>
    <x v="8"/>
    <x v="26"/>
    <x v="18"/>
    <x v="24"/>
    <x v="41"/>
  </r>
  <r>
    <x v="34"/>
    <x v="71"/>
    <x v="1"/>
    <x v="2"/>
    <x v="531"/>
    <x v="8"/>
    <x v="0"/>
    <x v="513"/>
    <x v="513"/>
    <x v="1"/>
    <x v="13"/>
    <x v="2"/>
    <x v="1"/>
    <x v="11"/>
    <x v="265"/>
    <x v="267"/>
    <x v="296"/>
    <x v="496"/>
    <x v="464"/>
    <x v="0"/>
    <x v="1"/>
    <x v="2"/>
    <x v="2"/>
    <x v="2"/>
    <x v="0"/>
    <x v="3"/>
    <x v="6"/>
    <x v="11"/>
    <x v="1"/>
    <x v="268"/>
    <x v="10"/>
    <x v="1"/>
    <x v="667"/>
    <x v="90"/>
    <x v="8"/>
    <x v="13"/>
    <x v="513"/>
    <x v="468"/>
  </r>
  <r>
    <x v="34"/>
    <x v="57"/>
    <x v="1"/>
    <x v="3"/>
    <x v="243"/>
    <x v="46"/>
    <x v="1"/>
    <x v="601"/>
    <x v="580"/>
    <x v="0"/>
    <x v="6"/>
    <x v="0"/>
    <x v="0"/>
    <x v="16"/>
    <x v="869"/>
    <x v="903"/>
    <x v="871"/>
    <x v="500"/>
    <x v="584"/>
    <x v="0"/>
    <x v="0"/>
    <x v="1"/>
    <x v="2"/>
    <x v="2"/>
    <x v="0"/>
    <x v="0"/>
    <x v="4"/>
    <x v="9"/>
    <x v="0"/>
    <x v="282"/>
    <x v="10"/>
    <x v="1"/>
    <x v="780"/>
    <x v="90"/>
    <x v="46"/>
    <x v="6"/>
    <x v="580"/>
    <x v="756"/>
  </r>
  <r>
    <x v="32"/>
    <x v="121"/>
    <x v="1"/>
    <x v="1"/>
    <x v="505"/>
    <x v="15"/>
    <x v="3"/>
    <x v="595"/>
    <x v="642"/>
    <x v="0"/>
    <x v="20"/>
    <x v="0"/>
    <x v="1"/>
    <x v="6"/>
    <x v="497"/>
    <x v="484"/>
    <x v="484"/>
    <x v="405"/>
    <x v="425"/>
    <x v="0"/>
    <x v="2"/>
    <x v="2"/>
    <x v="4"/>
    <x v="4"/>
    <x v="1"/>
    <x v="0"/>
    <x v="4"/>
    <x v="19"/>
    <x v="0"/>
    <x v="218"/>
    <x v="8"/>
    <x v="1"/>
    <x v="433"/>
    <x v="90"/>
    <x v="15"/>
    <x v="20"/>
    <x v="642"/>
    <x v="494"/>
  </r>
  <r>
    <x v="4"/>
    <x v="82"/>
    <x v="0"/>
    <x v="0"/>
    <x v="683"/>
    <x v="11"/>
    <x v="1"/>
    <x v="54"/>
    <x v="102"/>
    <x v="0"/>
    <x v="4"/>
    <x v="2"/>
    <x v="1"/>
    <x v="0"/>
    <x v="108"/>
    <x v="127"/>
    <x v="70"/>
    <x v="871"/>
    <x v="975"/>
    <x v="1"/>
    <x v="0"/>
    <x v="2"/>
    <x v="2"/>
    <x v="2"/>
    <x v="0"/>
    <x v="4"/>
    <x v="3"/>
    <x v="13"/>
    <x v="0"/>
    <x v="257"/>
    <x v="9"/>
    <x v="0"/>
    <x v="158"/>
    <x v="90"/>
    <x v="11"/>
    <x v="4"/>
    <x v="102"/>
    <x v="315"/>
  </r>
  <r>
    <x v="40"/>
    <x v="223"/>
    <x v="1"/>
    <x v="2"/>
    <x v="84"/>
    <x v="30"/>
    <x v="2"/>
    <x v="329"/>
    <x v="309"/>
    <x v="1"/>
    <x v="17"/>
    <x v="1"/>
    <x v="1"/>
    <x v="11"/>
    <x v="498"/>
    <x v="497"/>
    <x v="507"/>
    <x v="349"/>
    <x v="362"/>
    <x v="0"/>
    <x v="1"/>
    <x v="1"/>
    <x v="7"/>
    <x v="7"/>
    <x v="2"/>
    <x v="0"/>
    <x v="4"/>
    <x v="34"/>
    <x v="0"/>
    <x v="116"/>
    <x v="4"/>
    <x v="1"/>
    <x v="710"/>
    <x v="90"/>
    <x v="30"/>
    <x v="17"/>
    <x v="309"/>
    <x v="915"/>
  </r>
  <r>
    <x v="27"/>
    <x v="39"/>
    <x v="0"/>
    <x v="0"/>
    <x v="285"/>
    <x v="23"/>
    <x v="0"/>
    <x v="510"/>
    <x v="516"/>
    <x v="1"/>
    <x v="16"/>
    <x v="0"/>
    <x v="1"/>
    <x v="0"/>
    <x v="571"/>
    <x v="575"/>
    <x v="581"/>
    <x v="341"/>
    <x v="401"/>
    <x v="0"/>
    <x v="1"/>
    <x v="2"/>
    <x v="1"/>
    <x v="1"/>
    <x v="0"/>
    <x v="2"/>
    <x v="5"/>
    <x v="6"/>
    <x v="1"/>
    <x v="300"/>
    <x v="11"/>
    <x v="0"/>
    <x v="142"/>
    <x v="90"/>
    <x v="23"/>
    <x v="16"/>
    <x v="516"/>
    <x v="714"/>
  </r>
  <r>
    <x v="6"/>
    <x v="82"/>
    <x v="3"/>
    <x v="0"/>
    <x v="817"/>
    <x v="13"/>
    <x v="3"/>
    <x v="218"/>
    <x v="278"/>
    <x v="0"/>
    <x v="22"/>
    <x v="1"/>
    <x v="1"/>
    <x v="3"/>
    <x v="238"/>
    <x v="219"/>
    <x v="218"/>
    <x v="748"/>
    <x v="816"/>
    <x v="1"/>
    <x v="2"/>
    <x v="0"/>
    <x v="2"/>
    <x v="2"/>
    <x v="0"/>
    <x v="4"/>
    <x v="3"/>
    <x v="13"/>
    <x v="0"/>
    <x v="257"/>
    <x v="9"/>
    <x v="3"/>
    <x v="159"/>
    <x v="90"/>
    <x v="13"/>
    <x v="22"/>
    <x v="278"/>
    <x v="180"/>
  </r>
  <r>
    <x v="72"/>
    <x v="275"/>
    <x v="2"/>
    <x v="2"/>
    <x v="467"/>
    <x v="44"/>
    <x v="0"/>
    <x v="894"/>
    <x v="838"/>
    <x v="1"/>
    <x v="2"/>
    <x v="2"/>
    <x v="1"/>
    <x v="12"/>
    <x v="961"/>
    <x v="988"/>
    <x v="972"/>
    <x v="394"/>
    <x v="567"/>
    <x v="0"/>
    <x v="0"/>
    <x v="2"/>
    <x v="9"/>
    <x v="9"/>
    <x v="3"/>
    <x v="1"/>
    <x v="0"/>
    <x v="43"/>
    <x v="0"/>
    <x v="64"/>
    <x v="3"/>
    <x v="2"/>
    <x v="733"/>
    <x v="90"/>
    <x v="44"/>
    <x v="2"/>
    <x v="838"/>
    <x v="532"/>
  </r>
  <r>
    <x v="71"/>
    <x v="304"/>
    <x v="0"/>
    <x v="0"/>
    <x v="546"/>
    <x v="24"/>
    <x v="0"/>
    <x v="90"/>
    <x v="80"/>
    <x v="0"/>
    <x v="27"/>
    <x v="2"/>
    <x v="1"/>
    <x v="0"/>
    <x v="187"/>
    <x v="160"/>
    <x v="170"/>
    <x v="667"/>
    <x v="721"/>
    <x v="1"/>
    <x v="2"/>
    <x v="2"/>
    <x v="10"/>
    <x v="10"/>
    <x v="3"/>
    <x v="0"/>
    <x v="4"/>
    <x v="47"/>
    <x v="0"/>
    <x v="35"/>
    <x v="2"/>
    <x v="0"/>
    <x v="246"/>
    <x v="90"/>
    <x v="24"/>
    <x v="27"/>
    <x v="80"/>
    <x v="453"/>
  </r>
  <r>
    <x v="11"/>
    <x v="274"/>
    <x v="3"/>
    <x v="1"/>
    <x v="440"/>
    <x v="33"/>
    <x v="3"/>
    <x v="496"/>
    <x v="458"/>
    <x v="0"/>
    <x v="21"/>
    <x v="0"/>
    <x v="1"/>
    <x v="8"/>
    <x v="675"/>
    <x v="649"/>
    <x v="690"/>
    <x v="116"/>
    <x v="133"/>
    <x v="0"/>
    <x v="2"/>
    <x v="2"/>
    <x v="9"/>
    <x v="9"/>
    <x v="3"/>
    <x v="3"/>
    <x v="6"/>
    <x v="42"/>
    <x v="1"/>
    <x v="65"/>
    <x v="3"/>
    <x v="3"/>
    <x v="501"/>
    <x v="90"/>
    <x v="33"/>
    <x v="21"/>
    <x v="458"/>
    <x v="559"/>
  </r>
  <r>
    <x v="33"/>
    <x v="95"/>
    <x v="0"/>
    <x v="3"/>
    <x v="44"/>
    <x v="2"/>
    <x v="0"/>
    <x v="699"/>
    <x v="700"/>
    <x v="0"/>
    <x v="6"/>
    <x v="1"/>
    <x v="0"/>
    <x v="15"/>
    <x v="124"/>
    <x v="141"/>
    <x v="159"/>
    <x v="618"/>
    <x v="635"/>
    <x v="1"/>
    <x v="0"/>
    <x v="1"/>
    <x v="3"/>
    <x v="3"/>
    <x v="1"/>
    <x v="0"/>
    <x v="4"/>
    <x v="15"/>
    <x v="0"/>
    <x v="244"/>
    <x v="9"/>
    <x v="0"/>
    <x v="790"/>
    <x v="90"/>
    <x v="2"/>
    <x v="6"/>
    <x v="700"/>
    <x v="955"/>
  </r>
  <r>
    <x v="32"/>
    <x v="13"/>
    <x v="0"/>
    <x v="3"/>
    <x v="157"/>
    <x v="23"/>
    <x v="0"/>
    <x v="273"/>
    <x v="220"/>
    <x v="0"/>
    <x v="6"/>
    <x v="0"/>
    <x v="0"/>
    <x v="15"/>
    <x v="336"/>
    <x v="377"/>
    <x v="387"/>
    <x v="488"/>
    <x v="493"/>
    <x v="0"/>
    <x v="0"/>
    <x v="1"/>
    <x v="0"/>
    <x v="0"/>
    <x v="0"/>
    <x v="2"/>
    <x v="5"/>
    <x v="2"/>
    <x v="1"/>
    <x v="326"/>
    <x v="12"/>
    <x v="0"/>
    <x v="758"/>
    <x v="90"/>
    <x v="23"/>
    <x v="6"/>
    <x v="220"/>
    <x v="842"/>
  </r>
  <r>
    <x v="47"/>
    <x v="268"/>
    <x v="2"/>
    <x v="1"/>
    <x v="453"/>
    <x v="41"/>
    <x v="1"/>
    <x v="639"/>
    <x v="631"/>
    <x v="1"/>
    <x v="13"/>
    <x v="2"/>
    <x v="1"/>
    <x v="7"/>
    <x v="859"/>
    <x v="865"/>
    <x v="860"/>
    <x v="215"/>
    <x v="415"/>
    <x v="0"/>
    <x v="1"/>
    <x v="2"/>
    <x v="9"/>
    <x v="9"/>
    <x v="3"/>
    <x v="3"/>
    <x v="6"/>
    <x v="41"/>
    <x v="1"/>
    <x v="71"/>
    <x v="3"/>
    <x v="2"/>
    <x v="494"/>
    <x v="90"/>
    <x v="41"/>
    <x v="13"/>
    <x v="631"/>
    <x v="546"/>
  </r>
  <r>
    <x v="22"/>
    <x v="166"/>
    <x v="4"/>
    <x v="0"/>
    <x v="205"/>
    <x v="8"/>
    <x v="0"/>
    <x v="839"/>
    <x v="811"/>
    <x v="1"/>
    <x v="25"/>
    <x v="1"/>
    <x v="1"/>
    <x v="4"/>
    <x v="389"/>
    <x v="357"/>
    <x v="419"/>
    <x v="238"/>
    <x v="51"/>
    <x v="0"/>
    <x v="2"/>
    <x v="1"/>
    <x v="5"/>
    <x v="5"/>
    <x v="1"/>
    <x v="6"/>
    <x v="2"/>
    <x v="26"/>
    <x v="0"/>
    <x v="173"/>
    <x v="6"/>
    <x v="4"/>
    <x v="187"/>
    <x v="90"/>
    <x v="8"/>
    <x v="25"/>
    <x v="811"/>
    <x v="794"/>
  </r>
  <r>
    <x v="61"/>
    <x v="115"/>
    <x v="4"/>
    <x v="2"/>
    <x v="46"/>
    <x v="25"/>
    <x v="0"/>
    <x v="192"/>
    <x v="198"/>
    <x v="1"/>
    <x v="25"/>
    <x v="0"/>
    <x v="1"/>
    <x v="14"/>
    <x v="337"/>
    <x v="301"/>
    <x v="320"/>
    <x v="505"/>
    <x v="492"/>
    <x v="0"/>
    <x v="2"/>
    <x v="1"/>
    <x v="4"/>
    <x v="4"/>
    <x v="1"/>
    <x v="0"/>
    <x v="4"/>
    <x v="18"/>
    <x v="0"/>
    <x v="224"/>
    <x v="8"/>
    <x v="4"/>
    <x v="681"/>
    <x v="90"/>
    <x v="25"/>
    <x v="25"/>
    <x v="198"/>
    <x v="953"/>
  </r>
  <r>
    <x v="87"/>
    <x v="327"/>
    <x v="0"/>
    <x v="0"/>
    <x v="852"/>
    <x v="19"/>
    <x v="0"/>
    <x v="924"/>
    <x v="977"/>
    <x v="0"/>
    <x v="16"/>
    <x v="0"/>
    <x v="1"/>
    <x v="0"/>
    <x v="727"/>
    <x v="724"/>
    <x v="725"/>
    <x v="297"/>
    <x v="422"/>
    <x v="0"/>
    <x v="1"/>
    <x v="0"/>
    <x v="11"/>
    <x v="11"/>
    <x v="3"/>
    <x v="5"/>
    <x v="1"/>
    <x v="51"/>
    <x v="0"/>
    <x v="12"/>
    <x v="1"/>
    <x v="0"/>
    <x v="258"/>
    <x v="90"/>
    <x v="19"/>
    <x v="16"/>
    <x v="977"/>
    <x v="145"/>
  </r>
  <r>
    <x v="36"/>
    <x v="22"/>
    <x v="1"/>
    <x v="1"/>
    <x v="985"/>
    <x v="39"/>
    <x v="0"/>
    <x v="576"/>
    <x v="595"/>
    <x v="1"/>
    <x v="26"/>
    <x v="0"/>
    <x v="0"/>
    <x v="6"/>
    <x v="821"/>
    <x v="767"/>
    <x v="805"/>
    <x v="106"/>
    <x v="216"/>
    <x v="0"/>
    <x v="2"/>
    <x v="0"/>
    <x v="0"/>
    <x v="0"/>
    <x v="0"/>
    <x v="1"/>
    <x v="0"/>
    <x v="4"/>
    <x v="0"/>
    <x v="317"/>
    <x v="12"/>
    <x v="1"/>
    <x v="273"/>
    <x v="9"/>
    <x v="39"/>
    <x v="26"/>
    <x v="595"/>
    <x v="12"/>
  </r>
  <r>
    <x v="98"/>
    <x v="58"/>
    <x v="3"/>
    <x v="0"/>
    <x v="799"/>
    <x v="9"/>
    <x v="3"/>
    <x v="311"/>
    <x v="345"/>
    <x v="0"/>
    <x v="0"/>
    <x v="2"/>
    <x v="0"/>
    <x v="3"/>
    <x v="204"/>
    <x v="249"/>
    <x v="215"/>
    <x v="832"/>
    <x v="902"/>
    <x v="1"/>
    <x v="0"/>
    <x v="0"/>
    <x v="2"/>
    <x v="2"/>
    <x v="0"/>
    <x v="2"/>
    <x v="5"/>
    <x v="9"/>
    <x v="1"/>
    <x v="281"/>
    <x v="10"/>
    <x v="3"/>
    <x v="26"/>
    <x v="90"/>
    <x v="9"/>
    <x v="0"/>
    <x v="345"/>
    <x v="198"/>
  </r>
  <r>
    <x v="43"/>
    <x v="131"/>
    <x v="1"/>
    <x v="3"/>
    <x v="861"/>
    <x v="18"/>
    <x v="2"/>
    <x v="429"/>
    <x v="452"/>
    <x v="0"/>
    <x v="1"/>
    <x v="0"/>
    <x v="0"/>
    <x v="16"/>
    <x v="458"/>
    <x v="511"/>
    <x v="454"/>
    <x v="877"/>
    <x v="830"/>
    <x v="1"/>
    <x v="0"/>
    <x v="0"/>
    <x v="4"/>
    <x v="4"/>
    <x v="1"/>
    <x v="5"/>
    <x v="1"/>
    <x v="21"/>
    <x v="0"/>
    <x v="208"/>
    <x v="8"/>
    <x v="1"/>
    <x v="806"/>
    <x v="90"/>
    <x v="18"/>
    <x v="1"/>
    <x v="452"/>
    <x v="136"/>
  </r>
  <r>
    <x v="85"/>
    <x v="141"/>
    <x v="1"/>
    <x v="0"/>
    <x v="244"/>
    <x v="2"/>
    <x v="1"/>
    <x v="328"/>
    <x v="283"/>
    <x v="0"/>
    <x v="27"/>
    <x v="1"/>
    <x v="0"/>
    <x v="1"/>
    <x v="56"/>
    <x v="46"/>
    <x v="89"/>
    <x v="497"/>
    <x v="19"/>
    <x v="0"/>
    <x v="2"/>
    <x v="1"/>
    <x v="5"/>
    <x v="5"/>
    <x v="1"/>
    <x v="0"/>
    <x v="4"/>
    <x v="22"/>
    <x v="0"/>
    <x v="198"/>
    <x v="7"/>
    <x v="1"/>
    <x v="60"/>
    <x v="90"/>
    <x v="2"/>
    <x v="27"/>
    <x v="283"/>
    <x v="755"/>
  </r>
  <r>
    <x v="90"/>
    <x v="133"/>
    <x v="0"/>
    <x v="1"/>
    <x v="959"/>
    <x v="23"/>
    <x v="0"/>
    <x v="736"/>
    <x v="707"/>
    <x v="0"/>
    <x v="23"/>
    <x v="0"/>
    <x v="1"/>
    <x v="5"/>
    <x v="688"/>
    <x v="654"/>
    <x v="709"/>
    <x v="100"/>
    <x v="90"/>
    <x v="0"/>
    <x v="2"/>
    <x v="0"/>
    <x v="4"/>
    <x v="4"/>
    <x v="1"/>
    <x v="4"/>
    <x v="3"/>
    <x v="21"/>
    <x v="0"/>
    <x v="206"/>
    <x v="7"/>
    <x v="0"/>
    <x v="438"/>
    <x v="10"/>
    <x v="23"/>
    <x v="23"/>
    <x v="707"/>
    <x v="38"/>
  </r>
  <r>
    <x v="34"/>
    <x v="212"/>
    <x v="0"/>
    <x v="3"/>
    <x v="190"/>
    <x v="4"/>
    <x v="0"/>
    <x v="803"/>
    <x v="857"/>
    <x v="0"/>
    <x v="14"/>
    <x v="2"/>
    <x v="1"/>
    <x v="15"/>
    <x v="237"/>
    <x v="244"/>
    <x v="264"/>
    <x v="527"/>
    <x v="506"/>
    <x v="0"/>
    <x v="1"/>
    <x v="1"/>
    <x v="7"/>
    <x v="7"/>
    <x v="2"/>
    <x v="3"/>
    <x v="6"/>
    <x v="32"/>
    <x v="1"/>
    <x v="127"/>
    <x v="5"/>
    <x v="0"/>
    <x v="947"/>
    <x v="90"/>
    <x v="4"/>
    <x v="14"/>
    <x v="857"/>
    <x v="809"/>
  </r>
  <r>
    <x v="64"/>
    <x v="286"/>
    <x v="0"/>
    <x v="0"/>
    <x v="949"/>
    <x v="2"/>
    <x v="3"/>
    <x v="842"/>
    <x v="836"/>
    <x v="0"/>
    <x v="23"/>
    <x v="0"/>
    <x v="1"/>
    <x v="0"/>
    <x v="144"/>
    <x v="136"/>
    <x v="180"/>
    <x v="430"/>
    <x v="122"/>
    <x v="0"/>
    <x v="2"/>
    <x v="0"/>
    <x v="10"/>
    <x v="10"/>
    <x v="3"/>
    <x v="3"/>
    <x v="6"/>
    <x v="44"/>
    <x v="1"/>
    <x v="53"/>
    <x v="2"/>
    <x v="0"/>
    <x v="231"/>
    <x v="11"/>
    <x v="2"/>
    <x v="23"/>
    <x v="836"/>
    <x v="48"/>
  </r>
  <r>
    <x v="98"/>
    <x v="95"/>
    <x v="0"/>
    <x v="0"/>
    <x v="991"/>
    <x v="26"/>
    <x v="2"/>
    <x v="984"/>
    <x v="954"/>
    <x v="1"/>
    <x v="29"/>
    <x v="2"/>
    <x v="0"/>
    <x v="0"/>
    <x v="845"/>
    <x v="773"/>
    <x v="862"/>
    <x v="23"/>
    <x v="1"/>
    <x v="0"/>
    <x v="2"/>
    <x v="0"/>
    <x v="3"/>
    <x v="3"/>
    <x v="1"/>
    <x v="0"/>
    <x v="4"/>
    <x v="15"/>
    <x v="0"/>
    <x v="244"/>
    <x v="9"/>
    <x v="0"/>
    <x v="45"/>
    <x v="12"/>
    <x v="26"/>
    <x v="29"/>
    <x v="954"/>
    <x v="6"/>
  </r>
  <r>
    <x v="46"/>
    <x v="95"/>
    <x v="4"/>
    <x v="3"/>
    <x v="714"/>
    <x v="15"/>
    <x v="0"/>
    <x v="795"/>
    <x v="824"/>
    <x v="1"/>
    <x v="23"/>
    <x v="2"/>
    <x v="1"/>
    <x v="19"/>
    <x v="589"/>
    <x v="553"/>
    <x v="604"/>
    <x v="199"/>
    <x v="204"/>
    <x v="0"/>
    <x v="2"/>
    <x v="2"/>
    <x v="3"/>
    <x v="3"/>
    <x v="1"/>
    <x v="0"/>
    <x v="4"/>
    <x v="15"/>
    <x v="0"/>
    <x v="244"/>
    <x v="9"/>
    <x v="4"/>
    <x v="915"/>
    <x v="90"/>
    <x v="15"/>
    <x v="23"/>
    <x v="824"/>
    <x v="284"/>
  </r>
  <r>
    <x v="77"/>
    <x v="36"/>
    <x v="0"/>
    <x v="2"/>
    <x v="983"/>
    <x v="48"/>
    <x v="3"/>
    <x v="615"/>
    <x v="592"/>
    <x v="1"/>
    <x v="25"/>
    <x v="1"/>
    <x v="1"/>
    <x v="10"/>
    <x v="893"/>
    <x v="850"/>
    <x v="898"/>
    <x v="42"/>
    <x v="80"/>
    <x v="0"/>
    <x v="2"/>
    <x v="0"/>
    <x v="1"/>
    <x v="1"/>
    <x v="0"/>
    <x v="6"/>
    <x v="2"/>
    <x v="6"/>
    <x v="0"/>
    <x v="303"/>
    <x v="11"/>
    <x v="0"/>
    <x v="651"/>
    <x v="13"/>
    <x v="48"/>
    <x v="25"/>
    <x v="592"/>
    <x v="14"/>
  </r>
  <r>
    <x v="2"/>
    <x v="185"/>
    <x v="4"/>
    <x v="3"/>
    <x v="564"/>
    <x v="14"/>
    <x v="1"/>
    <x v="353"/>
    <x v="331"/>
    <x v="1"/>
    <x v="23"/>
    <x v="1"/>
    <x v="0"/>
    <x v="19"/>
    <x v="291"/>
    <x v="268"/>
    <x v="321"/>
    <x v="360"/>
    <x v="193"/>
    <x v="0"/>
    <x v="2"/>
    <x v="2"/>
    <x v="6"/>
    <x v="6"/>
    <x v="2"/>
    <x v="1"/>
    <x v="0"/>
    <x v="29"/>
    <x v="0"/>
    <x v="154"/>
    <x v="6"/>
    <x v="4"/>
    <x v="819"/>
    <x v="90"/>
    <x v="14"/>
    <x v="23"/>
    <x v="331"/>
    <x v="435"/>
  </r>
  <r>
    <x v="0"/>
    <x v="123"/>
    <x v="4"/>
    <x v="2"/>
    <x v="263"/>
    <x v="34"/>
    <x v="1"/>
    <x v="566"/>
    <x v="616"/>
    <x v="0"/>
    <x v="5"/>
    <x v="0"/>
    <x v="0"/>
    <x v="14"/>
    <x v="781"/>
    <x v="825"/>
    <x v="743"/>
    <x v="965"/>
    <x v="820"/>
    <x v="1"/>
    <x v="0"/>
    <x v="2"/>
    <x v="4"/>
    <x v="4"/>
    <x v="1"/>
    <x v="3"/>
    <x v="6"/>
    <x v="19"/>
    <x v="1"/>
    <x v="216"/>
    <x v="8"/>
    <x v="4"/>
    <x v="573"/>
    <x v="90"/>
    <x v="34"/>
    <x v="5"/>
    <x v="616"/>
    <x v="736"/>
  </r>
  <r>
    <x v="4"/>
    <x v="61"/>
    <x v="0"/>
    <x v="1"/>
    <x v="446"/>
    <x v="11"/>
    <x v="0"/>
    <x v="41"/>
    <x v="74"/>
    <x v="0"/>
    <x v="25"/>
    <x v="2"/>
    <x v="0"/>
    <x v="5"/>
    <x v="93"/>
    <x v="85"/>
    <x v="53"/>
    <x v="796"/>
    <x v="962"/>
    <x v="1"/>
    <x v="2"/>
    <x v="2"/>
    <x v="2"/>
    <x v="2"/>
    <x v="0"/>
    <x v="6"/>
    <x v="2"/>
    <x v="10"/>
    <x v="0"/>
    <x v="278"/>
    <x v="10"/>
    <x v="0"/>
    <x v="291"/>
    <x v="90"/>
    <x v="11"/>
    <x v="25"/>
    <x v="74"/>
    <x v="553"/>
  </r>
  <r>
    <x v="89"/>
    <x v="166"/>
    <x v="2"/>
    <x v="1"/>
    <x v="591"/>
    <x v="40"/>
    <x v="0"/>
    <x v="754"/>
    <x v="747"/>
    <x v="1"/>
    <x v="6"/>
    <x v="2"/>
    <x v="0"/>
    <x v="7"/>
    <x v="906"/>
    <x v="934"/>
    <x v="908"/>
    <x v="511"/>
    <x v="590"/>
    <x v="0"/>
    <x v="0"/>
    <x v="2"/>
    <x v="5"/>
    <x v="5"/>
    <x v="1"/>
    <x v="6"/>
    <x v="2"/>
    <x v="26"/>
    <x v="0"/>
    <x v="173"/>
    <x v="6"/>
    <x v="2"/>
    <x v="324"/>
    <x v="90"/>
    <x v="40"/>
    <x v="6"/>
    <x v="747"/>
    <x v="408"/>
  </r>
  <r>
    <x v="13"/>
    <x v="39"/>
    <x v="3"/>
    <x v="3"/>
    <x v="79"/>
    <x v="43"/>
    <x v="2"/>
    <x v="449"/>
    <x v="512"/>
    <x v="1"/>
    <x v="27"/>
    <x v="1"/>
    <x v="0"/>
    <x v="18"/>
    <x v="805"/>
    <x v="735"/>
    <x v="760"/>
    <x v="186"/>
    <x v="312"/>
    <x v="0"/>
    <x v="2"/>
    <x v="1"/>
    <x v="1"/>
    <x v="1"/>
    <x v="0"/>
    <x v="2"/>
    <x v="5"/>
    <x v="6"/>
    <x v="1"/>
    <x v="300"/>
    <x v="11"/>
    <x v="3"/>
    <x v="771"/>
    <x v="90"/>
    <x v="43"/>
    <x v="27"/>
    <x v="512"/>
    <x v="920"/>
  </r>
  <r>
    <x v="26"/>
    <x v="14"/>
    <x v="1"/>
    <x v="3"/>
    <x v="614"/>
    <x v="25"/>
    <x v="2"/>
    <x v="23"/>
    <x v="33"/>
    <x v="1"/>
    <x v="14"/>
    <x v="1"/>
    <x v="1"/>
    <x v="16"/>
    <x v="138"/>
    <x v="143"/>
    <x v="75"/>
    <x v="893"/>
    <x v="981"/>
    <x v="1"/>
    <x v="1"/>
    <x v="2"/>
    <x v="0"/>
    <x v="0"/>
    <x v="0"/>
    <x v="3"/>
    <x v="6"/>
    <x v="2"/>
    <x v="1"/>
    <x v="325"/>
    <x v="12"/>
    <x v="1"/>
    <x v="885"/>
    <x v="90"/>
    <x v="25"/>
    <x v="14"/>
    <x v="33"/>
    <x v="384"/>
  </r>
  <r>
    <x v="8"/>
    <x v="102"/>
    <x v="4"/>
    <x v="1"/>
    <x v="984"/>
    <x v="46"/>
    <x v="0"/>
    <x v="65"/>
    <x v="86"/>
    <x v="1"/>
    <x v="20"/>
    <x v="0"/>
    <x v="1"/>
    <x v="9"/>
    <x v="356"/>
    <x v="335"/>
    <x v="229"/>
    <x v="958"/>
    <x v="944"/>
    <x v="1"/>
    <x v="2"/>
    <x v="0"/>
    <x v="3"/>
    <x v="3"/>
    <x v="1"/>
    <x v="0"/>
    <x v="4"/>
    <x v="16"/>
    <x v="0"/>
    <x v="237"/>
    <x v="9"/>
    <x v="4"/>
    <x v="425"/>
    <x v="14"/>
    <x v="46"/>
    <x v="20"/>
    <x v="86"/>
    <x v="13"/>
  </r>
  <r>
    <x v="78"/>
    <x v="145"/>
    <x v="3"/>
    <x v="2"/>
    <x v="180"/>
    <x v="33"/>
    <x v="3"/>
    <x v="387"/>
    <x v="352"/>
    <x v="1"/>
    <x v="15"/>
    <x v="2"/>
    <x v="0"/>
    <x v="13"/>
    <x v="580"/>
    <x v="593"/>
    <x v="622"/>
    <x v="219"/>
    <x v="259"/>
    <x v="0"/>
    <x v="1"/>
    <x v="1"/>
    <x v="5"/>
    <x v="5"/>
    <x v="1"/>
    <x v="5"/>
    <x v="1"/>
    <x v="23"/>
    <x v="0"/>
    <x v="194"/>
    <x v="7"/>
    <x v="3"/>
    <x v="584"/>
    <x v="90"/>
    <x v="33"/>
    <x v="15"/>
    <x v="352"/>
    <x v="819"/>
  </r>
  <r>
    <x v="14"/>
    <x v="269"/>
    <x v="2"/>
    <x v="1"/>
    <x v="797"/>
    <x v="22"/>
    <x v="2"/>
    <x v="602"/>
    <x v="561"/>
    <x v="1"/>
    <x v="3"/>
    <x v="1"/>
    <x v="1"/>
    <x v="7"/>
    <x v="590"/>
    <x v="648"/>
    <x v="625"/>
    <x v="553"/>
    <x v="591"/>
    <x v="0"/>
    <x v="0"/>
    <x v="0"/>
    <x v="9"/>
    <x v="9"/>
    <x v="3"/>
    <x v="1"/>
    <x v="0"/>
    <x v="42"/>
    <x v="0"/>
    <x v="70"/>
    <x v="3"/>
    <x v="2"/>
    <x v="497"/>
    <x v="90"/>
    <x v="22"/>
    <x v="3"/>
    <x v="561"/>
    <x v="200"/>
  </r>
  <r>
    <x v="89"/>
    <x v="217"/>
    <x v="1"/>
    <x v="3"/>
    <x v="913"/>
    <x v="30"/>
    <x v="0"/>
    <x v="473"/>
    <x v="494"/>
    <x v="1"/>
    <x v="9"/>
    <x v="0"/>
    <x v="1"/>
    <x v="16"/>
    <x v="663"/>
    <x v="683"/>
    <x v="656"/>
    <x v="774"/>
    <x v="682"/>
    <x v="1"/>
    <x v="0"/>
    <x v="0"/>
    <x v="7"/>
    <x v="7"/>
    <x v="2"/>
    <x v="2"/>
    <x v="5"/>
    <x v="33"/>
    <x v="1"/>
    <x v="122"/>
    <x v="5"/>
    <x v="1"/>
    <x v="950"/>
    <x v="15"/>
    <x v="30"/>
    <x v="9"/>
    <x v="494"/>
    <x v="84"/>
  </r>
  <r>
    <x v="41"/>
    <x v="145"/>
    <x v="1"/>
    <x v="1"/>
    <x v="940"/>
    <x v="19"/>
    <x v="2"/>
    <x v="630"/>
    <x v="667"/>
    <x v="1"/>
    <x v="30"/>
    <x v="2"/>
    <x v="1"/>
    <x v="6"/>
    <x v="603"/>
    <x v="526"/>
    <x v="593"/>
    <x v="156"/>
    <x v="111"/>
    <x v="0"/>
    <x v="2"/>
    <x v="0"/>
    <x v="5"/>
    <x v="5"/>
    <x v="1"/>
    <x v="5"/>
    <x v="1"/>
    <x v="23"/>
    <x v="0"/>
    <x v="194"/>
    <x v="7"/>
    <x v="1"/>
    <x v="444"/>
    <x v="16"/>
    <x v="19"/>
    <x v="30"/>
    <x v="667"/>
    <x v="57"/>
  </r>
  <r>
    <x v="76"/>
    <x v="35"/>
    <x v="4"/>
    <x v="3"/>
    <x v="958"/>
    <x v="11"/>
    <x v="0"/>
    <x v="489"/>
    <x v="511"/>
    <x v="0"/>
    <x v="29"/>
    <x v="2"/>
    <x v="1"/>
    <x v="19"/>
    <x v="339"/>
    <x v="291"/>
    <x v="354"/>
    <x v="313"/>
    <x v="114"/>
    <x v="0"/>
    <x v="2"/>
    <x v="0"/>
    <x v="1"/>
    <x v="1"/>
    <x v="0"/>
    <x v="5"/>
    <x v="1"/>
    <x v="6"/>
    <x v="0"/>
    <x v="304"/>
    <x v="11"/>
    <x v="4"/>
    <x v="893"/>
    <x v="17"/>
    <x v="11"/>
    <x v="29"/>
    <x v="511"/>
    <x v="39"/>
  </r>
  <r>
    <x v="50"/>
    <x v="89"/>
    <x v="0"/>
    <x v="3"/>
    <x v="528"/>
    <x v="22"/>
    <x v="1"/>
    <x v="668"/>
    <x v="643"/>
    <x v="0"/>
    <x v="10"/>
    <x v="1"/>
    <x v="0"/>
    <x v="15"/>
    <x v="645"/>
    <x v="664"/>
    <x v="669"/>
    <x v="304"/>
    <x v="395"/>
    <x v="0"/>
    <x v="1"/>
    <x v="2"/>
    <x v="3"/>
    <x v="3"/>
    <x v="1"/>
    <x v="0"/>
    <x v="4"/>
    <x v="14"/>
    <x v="0"/>
    <x v="250"/>
    <x v="9"/>
    <x v="0"/>
    <x v="788"/>
    <x v="90"/>
    <x v="22"/>
    <x v="10"/>
    <x v="643"/>
    <x v="471"/>
  </r>
  <r>
    <x v="62"/>
    <x v="269"/>
    <x v="2"/>
    <x v="1"/>
    <x v="979"/>
    <x v="3"/>
    <x v="0"/>
    <x v="222"/>
    <x v="192"/>
    <x v="0"/>
    <x v="30"/>
    <x v="0"/>
    <x v="1"/>
    <x v="7"/>
    <x v="54"/>
    <x v="39"/>
    <x v="85"/>
    <x v="503"/>
    <x v="16"/>
    <x v="0"/>
    <x v="2"/>
    <x v="0"/>
    <x v="9"/>
    <x v="9"/>
    <x v="3"/>
    <x v="1"/>
    <x v="0"/>
    <x v="42"/>
    <x v="0"/>
    <x v="70"/>
    <x v="3"/>
    <x v="2"/>
    <x v="498"/>
    <x v="18"/>
    <x v="3"/>
    <x v="30"/>
    <x v="192"/>
    <x v="18"/>
  </r>
  <r>
    <x v="95"/>
    <x v="236"/>
    <x v="4"/>
    <x v="2"/>
    <x v="758"/>
    <x v="22"/>
    <x v="1"/>
    <x v="118"/>
    <x v="153"/>
    <x v="0"/>
    <x v="25"/>
    <x v="1"/>
    <x v="1"/>
    <x v="14"/>
    <x v="252"/>
    <x v="224"/>
    <x v="199"/>
    <x v="821"/>
    <x v="899"/>
    <x v="1"/>
    <x v="2"/>
    <x v="0"/>
    <x v="8"/>
    <x v="8"/>
    <x v="2"/>
    <x v="1"/>
    <x v="0"/>
    <x v="37"/>
    <x v="0"/>
    <x v="103"/>
    <x v="4"/>
    <x v="4"/>
    <x v="716"/>
    <x v="90"/>
    <x v="22"/>
    <x v="25"/>
    <x v="153"/>
    <x v="240"/>
  </r>
  <r>
    <x v="51"/>
    <x v="183"/>
    <x v="2"/>
    <x v="0"/>
    <x v="152"/>
    <x v="47"/>
    <x v="2"/>
    <x v="612"/>
    <x v="576"/>
    <x v="1"/>
    <x v="18"/>
    <x v="0"/>
    <x v="1"/>
    <x v="2"/>
    <x v="878"/>
    <x v="861"/>
    <x v="892"/>
    <x v="75"/>
    <x v="207"/>
    <x v="0"/>
    <x v="1"/>
    <x v="1"/>
    <x v="6"/>
    <x v="6"/>
    <x v="2"/>
    <x v="2"/>
    <x v="5"/>
    <x v="28"/>
    <x v="1"/>
    <x v="156"/>
    <x v="6"/>
    <x v="2"/>
    <x v="192"/>
    <x v="90"/>
    <x v="47"/>
    <x v="18"/>
    <x v="576"/>
    <x v="847"/>
  </r>
  <r>
    <x v="95"/>
    <x v="79"/>
    <x v="0"/>
    <x v="1"/>
    <x v="482"/>
    <x v="47"/>
    <x v="0"/>
    <x v="494"/>
    <x v="504"/>
    <x v="0"/>
    <x v="1"/>
    <x v="2"/>
    <x v="0"/>
    <x v="5"/>
    <x v="833"/>
    <x v="880"/>
    <x v="823"/>
    <x v="962"/>
    <x v="792"/>
    <x v="1"/>
    <x v="0"/>
    <x v="2"/>
    <x v="2"/>
    <x v="2"/>
    <x v="0"/>
    <x v="1"/>
    <x v="0"/>
    <x v="13"/>
    <x v="0"/>
    <x v="260"/>
    <x v="9"/>
    <x v="0"/>
    <x v="294"/>
    <x v="90"/>
    <x v="47"/>
    <x v="1"/>
    <x v="504"/>
    <x v="517"/>
  </r>
  <r>
    <x v="3"/>
    <x v="299"/>
    <x v="0"/>
    <x v="0"/>
    <x v="722"/>
    <x v="0"/>
    <x v="2"/>
    <x v="30"/>
    <x v="3"/>
    <x v="1"/>
    <x v="27"/>
    <x v="0"/>
    <x v="1"/>
    <x v="0"/>
    <x v="0"/>
    <x v="0"/>
    <x v="2"/>
    <x v="598"/>
    <x v="209"/>
    <x v="0"/>
    <x v="2"/>
    <x v="2"/>
    <x v="10"/>
    <x v="10"/>
    <x v="3"/>
    <x v="2"/>
    <x v="5"/>
    <x v="46"/>
    <x v="1"/>
    <x v="40"/>
    <x v="2"/>
    <x v="0"/>
    <x v="243"/>
    <x v="90"/>
    <x v="0"/>
    <x v="27"/>
    <x v="3"/>
    <x v="276"/>
  </r>
  <r>
    <x v="93"/>
    <x v="9"/>
    <x v="4"/>
    <x v="1"/>
    <x v="249"/>
    <x v="24"/>
    <x v="1"/>
    <x v="381"/>
    <x v="349"/>
    <x v="0"/>
    <x v="17"/>
    <x v="0"/>
    <x v="0"/>
    <x v="9"/>
    <x v="469"/>
    <x v="465"/>
    <x v="499"/>
    <x v="277"/>
    <x v="226"/>
    <x v="0"/>
    <x v="1"/>
    <x v="1"/>
    <x v="0"/>
    <x v="0"/>
    <x v="0"/>
    <x v="5"/>
    <x v="1"/>
    <x v="2"/>
    <x v="0"/>
    <x v="330"/>
    <x v="12"/>
    <x v="4"/>
    <x v="271"/>
    <x v="90"/>
    <x v="24"/>
    <x v="17"/>
    <x v="349"/>
    <x v="750"/>
  </r>
  <r>
    <x v="22"/>
    <x v="4"/>
    <x v="0"/>
    <x v="0"/>
    <x v="634"/>
    <x v="1"/>
    <x v="0"/>
    <x v="110"/>
    <x v="134"/>
    <x v="1"/>
    <x v="26"/>
    <x v="0"/>
    <x v="0"/>
    <x v="0"/>
    <x v="11"/>
    <x v="8"/>
    <x v="9"/>
    <x v="633"/>
    <x v="851"/>
    <x v="1"/>
    <x v="2"/>
    <x v="2"/>
    <x v="0"/>
    <x v="0"/>
    <x v="0"/>
    <x v="4"/>
    <x v="3"/>
    <x v="1"/>
    <x v="0"/>
    <x v="335"/>
    <x v="12"/>
    <x v="0"/>
    <x v="4"/>
    <x v="90"/>
    <x v="1"/>
    <x v="26"/>
    <x v="134"/>
    <x v="364"/>
  </r>
  <r>
    <x v="14"/>
    <x v="113"/>
    <x v="3"/>
    <x v="2"/>
    <x v="663"/>
    <x v="29"/>
    <x v="2"/>
    <x v="554"/>
    <x v="566"/>
    <x v="1"/>
    <x v="25"/>
    <x v="0"/>
    <x v="0"/>
    <x v="13"/>
    <x v="689"/>
    <x v="651"/>
    <x v="685"/>
    <x v="161"/>
    <x v="218"/>
    <x v="0"/>
    <x v="2"/>
    <x v="2"/>
    <x v="4"/>
    <x v="4"/>
    <x v="1"/>
    <x v="6"/>
    <x v="2"/>
    <x v="18"/>
    <x v="0"/>
    <x v="226"/>
    <x v="8"/>
    <x v="3"/>
    <x v="569"/>
    <x v="90"/>
    <x v="29"/>
    <x v="25"/>
    <x v="566"/>
    <x v="335"/>
  </r>
  <r>
    <x v="42"/>
    <x v="306"/>
    <x v="1"/>
    <x v="2"/>
    <x v="153"/>
    <x v="2"/>
    <x v="1"/>
    <x v="396"/>
    <x v="385"/>
    <x v="0"/>
    <x v="25"/>
    <x v="0"/>
    <x v="0"/>
    <x v="11"/>
    <x v="77"/>
    <x v="66"/>
    <x v="105"/>
    <x v="510"/>
    <x v="150"/>
    <x v="0"/>
    <x v="2"/>
    <x v="1"/>
    <x v="10"/>
    <x v="10"/>
    <x v="3"/>
    <x v="3"/>
    <x v="6"/>
    <x v="47"/>
    <x v="1"/>
    <x v="33"/>
    <x v="1"/>
    <x v="1"/>
    <x v="632"/>
    <x v="90"/>
    <x v="2"/>
    <x v="25"/>
    <x v="385"/>
    <x v="846"/>
  </r>
  <r>
    <x v="28"/>
    <x v="327"/>
    <x v="4"/>
    <x v="1"/>
    <x v="561"/>
    <x v="20"/>
    <x v="2"/>
    <x v="622"/>
    <x v="602"/>
    <x v="0"/>
    <x v="21"/>
    <x v="1"/>
    <x v="1"/>
    <x v="9"/>
    <x v="575"/>
    <x v="551"/>
    <x v="610"/>
    <x v="173"/>
    <x v="156"/>
    <x v="0"/>
    <x v="2"/>
    <x v="2"/>
    <x v="11"/>
    <x v="11"/>
    <x v="3"/>
    <x v="5"/>
    <x v="1"/>
    <x v="51"/>
    <x v="0"/>
    <x v="12"/>
    <x v="1"/>
    <x v="4"/>
    <x v="522"/>
    <x v="90"/>
    <x v="20"/>
    <x v="21"/>
    <x v="602"/>
    <x v="438"/>
  </r>
  <r>
    <x v="35"/>
    <x v="109"/>
    <x v="2"/>
    <x v="3"/>
    <x v="775"/>
    <x v="24"/>
    <x v="3"/>
    <x v="810"/>
    <x v="855"/>
    <x v="1"/>
    <x v="9"/>
    <x v="0"/>
    <x v="0"/>
    <x v="17"/>
    <x v="771"/>
    <x v="797"/>
    <x v="765"/>
    <x v="635"/>
    <x v="607"/>
    <x v="1"/>
    <x v="0"/>
    <x v="0"/>
    <x v="3"/>
    <x v="3"/>
    <x v="1"/>
    <x v="0"/>
    <x v="4"/>
    <x v="17"/>
    <x v="0"/>
    <x v="230"/>
    <x v="8"/>
    <x v="2"/>
    <x v="796"/>
    <x v="90"/>
    <x v="24"/>
    <x v="9"/>
    <x v="855"/>
    <x v="223"/>
  </r>
  <r>
    <x v="12"/>
    <x v="273"/>
    <x v="3"/>
    <x v="0"/>
    <x v="501"/>
    <x v="19"/>
    <x v="1"/>
    <x v="313"/>
    <x v="286"/>
    <x v="1"/>
    <x v="10"/>
    <x v="0"/>
    <x v="0"/>
    <x v="3"/>
    <x v="340"/>
    <x v="365"/>
    <x v="375"/>
    <x v="517"/>
    <x v="529"/>
    <x v="0"/>
    <x v="1"/>
    <x v="2"/>
    <x v="9"/>
    <x v="9"/>
    <x v="3"/>
    <x v="2"/>
    <x v="5"/>
    <x v="42"/>
    <x v="1"/>
    <x v="66"/>
    <x v="3"/>
    <x v="3"/>
    <x v="97"/>
    <x v="90"/>
    <x v="19"/>
    <x v="10"/>
    <x v="286"/>
    <x v="498"/>
  </r>
  <r>
    <x v="31"/>
    <x v="147"/>
    <x v="4"/>
    <x v="3"/>
    <x v="14"/>
    <x v="48"/>
    <x v="1"/>
    <x v="968"/>
    <x v="974"/>
    <x v="1"/>
    <x v="9"/>
    <x v="2"/>
    <x v="0"/>
    <x v="19"/>
    <x v="997"/>
    <x v="997"/>
    <x v="999"/>
    <x v="230"/>
    <x v="515"/>
    <x v="0"/>
    <x v="0"/>
    <x v="1"/>
    <x v="5"/>
    <x v="5"/>
    <x v="1"/>
    <x v="4"/>
    <x v="3"/>
    <x v="23"/>
    <x v="0"/>
    <x v="192"/>
    <x v="7"/>
    <x v="4"/>
    <x v="809"/>
    <x v="90"/>
    <x v="48"/>
    <x v="9"/>
    <x v="974"/>
    <x v="985"/>
  </r>
  <r>
    <x v="70"/>
    <x v="281"/>
    <x v="0"/>
    <x v="3"/>
    <x v="9"/>
    <x v="21"/>
    <x v="1"/>
    <x v="559"/>
    <x v="593"/>
    <x v="0"/>
    <x v="1"/>
    <x v="0"/>
    <x v="0"/>
    <x v="15"/>
    <x v="595"/>
    <x v="655"/>
    <x v="572"/>
    <x v="951"/>
    <x v="848"/>
    <x v="1"/>
    <x v="0"/>
    <x v="1"/>
    <x v="9"/>
    <x v="9"/>
    <x v="3"/>
    <x v="1"/>
    <x v="0"/>
    <x v="44"/>
    <x v="0"/>
    <x v="58"/>
    <x v="2"/>
    <x v="0"/>
    <x v="861"/>
    <x v="90"/>
    <x v="21"/>
    <x v="1"/>
    <x v="593"/>
    <x v="990"/>
  </r>
  <r>
    <x v="58"/>
    <x v="215"/>
    <x v="0"/>
    <x v="3"/>
    <x v="365"/>
    <x v="20"/>
    <x v="0"/>
    <x v="628"/>
    <x v="596"/>
    <x v="0"/>
    <x v="17"/>
    <x v="2"/>
    <x v="0"/>
    <x v="15"/>
    <x v="574"/>
    <x v="574"/>
    <x v="614"/>
    <x v="213"/>
    <x v="229"/>
    <x v="0"/>
    <x v="1"/>
    <x v="2"/>
    <x v="7"/>
    <x v="7"/>
    <x v="2"/>
    <x v="6"/>
    <x v="2"/>
    <x v="33"/>
    <x v="0"/>
    <x v="124"/>
    <x v="5"/>
    <x v="0"/>
    <x v="833"/>
    <x v="90"/>
    <x v="20"/>
    <x v="17"/>
    <x v="596"/>
    <x v="634"/>
  </r>
  <r>
    <x v="85"/>
    <x v="338"/>
    <x v="0"/>
    <x v="2"/>
    <x v="926"/>
    <x v="32"/>
    <x v="0"/>
    <x v="686"/>
    <x v="736"/>
    <x v="1"/>
    <x v="21"/>
    <x v="1"/>
    <x v="1"/>
    <x v="10"/>
    <x v="824"/>
    <x v="800"/>
    <x v="809"/>
    <x v="178"/>
    <x v="343"/>
    <x v="0"/>
    <x v="2"/>
    <x v="0"/>
    <x v="11"/>
    <x v="11"/>
    <x v="3"/>
    <x v="3"/>
    <x v="6"/>
    <x v="52"/>
    <x v="1"/>
    <x v="1"/>
    <x v="0"/>
    <x v="0"/>
    <x v="755"/>
    <x v="19"/>
    <x v="32"/>
    <x v="21"/>
    <x v="736"/>
    <x v="71"/>
  </r>
  <r>
    <x v="27"/>
    <x v="203"/>
    <x v="0"/>
    <x v="1"/>
    <x v="228"/>
    <x v="37"/>
    <x v="0"/>
    <x v="672"/>
    <x v="648"/>
    <x v="0"/>
    <x v="26"/>
    <x v="1"/>
    <x v="0"/>
    <x v="5"/>
    <x v="838"/>
    <x v="779"/>
    <x v="849"/>
    <x v="51"/>
    <x v="40"/>
    <x v="0"/>
    <x v="2"/>
    <x v="1"/>
    <x v="7"/>
    <x v="7"/>
    <x v="2"/>
    <x v="0"/>
    <x v="4"/>
    <x v="31"/>
    <x v="0"/>
    <x v="136"/>
    <x v="5"/>
    <x v="0"/>
    <x v="340"/>
    <x v="90"/>
    <x v="37"/>
    <x v="26"/>
    <x v="648"/>
    <x v="771"/>
  </r>
  <r>
    <x v="65"/>
    <x v="171"/>
    <x v="2"/>
    <x v="1"/>
    <x v="629"/>
    <x v="14"/>
    <x v="3"/>
    <x v="526"/>
    <x v="534"/>
    <x v="1"/>
    <x v="4"/>
    <x v="0"/>
    <x v="1"/>
    <x v="7"/>
    <x v="427"/>
    <x v="468"/>
    <x v="429"/>
    <x v="781"/>
    <x v="748"/>
    <x v="1"/>
    <x v="0"/>
    <x v="2"/>
    <x v="6"/>
    <x v="6"/>
    <x v="2"/>
    <x v="1"/>
    <x v="0"/>
    <x v="27"/>
    <x v="0"/>
    <x v="168"/>
    <x v="6"/>
    <x v="2"/>
    <x v="461"/>
    <x v="90"/>
    <x v="14"/>
    <x v="4"/>
    <x v="534"/>
    <x v="369"/>
  </r>
  <r>
    <x v="41"/>
    <x v="14"/>
    <x v="3"/>
    <x v="2"/>
    <x v="222"/>
    <x v="45"/>
    <x v="3"/>
    <x v="428"/>
    <x v="422"/>
    <x v="0"/>
    <x v="16"/>
    <x v="1"/>
    <x v="1"/>
    <x v="13"/>
    <x v="762"/>
    <x v="750"/>
    <x v="762"/>
    <x v="242"/>
    <x v="376"/>
    <x v="0"/>
    <x v="1"/>
    <x v="1"/>
    <x v="0"/>
    <x v="0"/>
    <x v="0"/>
    <x v="3"/>
    <x v="6"/>
    <x v="2"/>
    <x v="1"/>
    <x v="325"/>
    <x v="12"/>
    <x v="3"/>
    <x v="646"/>
    <x v="90"/>
    <x v="45"/>
    <x v="16"/>
    <x v="422"/>
    <x v="777"/>
  </r>
  <r>
    <x v="44"/>
    <x v="145"/>
    <x v="1"/>
    <x v="2"/>
    <x v="331"/>
    <x v="14"/>
    <x v="1"/>
    <x v="53"/>
    <x v="99"/>
    <x v="0"/>
    <x v="0"/>
    <x v="0"/>
    <x v="0"/>
    <x v="11"/>
    <x v="135"/>
    <x v="154"/>
    <x v="86"/>
    <x v="907"/>
    <x v="978"/>
    <x v="1"/>
    <x v="0"/>
    <x v="2"/>
    <x v="5"/>
    <x v="5"/>
    <x v="1"/>
    <x v="5"/>
    <x v="1"/>
    <x v="23"/>
    <x v="0"/>
    <x v="194"/>
    <x v="7"/>
    <x v="1"/>
    <x v="585"/>
    <x v="90"/>
    <x v="14"/>
    <x v="0"/>
    <x v="99"/>
    <x v="668"/>
  </r>
  <r>
    <x v="61"/>
    <x v="124"/>
    <x v="2"/>
    <x v="1"/>
    <x v="857"/>
    <x v="45"/>
    <x v="3"/>
    <x v="26"/>
    <x v="10"/>
    <x v="0"/>
    <x v="3"/>
    <x v="1"/>
    <x v="1"/>
    <x v="7"/>
    <x v="153"/>
    <x v="176"/>
    <x v="125"/>
    <x v="882"/>
    <x v="955"/>
    <x v="1"/>
    <x v="0"/>
    <x v="0"/>
    <x v="4"/>
    <x v="4"/>
    <x v="1"/>
    <x v="5"/>
    <x v="1"/>
    <x v="20"/>
    <x v="0"/>
    <x v="215"/>
    <x v="8"/>
    <x v="2"/>
    <x v="434"/>
    <x v="90"/>
    <x v="45"/>
    <x v="3"/>
    <x v="10"/>
    <x v="140"/>
  </r>
  <r>
    <x v="56"/>
    <x v="243"/>
    <x v="2"/>
    <x v="3"/>
    <x v="730"/>
    <x v="24"/>
    <x v="2"/>
    <x v="371"/>
    <x v="356"/>
    <x v="0"/>
    <x v="2"/>
    <x v="0"/>
    <x v="1"/>
    <x v="17"/>
    <x v="474"/>
    <x v="523"/>
    <x v="476"/>
    <x v="829"/>
    <x v="778"/>
    <x v="1"/>
    <x v="0"/>
    <x v="2"/>
    <x v="8"/>
    <x v="8"/>
    <x v="2"/>
    <x v="1"/>
    <x v="0"/>
    <x v="38"/>
    <x v="0"/>
    <x v="96"/>
    <x v="4"/>
    <x v="2"/>
    <x v="956"/>
    <x v="90"/>
    <x v="24"/>
    <x v="2"/>
    <x v="356"/>
    <x v="268"/>
  </r>
  <r>
    <x v="5"/>
    <x v="145"/>
    <x v="1"/>
    <x v="0"/>
    <x v="101"/>
    <x v="20"/>
    <x v="1"/>
    <x v="344"/>
    <x v="388"/>
    <x v="0"/>
    <x v="22"/>
    <x v="0"/>
    <x v="1"/>
    <x v="1"/>
    <x v="445"/>
    <x v="423"/>
    <x v="412"/>
    <x v="630"/>
    <x v="621"/>
    <x v="1"/>
    <x v="2"/>
    <x v="1"/>
    <x v="5"/>
    <x v="5"/>
    <x v="1"/>
    <x v="5"/>
    <x v="1"/>
    <x v="23"/>
    <x v="0"/>
    <x v="194"/>
    <x v="7"/>
    <x v="1"/>
    <x v="177"/>
    <x v="90"/>
    <x v="20"/>
    <x v="22"/>
    <x v="388"/>
    <x v="898"/>
  </r>
  <r>
    <x v="27"/>
    <x v="43"/>
    <x v="1"/>
    <x v="0"/>
    <x v="434"/>
    <x v="23"/>
    <x v="1"/>
    <x v="388"/>
    <x v="397"/>
    <x v="1"/>
    <x v="2"/>
    <x v="2"/>
    <x v="0"/>
    <x v="1"/>
    <x v="492"/>
    <x v="547"/>
    <x v="490"/>
    <x v="874"/>
    <x v="810"/>
    <x v="1"/>
    <x v="0"/>
    <x v="2"/>
    <x v="1"/>
    <x v="1"/>
    <x v="0"/>
    <x v="4"/>
    <x v="3"/>
    <x v="7"/>
    <x v="0"/>
    <x v="296"/>
    <x v="11"/>
    <x v="1"/>
    <x v="19"/>
    <x v="90"/>
    <x v="23"/>
    <x v="2"/>
    <x v="397"/>
    <x v="565"/>
  </r>
  <r>
    <x v="27"/>
    <x v="301"/>
    <x v="0"/>
    <x v="0"/>
    <x v="31"/>
    <x v="4"/>
    <x v="2"/>
    <x v="150"/>
    <x v="144"/>
    <x v="1"/>
    <x v="21"/>
    <x v="2"/>
    <x v="0"/>
    <x v="0"/>
    <x v="57"/>
    <x v="51"/>
    <x v="67"/>
    <x v="637"/>
    <x v="744"/>
    <x v="1"/>
    <x v="2"/>
    <x v="1"/>
    <x v="10"/>
    <x v="10"/>
    <x v="3"/>
    <x v="1"/>
    <x v="0"/>
    <x v="47"/>
    <x v="0"/>
    <x v="38"/>
    <x v="2"/>
    <x v="0"/>
    <x v="112"/>
    <x v="90"/>
    <x v="4"/>
    <x v="21"/>
    <x v="144"/>
    <x v="968"/>
  </r>
  <r>
    <x v="43"/>
    <x v="308"/>
    <x v="2"/>
    <x v="3"/>
    <x v="483"/>
    <x v="5"/>
    <x v="1"/>
    <x v="748"/>
    <x v="729"/>
    <x v="0"/>
    <x v="7"/>
    <x v="2"/>
    <x v="0"/>
    <x v="17"/>
    <x v="246"/>
    <x v="265"/>
    <x v="281"/>
    <x v="528"/>
    <x v="520"/>
    <x v="0"/>
    <x v="0"/>
    <x v="2"/>
    <x v="10"/>
    <x v="10"/>
    <x v="3"/>
    <x v="5"/>
    <x v="1"/>
    <x v="48"/>
    <x v="0"/>
    <x v="31"/>
    <x v="1"/>
    <x v="2"/>
    <x v="865"/>
    <x v="90"/>
    <x v="5"/>
    <x v="7"/>
    <x v="729"/>
    <x v="516"/>
  </r>
  <r>
    <x v="83"/>
    <x v="160"/>
    <x v="4"/>
    <x v="1"/>
    <x v="659"/>
    <x v="48"/>
    <x v="3"/>
    <x v="872"/>
    <x v="893"/>
    <x v="1"/>
    <x v="26"/>
    <x v="2"/>
    <x v="0"/>
    <x v="9"/>
    <x v="990"/>
    <x v="963"/>
    <x v="985"/>
    <x v="10"/>
    <x v="109"/>
    <x v="0"/>
    <x v="2"/>
    <x v="2"/>
    <x v="5"/>
    <x v="5"/>
    <x v="1"/>
    <x v="4"/>
    <x v="3"/>
    <x v="25"/>
    <x v="0"/>
    <x v="179"/>
    <x v="7"/>
    <x v="4"/>
    <x v="319"/>
    <x v="90"/>
    <x v="48"/>
    <x v="26"/>
    <x v="893"/>
    <x v="339"/>
  </r>
  <r>
    <x v="29"/>
    <x v="119"/>
    <x v="1"/>
    <x v="2"/>
    <x v="117"/>
    <x v="42"/>
    <x v="0"/>
    <x v="946"/>
    <x v="907"/>
    <x v="1"/>
    <x v="24"/>
    <x v="0"/>
    <x v="0"/>
    <x v="11"/>
    <x v="966"/>
    <x v="938"/>
    <x v="977"/>
    <x v="5"/>
    <x v="41"/>
    <x v="0"/>
    <x v="2"/>
    <x v="1"/>
    <x v="4"/>
    <x v="4"/>
    <x v="1"/>
    <x v="6"/>
    <x v="2"/>
    <x v="19"/>
    <x v="0"/>
    <x v="220"/>
    <x v="8"/>
    <x v="1"/>
    <x v="570"/>
    <x v="90"/>
    <x v="42"/>
    <x v="24"/>
    <x v="907"/>
    <x v="882"/>
  </r>
  <r>
    <x v="61"/>
    <x v="87"/>
    <x v="1"/>
    <x v="1"/>
    <x v="301"/>
    <x v="47"/>
    <x v="2"/>
    <x v="503"/>
    <x v="457"/>
    <x v="0"/>
    <x v="29"/>
    <x v="1"/>
    <x v="0"/>
    <x v="6"/>
    <x v="806"/>
    <x v="727"/>
    <x v="832"/>
    <x v="37"/>
    <x v="2"/>
    <x v="0"/>
    <x v="2"/>
    <x v="2"/>
    <x v="3"/>
    <x v="3"/>
    <x v="1"/>
    <x v="6"/>
    <x v="2"/>
    <x v="14"/>
    <x v="0"/>
    <x v="252"/>
    <x v="9"/>
    <x v="1"/>
    <x v="296"/>
    <x v="90"/>
    <x v="47"/>
    <x v="29"/>
    <x v="457"/>
    <x v="698"/>
  </r>
  <r>
    <x v="74"/>
    <x v="106"/>
    <x v="3"/>
    <x v="3"/>
    <x v="407"/>
    <x v="43"/>
    <x v="3"/>
    <x v="707"/>
    <x v="722"/>
    <x v="1"/>
    <x v="27"/>
    <x v="0"/>
    <x v="0"/>
    <x v="18"/>
    <x v="915"/>
    <x v="871"/>
    <x v="910"/>
    <x v="39"/>
    <x v="87"/>
    <x v="0"/>
    <x v="2"/>
    <x v="2"/>
    <x v="3"/>
    <x v="3"/>
    <x v="1"/>
    <x v="5"/>
    <x v="1"/>
    <x v="17"/>
    <x v="0"/>
    <x v="233"/>
    <x v="8"/>
    <x v="3"/>
    <x v="794"/>
    <x v="90"/>
    <x v="43"/>
    <x v="27"/>
    <x v="722"/>
    <x v="592"/>
  </r>
  <r>
    <x v="91"/>
    <x v="228"/>
    <x v="4"/>
    <x v="2"/>
    <x v="921"/>
    <x v="46"/>
    <x v="2"/>
    <x v="869"/>
    <x v="860"/>
    <x v="0"/>
    <x v="28"/>
    <x v="2"/>
    <x v="1"/>
    <x v="14"/>
    <x v="974"/>
    <x v="932"/>
    <x v="975"/>
    <x v="3"/>
    <x v="26"/>
    <x v="0"/>
    <x v="2"/>
    <x v="0"/>
    <x v="7"/>
    <x v="7"/>
    <x v="2"/>
    <x v="4"/>
    <x v="3"/>
    <x v="35"/>
    <x v="0"/>
    <x v="111"/>
    <x v="4"/>
    <x v="4"/>
    <x v="713"/>
    <x v="20"/>
    <x v="46"/>
    <x v="28"/>
    <x v="860"/>
    <x v="76"/>
  </r>
  <r>
    <x v="88"/>
    <x v="271"/>
    <x v="4"/>
    <x v="3"/>
    <x v="990"/>
    <x v="22"/>
    <x v="2"/>
    <x v="419"/>
    <x v="473"/>
    <x v="1"/>
    <x v="26"/>
    <x v="2"/>
    <x v="1"/>
    <x v="19"/>
    <x v="525"/>
    <x v="489"/>
    <x v="501"/>
    <x v="347"/>
    <x v="360"/>
    <x v="0"/>
    <x v="2"/>
    <x v="0"/>
    <x v="9"/>
    <x v="9"/>
    <x v="3"/>
    <x v="4"/>
    <x v="3"/>
    <x v="42"/>
    <x v="0"/>
    <x v="68"/>
    <x v="3"/>
    <x v="4"/>
    <x v="968"/>
    <x v="21"/>
    <x v="22"/>
    <x v="26"/>
    <x v="473"/>
    <x v="7"/>
  </r>
  <r>
    <x v="61"/>
    <x v="262"/>
    <x v="1"/>
    <x v="0"/>
    <x v="45"/>
    <x v="3"/>
    <x v="1"/>
    <x v="323"/>
    <x v="357"/>
    <x v="1"/>
    <x v="21"/>
    <x v="1"/>
    <x v="0"/>
    <x v="1"/>
    <x v="90"/>
    <x v="89"/>
    <x v="112"/>
    <x v="617"/>
    <x v="646"/>
    <x v="1"/>
    <x v="2"/>
    <x v="1"/>
    <x v="9"/>
    <x v="9"/>
    <x v="3"/>
    <x v="1"/>
    <x v="0"/>
    <x v="41"/>
    <x v="0"/>
    <x v="77"/>
    <x v="3"/>
    <x v="1"/>
    <x v="95"/>
    <x v="90"/>
    <x v="3"/>
    <x v="21"/>
    <x v="357"/>
    <x v="954"/>
  </r>
  <r>
    <x v="96"/>
    <x v="277"/>
    <x v="0"/>
    <x v="0"/>
    <x v="765"/>
    <x v="26"/>
    <x v="1"/>
    <x v="942"/>
    <x v="967"/>
    <x v="1"/>
    <x v="5"/>
    <x v="2"/>
    <x v="1"/>
    <x v="0"/>
    <x v="849"/>
    <x v="883"/>
    <x v="847"/>
    <x v="790"/>
    <x v="666"/>
    <x v="1"/>
    <x v="0"/>
    <x v="0"/>
    <x v="9"/>
    <x v="9"/>
    <x v="3"/>
    <x v="4"/>
    <x v="3"/>
    <x v="43"/>
    <x v="0"/>
    <x v="62"/>
    <x v="2"/>
    <x v="0"/>
    <x v="228"/>
    <x v="90"/>
    <x v="26"/>
    <x v="5"/>
    <x v="967"/>
    <x v="233"/>
  </r>
  <r>
    <x v="0"/>
    <x v="263"/>
    <x v="3"/>
    <x v="3"/>
    <x v="382"/>
    <x v="17"/>
    <x v="3"/>
    <x v="539"/>
    <x v="562"/>
    <x v="1"/>
    <x v="8"/>
    <x v="0"/>
    <x v="0"/>
    <x v="18"/>
    <x v="496"/>
    <x v="524"/>
    <x v="486"/>
    <x v="793"/>
    <x v="742"/>
    <x v="1"/>
    <x v="0"/>
    <x v="2"/>
    <x v="9"/>
    <x v="9"/>
    <x v="3"/>
    <x v="5"/>
    <x v="1"/>
    <x v="41"/>
    <x v="0"/>
    <x v="76"/>
    <x v="3"/>
    <x v="3"/>
    <x v="852"/>
    <x v="90"/>
    <x v="17"/>
    <x v="8"/>
    <x v="562"/>
    <x v="617"/>
  </r>
  <r>
    <x v="26"/>
    <x v="63"/>
    <x v="4"/>
    <x v="2"/>
    <x v="401"/>
    <x v="20"/>
    <x v="2"/>
    <x v="508"/>
    <x v="530"/>
    <x v="1"/>
    <x v="6"/>
    <x v="0"/>
    <x v="0"/>
    <x v="14"/>
    <x v="527"/>
    <x v="579"/>
    <x v="526"/>
    <x v="807"/>
    <x v="746"/>
    <x v="1"/>
    <x v="0"/>
    <x v="2"/>
    <x v="2"/>
    <x v="2"/>
    <x v="0"/>
    <x v="0"/>
    <x v="4"/>
    <x v="10"/>
    <x v="0"/>
    <x v="276"/>
    <x v="10"/>
    <x v="4"/>
    <x v="548"/>
    <x v="90"/>
    <x v="20"/>
    <x v="6"/>
    <x v="530"/>
    <x v="598"/>
  </r>
  <r>
    <x v="61"/>
    <x v="136"/>
    <x v="1"/>
    <x v="2"/>
    <x v="756"/>
    <x v="27"/>
    <x v="1"/>
    <x v="179"/>
    <x v="149"/>
    <x v="1"/>
    <x v="18"/>
    <x v="0"/>
    <x v="0"/>
    <x v="11"/>
    <x v="292"/>
    <x v="287"/>
    <x v="323"/>
    <x v="408"/>
    <x v="301"/>
    <x v="0"/>
    <x v="1"/>
    <x v="0"/>
    <x v="4"/>
    <x v="4"/>
    <x v="1"/>
    <x v="3"/>
    <x v="6"/>
    <x v="21"/>
    <x v="1"/>
    <x v="203"/>
    <x v="7"/>
    <x v="1"/>
    <x v="577"/>
    <x v="90"/>
    <x v="27"/>
    <x v="18"/>
    <x v="149"/>
    <x v="242"/>
  </r>
  <r>
    <x v="76"/>
    <x v="10"/>
    <x v="4"/>
    <x v="1"/>
    <x v="920"/>
    <x v="34"/>
    <x v="1"/>
    <x v="113"/>
    <x v="141"/>
    <x v="1"/>
    <x v="15"/>
    <x v="0"/>
    <x v="1"/>
    <x v="9"/>
    <x v="351"/>
    <x v="358"/>
    <x v="269"/>
    <x v="931"/>
    <x v="925"/>
    <x v="1"/>
    <x v="1"/>
    <x v="0"/>
    <x v="0"/>
    <x v="0"/>
    <x v="0"/>
    <x v="6"/>
    <x v="2"/>
    <x v="2"/>
    <x v="0"/>
    <x v="329"/>
    <x v="12"/>
    <x v="4"/>
    <x v="396"/>
    <x v="22"/>
    <x v="34"/>
    <x v="15"/>
    <x v="141"/>
    <x v="77"/>
  </r>
  <r>
    <x v="2"/>
    <x v="236"/>
    <x v="3"/>
    <x v="0"/>
    <x v="947"/>
    <x v="21"/>
    <x v="2"/>
    <x v="852"/>
    <x v="827"/>
    <x v="0"/>
    <x v="26"/>
    <x v="0"/>
    <x v="0"/>
    <x v="3"/>
    <x v="700"/>
    <x v="666"/>
    <x v="731"/>
    <x v="76"/>
    <x v="36"/>
    <x v="0"/>
    <x v="2"/>
    <x v="0"/>
    <x v="8"/>
    <x v="8"/>
    <x v="2"/>
    <x v="1"/>
    <x v="0"/>
    <x v="37"/>
    <x v="0"/>
    <x v="103"/>
    <x v="4"/>
    <x v="3"/>
    <x v="89"/>
    <x v="23"/>
    <x v="21"/>
    <x v="26"/>
    <x v="827"/>
    <x v="50"/>
  </r>
  <r>
    <x v="69"/>
    <x v="306"/>
    <x v="3"/>
    <x v="1"/>
    <x v="571"/>
    <x v="39"/>
    <x v="3"/>
    <x v="624"/>
    <x v="621"/>
    <x v="0"/>
    <x v="29"/>
    <x v="1"/>
    <x v="0"/>
    <x v="8"/>
    <x v="835"/>
    <x v="754"/>
    <x v="838"/>
    <x v="44"/>
    <x v="25"/>
    <x v="0"/>
    <x v="2"/>
    <x v="2"/>
    <x v="10"/>
    <x v="10"/>
    <x v="3"/>
    <x v="3"/>
    <x v="6"/>
    <x v="47"/>
    <x v="1"/>
    <x v="33"/>
    <x v="1"/>
    <x v="3"/>
    <x v="380"/>
    <x v="90"/>
    <x v="39"/>
    <x v="29"/>
    <x v="621"/>
    <x v="428"/>
  </r>
  <r>
    <x v="71"/>
    <x v="333"/>
    <x v="2"/>
    <x v="1"/>
    <x v="366"/>
    <x v="22"/>
    <x v="3"/>
    <x v="340"/>
    <x v="368"/>
    <x v="0"/>
    <x v="12"/>
    <x v="0"/>
    <x v="0"/>
    <x v="7"/>
    <x v="459"/>
    <x v="473"/>
    <x v="426"/>
    <x v="817"/>
    <x v="793"/>
    <x v="1"/>
    <x v="1"/>
    <x v="2"/>
    <x v="11"/>
    <x v="11"/>
    <x v="3"/>
    <x v="5"/>
    <x v="1"/>
    <x v="52"/>
    <x v="0"/>
    <x v="6"/>
    <x v="0"/>
    <x v="2"/>
    <x v="391"/>
    <x v="90"/>
    <x v="22"/>
    <x v="12"/>
    <x v="368"/>
    <x v="633"/>
  </r>
  <r>
    <x v="26"/>
    <x v="35"/>
    <x v="1"/>
    <x v="3"/>
    <x v="794"/>
    <x v="2"/>
    <x v="2"/>
    <x v="193"/>
    <x v="202"/>
    <x v="0"/>
    <x v="15"/>
    <x v="2"/>
    <x v="0"/>
    <x v="16"/>
    <x v="34"/>
    <x v="34"/>
    <x v="50"/>
    <x v="638"/>
    <x v="767"/>
    <x v="1"/>
    <x v="1"/>
    <x v="0"/>
    <x v="1"/>
    <x v="1"/>
    <x v="0"/>
    <x v="5"/>
    <x v="1"/>
    <x v="6"/>
    <x v="0"/>
    <x v="304"/>
    <x v="11"/>
    <x v="1"/>
    <x v="766"/>
    <x v="90"/>
    <x v="2"/>
    <x v="15"/>
    <x v="202"/>
    <x v="204"/>
  </r>
  <r>
    <x v="8"/>
    <x v="123"/>
    <x v="3"/>
    <x v="3"/>
    <x v="258"/>
    <x v="39"/>
    <x v="3"/>
    <x v="578"/>
    <x v="613"/>
    <x v="1"/>
    <x v="29"/>
    <x v="2"/>
    <x v="1"/>
    <x v="18"/>
    <x v="829"/>
    <x v="752"/>
    <x v="807"/>
    <x v="85"/>
    <x v="155"/>
    <x v="0"/>
    <x v="2"/>
    <x v="2"/>
    <x v="4"/>
    <x v="4"/>
    <x v="1"/>
    <x v="3"/>
    <x v="6"/>
    <x v="19"/>
    <x v="1"/>
    <x v="216"/>
    <x v="8"/>
    <x v="3"/>
    <x v="921"/>
    <x v="90"/>
    <x v="39"/>
    <x v="29"/>
    <x v="613"/>
    <x v="741"/>
  </r>
  <r>
    <x v="61"/>
    <x v="187"/>
    <x v="2"/>
    <x v="1"/>
    <x v="560"/>
    <x v="9"/>
    <x v="1"/>
    <x v="603"/>
    <x v="572"/>
    <x v="1"/>
    <x v="8"/>
    <x v="2"/>
    <x v="0"/>
    <x v="7"/>
    <x v="318"/>
    <x v="345"/>
    <x v="360"/>
    <x v="493"/>
    <x v="494"/>
    <x v="0"/>
    <x v="0"/>
    <x v="2"/>
    <x v="6"/>
    <x v="6"/>
    <x v="2"/>
    <x v="6"/>
    <x v="2"/>
    <x v="29"/>
    <x v="0"/>
    <x v="152"/>
    <x v="6"/>
    <x v="2"/>
    <x v="335"/>
    <x v="90"/>
    <x v="9"/>
    <x v="8"/>
    <x v="572"/>
    <x v="439"/>
  </r>
  <r>
    <x v="36"/>
    <x v="22"/>
    <x v="2"/>
    <x v="0"/>
    <x v="367"/>
    <x v="24"/>
    <x v="2"/>
    <x v="208"/>
    <x v="221"/>
    <x v="1"/>
    <x v="24"/>
    <x v="2"/>
    <x v="1"/>
    <x v="2"/>
    <x v="357"/>
    <x v="317"/>
    <x v="328"/>
    <x v="543"/>
    <x v="550"/>
    <x v="0"/>
    <x v="2"/>
    <x v="2"/>
    <x v="0"/>
    <x v="0"/>
    <x v="0"/>
    <x v="1"/>
    <x v="0"/>
    <x v="4"/>
    <x v="0"/>
    <x v="317"/>
    <x v="12"/>
    <x v="2"/>
    <x v="132"/>
    <x v="90"/>
    <x v="24"/>
    <x v="24"/>
    <x v="221"/>
    <x v="632"/>
  </r>
  <r>
    <x v="96"/>
    <x v="281"/>
    <x v="4"/>
    <x v="3"/>
    <x v="649"/>
    <x v="48"/>
    <x v="1"/>
    <x v="863"/>
    <x v="822"/>
    <x v="0"/>
    <x v="7"/>
    <x v="1"/>
    <x v="1"/>
    <x v="19"/>
    <x v="977"/>
    <x v="990"/>
    <x v="984"/>
    <x v="160"/>
    <x v="453"/>
    <x v="0"/>
    <x v="0"/>
    <x v="2"/>
    <x v="9"/>
    <x v="9"/>
    <x v="3"/>
    <x v="1"/>
    <x v="0"/>
    <x v="44"/>
    <x v="0"/>
    <x v="58"/>
    <x v="2"/>
    <x v="4"/>
    <x v="972"/>
    <x v="90"/>
    <x v="48"/>
    <x v="7"/>
    <x v="822"/>
    <x v="349"/>
  </r>
  <r>
    <x v="50"/>
    <x v="321"/>
    <x v="4"/>
    <x v="1"/>
    <x v="239"/>
    <x v="7"/>
    <x v="0"/>
    <x v="86"/>
    <x v="98"/>
    <x v="0"/>
    <x v="20"/>
    <x v="2"/>
    <x v="0"/>
    <x v="9"/>
    <x v="71"/>
    <x v="70"/>
    <x v="69"/>
    <x v="719"/>
    <x v="919"/>
    <x v="1"/>
    <x v="2"/>
    <x v="1"/>
    <x v="11"/>
    <x v="11"/>
    <x v="3"/>
    <x v="5"/>
    <x v="1"/>
    <x v="50"/>
    <x v="0"/>
    <x v="18"/>
    <x v="1"/>
    <x v="4"/>
    <x v="384"/>
    <x v="90"/>
    <x v="7"/>
    <x v="20"/>
    <x v="98"/>
    <x v="760"/>
  </r>
  <r>
    <x v="43"/>
    <x v="280"/>
    <x v="2"/>
    <x v="1"/>
    <x v="182"/>
    <x v="10"/>
    <x v="0"/>
    <x v="369"/>
    <x v="389"/>
    <x v="0"/>
    <x v="8"/>
    <x v="1"/>
    <x v="0"/>
    <x v="7"/>
    <x v="256"/>
    <x v="273"/>
    <x v="263"/>
    <x v="766"/>
    <x v="809"/>
    <x v="1"/>
    <x v="0"/>
    <x v="1"/>
    <x v="9"/>
    <x v="9"/>
    <x v="3"/>
    <x v="3"/>
    <x v="6"/>
    <x v="43"/>
    <x v="1"/>
    <x v="59"/>
    <x v="2"/>
    <x v="2"/>
    <x v="369"/>
    <x v="90"/>
    <x v="10"/>
    <x v="8"/>
    <x v="389"/>
    <x v="817"/>
  </r>
  <r>
    <x v="23"/>
    <x v="336"/>
    <x v="4"/>
    <x v="1"/>
    <x v="919"/>
    <x v="4"/>
    <x v="3"/>
    <x v="684"/>
    <x v="694"/>
    <x v="1"/>
    <x v="27"/>
    <x v="2"/>
    <x v="1"/>
    <x v="9"/>
    <x v="196"/>
    <x v="177"/>
    <x v="234"/>
    <x v="387"/>
    <x v="88"/>
    <x v="0"/>
    <x v="2"/>
    <x v="0"/>
    <x v="11"/>
    <x v="11"/>
    <x v="3"/>
    <x v="0"/>
    <x v="4"/>
    <x v="52"/>
    <x v="0"/>
    <x v="3"/>
    <x v="0"/>
    <x v="4"/>
    <x v="528"/>
    <x v="24"/>
    <x v="4"/>
    <x v="27"/>
    <x v="694"/>
    <x v="78"/>
  </r>
  <r>
    <x v="78"/>
    <x v="205"/>
    <x v="3"/>
    <x v="1"/>
    <x v="104"/>
    <x v="44"/>
    <x v="0"/>
    <x v="288"/>
    <x v="266"/>
    <x v="0"/>
    <x v="17"/>
    <x v="1"/>
    <x v="1"/>
    <x v="8"/>
    <x v="591"/>
    <x v="596"/>
    <x v="601"/>
    <x v="320"/>
    <x v="371"/>
    <x v="0"/>
    <x v="1"/>
    <x v="1"/>
    <x v="7"/>
    <x v="7"/>
    <x v="2"/>
    <x v="3"/>
    <x v="6"/>
    <x v="31"/>
    <x v="1"/>
    <x v="134"/>
    <x v="5"/>
    <x v="3"/>
    <x v="468"/>
    <x v="90"/>
    <x v="44"/>
    <x v="17"/>
    <x v="266"/>
    <x v="895"/>
  </r>
  <r>
    <x v="58"/>
    <x v="129"/>
    <x v="0"/>
    <x v="1"/>
    <x v="511"/>
    <x v="36"/>
    <x v="1"/>
    <x v="836"/>
    <x v="787"/>
    <x v="1"/>
    <x v="6"/>
    <x v="1"/>
    <x v="1"/>
    <x v="5"/>
    <x v="890"/>
    <x v="922"/>
    <x v="909"/>
    <x v="244"/>
    <x v="465"/>
    <x v="0"/>
    <x v="0"/>
    <x v="2"/>
    <x v="4"/>
    <x v="4"/>
    <x v="1"/>
    <x v="3"/>
    <x v="6"/>
    <x v="20"/>
    <x v="1"/>
    <x v="210"/>
    <x v="8"/>
    <x v="0"/>
    <x v="437"/>
    <x v="90"/>
    <x v="36"/>
    <x v="6"/>
    <x v="787"/>
    <x v="488"/>
  </r>
  <r>
    <x v="31"/>
    <x v="95"/>
    <x v="3"/>
    <x v="1"/>
    <x v="221"/>
    <x v="44"/>
    <x v="0"/>
    <x v="750"/>
    <x v="714"/>
    <x v="0"/>
    <x v="7"/>
    <x v="1"/>
    <x v="1"/>
    <x v="8"/>
    <x v="919"/>
    <x v="945"/>
    <x v="931"/>
    <x v="234"/>
    <x v="468"/>
    <x v="0"/>
    <x v="0"/>
    <x v="1"/>
    <x v="3"/>
    <x v="3"/>
    <x v="1"/>
    <x v="0"/>
    <x v="4"/>
    <x v="15"/>
    <x v="0"/>
    <x v="244"/>
    <x v="9"/>
    <x v="3"/>
    <x v="422"/>
    <x v="90"/>
    <x v="44"/>
    <x v="7"/>
    <x v="714"/>
    <x v="778"/>
  </r>
  <r>
    <x v="95"/>
    <x v="197"/>
    <x v="2"/>
    <x v="3"/>
    <x v="38"/>
    <x v="37"/>
    <x v="1"/>
    <x v="793"/>
    <x v="808"/>
    <x v="1"/>
    <x v="15"/>
    <x v="2"/>
    <x v="0"/>
    <x v="17"/>
    <x v="907"/>
    <x v="905"/>
    <x v="901"/>
    <x v="158"/>
    <x v="385"/>
    <x v="0"/>
    <x v="1"/>
    <x v="1"/>
    <x v="6"/>
    <x v="6"/>
    <x v="2"/>
    <x v="2"/>
    <x v="5"/>
    <x v="30"/>
    <x v="1"/>
    <x v="142"/>
    <x v="5"/>
    <x v="2"/>
    <x v="823"/>
    <x v="90"/>
    <x v="37"/>
    <x v="15"/>
    <x v="808"/>
    <x v="961"/>
  </r>
  <r>
    <x v="87"/>
    <x v="102"/>
    <x v="2"/>
    <x v="0"/>
    <x v="36"/>
    <x v="28"/>
    <x v="3"/>
    <x v="129"/>
    <x v="169"/>
    <x v="0"/>
    <x v="29"/>
    <x v="1"/>
    <x v="1"/>
    <x v="2"/>
    <x v="329"/>
    <x v="284"/>
    <x v="249"/>
    <x v="833"/>
    <x v="883"/>
    <x v="1"/>
    <x v="2"/>
    <x v="1"/>
    <x v="3"/>
    <x v="3"/>
    <x v="1"/>
    <x v="0"/>
    <x v="4"/>
    <x v="16"/>
    <x v="0"/>
    <x v="237"/>
    <x v="9"/>
    <x v="2"/>
    <x v="166"/>
    <x v="90"/>
    <x v="28"/>
    <x v="29"/>
    <x v="169"/>
    <x v="963"/>
  </r>
  <r>
    <x v="51"/>
    <x v="95"/>
    <x v="3"/>
    <x v="1"/>
    <x v="165"/>
    <x v="4"/>
    <x v="3"/>
    <x v="155"/>
    <x v="121"/>
    <x v="1"/>
    <x v="23"/>
    <x v="0"/>
    <x v="1"/>
    <x v="8"/>
    <x v="41"/>
    <x v="35"/>
    <x v="68"/>
    <x v="559"/>
    <x v="309"/>
    <x v="0"/>
    <x v="2"/>
    <x v="1"/>
    <x v="3"/>
    <x v="3"/>
    <x v="1"/>
    <x v="0"/>
    <x v="4"/>
    <x v="15"/>
    <x v="0"/>
    <x v="244"/>
    <x v="9"/>
    <x v="3"/>
    <x v="423"/>
    <x v="90"/>
    <x v="4"/>
    <x v="23"/>
    <x v="121"/>
    <x v="834"/>
  </r>
  <r>
    <x v="61"/>
    <x v="293"/>
    <x v="4"/>
    <x v="2"/>
    <x v="877"/>
    <x v="8"/>
    <x v="1"/>
    <x v="299"/>
    <x v="321"/>
    <x v="0"/>
    <x v="15"/>
    <x v="0"/>
    <x v="1"/>
    <x v="14"/>
    <x v="174"/>
    <x v="182"/>
    <x v="189"/>
    <x v="683"/>
    <x v="740"/>
    <x v="1"/>
    <x v="1"/>
    <x v="0"/>
    <x v="10"/>
    <x v="10"/>
    <x v="3"/>
    <x v="3"/>
    <x v="6"/>
    <x v="45"/>
    <x v="1"/>
    <x v="46"/>
    <x v="2"/>
    <x v="4"/>
    <x v="739"/>
    <x v="90"/>
    <x v="8"/>
    <x v="15"/>
    <x v="321"/>
    <x v="120"/>
  </r>
  <r>
    <x v="57"/>
    <x v="158"/>
    <x v="4"/>
    <x v="3"/>
    <x v="293"/>
    <x v="47"/>
    <x v="0"/>
    <x v="543"/>
    <x v="571"/>
    <x v="0"/>
    <x v="10"/>
    <x v="2"/>
    <x v="1"/>
    <x v="19"/>
    <x v="874"/>
    <x v="889"/>
    <x v="842"/>
    <x v="883"/>
    <x v="717"/>
    <x v="1"/>
    <x v="1"/>
    <x v="2"/>
    <x v="5"/>
    <x v="5"/>
    <x v="1"/>
    <x v="5"/>
    <x v="1"/>
    <x v="25"/>
    <x v="0"/>
    <x v="181"/>
    <x v="7"/>
    <x v="4"/>
    <x v="932"/>
    <x v="90"/>
    <x v="47"/>
    <x v="10"/>
    <x v="571"/>
    <x v="706"/>
  </r>
  <r>
    <x v="51"/>
    <x v="330"/>
    <x v="2"/>
    <x v="3"/>
    <x v="946"/>
    <x v="1"/>
    <x v="3"/>
    <x v="759"/>
    <x v="760"/>
    <x v="1"/>
    <x v="16"/>
    <x v="0"/>
    <x v="0"/>
    <x v="17"/>
    <x v="87"/>
    <x v="92"/>
    <x v="128"/>
    <x v="531"/>
    <x v="346"/>
    <x v="0"/>
    <x v="1"/>
    <x v="0"/>
    <x v="11"/>
    <x v="11"/>
    <x v="3"/>
    <x v="0"/>
    <x v="4"/>
    <x v="51"/>
    <x v="0"/>
    <x v="9"/>
    <x v="1"/>
    <x v="2"/>
    <x v="874"/>
    <x v="25"/>
    <x v="1"/>
    <x v="16"/>
    <x v="760"/>
    <x v="51"/>
  </r>
  <r>
    <x v="11"/>
    <x v="301"/>
    <x v="1"/>
    <x v="1"/>
    <x v="578"/>
    <x v="0"/>
    <x v="2"/>
    <x v="846"/>
    <x v="872"/>
    <x v="1"/>
    <x v="22"/>
    <x v="0"/>
    <x v="0"/>
    <x v="6"/>
    <x v="47"/>
    <x v="44"/>
    <x v="80"/>
    <x v="538"/>
    <x v="211"/>
    <x v="0"/>
    <x v="2"/>
    <x v="2"/>
    <x v="10"/>
    <x v="10"/>
    <x v="3"/>
    <x v="1"/>
    <x v="0"/>
    <x v="47"/>
    <x v="0"/>
    <x v="38"/>
    <x v="2"/>
    <x v="1"/>
    <x v="377"/>
    <x v="90"/>
    <x v="0"/>
    <x v="22"/>
    <x v="872"/>
    <x v="421"/>
  </r>
  <r>
    <x v="38"/>
    <x v="122"/>
    <x v="4"/>
    <x v="3"/>
    <x v="445"/>
    <x v="39"/>
    <x v="3"/>
    <x v="709"/>
    <x v="746"/>
    <x v="0"/>
    <x v="24"/>
    <x v="0"/>
    <x v="0"/>
    <x v="19"/>
    <x v="898"/>
    <x v="858"/>
    <x v="883"/>
    <x v="80"/>
    <x v="219"/>
    <x v="0"/>
    <x v="2"/>
    <x v="2"/>
    <x v="4"/>
    <x v="4"/>
    <x v="1"/>
    <x v="2"/>
    <x v="5"/>
    <x v="19"/>
    <x v="1"/>
    <x v="217"/>
    <x v="8"/>
    <x v="4"/>
    <x v="802"/>
    <x v="90"/>
    <x v="39"/>
    <x v="24"/>
    <x v="746"/>
    <x v="554"/>
  </r>
  <r>
    <x v="1"/>
    <x v="272"/>
    <x v="3"/>
    <x v="1"/>
    <x v="575"/>
    <x v="29"/>
    <x v="0"/>
    <x v="933"/>
    <x v="920"/>
    <x v="1"/>
    <x v="10"/>
    <x v="2"/>
    <x v="1"/>
    <x v="8"/>
    <x v="865"/>
    <x v="882"/>
    <x v="878"/>
    <x v="200"/>
    <x v="412"/>
    <x v="0"/>
    <x v="1"/>
    <x v="2"/>
    <x v="9"/>
    <x v="9"/>
    <x v="3"/>
    <x v="0"/>
    <x v="4"/>
    <x v="42"/>
    <x v="0"/>
    <x v="67"/>
    <x v="3"/>
    <x v="3"/>
    <x v="500"/>
    <x v="90"/>
    <x v="29"/>
    <x v="10"/>
    <x v="920"/>
    <x v="424"/>
  </r>
  <r>
    <x v="2"/>
    <x v="304"/>
    <x v="4"/>
    <x v="0"/>
    <x v="520"/>
    <x v="10"/>
    <x v="2"/>
    <x v="749"/>
    <x v="733"/>
    <x v="0"/>
    <x v="22"/>
    <x v="2"/>
    <x v="1"/>
    <x v="4"/>
    <x v="422"/>
    <x v="398"/>
    <x v="450"/>
    <x v="264"/>
    <x v="139"/>
    <x v="0"/>
    <x v="2"/>
    <x v="2"/>
    <x v="10"/>
    <x v="10"/>
    <x v="3"/>
    <x v="0"/>
    <x v="4"/>
    <x v="47"/>
    <x v="0"/>
    <x v="35"/>
    <x v="2"/>
    <x v="4"/>
    <x v="247"/>
    <x v="90"/>
    <x v="10"/>
    <x v="22"/>
    <x v="733"/>
    <x v="479"/>
  </r>
  <r>
    <x v="55"/>
    <x v="116"/>
    <x v="3"/>
    <x v="0"/>
    <x v="760"/>
    <x v="27"/>
    <x v="0"/>
    <x v="321"/>
    <x v="273"/>
    <x v="1"/>
    <x v="20"/>
    <x v="0"/>
    <x v="0"/>
    <x v="3"/>
    <x v="434"/>
    <x v="420"/>
    <x v="466"/>
    <x v="239"/>
    <x v="124"/>
    <x v="0"/>
    <x v="2"/>
    <x v="0"/>
    <x v="4"/>
    <x v="4"/>
    <x v="1"/>
    <x v="3"/>
    <x v="6"/>
    <x v="18"/>
    <x v="1"/>
    <x v="223"/>
    <x v="8"/>
    <x v="3"/>
    <x v="49"/>
    <x v="90"/>
    <x v="27"/>
    <x v="20"/>
    <x v="273"/>
    <x v="238"/>
  </r>
  <r>
    <x v="80"/>
    <x v="97"/>
    <x v="2"/>
    <x v="3"/>
    <x v="294"/>
    <x v="43"/>
    <x v="1"/>
    <x v="276"/>
    <x v="323"/>
    <x v="0"/>
    <x v="29"/>
    <x v="2"/>
    <x v="0"/>
    <x v="17"/>
    <x v="659"/>
    <x v="592"/>
    <x v="576"/>
    <x v="442"/>
    <x v="512"/>
    <x v="0"/>
    <x v="2"/>
    <x v="2"/>
    <x v="3"/>
    <x v="3"/>
    <x v="1"/>
    <x v="3"/>
    <x v="6"/>
    <x v="15"/>
    <x v="1"/>
    <x v="242"/>
    <x v="9"/>
    <x v="2"/>
    <x v="791"/>
    <x v="90"/>
    <x v="43"/>
    <x v="29"/>
    <x v="323"/>
    <x v="705"/>
  </r>
  <r>
    <x v="58"/>
    <x v="84"/>
    <x v="4"/>
    <x v="3"/>
    <x v="358"/>
    <x v="11"/>
    <x v="2"/>
    <x v="703"/>
    <x v="749"/>
    <x v="1"/>
    <x v="28"/>
    <x v="1"/>
    <x v="1"/>
    <x v="19"/>
    <x v="457"/>
    <x v="408"/>
    <x v="456"/>
    <x v="260"/>
    <x v="144"/>
    <x v="0"/>
    <x v="2"/>
    <x v="2"/>
    <x v="3"/>
    <x v="3"/>
    <x v="1"/>
    <x v="3"/>
    <x v="6"/>
    <x v="13"/>
    <x v="1"/>
    <x v="255"/>
    <x v="9"/>
    <x v="4"/>
    <x v="913"/>
    <x v="90"/>
    <x v="11"/>
    <x v="28"/>
    <x v="749"/>
    <x v="641"/>
  </r>
  <r>
    <x v="1"/>
    <x v="267"/>
    <x v="3"/>
    <x v="2"/>
    <x v="902"/>
    <x v="38"/>
    <x v="0"/>
    <x v="195"/>
    <x v="223"/>
    <x v="0"/>
    <x v="24"/>
    <x v="0"/>
    <x v="0"/>
    <x v="13"/>
    <x v="495"/>
    <x v="467"/>
    <x v="432"/>
    <x v="760"/>
    <x v="719"/>
    <x v="1"/>
    <x v="2"/>
    <x v="0"/>
    <x v="9"/>
    <x v="9"/>
    <x v="3"/>
    <x v="2"/>
    <x v="5"/>
    <x v="41"/>
    <x v="1"/>
    <x v="72"/>
    <x v="3"/>
    <x v="3"/>
    <x v="620"/>
    <x v="90"/>
    <x v="38"/>
    <x v="24"/>
    <x v="223"/>
    <x v="95"/>
  </r>
  <r>
    <x v="1"/>
    <x v="46"/>
    <x v="2"/>
    <x v="3"/>
    <x v="943"/>
    <x v="25"/>
    <x v="2"/>
    <x v="95"/>
    <x v="50"/>
    <x v="0"/>
    <x v="22"/>
    <x v="2"/>
    <x v="1"/>
    <x v="17"/>
    <x v="159"/>
    <x v="149"/>
    <x v="190"/>
    <x v="469"/>
    <x v="236"/>
    <x v="0"/>
    <x v="2"/>
    <x v="0"/>
    <x v="1"/>
    <x v="1"/>
    <x v="0"/>
    <x v="1"/>
    <x v="0"/>
    <x v="8"/>
    <x v="0"/>
    <x v="293"/>
    <x v="11"/>
    <x v="2"/>
    <x v="899"/>
    <x v="26"/>
    <x v="25"/>
    <x v="22"/>
    <x v="50"/>
    <x v="54"/>
  </r>
  <r>
    <x v="91"/>
    <x v="27"/>
    <x v="1"/>
    <x v="2"/>
    <x v="901"/>
    <x v="12"/>
    <x v="0"/>
    <x v="556"/>
    <x v="543"/>
    <x v="0"/>
    <x v="8"/>
    <x v="2"/>
    <x v="1"/>
    <x v="11"/>
    <x v="386"/>
    <x v="416"/>
    <x v="407"/>
    <x v="597"/>
    <x v="600"/>
    <x v="0"/>
    <x v="0"/>
    <x v="0"/>
    <x v="0"/>
    <x v="0"/>
    <x v="0"/>
    <x v="3"/>
    <x v="6"/>
    <x v="4"/>
    <x v="1"/>
    <x v="312"/>
    <x v="11"/>
    <x v="1"/>
    <x v="649"/>
    <x v="90"/>
    <x v="12"/>
    <x v="8"/>
    <x v="543"/>
    <x v="96"/>
  </r>
  <r>
    <x v="53"/>
    <x v="275"/>
    <x v="3"/>
    <x v="0"/>
    <x v="427"/>
    <x v="7"/>
    <x v="2"/>
    <x v="828"/>
    <x v="788"/>
    <x v="1"/>
    <x v="25"/>
    <x v="0"/>
    <x v="1"/>
    <x v="3"/>
    <x v="346"/>
    <x v="309"/>
    <x v="391"/>
    <x v="256"/>
    <x v="38"/>
    <x v="0"/>
    <x v="2"/>
    <x v="2"/>
    <x v="9"/>
    <x v="9"/>
    <x v="3"/>
    <x v="1"/>
    <x v="0"/>
    <x v="43"/>
    <x v="0"/>
    <x v="64"/>
    <x v="3"/>
    <x v="3"/>
    <x v="226"/>
    <x v="90"/>
    <x v="7"/>
    <x v="25"/>
    <x v="788"/>
    <x v="572"/>
  </r>
  <r>
    <x v="86"/>
    <x v="276"/>
    <x v="1"/>
    <x v="0"/>
    <x v="783"/>
    <x v="27"/>
    <x v="0"/>
    <x v="103"/>
    <x v="52"/>
    <x v="0"/>
    <x v="13"/>
    <x v="2"/>
    <x v="1"/>
    <x v="1"/>
    <x v="168"/>
    <x v="180"/>
    <x v="216"/>
    <x v="481"/>
    <x v="340"/>
    <x v="0"/>
    <x v="1"/>
    <x v="0"/>
    <x v="9"/>
    <x v="9"/>
    <x v="3"/>
    <x v="5"/>
    <x v="1"/>
    <x v="43"/>
    <x v="0"/>
    <x v="63"/>
    <x v="3"/>
    <x v="1"/>
    <x v="227"/>
    <x v="90"/>
    <x v="27"/>
    <x v="13"/>
    <x v="52"/>
    <x v="215"/>
  </r>
  <r>
    <x v="95"/>
    <x v="201"/>
    <x v="1"/>
    <x v="1"/>
    <x v="481"/>
    <x v="29"/>
    <x v="1"/>
    <x v="797"/>
    <x v="815"/>
    <x v="1"/>
    <x v="8"/>
    <x v="0"/>
    <x v="1"/>
    <x v="6"/>
    <x v="825"/>
    <x v="854"/>
    <x v="830"/>
    <x v="521"/>
    <x v="586"/>
    <x v="0"/>
    <x v="0"/>
    <x v="2"/>
    <x v="7"/>
    <x v="7"/>
    <x v="2"/>
    <x v="6"/>
    <x v="2"/>
    <x v="31"/>
    <x v="0"/>
    <x v="138"/>
    <x v="5"/>
    <x v="1"/>
    <x v="467"/>
    <x v="90"/>
    <x v="29"/>
    <x v="8"/>
    <x v="815"/>
    <x v="518"/>
  </r>
  <r>
    <x v="96"/>
    <x v="249"/>
    <x v="0"/>
    <x v="0"/>
    <x v="500"/>
    <x v="8"/>
    <x v="2"/>
    <x v="814"/>
    <x v="876"/>
    <x v="1"/>
    <x v="12"/>
    <x v="2"/>
    <x v="1"/>
    <x v="0"/>
    <x v="407"/>
    <x v="425"/>
    <x v="416"/>
    <x v="546"/>
    <x v="569"/>
    <x v="0"/>
    <x v="1"/>
    <x v="2"/>
    <x v="8"/>
    <x v="8"/>
    <x v="2"/>
    <x v="3"/>
    <x v="6"/>
    <x v="38"/>
    <x v="1"/>
    <x v="90"/>
    <x v="4"/>
    <x v="0"/>
    <x v="215"/>
    <x v="90"/>
    <x v="8"/>
    <x v="12"/>
    <x v="876"/>
    <x v="499"/>
  </r>
  <r>
    <x v="0"/>
    <x v="239"/>
    <x v="4"/>
    <x v="2"/>
    <x v="199"/>
    <x v="38"/>
    <x v="2"/>
    <x v="490"/>
    <x v="539"/>
    <x v="1"/>
    <x v="25"/>
    <x v="1"/>
    <x v="0"/>
    <x v="14"/>
    <x v="777"/>
    <x v="717"/>
    <x v="741"/>
    <x v="196"/>
    <x v="316"/>
    <x v="0"/>
    <x v="2"/>
    <x v="1"/>
    <x v="8"/>
    <x v="8"/>
    <x v="2"/>
    <x v="4"/>
    <x v="3"/>
    <x v="37"/>
    <x v="0"/>
    <x v="100"/>
    <x v="4"/>
    <x v="4"/>
    <x v="610"/>
    <x v="90"/>
    <x v="38"/>
    <x v="25"/>
    <x v="539"/>
    <x v="800"/>
  </r>
  <r>
    <x v="18"/>
    <x v="280"/>
    <x v="3"/>
    <x v="3"/>
    <x v="588"/>
    <x v="30"/>
    <x v="2"/>
    <x v="60"/>
    <x v="76"/>
    <x v="0"/>
    <x v="4"/>
    <x v="0"/>
    <x v="0"/>
    <x v="18"/>
    <x v="229"/>
    <x v="258"/>
    <x v="157"/>
    <x v="952"/>
    <x v="960"/>
    <x v="1"/>
    <x v="0"/>
    <x v="2"/>
    <x v="9"/>
    <x v="9"/>
    <x v="3"/>
    <x v="3"/>
    <x v="6"/>
    <x v="43"/>
    <x v="1"/>
    <x v="59"/>
    <x v="2"/>
    <x v="3"/>
    <x v="860"/>
    <x v="90"/>
    <x v="30"/>
    <x v="4"/>
    <x v="76"/>
    <x v="411"/>
  </r>
  <r>
    <x v="1"/>
    <x v="92"/>
    <x v="1"/>
    <x v="1"/>
    <x v="176"/>
    <x v="20"/>
    <x v="2"/>
    <x v="175"/>
    <x v="142"/>
    <x v="1"/>
    <x v="14"/>
    <x v="1"/>
    <x v="0"/>
    <x v="6"/>
    <x v="219"/>
    <x v="218"/>
    <x v="256"/>
    <x v="478"/>
    <x v="372"/>
    <x v="0"/>
    <x v="1"/>
    <x v="1"/>
    <x v="3"/>
    <x v="3"/>
    <x v="1"/>
    <x v="5"/>
    <x v="1"/>
    <x v="15"/>
    <x v="0"/>
    <x v="247"/>
    <x v="9"/>
    <x v="1"/>
    <x v="298"/>
    <x v="90"/>
    <x v="20"/>
    <x v="14"/>
    <x v="142"/>
    <x v="823"/>
  </r>
  <r>
    <x v="52"/>
    <x v="321"/>
    <x v="0"/>
    <x v="2"/>
    <x v="340"/>
    <x v="46"/>
    <x v="1"/>
    <x v="714"/>
    <x v="689"/>
    <x v="1"/>
    <x v="15"/>
    <x v="0"/>
    <x v="1"/>
    <x v="10"/>
    <x v="925"/>
    <x v="925"/>
    <x v="930"/>
    <x v="93"/>
    <x v="307"/>
    <x v="0"/>
    <x v="1"/>
    <x v="2"/>
    <x v="11"/>
    <x v="11"/>
    <x v="3"/>
    <x v="5"/>
    <x v="1"/>
    <x v="50"/>
    <x v="0"/>
    <x v="18"/>
    <x v="1"/>
    <x v="0"/>
    <x v="746"/>
    <x v="90"/>
    <x v="46"/>
    <x v="15"/>
    <x v="689"/>
    <x v="659"/>
  </r>
  <r>
    <x v="43"/>
    <x v="101"/>
    <x v="2"/>
    <x v="3"/>
    <x v="863"/>
    <x v="33"/>
    <x v="2"/>
    <x v="717"/>
    <x v="702"/>
    <x v="1"/>
    <x v="1"/>
    <x v="2"/>
    <x v="0"/>
    <x v="17"/>
    <x v="818"/>
    <x v="875"/>
    <x v="836"/>
    <x v="837"/>
    <x v="690"/>
    <x v="1"/>
    <x v="0"/>
    <x v="0"/>
    <x v="3"/>
    <x v="3"/>
    <x v="1"/>
    <x v="4"/>
    <x v="3"/>
    <x v="16"/>
    <x v="0"/>
    <x v="238"/>
    <x v="9"/>
    <x v="2"/>
    <x v="792"/>
    <x v="90"/>
    <x v="33"/>
    <x v="1"/>
    <x v="702"/>
    <x v="134"/>
  </r>
  <r>
    <x v="89"/>
    <x v="169"/>
    <x v="3"/>
    <x v="1"/>
    <x v="202"/>
    <x v="30"/>
    <x v="3"/>
    <x v="913"/>
    <x v="940"/>
    <x v="0"/>
    <x v="6"/>
    <x v="1"/>
    <x v="1"/>
    <x v="8"/>
    <x v="885"/>
    <x v="915"/>
    <x v="879"/>
    <x v="789"/>
    <x v="661"/>
    <x v="1"/>
    <x v="0"/>
    <x v="1"/>
    <x v="6"/>
    <x v="6"/>
    <x v="2"/>
    <x v="2"/>
    <x v="5"/>
    <x v="26"/>
    <x v="1"/>
    <x v="170"/>
    <x v="6"/>
    <x v="3"/>
    <x v="459"/>
    <x v="90"/>
    <x v="30"/>
    <x v="6"/>
    <x v="940"/>
    <x v="797"/>
  </r>
  <r>
    <x v="31"/>
    <x v="290"/>
    <x v="1"/>
    <x v="0"/>
    <x v="78"/>
    <x v="24"/>
    <x v="1"/>
    <x v="600"/>
    <x v="629"/>
    <x v="1"/>
    <x v="25"/>
    <x v="2"/>
    <x v="1"/>
    <x v="1"/>
    <x v="665"/>
    <x v="630"/>
    <x v="659"/>
    <x v="190"/>
    <x v="233"/>
    <x v="0"/>
    <x v="2"/>
    <x v="1"/>
    <x v="10"/>
    <x v="10"/>
    <x v="3"/>
    <x v="4"/>
    <x v="3"/>
    <x v="45"/>
    <x v="0"/>
    <x v="49"/>
    <x v="2"/>
    <x v="1"/>
    <x v="234"/>
    <x v="90"/>
    <x v="24"/>
    <x v="25"/>
    <x v="629"/>
    <x v="921"/>
  </r>
  <r>
    <x v="69"/>
    <x v="0"/>
    <x v="4"/>
    <x v="2"/>
    <x v="74"/>
    <x v="11"/>
    <x v="3"/>
    <x v="133"/>
    <x v="123"/>
    <x v="1"/>
    <x v="25"/>
    <x v="0"/>
    <x v="1"/>
    <x v="14"/>
    <x v="116"/>
    <x v="100"/>
    <x v="134"/>
    <x v="582"/>
    <x v="546"/>
    <x v="0"/>
    <x v="2"/>
    <x v="1"/>
    <x v="0"/>
    <x v="0"/>
    <x v="0"/>
    <x v="3"/>
    <x v="6"/>
    <x v="0"/>
    <x v="1"/>
    <x v="339"/>
    <x v="12"/>
    <x v="4"/>
    <x v="642"/>
    <x v="90"/>
    <x v="11"/>
    <x v="25"/>
    <x v="123"/>
    <x v="925"/>
  </r>
  <r>
    <x v="31"/>
    <x v="296"/>
    <x v="0"/>
    <x v="3"/>
    <x v="936"/>
    <x v="0"/>
    <x v="2"/>
    <x v="132"/>
    <x v="125"/>
    <x v="1"/>
    <x v="9"/>
    <x v="0"/>
    <x v="1"/>
    <x v="15"/>
    <x v="6"/>
    <x v="6"/>
    <x v="6"/>
    <x v="622"/>
    <x v="876"/>
    <x v="1"/>
    <x v="0"/>
    <x v="0"/>
    <x v="10"/>
    <x v="10"/>
    <x v="3"/>
    <x v="6"/>
    <x v="2"/>
    <x v="46"/>
    <x v="0"/>
    <x v="43"/>
    <x v="2"/>
    <x v="0"/>
    <x v="980"/>
    <x v="27"/>
    <x v="0"/>
    <x v="9"/>
    <x v="125"/>
    <x v="61"/>
  </r>
  <r>
    <x v="67"/>
    <x v="50"/>
    <x v="1"/>
    <x v="1"/>
    <x v="512"/>
    <x v="21"/>
    <x v="0"/>
    <x v="732"/>
    <x v="684"/>
    <x v="1"/>
    <x v="26"/>
    <x v="0"/>
    <x v="0"/>
    <x v="6"/>
    <x v="655"/>
    <x v="610"/>
    <x v="681"/>
    <x v="87"/>
    <x v="23"/>
    <x v="0"/>
    <x v="2"/>
    <x v="2"/>
    <x v="1"/>
    <x v="1"/>
    <x v="0"/>
    <x v="0"/>
    <x v="4"/>
    <x v="8"/>
    <x v="0"/>
    <x v="289"/>
    <x v="11"/>
    <x v="1"/>
    <x v="286"/>
    <x v="90"/>
    <x v="21"/>
    <x v="26"/>
    <x v="684"/>
    <x v="487"/>
  </r>
  <r>
    <x v="54"/>
    <x v="137"/>
    <x v="4"/>
    <x v="1"/>
    <x v="416"/>
    <x v="39"/>
    <x v="3"/>
    <x v="184"/>
    <x v="170"/>
    <x v="0"/>
    <x v="23"/>
    <x v="0"/>
    <x v="0"/>
    <x v="9"/>
    <x v="437"/>
    <x v="411"/>
    <x v="427"/>
    <x v="370"/>
    <x v="326"/>
    <x v="0"/>
    <x v="2"/>
    <x v="2"/>
    <x v="4"/>
    <x v="4"/>
    <x v="1"/>
    <x v="1"/>
    <x v="0"/>
    <x v="22"/>
    <x v="0"/>
    <x v="202"/>
    <x v="7"/>
    <x v="4"/>
    <x v="312"/>
    <x v="90"/>
    <x v="39"/>
    <x v="23"/>
    <x v="170"/>
    <x v="583"/>
  </r>
  <r>
    <x v="74"/>
    <x v="286"/>
    <x v="1"/>
    <x v="0"/>
    <x v="821"/>
    <x v="36"/>
    <x v="2"/>
    <x v="341"/>
    <x v="337"/>
    <x v="0"/>
    <x v="13"/>
    <x v="0"/>
    <x v="0"/>
    <x v="1"/>
    <x v="599"/>
    <x v="624"/>
    <x v="591"/>
    <x v="540"/>
    <x v="579"/>
    <x v="0"/>
    <x v="1"/>
    <x v="0"/>
    <x v="10"/>
    <x v="10"/>
    <x v="3"/>
    <x v="3"/>
    <x v="6"/>
    <x v="44"/>
    <x v="1"/>
    <x v="53"/>
    <x v="2"/>
    <x v="1"/>
    <x v="103"/>
    <x v="90"/>
    <x v="36"/>
    <x v="13"/>
    <x v="337"/>
    <x v="176"/>
  </r>
  <r>
    <x v="55"/>
    <x v="125"/>
    <x v="3"/>
    <x v="3"/>
    <x v="840"/>
    <x v="46"/>
    <x v="3"/>
    <x v="495"/>
    <x v="461"/>
    <x v="1"/>
    <x v="22"/>
    <x v="1"/>
    <x v="1"/>
    <x v="18"/>
    <x v="796"/>
    <x v="755"/>
    <x v="817"/>
    <x v="74"/>
    <x v="112"/>
    <x v="0"/>
    <x v="2"/>
    <x v="0"/>
    <x v="4"/>
    <x v="4"/>
    <x v="1"/>
    <x v="6"/>
    <x v="2"/>
    <x v="20"/>
    <x v="0"/>
    <x v="214"/>
    <x v="8"/>
    <x v="3"/>
    <x v="922"/>
    <x v="90"/>
    <x v="46"/>
    <x v="22"/>
    <x v="461"/>
    <x v="157"/>
  </r>
  <r>
    <x v="16"/>
    <x v="189"/>
    <x v="3"/>
    <x v="0"/>
    <x v="341"/>
    <x v="0"/>
    <x v="2"/>
    <x v="28"/>
    <x v="22"/>
    <x v="1"/>
    <x v="29"/>
    <x v="0"/>
    <x v="0"/>
    <x v="3"/>
    <x v="2"/>
    <x v="2"/>
    <x v="1"/>
    <x v="620"/>
    <x v="946"/>
    <x v="1"/>
    <x v="2"/>
    <x v="2"/>
    <x v="6"/>
    <x v="6"/>
    <x v="2"/>
    <x v="0"/>
    <x v="4"/>
    <x v="29"/>
    <x v="0"/>
    <x v="150"/>
    <x v="6"/>
    <x v="3"/>
    <x v="75"/>
    <x v="90"/>
    <x v="0"/>
    <x v="29"/>
    <x v="22"/>
    <x v="658"/>
  </r>
  <r>
    <x v="37"/>
    <x v="290"/>
    <x v="3"/>
    <x v="0"/>
    <x v="691"/>
    <x v="0"/>
    <x v="2"/>
    <x v="255"/>
    <x v="298"/>
    <x v="1"/>
    <x v="14"/>
    <x v="2"/>
    <x v="0"/>
    <x v="3"/>
    <x v="10"/>
    <x v="11"/>
    <x v="12"/>
    <x v="629"/>
    <x v="838"/>
    <x v="1"/>
    <x v="1"/>
    <x v="2"/>
    <x v="10"/>
    <x v="10"/>
    <x v="3"/>
    <x v="4"/>
    <x v="3"/>
    <x v="45"/>
    <x v="0"/>
    <x v="49"/>
    <x v="2"/>
    <x v="3"/>
    <x v="106"/>
    <x v="90"/>
    <x v="0"/>
    <x v="14"/>
    <x v="298"/>
    <x v="307"/>
  </r>
  <r>
    <x v="23"/>
    <x v="108"/>
    <x v="0"/>
    <x v="3"/>
    <x v="774"/>
    <x v="41"/>
    <x v="2"/>
    <x v="411"/>
    <x v="420"/>
    <x v="1"/>
    <x v="7"/>
    <x v="1"/>
    <x v="0"/>
    <x v="15"/>
    <x v="715"/>
    <x v="753"/>
    <x v="707"/>
    <x v="872"/>
    <x v="737"/>
    <x v="1"/>
    <x v="0"/>
    <x v="0"/>
    <x v="3"/>
    <x v="3"/>
    <x v="1"/>
    <x v="4"/>
    <x v="3"/>
    <x v="17"/>
    <x v="0"/>
    <x v="231"/>
    <x v="8"/>
    <x v="0"/>
    <x v="795"/>
    <x v="90"/>
    <x v="41"/>
    <x v="7"/>
    <x v="420"/>
    <x v="224"/>
  </r>
  <r>
    <x v="68"/>
    <x v="142"/>
    <x v="3"/>
    <x v="3"/>
    <x v="647"/>
    <x v="41"/>
    <x v="0"/>
    <x v="292"/>
    <x v="244"/>
    <x v="0"/>
    <x v="28"/>
    <x v="2"/>
    <x v="1"/>
    <x v="18"/>
    <x v="547"/>
    <x v="494"/>
    <x v="580"/>
    <x v="123"/>
    <x v="20"/>
    <x v="0"/>
    <x v="2"/>
    <x v="2"/>
    <x v="5"/>
    <x v="5"/>
    <x v="1"/>
    <x v="2"/>
    <x v="5"/>
    <x v="22"/>
    <x v="1"/>
    <x v="197"/>
    <x v="7"/>
    <x v="3"/>
    <x v="928"/>
    <x v="90"/>
    <x v="41"/>
    <x v="28"/>
    <x v="244"/>
    <x v="351"/>
  </r>
  <r>
    <x v="97"/>
    <x v="270"/>
    <x v="4"/>
    <x v="3"/>
    <x v="139"/>
    <x v="20"/>
    <x v="3"/>
    <x v="146"/>
    <x v="114"/>
    <x v="0"/>
    <x v="18"/>
    <x v="0"/>
    <x v="0"/>
    <x v="19"/>
    <x v="188"/>
    <x v="185"/>
    <x v="212"/>
    <x v="519"/>
    <x v="441"/>
    <x v="0"/>
    <x v="1"/>
    <x v="1"/>
    <x v="9"/>
    <x v="9"/>
    <x v="3"/>
    <x v="6"/>
    <x v="2"/>
    <x v="42"/>
    <x v="0"/>
    <x v="69"/>
    <x v="3"/>
    <x v="4"/>
    <x v="856"/>
    <x v="90"/>
    <x v="20"/>
    <x v="18"/>
    <x v="114"/>
    <x v="860"/>
  </r>
  <r>
    <x v="69"/>
    <x v="58"/>
    <x v="1"/>
    <x v="2"/>
    <x v="882"/>
    <x v="14"/>
    <x v="1"/>
    <x v="740"/>
    <x v="740"/>
    <x v="0"/>
    <x v="3"/>
    <x v="2"/>
    <x v="1"/>
    <x v="11"/>
    <x v="519"/>
    <x v="583"/>
    <x v="541"/>
    <x v="751"/>
    <x v="684"/>
    <x v="1"/>
    <x v="0"/>
    <x v="0"/>
    <x v="2"/>
    <x v="2"/>
    <x v="0"/>
    <x v="2"/>
    <x v="5"/>
    <x v="9"/>
    <x v="1"/>
    <x v="281"/>
    <x v="10"/>
    <x v="1"/>
    <x v="659"/>
    <x v="90"/>
    <x v="14"/>
    <x v="3"/>
    <x v="740"/>
    <x v="115"/>
  </r>
  <r>
    <x v="85"/>
    <x v="229"/>
    <x v="2"/>
    <x v="3"/>
    <x v="539"/>
    <x v="16"/>
    <x v="1"/>
    <x v="817"/>
    <x v="806"/>
    <x v="0"/>
    <x v="17"/>
    <x v="1"/>
    <x v="0"/>
    <x v="17"/>
    <x v="610"/>
    <x v="614"/>
    <x v="635"/>
    <x v="224"/>
    <x v="274"/>
    <x v="0"/>
    <x v="1"/>
    <x v="2"/>
    <x v="8"/>
    <x v="8"/>
    <x v="2"/>
    <x v="0"/>
    <x v="4"/>
    <x v="35"/>
    <x v="0"/>
    <x v="110"/>
    <x v="4"/>
    <x v="2"/>
    <x v="840"/>
    <x v="90"/>
    <x v="16"/>
    <x v="17"/>
    <x v="806"/>
    <x v="460"/>
  </r>
  <r>
    <x v="10"/>
    <x v="24"/>
    <x v="4"/>
    <x v="1"/>
    <x v="292"/>
    <x v="21"/>
    <x v="1"/>
    <x v="267"/>
    <x v="250"/>
    <x v="1"/>
    <x v="15"/>
    <x v="1"/>
    <x v="1"/>
    <x v="9"/>
    <x v="343"/>
    <x v="348"/>
    <x v="355"/>
    <x v="522"/>
    <x v="531"/>
    <x v="0"/>
    <x v="1"/>
    <x v="2"/>
    <x v="0"/>
    <x v="0"/>
    <x v="0"/>
    <x v="6"/>
    <x v="2"/>
    <x v="4"/>
    <x v="0"/>
    <x v="315"/>
    <x v="11"/>
    <x v="4"/>
    <x v="405"/>
    <x v="90"/>
    <x v="21"/>
    <x v="15"/>
    <x v="250"/>
    <x v="707"/>
  </r>
  <r>
    <x v="15"/>
    <x v="83"/>
    <x v="4"/>
    <x v="0"/>
    <x v="432"/>
    <x v="37"/>
    <x v="1"/>
    <x v="782"/>
    <x v="784"/>
    <x v="1"/>
    <x v="26"/>
    <x v="1"/>
    <x v="0"/>
    <x v="4"/>
    <x v="897"/>
    <x v="849"/>
    <x v="897"/>
    <x v="46"/>
    <x v="83"/>
    <x v="0"/>
    <x v="2"/>
    <x v="2"/>
    <x v="2"/>
    <x v="2"/>
    <x v="0"/>
    <x v="0"/>
    <x v="4"/>
    <x v="13"/>
    <x v="0"/>
    <x v="256"/>
    <x v="9"/>
    <x v="4"/>
    <x v="39"/>
    <x v="90"/>
    <x v="37"/>
    <x v="26"/>
    <x v="784"/>
    <x v="567"/>
  </r>
  <r>
    <x v="96"/>
    <x v="68"/>
    <x v="3"/>
    <x v="2"/>
    <x v="37"/>
    <x v="34"/>
    <x v="2"/>
    <x v="385"/>
    <x v="399"/>
    <x v="0"/>
    <x v="16"/>
    <x v="2"/>
    <x v="0"/>
    <x v="13"/>
    <x v="646"/>
    <x v="645"/>
    <x v="628"/>
    <x v="446"/>
    <x v="526"/>
    <x v="0"/>
    <x v="1"/>
    <x v="1"/>
    <x v="2"/>
    <x v="2"/>
    <x v="0"/>
    <x v="4"/>
    <x v="3"/>
    <x v="11"/>
    <x v="0"/>
    <x v="271"/>
    <x v="10"/>
    <x v="3"/>
    <x v="551"/>
    <x v="90"/>
    <x v="34"/>
    <x v="16"/>
    <x v="399"/>
    <x v="962"/>
  </r>
  <r>
    <x v="72"/>
    <x v="273"/>
    <x v="0"/>
    <x v="3"/>
    <x v="122"/>
    <x v="44"/>
    <x v="3"/>
    <x v="519"/>
    <x v="552"/>
    <x v="0"/>
    <x v="8"/>
    <x v="1"/>
    <x v="0"/>
    <x v="15"/>
    <x v="843"/>
    <x v="867"/>
    <x v="814"/>
    <x v="912"/>
    <x v="739"/>
    <x v="1"/>
    <x v="0"/>
    <x v="1"/>
    <x v="9"/>
    <x v="9"/>
    <x v="3"/>
    <x v="2"/>
    <x v="5"/>
    <x v="42"/>
    <x v="1"/>
    <x v="66"/>
    <x v="3"/>
    <x v="0"/>
    <x v="857"/>
    <x v="90"/>
    <x v="44"/>
    <x v="8"/>
    <x v="552"/>
    <x v="877"/>
  </r>
  <r>
    <x v="58"/>
    <x v="197"/>
    <x v="1"/>
    <x v="2"/>
    <x v="770"/>
    <x v="15"/>
    <x v="3"/>
    <x v="870"/>
    <x v="861"/>
    <x v="1"/>
    <x v="20"/>
    <x v="2"/>
    <x v="1"/>
    <x v="11"/>
    <x v="605"/>
    <x v="587"/>
    <x v="630"/>
    <x v="177"/>
    <x v="191"/>
    <x v="0"/>
    <x v="2"/>
    <x v="0"/>
    <x v="6"/>
    <x v="6"/>
    <x v="2"/>
    <x v="2"/>
    <x v="5"/>
    <x v="30"/>
    <x v="1"/>
    <x v="142"/>
    <x v="5"/>
    <x v="1"/>
    <x v="698"/>
    <x v="90"/>
    <x v="15"/>
    <x v="20"/>
    <x v="861"/>
    <x v="228"/>
  </r>
  <r>
    <x v="69"/>
    <x v="322"/>
    <x v="0"/>
    <x v="3"/>
    <x v="0"/>
    <x v="7"/>
    <x v="0"/>
    <x v="762"/>
    <x v="786"/>
    <x v="1"/>
    <x v="16"/>
    <x v="0"/>
    <x v="0"/>
    <x v="15"/>
    <x v="345"/>
    <x v="344"/>
    <x v="366"/>
    <x v="458"/>
    <x v="419"/>
    <x v="0"/>
    <x v="1"/>
    <x v="1"/>
    <x v="11"/>
    <x v="11"/>
    <x v="3"/>
    <x v="6"/>
    <x v="2"/>
    <x v="50"/>
    <x v="0"/>
    <x v="17"/>
    <x v="1"/>
    <x v="0"/>
    <x v="870"/>
    <x v="90"/>
    <x v="7"/>
    <x v="16"/>
    <x v="786"/>
    <x v="999"/>
  </r>
  <r>
    <x v="79"/>
    <x v="16"/>
    <x v="1"/>
    <x v="2"/>
    <x v="423"/>
    <x v="46"/>
    <x v="3"/>
    <x v="808"/>
    <x v="794"/>
    <x v="1"/>
    <x v="7"/>
    <x v="0"/>
    <x v="0"/>
    <x v="11"/>
    <x v="963"/>
    <x v="981"/>
    <x v="962"/>
    <x v="316"/>
    <x v="535"/>
    <x v="0"/>
    <x v="0"/>
    <x v="2"/>
    <x v="0"/>
    <x v="0"/>
    <x v="0"/>
    <x v="5"/>
    <x v="1"/>
    <x v="3"/>
    <x v="0"/>
    <x v="323"/>
    <x v="12"/>
    <x v="1"/>
    <x v="538"/>
    <x v="90"/>
    <x v="46"/>
    <x v="7"/>
    <x v="794"/>
    <x v="576"/>
  </r>
  <r>
    <x v="92"/>
    <x v="117"/>
    <x v="1"/>
    <x v="0"/>
    <x v="529"/>
    <x v="16"/>
    <x v="3"/>
    <x v="147"/>
    <x v="95"/>
    <x v="1"/>
    <x v="17"/>
    <x v="2"/>
    <x v="1"/>
    <x v="1"/>
    <x v="143"/>
    <x v="144"/>
    <x v="177"/>
    <x v="480"/>
    <x v="278"/>
    <x v="0"/>
    <x v="1"/>
    <x v="2"/>
    <x v="4"/>
    <x v="4"/>
    <x v="1"/>
    <x v="1"/>
    <x v="0"/>
    <x v="19"/>
    <x v="0"/>
    <x v="222"/>
    <x v="8"/>
    <x v="1"/>
    <x v="170"/>
    <x v="90"/>
    <x v="16"/>
    <x v="17"/>
    <x v="95"/>
    <x v="470"/>
  </r>
  <r>
    <x v="2"/>
    <x v="337"/>
    <x v="0"/>
    <x v="0"/>
    <x v="52"/>
    <x v="16"/>
    <x v="3"/>
    <x v="71"/>
    <x v="70"/>
    <x v="1"/>
    <x v="25"/>
    <x v="1"/>
    <x v="1"/>
    <x v="0"/>
    <x v="128"/>
    <x v="116"/>
    <x v="118"/>
    <x v="754"/>
    <x v="904"/>
    <x v="1"/>
    <x v="2"/>
    <x v="1"/>
    <x v="11"/>
    <x v="11"/>
    <x v="3"/>
    <x v="2"/>
    <x v="5"/>
    <x v="52"/>
    <x v="1"/>
    <x v="2"/>
    <x v="0"/>
    <x v="0"/>
    <x v="261"/>
    <x v="90"/>
    <x v="16"/>
    <x v="25"/>
    <x v="70"/>
    <x v="947"/>
  </r>
  <r>
    <x v="19"/>
    <x v="235"/>
    <x v="4"/>
    <x v="1"/>
    <x v="973"/>
    <x v="25"/>
    <x v="0"/>
    <x v="909"/>
    <x v="919"/>
    <x v="0"/>
    <x v="1"/>
    <x v="2"/>
    <x v="1"/>
    <x v="9"/>
    <x v="812"/>
    <x v="870"/>
    <x v="818"/>
    <x v="888"/>
    <x v="729"/>
    <x v="1"/>
    <x v="0"/>
    <x v="0"/>
    <x v="8"/>
    <x v="8"/>
    <x v="2"/>
    <x v="0"/>
    <x v="4"/>
    <x v="36"/>
    <x v="0"/>
    <x v="104"/>
    <x v="4"/>
    <x v="4"/>
    <x v="480"/>
    <x v="28"/>
    <x v="25"/>
    <x v="1"/>
    <x v="919"/>
    <x v="24"/>
  </r>
  <r>
    <x v="58"/>
    <x v="166"/>
    <x v="1"/>
    <x v="1"/>
    <x v="226"/>
    <x v="12"/>
    <x v="1"/>
    <x v="389"/>
    <x v="430"/>
    <x v="0"/>
    <x v="19"/>
    <x v="2"/>
    <x v="1"/>
    <x v="6"/>
    <x v="324"/>
    <x v="314"/>
    <x v="318"/>
    <x v="612"/>
    <x v="608"/>
    <x v="1"/>
    <x v="1"/>
    <x v="1"/>
    <x v="5"/>
    <x v="5"/>
    <x v="1"/>
    <x v="6"/>
    <x v="2"/>
    <x v="26"/>
    <x v="0"/>
    <x v="173"/>
    <x v="6"/>
    <x v="1"/>
    <x v="456"/>
    <x v="90"/>
    <x v="12"/>
    <x v="19"/>
    <x v="430"/>
    <x v="773"/>
  </r>
  <r>
    <x v="35"/>
    <x v="169"/>
    <x v="0"/>
    <x v="3"/>
    <x v="318"/>
    <x v="16"/>
    <x v="3"/>
    <x v="300"/>
    <x v="322"/>
    <x v="1"/>
    <x v="10"/>
    <x v="2"/>
    <x v="0"/>
    <x v="15"/>
    <x v="323"/>
    <x v="346"/>
    <x v="316"/>
    <x v="794"/>
    <x v="821"/>
    <x v="1"/>
    <x v="1"/>
    <x v="2"/>
    <x v="6"/>
    <x v="6"/>
    <x v="2"/>
    <x v="2"/>
    <x v="5"/>
    <x v="26"/>
    <x v="1"/>
    <x v="170"/>
    <x v="6"/>
    <x v="0"/>
    <x v="815"/>
    <x v="90"/>
    <x v="16"/>
    <x v="10"/>
    <x v="322"/>
    <x v="681"/>
  </r>
  <r>
    <x v="18"/>
    <x v="140"/>
    <x v="1"/>
    <x v="0"/>
    <x v="317"/>
    <x v="37"/>
    <x v="0"/>
    <x v="735"/>
    <x v="774"/>
    <x v="1"/>
    <x v="9"/>
    <x v="0"/>
    <x v="0"/>
    <x v="1"/>
    <x v="892"/>
    <x v="912"/>
    <x v="874"/>
    <x v="805"/>
    <x v="668"/>
    <x v="1"/>
    <x v="0"/>
    <x v="2"/>
    <x v="5"/>
    <x v="5"/>
    <x v="1"/>
    <x v="4"/>
    <x v="3"/>
    <x v="22"/>
    <x v="0"/>
    <x v="199"/>
    <x v="7"/>
    <x v="1"/>
    <x v="59"/>
    <x v="90"/>
    <x v="37"/>
    <x v="9"/>
    <x v="774"/>
    <x v="682"/>
  </r>
  <r>
    <x v="89"/>
    <x v="24"/>
    <x v="2"/>
    <x v="2"/>
    <x v="233"/>
    <x v="16"/>
    <x v="0"/>
    <x v="844"/>
    <x v="892"/>
    <x v="0"/>
    <x v="12"/>
    <x v="2"/>
    <x v="1"/>
    <x v="12"/>
    <x v="647"/>
    <x v="658"/>
    <x v="641"/>
    <x v="474"/>
    <x v="548"/>
    <x v="0"/>
    <x v="1"/>
    <x v="1"/>
    <x v="0"/>
    <x v="0"/>
    <x v="0"/>
    <x v="6"/>
    <x v="2"/>
    <x v="4"/>
    <x v="0"/>
    <x v="315"/>
    <x v="11"/>
    <x v="2"/>
    <x v="648"/>
    <x v="90"/>
    <x v="16"/>
    <x v="12"/>
    <x v="892"/>
    <x v="766"/>
  </r>
  <r>
    <x v="66"/>
    <x v="167"/>
    <x v="4"/>
    <x v="2"/>
    <x v="3"/>
    <x v="47"/>
    <x v="2"/>
    <x v="879"/>
    <x v="884"/>
    <x v="1"/>
    <x v="10"/>
    <x v="0"/>
    <x v="0"/>
    <x v="14"/>
    <x v="987"/>
    <x v="992"/>
    <x v="980"/>
    <x v="267"/>
    <x v="519"/>
    <x v="0"/>
    <x v="1"/>
    <x v="1"/>
    <x v="5"/>
    <x v="5"/>
    <x v="1"/>
    <x v="4"/>
    <x v="3"/>
    <x v="26"/>
    <x v="0"/>
    <x v="172"/>
    <x v="6"/>
    <x v="4"/>
    <x v="593"/>
    <x v="90"/>
    <x v="47"/>
    <x v="10"/>
    <x v="884"/>
    <x v="996"/>
  </r>
  <r>
    <x v="18"/>
    <x v="185"/>
    <x v="3"/>
    <x v="2"/>
    <x v="732"/>
    <x v="13"/>
    <x v="0"/>
    <x v="332"/>
    <x v="335"/>
    <x v="0"/>
    <x v="25"/>
    <x v="2"/>
    <x v="1"/>
    <x v="13"/>
    <x v="280"/>
    <x v="251"/>
    <x v="293"/>
    <x v="416"/>
    <x v="284"/>
    <x v="0"/>
    <x v="2"/>
    <x v="2"/>
    <x v="6"/>
    <x v="6"/>
    <x v="2"/>
    <x v="1"/>
    <x v="0"/>
    <x v="29"/>
    <x v="0"/>
    <x v="154"/>
    <x v="6"/>
    <x v="3"/>
    <x v="696"/>
    <x v="90"/>
    <x v="13"/>
    <x v="25"/>
    <x v="335"/>
    <x v="266"/>
  </r>
  <r>
    <x v="19"/>
    <x v="319"/>
    <x v="1"/>
    <x v="1"/>
    <x v="964"/>
    <x v="44"/>
    <x v="1"/>
    <x v="866"/>
    <x v="877"/>
    <x v="0"/>
    <x v="8"/>
    <x v="0"/>
    <x v="0"/>
    <x v="6"/>
    <x v="971"/>
    <x v="983"/>
    <x v="965"/>
    <x v="381"/>
    <x v="563"/>
    <x v="0"/>
    <x v="0"/>
    <x v="0"/>
    <x v="11"/>
    <x v="11"/>
    <x v="3"/>
    <x v="3"/>
    <x v="6"/>
    <x v="49"/>
    <x v="1"/>
    <x v="20"/>
    <x v="1"/>
    <x v="1"/>
    <x v="383"/>
    <x v="29"/>
    <x v="44"/>
    <x v="8"/>
    <x v="877"/>
    <x v="33"/>
  </r>
  <r>
    <x v="95"/>
    <x v="149"/>
    <x v="2"/>
    <x v="2"/>
    <x v="224"/>
    <x v="5"/>
    <x v="3"/>
    <x v="40"/>
    <x v="89"/>
    <x v="0"/>
    <x v="22"/>
    <x v="2"/>
    <x v="1"/>
    <x v="12"/>
    <x v="44"/>
    <x v="42"/>
    <x v="19"/>
    <x v="758"/>
    <x v="971"/>
    <x v="1"/>
    <x v="2"/>
    <x v="1"/>
    <x v="5"/>
    <x v="5"/>
    <x v="1"/>
    <x v="2"/>
    <x v="5"/>
    <x v="23"/>
    <x v="1"/>
    <x v="190"/>
    <x v="7"/>
    <x v="2"/>
    <x v="690"/>
    <x v="90"/>
    <x v="5"/>
    <x v="22"/>
    <x v="89"/>
    <x v="775"/>
  </r>
  <r>
    <x v="70"/>
    <x v="164"/>
    <x v="3"/>
    <x v="1"/>
    <x v="660"/>
    <x v="34"/>
    <x v="0"/>
    <x v="48"/>
    <x v="75"/>
    <x v="0"/>
    <x v="3"/>
    <x v="2"/>
    <x v="0"/>
    <x v="8"/>
    <x v="254"/>
    <x v="289"/>
    <x v="158"/>
    <x v="978"/>
    <x v="969"/>
    <x v="1"/>
    <x v="0"/>
    <x v="2"/>
    <x v="5"/>
    <x v="5"/>
    <x v="1"/>
    <x v="1"/>
    <x v="0"/>
    <x v="26"/>
    <x v="0"/>
    <x v="175"/>
    <x v="6"/>
    <x v="3"/>
    <x v="321"/>
    <x v="90"/>
    <x v="34"/>
    <x v="3"/>
    <x v="75"/>
    <x v="338"/>
  </r>
  <r>
    <x v="51"/>
    <x v="265"/>
    <x v="3"/>
    <x v="1"/>
    <x v="744"/>
    <x v="45"/>
    <x v="1"/>
    <x v="637"/>
    <x v="600"/>
    <x v="1"/>
    <x v="29"/>
    <x v="1"/>
    <x v="1"/>
    <x v="8"/>
    <x v="877"/>
    <x v="816"/>
    <x v="893"/>
    <x v="13"/>
    <x v="4"/>
    <x v="0"/>
    <x v="2"/>
    <x v="2"/>
    <x v="9"/>
    <x v="9"/>
    <x v="3"/>
    <x v="4"/>
    <x v="3"/>
    <x v="41"/>
    <x v="0"/>
    <x v="74"/>
    <x v="3"/>
    <x v="3"/>
    <x v="492"/>
    <x v="90"/>
    <x v="45"/>
    <x v="29"/>
    <x v="600"/>
    <x v="254"/>
  </r>
  <r>
    <x v="32"/>
    <x v="58"/>
    <x v="1"/>
    <x v="3"/>
    <x v="858"/>
    <x v="13"/>
    <x v="0"/>
    <x v="66"/>
    <x v="92"/>
    <x v="1"/>
    <x v="19"/>
    <x v="1"/>
    <x v="1"/>
    <x v="16"/>
    <x v="119"/>
    <x v="113"/>
    <x v="93"/>
    <x v="806"/>
    <x v="948"/>
    <x v="1"/>
    <x v="1"/>
    <x v="0"/>
    <x v="2"/>
    <x v="2"/>
    <x v="0"/>
    <x v="2"/>
    <x v="5"/>
    <x v="9"/>
    <x v="1"/>
    <x v="281"/>
    <x v="10"/>
    <x v="1"/>
    <x v="907"/>
    <x v="90"/>
    <x v="13"/>
    <x v="19"/>
    <x v="92"/>
    <x v="139"/>
  </r>
  <r>
    <x v="39"/>
    <x v="138"/>
    <x v="0"/>
    <x v="2"/>
    <x v="428"/>
    <x v="46"/>
    <x v="0"/>
    <x v="339"/>
    <x v="307"/>
    <x v="0"/>
    <x v="21"/>
    <x v="2"/>
    <x v="0"/>
    <x v="10"/>
    <x v="662"/>
    <x v="640"/>
    <x v="673"/>
    <x v="149"/>
    <x v="194"/>
    <x v="0"/>
    <x v="2"/>
    <x v="2"/>
    <x v="4"/>
    <x v="4"/>
    <x v="1"/>
    <x v="5"/>
    <x v="1"/>
    <x v="22"/>
    <x v="0"/>
    <x v="201"/>
    <x v="7"/>
    <x v="0"/>
    <x v="579"/>
    <x v="90"/>
    <x v="46"/>
    <x v="21"/>
    <x v="307"/>
    <x v="571"/>
  </r>
  <r>
    <x v="38"/>
    <x v="142"/>
    <x v="1"/>
    <x v="2"/>
    <x v="316"/>
    <x v="7"/>
    <x v="0"/>
    <x v="678"/>
    <x v="679"/>
    <x v="1"/>
    <x v="9"/>
    <x v="2"/>
    <x v="0"/>
    <x v="11"/>
    <x v="297"/>
    <x v="318"/>
    <x v="330"/>
    <x v="529"/>
    <x v="538"/>
    <x v="0"/>
    <x v="0"/>
    <x v="2"/>
    <x v="5"/>
    <x v="5"/>
    <x v="1"/>
    <x v="2"/>
    <x v="5"/>
    <x v="22"/>
    <x v="1"/>
    <x v="197"/>
    <x v="7"/>
    <x v="1"/>
    <x v="581"/>
    <x v="90"/>
    <x v="7"/>
    <x v="9"/>
    <x v="679"/>
    <x v="683"/>
  </r>
  <r>
    <x v="81"/>
    <x v="144"/>
    <x v="2"/>
    <x v="0"/>
    <x v="335"/>
    <x v="14"/>
    <x v="0"/>
    <x v="348"/>
    <x v="320"/>
    <x v="1"/>
    <x v="12"/>
    <x v="2"/>
    <x v="0"/>
    <x v="2"/>
    <x v="286"/>
    <x v="298"/>
    <x v="319"/>
    <x v="479"/>
    <x v="443"/>
    <x v="0"/>
    <x v="1"/>
    <x v="2"/>
    <x v="5"/>
    <x v="5"/>
    <x v="1"/>
    <x v="1"/>
    <x v="0"/>
    <x v="23"/>
    <x v="0"/>
    <x v="195"/>
    <x v="7"/>
    <x v="2"/>
    <x v="62"/>
    <x v="90"/>
    <x v="14"/>
    <x v="12"/>
    <x v="320"/>
    <x v="664"/>
  </r>
  <r>
    <x v="0"/>
    <x v="44"/>
    <x v="3"/>
    <x v="3"/>
    <x v="715"/>
    <x v="26"/>
    <x v="0"/>
    <x v="180"/>
    <x v="206"/>
    <x v="1"/>
    <x v="7"/>
    <x v="2"/>
    <x v="1"/>
    <x v="18"/>
    <x v="359"/>
    <x v="389"/>
    <x v="317"/>
    <x v="896"/>
    <x v="900"/>
    <x v="1"/>
    <x v="0"/>
    <x v="2"/>
    <x v="1"/>
    <x v="1"/>
    <x v="0"/>
    <x v="2"/>
    <x v="5"/>
    <x v="7"/>
    <x v="1"/>
    <x v="295"/>
    <x v="11"/>
    <x v="3"/>
    <x v="898"/>
    <x v="90"/>
    <x v="26"/>
    <x v="7"/>
    <x v="206"/>
    <x v="283"/>
  </r>
  <r>
    <x v="10"/>
    <x v="313"/>
    <x v="1"/>
    <x v="0"/>
    <x v="825"/>
    <x v="12"/>
    <x v="1"/>
    <x v="293"/>
    <x v="334"/>
    <x v="1"/>
    <x v="28"/>
    <x v="1"/>
    <x v="0"/>
    <x v="1"/>
    <x v="261"/>
    <x v="220"/>
    <x v="252"/>
    <x v="508"/>
    <x v="449"/>
    <x v="0"/>
    <x v="2"/>
    <x v="0"/>
    <x v="11"/>
    <x v="11"/>
    <x v="3"/>
    <x v="3"/>
    <x v="6"/>
    <x v="48"/>
    <x v="1"/>
    <x v="26"/>
    <x v="1"/>
    <x v="1"/>
    <x v="115"/>
    <x v="90"/>
    <x v="12"/>
    <x v="28"/>
    <x v="334"/>
    <x v="172"/>
  </r>
  <r>
    <x v="91"/>
    <x v="77"/>
    <x v="0"/>
    <x v="3"/>
    <x v="171"/>
    <x v="48"/>
    <x v="3"/>
    <x v="467"/>
    <x v="441"/>
    <x v="0"/>
    <x v="15"/>
    <x v="0"/>
    <x v="1"/>
    <x v="15"/>
    <x v="804"/>
    <x v="808"/>
    <x v="810"/>
    <x v="191"/>
    <x v="358"/>
    <x v="0"/>
    <x v="1"/>
    <x v="1"/>
    <x v="2"/>
    <x v="2"/>
    <x v="0"/>
    <x v="2"/>
    <x v="5"/>
    <x v="12"/>
    <x v="1"/>
    <x v="262"/>
    <x v="9"/>
    <x v="0"/>
    <x v="909"/>
    <x v="90"/>
    <x v="48"/>
    <x v="15"/>
    <x v="441"/>
    <x v="828"/>
  </r>
  <r>
    <x v="56"/>
    <x v="334"/>
    <x v="1"/>
    <x v="2"/>
    <x v="379"/>
    <x v="30"/>
    <x v="3"/>
    <x v="483"/>
    <x v="437"/>
    <x v="1"/>
    <x v="19"/>
    <x v="2"/>
    <x v="0"/>
    <x v="11"/>
    <x v="635"/>
    <x v="626"/>
    <x v="662"/>
    <x v="147"/>
    <x v="171"/>
    <x v="0"/>
    <x v="1"/>
    <x v="2"/>
    <x v="11"/>
    <x v="11"/>
    <x v="3"/>
    <x v="6"/>
    <x v="2"/>
    <x v="52"/>
    <x v="0"/>
    <x v="5"/>
    <x v="0"/>
    <x v="1"/>
    <x v="638"/>
    <x v="90"/>
    <x v="30"/>
    <x v="19"/>
    <x v="437"/>
    <x v="620"/>
  </r>
  <r>
    <x v="88"/>
    <x v="164"/>
    <x v="4"/>
    <x v="1"/>
    <x v="910"/>
    <x v="34"/>
    <x v="3"/>
    <x v="787"/>
    <x v="769"/>
    <x v="0"/>
    <x v="22"/>
    <x v="1"/>
    <x v="0"/>
    <x v="9"/>
    <x v="863"/>
    <x v="833"/>
    <x v="869"/>
    <x v="63"/>
    <x v="135"/>
    <x v="0"/>
    <x v="2"/>
    <x v="0"/>
    <x v="5"/>
    <x v="5"/>
    <x v="1"/>
    <x v="1"/>
    <x v="0"/>
    <x v="26"/>
    <x v="0"/>
    <x v="175"/>
    <x v="6"/>
    <x v="4"/>
    <x v="322"/>
    <x v="30"/>
    <x v="34"/>
    <x v="22"/>
    <x v="769"/>
    <x v="87"/>
  </r>
  <r>
    <x v="49"/>
    <x v="136"/>
    <x v="0"/>
    <x v="1"/>
    <x v="816"/>
    <x v="5"/>
    <x v="3"/>
    <x v="763"/>
    <x v="776"/>
    <x v="0"/>
    <x v="11"/>
    <x v="2"/>
    <x v="1"/>
    <x v="5"/>
    <x v="264"/>
    <x v="269"/>
    <x v="291"/>
    <x v="536"/>
    <x v="533"/>
    <x v="0"/>
    <x v="1"/>
    <x v="0"/>
    <x v="4"/>
    <x v="4"/>
    <x v="1"/>
    <x v="3"/>
    <x v="6"/>
    <x v="21"/>
    <x v="1"/>
    <x v="203"/>
    <x v="7"/>
    <x v="0"/>
    <x v="440"/>
    <x v="90"/>
    <x v="5"/>
    <x v="11"/>
    <x v="776"/>
    <x v="181"/>
  </r>
  <r>
    <x v="22"/>
    <x v="109"/>
    <x v="2"/>
    <x v="1"/>
    <x v="986"/>
    <x v="4"/>
    <x v="1"/>
    <x v="465"/>
    <x v="446"/>
    <x v="1"/>
    <x v="22"/>
    <x v="2"/>
    <x v="1"/>
    <x v="7"/>
    <x v="137"/>
    <x v="131"/>
    <x v="164"/>
    <x v="471"/>
    <x v="202"/>
    <x v="0"/>
    <x v="2"/>
    <x v="0"/>
    <x v="3"/>
    <x v="3"/>
    <x v="1"/>
    <x v="0"/>
    <x v="4"/>
    <x v="17"/>
    <x v="0"/>
    <x v="230"/>
    <x v="8"/>
    <x v="2"/>
    <x v="429"/>
    <x v="31"/>
    <x v="4"/>
    <x v="22"/>
    <x v="446"/>
    <x v="11"/>
  </r>
  <r>
    <x v="30"/>
    <x v="318"/>
    <x v="3"/>
    <x v="1"/>
    <x v="755"/>
    <x v="21"/>
    <x v="2"/>
    <x v="856"/>
    <x v="839"/>
    <x v="0"/>
    <x v="20"/>
    <x v="0"/>
    <x v="0"/>
    <x v="8"/>
    <x v="702"/>
    <x v="693"/>
    <x v="732"/>
    <x v="114"/>
    <x v="175"/>
    <x v="0"/>
    <x v="2"/>
    <x v="0"/>
    <x v="11"/>
    <x v="11"/>
    <x v="3"/>
    <x v="0"/>
    <x v="4"/>
    <x v="49"/>
    <x v="0"/>
    <x v="21"/>
    <x v="1"/>
    <x v="3"/>
    <x v="382"/>
    <x v="90"/>
    <x v="21"/>
    <x v="20"/>
    <x v="839"/>
    <x v="243"/>
  </r>
  <r>
    <x v="93"/>
    <x v="58"/>
    <x v="1"/>
    <x v="1"/>
    <x v="403"/>
    <x v="48"/>
    <x v="2"/>
    <x v="120"/>
    <x v="83"/>
    <x v="1"/>
    <x v="21"/>
    <x v="2"/>
    <x v="1"/>
    <x v="6"/>
    <x v="361"/>
    <x v="338"/>
    <x v="367"/>
    <x v="428"/>
    <x v="388"/>
    <x v="0"/>
    <x v="2"/>
    <x v="2"/>
    <x v="2"/>
    <x v="2"/>
    <x v="0"/>
    <x v="2"/>
    <x v="5"/>
    <x v="9"/>
    <x v="1"/>
    <x v="281"/>
    <x v="10"/>
    <x v="1"/>
    <x v="413"/>
    <x v="90"/>
    <x v="48"/>
    <x v="21"/>
    <x v="83"/>
    <x v="596"/>
  </r>
  <r>
    <x v="41"/>
    <x v="176"/>
    <x v="0"/>
    <x v="0"/>
    <x v="587"/>
    <x v="22"/>
    <x v="1"/>
    <x v="265"/>
    <x v="270"/>
    <x v="1"/>
    <x v="15"/>
    <x v="2"/>
    <x v="1"/>
    <x v="0"/>
    <x v="372"/>
    <x v="375"/>
    <x v="369"/>
    <x v="654"/>
    <x v="642"/>
    <x v="1"/>
    <x v="1"/>
    <x v="2"/>
    <x v="6"/>
    <x v="6"/>
    <x v="2"/>
    <x v="2"/>
    <x v="5"/>
    <x v="27"/>
    <x v="1"/>
    <x v="163"/>
    <x v="6"/>
    <x v="0"/>
    <x v="189"/>
    <x v="90"/>
    <x v="22"/>
    <x v="15"/>
    <x v="270"/>
    <x v="412"/>
  </r>
  <r>
    <x v="98"/>
    <x v="333"/>
    <x v="4"/>
    <x v="3"/>
    <x v="655"/>
    <x v="24"/>
    <x v="1"/>
    <x v="837"/>
    <x v="817"/>
    <x v="0"/>
    <x v="11"/>
    <x v="0"/>
    <x v="0"/>
    <x v="19"/>
    <x v="754"/>
    <x v="772"/>
    <x v="775"/>
    <x v="250"/>
    <x v="398"/>
    <x v="0"/>
    <x v="1"/>
    <x v="2"/>
    <x v="11"/>
    <x v="11"/>
    <x v="3"/>
    <x v="5"/>
    <x v="1"/>
    <x v="52"/>
    <x v="0"/>
    <x v="6"/>
    <x v="0"/>
    <x v="4"/>
    <x v="877"/>
    <x v="90"/>
    <x v="24"/>
    <x v="11"/>
    <x v="817"/>
    <x v="343"/>
  </r>
  <r>
    <x v="6"/>
    <x v="44"/>
    <x v="0"/>
    <x v="2"/>
    <x v="87"/>
    <x v="33"/>
    <x v="0"/>
    <x v="379"/>
    <x v="407"/>
    <x v="1"/>
    <x v="7"/>
    <x v="0"/>
    <x v="1"/>
    <x v="10"/>
    <x v="644"/>
    <x v="674"/>
    <x v="613"/>
    <x v="900"/>
    <x v="804"/>
    <x v="1"/>
    <x v="0"/>
    <x v="1"/>
    <x v="1"/>
    <x v="1"/>
    <x v="0"/>
    <x v="2"/>
    <x v="5"/>
    <x v="7"/>
    <x v="1"/>
    <x v="295"/>
    <x v="11"/>
    <x v="0"/>
    <x v="657"/>
    <x v="90"/>
    <x v="33"/>
    <x v="7"/>
    <x v="407"/>
    <x v="912"/>
  </r>
  <r>
    <x v="15"/>
    <x v="303"/>
    <x v="4"/>
    <x v="0"/>
    <x v="544"/>
    <x v="25"/>
    <x v="0"/>
    <x v="980"/>
    <x v="946"/>
    <x v="0"/>
    <x v="25"/>
    <x v="0"/>
    <x v="0"/>
    <x v="4"/>
    <x v="827"/>
    <x v="777"/>
    <x v="850"/>
    <x v="45"/>
    <x v="33"/>
    <x v="0"/>
    <x v="2"/>
    <x v="2"/>
    <x v="10"/>
    <x v="10"/>
    <x v="3"/>
    <x v="4"/>
    <x v="3"/>
    <x v="47"/>
    <x v="0"/>
    <x v="36"/>
    <x v="2"/>
    <x v="4"/>
    <x v="113"/>
    <x v="90"/>
    <x v="25"/>
    <x v="25"/>
    <x v="946"/>
    <x v="455"/>
  </r>
  <r>
    <x v="89"/>
    <x v="239"/>
    <x v="2"/>
    <x v="3"/>
    <x v="713"/>
    <x v="46"/>
    <x v="0"/>
    <x v="474"/>
    <x v="498"/>
    <x v="0"/>
    <x v="18"/>
    <x v="0"/>
    <x v="0"/>
    <x v="17"/>
    <x v="816"/>
    <x v="812"/>
    <x v="802"/>
    <x v="283"/>
    <x v="435"/>
    <x v="0"/>
    <x v="1"/>
    <x v="2"/>
    <x v="8"/>
    <x v="8"/>
    <x v="2"/>
    <x v="4"/>
    <x v="3"/>
    <x v="37"/>
    <x v="0"/>
    <x v="100"/>
    <x v="4"/>
    <x v="2"/>
    <x v="845"/>
    <x v="90"/>
    <x v="46"/>
    <x v="18"/>
    <x v="498"/>
    <x v="285"/>
  </r>
  <r>
    <x v="59"/>
    <x v="211"/>
    <x v="3"/>
    <x v="1"/>
    <x v="158"/>
    <x v="4"/>
    <x v="3"/>
    <x v="798"/>
    <x v="773"/>
    <x v="1"/>
    <x v="13"/>
    <x v="1"/>
    <x v="1"/>
    <x v="8"/>
    <x v="222"/>
    <x v="225"/>
    <x v="262"/>
    <x v="461"/>
    <x v="339"/>
    <x v="0"/>
    <x v="1"/>
    <x v="1"/>
    <x v="7"/>
    <x v="7"/>
    <x v="2"/>
    <x v="2"/>
    <x v="5"/>
    <x v="32"/>
    <x v="1"/>
    <x v="128"/>
    <x v="5"/>
    <x v="3"/>
    <x v="472"/>
    <x v="90"/>
    <x v="4"/>
    <x v="13"/>
    <x v="773"/>
    <x v="841"/>
  </r>
  <r>
    <x v="1"/>
    <x v="129"/>
    <x v="2"/>
    <x v="3"/>
    <x v="785"/>
    <x v="25"/>
    <x v="0"/>
    <x v="405"/>
    <x v="408"/>
    <x v="1"/>
    <x v="28"/>
    <x v="1"/>
    <x v="0"/>
    <x v="17"/>
    <x v="524"/>
    <x v="480"/>
    <x v="529"/>
    <x v="201"/>
    <x v="130"/>
    <x v="0"/>
    <x v="2"/>
    <x v="0"/>
    <x v="4"/>
    <x v="4"/>
    <x v="1"/>
    <x v="3"/>
    <x v="6"/>
    <x v="20"/>
    <x v="1"/>
    <x v="210"/>
    <x v="8"/>
    <x v="2"/>
    <x v="805"/>
    <x v="90"/>
    <x v="25"/>
    <x v="28"/>
    <x v="408"/>
    <x v="213"/>
  </r>
  <r>
    <x v="0"/>
    <x v="202"/>
    <x v="1"/>
    <x v="3"/>
    <x v="582"/>
    <x v="19"/>
    <x v="2"/>
    <x v="424"/>
    <x v="410"/>
    <x v="1"/>
    <x v="1"/>
    <x v="1"/>
    <x v="1"/>
    <x v="16"/>
    <x v="446"/>
    <x v="498"/>
    <x v="463"/>
    <x v="779"/>
    <x v="733"/>
    <x v="1"/>
    <x v="0"/>
    <x v="2"/>
    <x v="7"/>
    <x v="7"/>
    <x v="2"/>
    <x v="4"/>
    <x v="3"/>
    <x v="31"/>
    <x v="0"/>
    <x v="137"/>
    <x v="5"/>
    <x v="1"/>
    <x v="944"/>
    <x v="90"/>
    <x v="19"/>
    <x v="1"/>
    <x v="410"/>
    <x v="417"/>
  </r>
  <r>
    <x v="47"/>
    <x v="198"/>
    <x v="0"/>
    <x v="1"/>
    <x v="952"/>
    <x v="5"/>
    <x v="3"/>
    <x v="384"/>
    <x v="413"/>
    <x v="0"/>
    <x v="26"/>
    <x v="2"/>
    <x v="0"/>
    <x v="5"/>
    <x v="151"/>
    <x v="140"/>
    <x v="168"/>
    <x v="489"/>
    <x v="292"/>
    <x v="0"/>
    <x v="2"/>
    <x v="0"/>
    <x v="6"/>
    <x v="6"/>
    <x v="2"/>
    <x v="3"/>
    <x v="6"/>
    <x v="30"/>
    <x v="1"/>
    <x v="141"/>
    <x v="5"/>
    <x v="0"/>
    <x v="339"/>
    <x v="32"/>
    <x v="5"/>
    <x v="26"/>
    <x v="413"/>
    <x v="45"/>
  </r>
  <r>
    <x v="11"/>
    <x v="295"/>
    <x v="4"/>
    <x v="1"/>
    <x v="43"/>
    <x v="5"/>
    <x v="0"/>
    <x v="729"/>
    <x v="770"/>
    <x v="1"/>
    <x v="30"/>
    <x v="0"/>
    <x v="1"/>
    <x v="9"/>
    <x v="262"/>
    <x v="211"/>
    <x v="277"/>
    <x v="350"/>
    <x v="85"/>
    <x v="0"/>
    <x v="2"/>
    <x v="1"/>
    <x v="10"/>
    <x v="10"/>
    <x v="3"/>
    <x v="5"/>
    <x v="1"/>
    <x v="46"/>
    <x v="0"/>
    <x v="44"/>
    <x v="2"/>
    <x v="4"/>
    <x v="509"/>
    <x v="90"/>
    <x v="5"/>
    <x v="30"/>
    <x v="770"/>
    <x v="956"/>
  </r>
  <r>
    <x v="68"/>
    <x v="29"/>
    <x v="4"/>
    <x v="1"/>
    <x v="271"/>
    <x v="17"/>
    <x v="3"/>
    <x v="573"/>
    <x v="610"/>
    <x v="0"/>
    <x v="27"/>
    <x v="0"/>
    <x v="1"/>
    <x v="9"/>
    <x v="515"/>
    <x v="477"/>
    <x v="506"/>
    <x v="270"/>
    <x v="228"/>
    <x v="0"/>
    <x v="2"/>
    <x v="2"/>
    <x v="1"/>
    <x v="1"/>
    <x v="0"/>
    <x v="6"/>
    <x v="2"/>
    <x v="5"/>
    <x v="0"/>
    <x v="310"/>
    <x v="11"/>
    <x v="4"/>
    <x v="408"/>
    <x v="90"/>
    <x v="17"/>
    <x v="27"/>
    <x v="610"/>
    <x v="728"/>
  </r>
  <r>
    <x v="36"/>
    <x v="146"/>
    <x v="0"/>
    <x v="2"/>
    <x v="599"/>
    <x v="3"/>
    <x v="2"/>
    <x v="950"/>
    <x v="958"/>
    <x v="0"/>
    <x v="24"/>
    <x v="1"/>
    <x v="1"/>
    <x v="10"/>
    <x v="214"/>
    <x v="194"/>
    <x v="253"/>
    <x v="382"/>
    <x v="129"/>
    <x v="0"/>
    <x v="2"/>
    <x v="2"/>
    <x v="5"/>
    <x v="5"/>
    <x v="1"/>
    <x v="6"/>
    <x v="2"/>
    <x v="23"/>
    <x v="0"/>
    <x v="193"/>
    <x v="7"/>
    <x v="0"/>
    <x v="689"/>
    <x v="90"/>
    <x v="3"/>
    <x v="24"/>
    <x v="958"/>
    <x v="400"/>
  </r>
  <r>
    <x v="31"/>
    <x v="265"/>
    <x v="0"/>
    <x v="1"/>
    <x v="309"/>
    <x v="16"/>
    <x v="0"/>
    <x v="257"/>
    <x v="257"/>
    <x v="1"/>
    <x v="11"/>
    <x v="2"/>
    <x v="1"/>
    <x v="5"/>
    <x v="279"/>
    <x v="288"/>
    <x v="279"/>
    <x v="707"/>
    <x v="723"/>
    <x v="1"/>
    <x v="1"/>
    <x v="2"/>
    <x v="9"/>
    <x v="9"/>
    <x v="3"/>
    <x v="4"/>
    <x v="3"/>
    <x v="41"/>
    <x v="0"/>
    <x v="74"/>
    <x v="3"/>
    <x v="0"/>
    <x v="493"/>
    <x v="90"/>
    <x v="16"/>
    <x v="11"/>
    <x v="257"/>
    <x v="690"/>
  </r>
  <r>
    <x v="8"/>
    <x v="283"/>
    <x v="1"/>
    <x v="2"/>
    <x v="719"/>
    <x v="13"/>
    <x v="2"/>
    <x v="102"/>
    <x v="140"/>
    <x v="1"/>
    <x v="7"/>
    <x v="2"/>
    <x v="1"/>
    <x v="11"/>
    <x v="146"/>
    <x v="159"/>
    <x v="130"/>
    <x v="852"/>
    <x v="943"/>
    <x v="1"/>
    <x v="0"/>
    <x v="2"/>
    <x v="10"/>
    <x v="10"/>
    <x v="3"/>
    <x v="6"/>
    <x v="2"/>
    <x v="44"/>
    <x v="0"/>
    <x v="56"/>
    <x v="2"/>
    <x v="1"/>
    <x v="736"/>
    <x v="90"/>
    <x v="13"/>
    <x v="7"/>
    <x v="140"/>
    <x v="279"/>
  </r>
  <r>
    <x v="98"/>
    <x v="266"/>
    <x v="2"/>
    <x v="1"/>
    <x v="761"/>
    <x v="13"/>
    <x v="2"/>
    <x v="393"/>
    <x v="419"/>
    <x v="1"/>
    <x v="22"/>
    <x v="2"/>
    <x v="0"/>
    <x v="7"/>
    <x v="335"/>
    <x v="312"/>
    <x v="339"/>
    <x v="436"/>
    <x v="374"/>
    <x v="0"/>
    <x v="2"/>
    <x v="0"/>
    <x v="9"/>
    <x v="9"/>
    <x v="3"/>
    <x v="0"/>
    <x v="4"/>
    <x v="41"/>
    <x v="0"/>
    <x v="73"/>
    <x v="3"/>
    <x v="2"/>
    <x v="362"/>
    <x v="90"/>
    <x v="13"/>
    <x v="22"/>
    <x v="419"/>
    <x v="237"/>
  </r>
  <r>
    <x v="18"/>
    <x v="132"/>
    <x v="4"/>
    <x v="2"/>
    <x v="106"/>
    <x v="12"/>
    <x v="2"/>
    <x v="626"/>
    <x v="603"/>
    <x v="0"/>
    <x v="9"/>
    <x v="1"/>
    <x v="0"/>
    <x v="14"/>
    <x v="415"/>
    <x v="439"/>
    <x v="445"/>
    <x v="429"/>
    <x v="447"/>
    <x v="0"/>
    <x v="0"/>
    <x v="1"/>
    <x v="4"/>
    <x v="4"/>
    <x v="1"/>
    <x v="6"/>
    <x v="2"/>
    <x v="21"/>
    <x v="0"/>
    <x v="207"/>
    <x v="8"/>
    <x v="4"/>
    <x v="575"/>
    <x v="90"/>
    <x v="12"/>
    <x v="9"/>
    <x v="603"/>
    <x v="893"/>
  </r>
  <r>
    <x v="47"/>
    <x v="18"/>
    <x v="1"/>
    <x v="3"/>
    <x v="516"/>
    <x v="6"/>
    <x v="0"/>
    <x v="877"/>
    <x v="909"/>
    <x v="1"/>
    <x v="5"/>
    <x v="2"/>
    <x v="1"/>
    <x v="16"/>
    <x v="341"/>
    <x v="383"/>
    <x v="368"/>
    <x v="711"/>
    <x v="700"/>
    <x v="1"/>
    <x v="0"/>
    <x v="2"/>
    <x v="0"/>
    <x v="0"/>
    <x v="0"/>
    <x v="4"/>
    <x v="3"/>
    <x v="3"/>
    <x v="0"/>
    <x v="321"/>
    <x v="12"/>
    <x v="1"/>
    <x v="888"/>
    <x v="90"/>
    <x v="6"/>
    <x v="5"/>
    <x v="909"/>
    <x v="483"/>
  </r>
  <r>
    <x v="79"/>
    <x v="17"/>
    <x v="2"/>
    <x v="0"/>
    <x v="515"/>
    <x v="43"/>
    <x v="1"/>
    <x v="361"/>
    <x v="350"/>
    <x v="0"/>
    <x v="24"/>
    <x v="2"/>
    <x v="0"/>
    <x v="2"/>
    <x v="684"/>
    <x v="646"/>
    <x v="672"/>
    <x v="183"/>
    <x v="237"/>
    <x v="0"/>
    <x v="2"/>
    <x v="2"/>
    <x v="0"/>
    <x v="0"/>
    <x v="0"/>
    <x v="6"/>
    <x v="2"/>
    <x v="3"/>
    <x v="0"/>
    <x v="322"/>
    <x v="12"/>
    <x v="2"/>
    <x v="9"/>
    <x v="90"/>
    <x v="43"/>
    <x v="24"/>
    <x v="350"/>
    <x v="484"/>
  </r>
  <r>
    <x v="2"/>
    <x v="239"/>
    <x v="1"/>
    <x v="3"/>
    <x v="376"/>
    <x v="14"/>
    <x v="0"/>
    <x v="661"/>
    <x v="640"/>
    <x v="1"/>
    <x v="9"/>
    <x v="2"/>
    <x v="1"/>
    <x v="16"/>
    <x v="476"/>
    <x v="504"/>
    <x v="505"/>
    <x v="409"/>
    <x v="446"/>
    <x v="0"/>
    <x v="0"/>
    <x v="2"/>
    <x v="8"/>
    <x v="8"/>
    <x v="2"/>
    <x v="4"/>
    <x v="3"/>
    <x v="37"/>
    <x v="0"/>
    <x v="100"/>
    <x v="4"/>
    <x v="1"/>
    <x v="955"/>
    <x v="90"/>
    <x v="14"/>
    <x v="9"/>
    <x v="640"/>
    <x v="623"/>
  </r>
  <r>
    <x v="19"/>
    <x v="71"/>
    <x v="4"/>
    <x v="3"/>
    <x v="932"/>
    <x v="18"/>
    <x v="2"/>
    <x v="365"/>
    <x v="338"/>
    <x v="1"/>
    <x v="27"/>
    <x v="0"/>
    <x v="1"/>
    <x v="19"/>
    <x v="377"/>
    <x v="325"/>
    <x v="399"/>
    <x v="279"/>
    <x v="82"/>
    <x v="0"/>
    <x v="2"/>
    <x v="0"/>
    <x v="2"/>
    <x v="2"/>
    <x v="0"/>
    <x v="3"/>
    <x v="6"/>
    <x v="11"/>
    <x v="1"/>
    <x v="268"/>
    <x v="10"/>
    <x v="4"/>
    <x v="908"/>
    <x v="33"/>
    <x v="18"/>
    <x v="27"/>
    <x v="338"/>
    <x v="65"/>
  </r>
  <r>
    <x v="23"/>
    <x v="162"/>
    <x v="0"/>
    <x v="1"/>
    <x v="836"/>
    <x v="42"/>
    <x v="0"/>
    <x v="627"/>
    <x v="617"/>
    <x v="0"/>
    <x v="25"/>
    <x v="1"/>
    <x v="0"/>
    <x v="5"/>
    <x v="855"/>
    <x v="817"/>
    <x v="863"/>
    <x v="52"/>
    <x v="77"/>
    <x v="0"/>
    <x v="2"/>
    <x v="0"/>
    <x v="5"/>
    <x v="5"/>
    <x v="1"/>
    <x v="2"/>
    <x v="5"/>
    <x v="25"/>
    <x v="1"/>
    <x v="177"/>
    <x v="7"/>
    <x v="0"/>
    <x v="320"/>
    <x v="90"/>
    <x v="42"/>
    <x v="25"/>
    <x v="617"/>
    <x v="161"/>
  </r>
  <r>
    <x v="53"/>
    <x v="181"/>
    <x v="0"/>
    <x v="2"/>
    <x v="698"/>
    <x v="46"/>
    <x v="2"/>
    <x v="903"/>
    <x v="901"/>
    <x v="0"/>
    <x v="25"/>
    <x v="0"/>
    <x v="0"/>
    <x v="10"/>
    <x v="986"/>
    <x v="957"/>
    <x v="983"/>
    <x v="9"/>
    <x v="94"/>
    <x v="0"/>
    <x v="2"/>
    <x v="2"/>
    <x v="6"/>
    <x v="6"/>
    <x v="2"/>
    <x v="4"/>
    <x v="3"/>
    <x v="28"/>
    <x v="0"/>
    <x v="158"/>
    <x v="6"/>
    <x v="0"/>
    <x v="596"/>
    <x v="90"/>
    <x v="46"/>
    <x v="25"/>
    <x v="901"/>
    <x v="300"/>
  </r>
  <r>
    <x v="32"/>
    <x v="104"/>
    <x v="2"/>
    <x v="0"/>
    <x v="718"/>
    <x v="43"/>
    <x v="1"/>
    <x v="238"/>
    <x v="211"/>
    <x v="1"/>
    <x v="23"/>
    <x v="0"/>
    <x v="1"/>
    <x v="2"/>
    <x v="517"/>
    <x v="493"/>
    <x v="524"/>
    <x v="257"/>
    <x v="224"/>
    <x v="0"/>
    <x v="2"/>
    <x v="2"/>
    <x v="3"/>
    <x v="3"/>
    <x v="1"/>
    <x v="3"/>
    <x v="6"/>
    <x v="16"/>
    <x v="1"/>
    <x v="235"/>
    <x v="9"/>
    <x v="2"/>
    <x v="167"/>
    <x v="90"/>
    <x v="43"/>
    <x v="23"/>
    <x v="211"/>
    <x v="280"/>
  </r>
  <r>
    <x v="23"/>
    <x v="105"/>
    <x v="3"/>
    <x v="1"/>
    <x v="468"/>
    <x v="34"/>
    <x v="3"/>
    <x v="408"/>
    <x v="376"/>
    <x v="1"/>
    <x v="26"/>
    <x v="1"/>
    <x v="1"/>
    <x v="8"/>
    <x v="621"/>
    <x v="568"/>
    <x v="648"/>
    <x v="110"/>
    <x v="45"/>
    <x v="0"/>
    <x v="2"/>
    <x v="2"/>
    <x v="3"/>
    <x v="3"/>
    <x v="1"/>
    <x v="1"/>
    <x v="0"/>
    <x v="17"/>
    <x v="0"/>
    <x v="234"/>
    <x v="9"/>
    <x v="3"/>
    <x v="427"/>
    <x v="90"/>
    <x v="34"/>
    <x v="26"/>
    <x v="376"/>
    <x v="531"/>
  </r>
  <r>
    <x v="74"/>
    <x v="209"/>
    <x v="2"/>
    <x v="1"/>
    <x v="924"/>
    <x v="16"/>
    <x v="1"/>
    <x v="990"/>
    <x v="962"/>
    <x v="1"/>
    <x v="24"/>
    <x v="0"/>
    <x v="1"/>
    <x v="7"/>
    <x v="674"/>
    <x v="642"/>
    <x v="697"/>
    <x v="91"/>
    <x v="49"/>
    <x v="0"/>
    <x v="2"/>
    <x v="0"/>
    <x v="7"/>
    <x v="7"/>
    <x v="2"/>
    <x v="4"/>
    <x v="3"/>
    <x v="32"/>
    <x v="0"/>
    <x v="130"/>
    <x v="5"/>
    <x v="2"/>
    <x v="470"/>
    <x v="34"/>
    <x v="16"/>
    <x v="24"/>
    <x v="962"/>
    <x v="73"/>
  </r>
  <r>
    <x v="71"/>
    <x v="154"/>
    <x v="3"/>
    <x v="1"/>
    <x v="693"/>
    <x v="34"/>
    <x v="1"/>
    <x v="888"/>
    <x v="891"/>
    <x v="1"/>
    <x v="18"/>
    <x v="2"/>
    <x v="1"/>
    <x v="8"/>
    <x v="908"/>
    <x v="894"/>
    <x v="904"/>
    <x v="94"/>
    <x v="287"/>
    <x v="0"/>
    <x v="1"/>
    <x v="2"/>
    <x v="5"/>
    <x v="5"/>
    <x v="1"/>
    <x v="4"/>
    <x v="3"/>
    <x v="24"/>
    <x v="0"/>
    <x v="185"/>
    <x v="7"/>
    <x v="3"/>
    <x v="448"/>
    <x v="90"/>
    <x v="34"/>
    <x v="18"/>
    <x v="891"/>
    <x v="305"/>
  </r>
  <r>
    <x v="35"/>
    <x v="296"/>
    <x v="1"/>
    <x v="3"/>
    <x v="731"/>
    <x v="18"/>
    <x v="3"/>
    <x v="582"/>
    <x v="607"/>
    <x v="1"/>
    <x v="9"/>
    <x v="2"/>
    <x v="1"/>
    <x v="16"/>
    <x v="540"/>
    <x v="573"/>
    <x v="536"/>
    <x v="729"/>
    <x v="674"/>
    <x v="1"/>
    <x v="0"/>
    <x v="2"/>
    <x v="10"/>
    <x v="10"/>
    <x v="3"/>
    <x v="6"/>
    <x v="2"/>
    <x v="46"/>
    <x v="0"/>
    <x v="43"/>
    <x v="2"/>
    <x v="1"/>
    <x v="981"/>
    <x v="90"/>
    <x v="18"/>
    <x v="9"/>
    <x v="607"/>
    <x v="267"/>
  </r>
  <r>
    <x v="37"/>
    <x v="121"/>
    <x v="1"/>
    <x v="2"/>
    <x v="869"/>
    <x v="19"/>
    <x v="0"/>
    <x v="540"/>
    <x v="520"/>
    <x v="0"/>
    <x v="27"/>
    <x v="2"/>
    <x v="1"/>
    <x v="11"/>
    <x v="504"/>
    <x v="457"/>
    <x v="521"/>
    <x v="174"/>
    <x v="61"/>
    <x v="0"/>
    <x v="2"/>
    <x v="0"/>
    <x v="4"/>
    <x v="4"/>
    <x v="1"/>
    <x v="0"/>
    <x v="4"/>
    <x v="19"/>
    <x v="0"/>
    <x v="218"/>
    <x v="8"/>
    <x v="1"/>
    <x v="682"/>
    <x v="90"/>
    <x v="19"/>
    <x v="27"/>
    <x v="520"/>
    <x v="128"/>
  </r>
  <r>
    <x v="83"/>
    <x v="246"/>
    <x v="4"/>
    <x v="2"/>
    <x v="284"/>
    <x v="35"/>
    <x v="3"/>
    <x v="298"/>
    <x v="246"/>
    <x v="0"/>
    <x v="25"/>
    <x v="2"/>
    <x v="0"/>
    <x v="14"/>
    <x v="489"/>
    <x v="452"/>
    <x v="523"/>
    <x v="155"/>
    <x v="44"/>
    <x v="0"/>
    <x v="2"/>
    <x v="2"/>
    <x v="8"/>
    <x v="8"/>
    <x v="2"/>
    <x v="4"/>
    <x v="3"/>
    <x v="38"/>
    <x v="0"/>
    <x v="93"/>
    <x v="4"/>
    <x v="4"/>
    <x v="614"/>
    <x v="90"/>
    <x v="35"/>
    <x v="25"/>
    <x v="246"/>
    <x v="715"/>
  </r>
  <r>
    <x v="98"/>
    <x v="50"/>
    <x v="3"/>
    <x v="0"/>
    <x v="818"/>
    <x v="34"/>
    <x v="0"/>
    <x v="541"/>
    <x v="496"/>
    <x v="0"/>
    <x v="14"/>
    <x v="1"/>
    <x v="1"/>
    <x v="3"/>
    <x v="696"/>
    <x v="704"/>
    <x v="721"/>
    <x v="193"/>
    <x v="306"/>
    <x v="0"/>
    <x v="1"/>
    <x v="0"/>
    <x v="1"/>
    <x v="1"/>
    <x v="0"/>
    <x v="0"/>
    <x v="4"/>
    <x v="8"/>
    <x v="0"/>
    <x v="289"/>
    <x v="11"/>
    <x v="3"/>
    <x v="143"/>
    <x v="90"/>
    <x v="34"/>
    <x v="14"/>
    <x v="496"/>
    <x v="179"/>
  </r>
  <r>
    <x v="88"/>
    <x v="332"/>
    <x v="4"/>
    <x v="2"/>
    <x v="186"/>
    <x v="31"/>
    <x v="0"/>
    <x v="858"/>
    <x v="904"/>
    <x v="0"/>
    <x v="1"/>
    <x v="0"/>
    <x v="1"/>
    <x v="14"/>
    <x v="881"/>
    <x v="929"/>
    <x v="866"/>
    <x v="980"/>
    <x v="791"/>
    <x v="1"/>
    <x v="0"/>
    <x v="1"/>
    <x v="11"/>
    <x v="11"/>
    <x v="3"/>
    <x v="1"/>
    <x v="0"/>
    <x v="52"/>
    <x v="0"/>
    <x v="7"/>
    <x v="0"/>
    <x v="4"/>
    <x v="750"/>
    <x v="90"/>
    <x v="31"/>
    <x v="1"/>
    <x v="904"/>
    <x v="813"/>
  </r>
  <r>
    <x v="98"/>
    <x v="120"/>
    <x v="0"/>
    <x v="2"/>
    <x v="352"/>
    <x v="47"/>
    <x v="2"/>
    <x v="690"/>
    <x v="688"/>
    <x v="1"/>
    <x v="19"/>
    <x v="0"/>
    <x v="0"/>
    <x v="10"/>
    <x v="930"/>
    <x v="918"/>
    <x v="927"/>
    <x v="79"/>
    <x v="275"/>
    <x v="0"/>
    <x v="1"/>
    <x v="2"/>
    <x v="4"/>
    <x v="4"/>
    <x v="1"/>
    <x v="4"/>
    <x v="3"/>
    <x v="19"/>
    <x v="0"/>
    <x v="219"/>
    <x v="8"/>
    <x v="0"/>
    <x v="571"/>
    <x v="90"/>
    <x v="47"/>
    <x v="19"/>
    <x v="688"/>
    <x v="647"/>
  </r>
  <r>
    <x v="24"/>
    <x v="268"/>
    <x v="3"/>
    <x v="1"/>
    <x v="346"/>
    <x v="43"/>
    <x v="2"/>
    <x v="302"/>
    <x v="301"/>
    <x v="0"/>
    <x v="2"/>
    <x v="2"/>
    <x v="1"/>
    <x v="8"/>
    <x v="627"/>
    <x v="679"/>
    <x v="615"/>
    <x v="937"/>
    <x v="829"/>
    <x v="1"/>
    <x v="0"/>
    <x v="2"/>
    <x v="9"/>
    <x v="9"/>
    <x v="3"/>
    <x v="3"/>
    <x v="6"/>
    <x v="41"/>
    <x v="1"/>
    <x v="71"/>
    <x v="3"/>
    <x v="3"/>
    <x v="495"/>
    <x v="90"/>
    <x v="43"/>
    <x v="2"/>
    <x v="301"/>
    <x v="653"/>
  </r>
  <r>
    <x v="92"/>
    <x v="248"/>
    <x v="2"/>
    <x v="1"/>
    <x v="980"/>
    <x v="39"/>
    <x v="3"/>
    <x v="202"/>
    <x v="161"/>
    <x v="0"/>
    <x v="28"/>
    <x v="2"/>
    <x v="1"/>
    <x v="7"/>
    <x v="428"/>
    <x v="379"/>
    <x v="455"/>
    <x v="187"/>
    <x v="14"/>
    <x v="0"/>
    <x v="2"/>
    <x v="0"/>
    <x v="8"/>
    <x v="8"/>
    <x v="2"/>
    <x v="2"/>
    <x v="5"/>
    <x v="38"/>
    <x v="1"/>
    <x v="91"/>
    <x v="4"/>
    <x v="2"/>
    <x v="485"/>
    <x v="35"/>
    <x v="39"/>
    <x v="28"/>
    <x v="161"/>
    <x v="17"/>
  </r>
  <r>
    <x v="17"/>
    <x v="339"/>
    <x v="0"/>
    <x v="3"/>
    <x v="864"/>
    <x v="23"/>
    <x v="1"/>
    <x v="278"/>
    <x v="304"/>
    <x v="0"/>
    <x v="29"/>
    <x v="0"/>
    <x v="0"/>
    <x v="15"/>
    <x v="414"/>
    <x v="363"/>
    <x v="389"/>
    <x v="404"/>
    <x v="348"/>
    <x v="0"/>
    <x v="2"/>
    <x v="0"/>
    <x v="12"/>
    <x v="12"/>
    <x v="4"/>
    <x v="1"/>
    <x v="0"/>
    <x v="0"/>
    <x v="0"/>
    <x v="0"/>
    <x v="0"/>
    <x v="0"/>
    <x v="880"/>
    <x v="90"/>
    <x v="23"/>
    <x v="29"/>
    <x v="304"/>
    <x v="133"/>
  </r>
  <r>
    <x v="81"/>
    <x v="150"/>
    <x v="0"/>
    <x v="1"/>
    <x v="702"/>
    <x v="16"/>
    <x v="3"/>
    <x v="167"/>
    <x v="178"/>
    <x v="1"/>
    <x v="6"/>
    <x v="1"/>
    <x v="1"/>
    <x v="5"/>
    <x v="207"/>
    <x v="236"/>
    <x v="210"/>
    <x v="801"/>
    <x v="881"/>
    <x v="1"/>
    <x v="0"/>
    <x v="2"/>
    <x v="5"/>
    <x v="5"/>
    <x v="1"/>
    <x v="3"/>
    <x v="6"/>
    <x v="23"/>
    <x v="1"/>
    <x v="189"/>
    <x v="7"/>
    <x v="0"/>
    <x v="446"/>
    <x v="90"/>
    <x v="16"/>
    <x v="6"/>
    <x v="178"/>
    <x v="296"/>
  </r>
  <r>
    <x v="65"/>
    <x v="80"/>
    <x v="2"/>
    <x v="1"/>
    <x v="729"/>
    <x v="6"/>
    <x v="0"/>
    <x v="97"/>
    <x v="60"/>
    <x v="0"/>
    <x v="20"/>
    <x v="0"/>
    <x v="0"/>
    <x v="7"/>
    <x v="43"/>
    <x v="45"/>
    <x v="66"/>
    <x v="588"/>
    <x v="525"/>
    <x v="0"/>
    <x v="2"/>
    <x v="2"/>
    <x v="2"/>
    <x v="2"/>
    <x v="0"/>
    <x v="5"/>
    <x v="1"/>
    <x v="13"/>
    <x v="0"/>
    <x v="259"/>
    <x v="9"/>
    <x v="2"/>
    <x v="295"/>
    <x v="90"/>
    <x v="6"/>
    <x v="20"/>
    <x v="60"/>
    <x v="269"/>
  </r>
  <r>
    <x v="53"/>
    <x v="50"/>
    <x v="0"/>
    <x v="1"/>
    <x v="557"/>
    <x v="42"/>
    <x v="2"/>
    <x v="421"/>
    <x v="386"/>
    <x v="1"/>
    <x v="3"/>
    <x v="2"/>
    <x v="1"/>
    <x v="5"/>
    <x v="697"/>
    <x v="749"/>
    <x v="722"/>
    <x v="593"/>
    <x v="601"/>
    <x v="0"/>
    <x v="0"/>
    <x v="2"/>
    <x v="1"/>
    <x v="1"/>
    <x v="0"/>
    <x v="0"/>
    <x v="4"/>
    <x v="8"/>
    <x v="0"/>
    <x v="289"/>
    <x v="11"/>
    <x v="0"/>
    <x v="412"/>
    <x v="90"/>
    <x v="42"/>
    <x v="3"/>
    <x v="386"/>
    <x v="442"/>
  </r>
  <r>
    <x v="34"/>
    <x v="268"/>
    <x v="3"/>
    <x v="1"/>
    <x v="945"/>
    <x v="0"/>
    <x v="3"/>
    <x v="119"/>
    <x v="107"/>
    <x v="0"/>
    <x v="22"/>
    <x v="2"/>
    <x v="0"/>
    <x v="8"/>
    <x v="5"/>
    <x v="5"/>
    <x v="4"/>
    <x v="605"/>
    <x v="681"/>
    <x v="1"/>
    <x v="2"/>
    <x v="0"/>
    <x v="9"/>
    <x v="9"/>
    <x v="3"/>
    <x v="3"/>
    <x v="6"/>
    <x v="41"/>
    <x v="1"/>
    <x v="71"/>
    <x v="3"/>
    <x v="3"/>
    <x v="363"/>
    <x v="36"/>
    <x v="0"/>
    <x v="22"/>
    <x v="107"/>
    <x v="52"/>
  </r>
  <r>
    <x v="79"/>
    <x v="165"/>
    <x v="4"/>
    <x v="3"/>
    <x v="499"/>
    <x v="34"/>
    <x v="3"/>
    <x v="170"/>
    <x v="213"/>
    <x v="1"/>
    <x v="10"/>
    <x v="1"/>
    <x v="0"/>
    <x v="19"/>
    <x v="448"/>
    <x v="470"/>
    <x v="382"/>
    <x v="953"/>
    <x v="912"/>
    <x v="1"/>
    <x v="1"/>
    <x v="2"/>
    <x v="5"/>
    <x v="5"/>
    <x v="1"/>
    <x v="5"/>
    <x v="1"/>
    <x v="26"/>
    <x v="0"/>
    <x v="174"/>
    <x v="6"/>
    <x v="4"/>
    <x v="814"/>
    <x v="90"/>
    <x v="34"/>
    <x v="10"/>
    <x v="213"/>
    <x v="500"/>
  </r>
  <r>
    <x v="60"/>
    <x v="324"/>
    <x v="0"/>
    <x v="1"/>
    <x v="391"/>
    <x v="31"/>
    <x v="2"/>
    <x v="572"/>
    <x v="597"/>
    <x v="0"/>
    <x v="20"/>
    <x v="0"/>
    <x v="0"/>
    <x v="5"/>
    <x v="728"/>
    <x v="706"/>
    <x v="711"/>
    <x v="289"/>
    <x v="408"/>
    <x v="0"/>
    <x v="2"/>
    <x v="2"/>
    <x v="11"/>
    <x v="11"/>
    <x v="3"/>
    <x v="0"/>
    <x v="4"/>
    <x v="50"/>
    <x v="0"/>
    <x v="15"/>
    <x v="1"/>
    <x v="0"/>
    <x v="386"/>
    <x v="90"/>
    <x v="31"/>
    <x v="20"/>
    <x v="597"/>
    <x v="608"/>
  </r>
  <r>
    <x v="40"/>
    <x v="7"/>
    <x v="3"/>
    <x v="0"/>
    <x v="154"/>
    <x v="35"/>
    <x v="2"/>
    <x v="164"/>
    <x v="181"/>
    <x v="1"/>
    <x v="11"/>
    <x v="1"/>
    <x v="1"/>
    <x v="3"/>
    <x v="419"/>
    <x v="434"/>
    <x v="378"/>
    <x v="884"/>
    <x v="872"/>
    <x v="1"/>
    <x v="1"/>
    <x v="1"/>
    <x v="0"/>
    <x v="0"/>
    <x v="0"/>
    <x v="3"/>
    <x v="6"/>
    <x v="1"/>
    <x v="1"/>
    <x v="332"/>
    <x v="12"/>
    <x v="3"/>
    <x v="123"/>
    <x v="90"/>
    <x v="35"/>
    <x v="11"/>
    <x v="181"/>
    <x v="845"/>
  </r>
  <r>
    <x v="99"/>
    <x v="298"/>
    <x v="1"/>
    <x v="0"/>
    <x v="792"/>
    <x v="12"/>
    <x v="2"/>
    <x v="67"/>
    <x v="85"/>
    <x v="0"/>
    <x v="4"/>
    <x v="1"/>
    <x v="1"/>
    <x v="1"/>
    <x v="105"/>
    <x v="123"/>
    <x v="87"/>
    <x v="836"/>
    <x v="957"/>
    <x v="1"/>
    <x v="0"/>
    <x v="0"/>
    <x v="10"/>
    <x v="10"/>
    <x v="3"/>
    <x v="0"/>
    <x v="4"/>
    <x v="46"/>
    <x v="0"/>
    <x v="41"/>
    <x v="2"/>
    <x v="1"/>
    <x v="241"/>
    <x v="90"/>
    <x v="12"/>
    <x v="4"/>
    <x v="85"/>
    <x v="206"/>
  </r>
  <r>
    <x v="32"/>
    <x v="290"/>
    <x v="3"/>
    <x v="0"/>
    <x v="736"/>
    <x v="5"/>
    <x v="0"/>
    <x v="334"/>
    <x v="292"/>
    <x v="1"/>
    <x v="12"/>
    <x v="2"/>
    <x v="0"/>
    <x v="3"/>
    <x v="112"/>
    <x v="118"/>
    <x v="148"/>
    <x v="525"/>
    <x v="378"/>
    <x v="0"/>
    <x v="1"/>
    <x v="2"/>
    <x v="10"/>
    <x v="10"/>
    <x v="3"/>
    <x v="4"/>
    <x v="3"/>
    <x v="45"/>
    <x v="0"/>
    <x v="49"/>
    <x v="2"/>
    <x v="3"/>
    <x v="107"/>
    <x v="90"/>
    <x v="5"/>
    <x v="12"/>
    <x v="292"/>
    <x v="262"/>
  </r>
  <r>
    <x v="67"/>
    <x v="232"/>
    <x v="4"/>
    <x v="0"/>
    <x v="393"/>
    <x v="13"/>
    <x v="2"/>
    <x v="225"/>
    <x v="233"/>
    <x v="1"/>
    <x v="3"/>
    <x v="0"/>
    <x v="0"/>
    <x v="4"/>
    <x v="216"/>
    <x v="248"/>
    <x v="220"/>
    <x v="813"/>
    <x v="880"/>
    <x v="1"/>
    <x v="0"/>
    <x v="2"/>
    <x v="8"/>
    <x v="8"/>
    <x v="2"/>
    <x v="1"/>
    <x v="0"/>
    <x v="36"/>
    <x v="0"/>
    <x v="107"/>
    <x v="4"/>
    <x v="4"/>
    <x v="88"/>
    <x v="90"/>
    <x v="13"/>
    <x v="3"/>
    <x v="233"/>
    <x v="606"/>
  </r>
  <r>
    <x v="32"/>
    <x v="300"/>
    <x v="3"/>
    <x v="1"/>
    <x v="30"/>
    <x v="36"/>
    <x v="1"/>
    <x v="538"/>
    <x v="548"/>
    <x v="0"/>
    <x v="17"/>
    <x v="2"/>
    <x v="1"/>
    <x v="8"/>
    <x v="761"/>
    <x v="741"/>
    <x v="745"/>
    <x v="305"/>
    <x v="440"/>
    <x v="0"/>
    <x v="1"/>
    <x v="1"/>
    <x v="10"/>
    <x v="10"/>
    <x v="3"/>
    <x v="3"/>
    <x v="6"/>
    <x v="46"/>
    <x v="1"/>
    <x v="39"/>
    <x v="2"/>
    <x v="3"/>
    <x v="515"/>
    <x v="90"/>
    <x v="36"/>
    <x v="17"/>
    <x v="548"/>
    <x v="969"/>
  </r>
  <r>
    <x v="13"/>
    <x v="237"/>
    <x v="2"/>
    <x v="0"/>
    <x v="848"/>
    <x v="47"/>
    <x v="3"/>
    <x v="104"/>
    <x v="66"/>
    <x v="1"/>
    <x v="1"/>
    <x v="0"/>
    <x v="1"/>
    <x v="2"/>
    <x v="327"/>
    <x v="385"/>
    <x v="327"/>
    <x v="853"/>
    <x v="858"/>
    <x v="1"/>
    <x v="0"/>
    <x v="0"/>
    <x v="8"/>
    <x v="8"/>
    <x v="2"/>
    <x v="5"/>
    <x v="1"/>
    <x v="37"/>
    <x v="0"/>
    <x v="102"/>
    <x v="4"/>
    <x v="2"/>
    <x v="213"/>
    <x v="90"/>
    <x v="47"/>
    <x v="1"/>
    <x v="66"/>
    <x v="149"/>
  </r>
  <r>
    <x v="20"/>
    <x v="304"/>
    <x v="4"/>
    <x v="1"/>
    <x v="13"/>
    <x v="14"/>
    <x v="2"/>
    <x v="766"/>
    <x v="795"/>
    <x v="1"/>
    <x v="16"/>
    <x v="2"/>
    <x v="1"/>
    <x v="9"/>
    <x v="553"/>
    <x v="550"/>
    <x v="552"/>
    <x v="391"/>
    <x v="445"/>
    <x v="0"/>
    <x v="1"/>
    <x v="1"/>
    <x v="10"/>
    <x v="10"/>
    <x v="3"/>
    <x v="0"/>
    <x v="4"/>
    <x v="47"/>
    <x v="0"/>
    <x v="35"/>
    <x v="2"/>
    <x v="4"/>
    <x v="516"/>
    <x v="90"/>
    <x v="14"/>
    <x v="16"/>
    <x v="795"/>
    <x v="986"/>
  </r>
  <r>
    <x v="47"/>
    <x v="49"/>
    <x v="1"/>
    <x v="3"/>
    <x v="704"/>
    <x v="46"/>
    <x v="2"/>
    <x v="917"/>
    <x v="888"/>
    <x v="0"/>
    <x v="27"/>
    <x v="2"/>
    <x v="1"/>
    <x v="16"/>
    <x v="984"/>
    <x v="947"/>
    <x v="988"/>
    <x v="1"/>
    <x v="24"/>
    <x v="0"/>
    <x v="2"/>
    <x v="2"/>
    <x v="1"/>
    <x v="1"/>
    <x v="0"/>
    <x v="4"/>
    <x v="3"/>
    <x v="8"/>
    <x v="0"/>
    <x v="290"/>
    <x v="11"/>
    <x v="1"/>
    <x v="900"/>
    <x v="90"/>
    <x v="46"/>
    <x v="27"/>
    <x v="888"/>
    <x v="294"/>
  </r>
  <r>
    <x v="19"/>
    <x v="233"/>
    <x v="2"/>
    <x v="0"/>
    <x v="970"/>
    <x v="3"/>
    <x v="0"/>
    <x v="753"/>
    <x v="739"/>
    <x v="0"/>
    <x v="25"/>
    <x v="0"/>
    <x v="1"/>
    <x v="2"/>
    <x v="166"/>
    <x v="152"/>
    <x v="208"/>
    <x v="403"/>
    <x v="76"/>
    <x v="0"/>
    <x v="2"/>
    <x v="0"/>
    <x v="8"/>
    <x v="8"/>
    <x v="2"/>
    <x v="6"/>
    <x v="2"/>
    <x v="36"/>
    <x v="0"/>
    <x v="106"/>
    <x v="4"/>
    <x v="2"/>
    <x v="211"/>
    <x v="37"/>
    <x v="3"/>
    <x v="25"/>
    <x v="739"/>
    <x v="27"/>
  </r>
  <r>
    <x v="7"/>
    <x v="225"/>
    <x v="3"/>
    <x v="2"/>
    <x v="447"/>
    <x v="39"/>
    <x v="0"/>
    <x v="557"/>
    <x v="559"/>
    <x v="1"/>
    <x v="26"/>
    <x v="0"/>
    <x v="0"/>
    <x v="13"/>
    <x v="799"/>
    <x v="738"/>
    <x v="791"/>
    <x v="96"/>
    <x v="170"/>
    <x v="0"/>
    <x v="2"/>
    <x v="2"/>
    <x v="7"/>
    <x v="7"/>
    <x v="2"/>
    <x v="3"/>
    <x v="6"/>
    <x v="34"/>
    <x v="1"/>
    <x v="114"/>
    <x v="4"/>
    <x v="3"/>
    <x v="606"/>
    <x v="90"/>
    <x v="39"/>
    <x v="26"/>
    <x v="559"/>
    <x v="552"/>
  </r>
  <r>
    <x v="6"/>
    <x v="216"/>
    <x v="4"/>
    <x v="0"/>
    <x v="237"/>
    <x v="15"/>
    <x v="3"/>
    <x v="876"/>
    <x v="886"/>
    <x v="0"/>
    <x v="28"/>
    <x v="2"/>
    <x v="1"/>
    <x v="4"/>
    <x v="620"/>
    <x v="556"/>
    <x v="633"/>
    <x v="120"/>
    <x v="55"/>
    <x v="0"/>
    <x v="2"/>
    <x v="1"/>
    <x v="7"/>
    <x v="7"/>
    <x v="2"/>
    <x v="4"/>
    <x v="3"/>
    <x v="33"/>
    <x v="0"/>
    <x v="123"/>
    <x v="5"/>
    <x v="4"/>
    <x v="207"/>
    <x v="90"/>
    <x v="15"/>
    <x v="28"/>
    <x v="886"/>
    <x v="762"/>
  </r>
  <r>
    <x v="66"/>
    <x v="61"/>
    <x v="1"/>
    <x v="0"/>
    <x v="706"/>
    <x v="27"/>
    <x v="1"/>
    <x v="701"/>
    <x v="730"/>
    <x v="0"/>
    <x v="3"/>
    <x v="0"/>
    <x v="0"/>
    <x v="1"/>
    <x v="756"/>
    <x v="815"/>
    <x v="749"/>
    <x v="889"/>
    <x v="751"/>
    <x v="1"/>
    <x v="0"/>
    <x v="2"/>
    <x v="2"/>
    <x v="2"/>
    <x v="0"/>
    <x v="6"/>
    <x v="2"/>
    <x v="10"/>
    <x v="0"/>
    <x v="278"/>
    <x v="10"/>
    <x v="1"/>
    <x v="27"/>
    <x v="90"/>
    <x v="27"/>
    <x v="3"/>
    <x v="730"/>
    <x v="292"/>
  </r>
  <r>
    <x v="16"/>
    <x v="46"/>
    <x v="2"/>
    <x v="1"/>
    <x v="827"/>
    <x v="15"/>
    <x v="3"/>
    <x v="13"/>
    <x v="0"/>
    <x v="0"/>
    <x v="4"/>
    <x v="2"/>
    <x v="1"/>
    <x v="7"/>
    <x v="24"/>
    <x v="26"/>
    <x v="22"/>
    <x v="690"/>
    <x v="940"/>
    <x v="1"/>
    <x v="0"/>
    <x v="0"/>
    <x v="1"/>
    <x v="1"/>
    <x v="0"/>
    <x v="1"/>
    <x v="0"/>
    <x v="8"/>
    <x v="0"/>
    <x v="293"/>
    <x v="11"/>
    <x v="2"/>
    <x v="410"/>
    <x v="90"/>
    <x v="15"/>
    <x v="4"/>
    <x v="0"/>
    <x v="170"/>
  </r>
  <r>
    <x v="32"/>
    <x v="89"/>
    <x v="1"/>
    <x v="0"/>
    <x v="545"/>
    <x v="3"/>
    <x v="2"/>
    <x v="394"/>
    <x v="428"/>
    <x v="1"/>
    <x v="17"/>
    <x v="0"/>
    <x v="0"/>
    <x v="1"/>
    <x v="110"/>
    <x v="104"/>
    <x v="135"/>
    <x v="610"/>
    <x v="625"/>
    <x v="1"/>
    <x v="1"/>
    <x v="2"/>
    <x v="3"/>
    <x v="3"/>
    <x v="1"/>
    <x v="0"/>
    <x v="4"/>
    <x v="14"/>
    <x v="0"/>
    <x v="250"/>
    <x v="9"/>
    <x v="1"/>
    <x v="43"/>
    <x v="90"/>
    <x v="3"/>
    <x v="17"/>
    <x v="428"/>
    <x v="454"/>
  </r>
  <r>
    <x v="47"/>
    <x v="84"/>
    <x v="3"/>
    <x v="2"/>
    <x v="965"/>
    <x v="44"/>
    <x v="1"/>
    <x v="862"/>
    <x v="873"/>
    <x v="1"/>
    <x v="27"/>
    <x v="2"/>
    <x v="0"/>
    <x v="13"/>
    <x v="970"/>
    <x v="928"/>
    <x v="963"/>
    <x v="8"/>
    <x v="59"/>
    <x v="0"/>
    <x v="2"/>
    <x v="0"/>
    <x v="3"/>
    <x v="3"/>
    <x v="1"/>
    <x v="3"/>
    <x v="6"/>
    <x v="13"/>
    <x v="1"/>
    <x v="255"/>
    <x v="9"/>
    <x v="3"/>
    <x v="556"/>
    <x v="38"/>
    <x v="44"/>
    <x v="27"/>
    <x v="873"/>
    <x v="32"/>
  </r>
  <r>
    <x v="75"/>
    <x v="246"/>
    <x v="1"/>
    <x v="1"/>
    <x v="47"/>
    <x v="25"/>
    <x v="1"/>
    <x v="360"/>
    <x v="355"/>
    <x v="1"/>
    <x v="29"/>
    <x v="2"/>
    <x v="1"/>
    <x v="6"/>
    <x v="481"/>
    <x v="432"/>
    <x v="478"/>
    <x v="232"/>
    <x v="128"/>
    <x v="0"/>
    <x v="2"/>
    <x v="1"/>
    <x v="8"/>
    <x v="8"/>
    <x v="2"/>
    <x v="4"/>
    <x v="3"/>
    <x v="38"/>
    <x v="0"/>
    <x v="93"/>
    <x v="4"/>
    <x v="1"/>
    <x v="484"/>
    <x v="90"/>
    <x v="25"/>
    <x v="29"/>
    <x v="355"/>
    <x v="952"/>
  </r>
  <r>
    <x v="58"/>
    <x v="270"/>
    <x v="0"/>
    <x v="1"/>
    <x v="508"/>
    <x v="27"/>
    <x v="1"/>
    <x v="37"/>
    <x v="82"/>
    <x v="1"/>
    <x v="1"/>
    <x v="2"/>
    <x v="0"/>
    <x v="5"/>
    <x v="212"/>
    <x v="252"/>
    <x v="108"/>
    <x v="983"/>
    <x v="985"/>
    <x v="1"/>
    <x v="0"/>
    <x v="2"/>
    <x v="9"/>
    <x v="9"/>
    <x v="3"/>
    <x v="6"/>
    <x v="2"/>
    <x v="42"/>
    <x v="0"/>
    <x v="69"/>
    <x v="3"/>
    <x v="0"/>
    <x v="364"/>
    <x v="90"/>
    <x v="27"/>
    <x v="1"/>
    <x v="82"/>
    <x v="491"/>
  </r>
  <r>
    <x v="85"/>
    <x v="88"/>
    <x v="2"/>
    <x v="3"/>
    <x v="723"/>
    <x v="31"/>
    <x v="1"/>
    <x v="756"/>
    <x v="777"/>
    <x v="1"/>
    <x v="11"/>
    <x v="1"/>
    <x v="0"/>
    <x v="17"/>
    <x v="839"/>
    <x v="851"/>
    <x v="833"/>
    <x v="424"/>
    <x v="554"/>
    <x v="0"/>
    <x v="1"/>
    <x v="2"/>
    <x v="3"/>
    <x v="3"/>
    <x v="1"/>
    <x v="4"/>
    <x v="3"/>
    <x v="14"/>
    <x v="0"/>
    <x v="251"/>
    <x v="9"/>
    <x v="2"/>
    <x v="787"/>
    <x v="90"/>
    <x v="31"/>
    <x v="11"/>
    <x v="777"/>
    <x v="275"/>
  </r>
  <r>
    <x v="21"/>
    <x v="81"/>
    <x v="1"/>
    <x v="3"/>
    <x v="871"/>
    <x v="44"/>
    <x v="3"/>
    <x v="806"/>
    <x v="772"/>
    <x v="1"/>
    <x v="6"/>
    <x v="0"/>
    <x v="0"/>
    <x v="16"/>
    <x v="942"/>
    <x v="968"/>
    <x v="953"/>
    <x v="253"/>
    <x v="495"/>
    <x v="0"/>
    <x v="0"/>
    <x v="0"/>
    <x v="2"/>
    <x v="2"/>
    <x v="0"/>
    <x v="6"/>
    <x v="2"/>
    <x v="13"/>
    <x v="0"/>
    <x v="258"/>
    <x v="9"/>
    <x v="1"/>
    <x v="784"/>
    <x v="90"/>
    <x v="44"/>
    <x v="6"/>
    <x v="772"/>
    <x v="126"/>
  </r>
  <r>
    <x v="29"/>
    <x v="71"/>
    <x v="3"/>
    <x v="0"/>
    <x v="168"/>
    <x v="1"/>
    <x v="0"/>
    <x v="160"/>
    <x v="194"/>
    <x v="1"/>
    <x v="23"/>
    <x v="2"/>
    <x v="0"/>
    <x v="3"/>
    <x v="21"/>
    <x v="19"/>
    <x v="23"/>
    <x v="632"/>
    <x v="813"/>
    <x v="1"/>
    <x v="2"/>
    <x v="1"/>
    <x v="2"/>
    <x v="2"/>
    <x v="0"/>
    <x v="3"/>
    <x v="6"/>
    <x v="11"/>
    <x v="1"/>
    <x v="268"/>
    <x v="10"/>
    <x v="3"/>
    <x v="29"/>
    <x v="90"/>
    <x v="1"/>
    <x v="23"/>
    <x v="194"/>
    <x v="831"/>
  </r>
  <r>
    <x v="37"/>
    <x v="268"/>
    <x v="3"/>
    <x v="3"/>
    <x v="805"/>
    <x v="30"/>
    <x v="0"/>
    <x v="561"/>
    <x v="517"/>
    <x v="0"/>
    <x v="19"/>
    <x v="1"/>
    <x v="1"/>
    <x v="18"/>
    <x v="676"/>
    <x v="657"/>
    <x v="691"/>
    <x v="131"/>
    <x v="173"/>
    <x v="0"/>
    <x v="1"/>
    <x v="0"/>
    <x v="9"/>
    <x v="9"/>
    <x v="3"/>
    <x v="3"/>
    <x v="6"/>
    <x v="41"/>
    <x v="1"/>
    <x v="71"/>
    <x v="3"/>
    <x v="3"/>
    <x v="965"/>
    <x v="90"/>
    <x v="30"/>
    <x v="19"/>
    <x v="517"/>
    <x v="192"/>
  </r>
  <r>
    <x v="50"/>
    <x v="111"/>
    <x v="1"/>
    <x v="3"/>
    <x v="550"/>
    <x v="2"/>
    <x v="2"/>
    <x v="194"/>
    <x v="150"/>
    <x v="1"/>
    <x v="4"/>
    <x v="2"/>
    <x v="0"/>
    <x v="16"/>
    <x v="28"/>
    <x v="33"/>
    <x v="51"/>
    <x v="596"/>
    <x v="566"/>
    <x v="0"/>
    <x v="0"/>
    <x v="2"/>
    <x v="3"/>
    <x v="3"/>
    <x v="1"/>
    <x v="3"/>
    <x v="6"/>
    <x v="17"/>
    <x v="1"/>
    <x v="228"/>
    <x v="8"/>
    <x v="1"/>
    <x v="797"/>
    <x v="90"/>
    <x v="2"/>
    <x v="4"/>
    <x v="150"/>
    <x v="449"/>
  </r>
  <r>
    <x v="53"/>
    <x v="280"/>
    <x v="3"/>
    <x v="3"/>
    <x v="405"/>
    <x v="7"/>
    <x v="0"/>
    <x v="730"/>
    <x v="720"/>
    <x v="1"/>
    <x v="15"/>
    <x v="1"/>
    <x v="1"/>
    <x v="18"/>
    <x v="317"/>
    <x v="315"/>
    <x v="351"/>
    <x v="415"/>
    <x v="344"/>
    <x v="0"/>
    <x v="1"/>
    <x v="2"/>
    <x v="9"/>
    <x v="9"/>
    <x v="3"/>
    <x v="3"/>
    <x v="6"/>
    <x v="43"/>
    <x v="1"/>
    <x v="59"/>
    <x v="2"/>
    <x v="3"/>
    <x v="971"/>
    <x v="90"/>
    <x v="7"/>
    <x v="15"/>
    <x v="720"/>
    <x v="594"/>
  </r>
  <r>
    <x v="7"/>
    <x v="153"/>
    <x v="4"/>
    <x v="1"/>
    <x v="125"/>
    <x v="23"/>
    <x v="0"/>
    <x v="285"/>
    <x v="336"/>
    <x v="0"/>
    <x v="21"/>
    <x v="2"/>
    <x v="0"/>
    <x v="9"/>
    <x v="442"/>
    <x v="422"/>
    <x v="397"/>
    <x v="770"/>
    <x v="758"/>
    <x v="1"/>
    <x v="2"/>
    <x v="1"/>
    <x v="5"/>
    <x v="5"/>
    <x v="1"/>
    <x v="6"/>
    <x v="2"/>
    <x v="24"/>
    <x v="0"/>
    <x v="186"/>
    <x v="7"/>
    <x v="4"/>
    <x v="317"/>
    <x v="90"/>
    <x v="23"/>
    <x v="21"/>
    <x v="336"/>
    <x v="874"/>
  </r>
  <r>
    <x v="26"/>
    <x v="169"/>
    <x v="4"/>
    <x v="1"/>
    <x v="875"/>
    <x v="14"/>
    <x v="0"/>
    <x v="333"/>
    <x v="299"/>
    <x v="0"/>
    <x v="23"/>
    <x v="2"/>
    <x v="1"/>
    <x v="9"/>
    <x v="274"/>
    <x v="250"/>
    <x v="310"/>
    <x v="352"/>
    <x v="148"/>
    <x v="0"/>
    <x v="2"/>
    <x v="0"/>
    <x v="6"/>
    <x v="6"/>
    <x v="2"/>
    <x v="2"/>
    <x v="5"/>
    <x v="26"/>
    <x v="1"/>
    <x v="170"/>
    <x v="6"/>
    <x v="4"/>
    <x v="460"/>
    <x v="90"/>
    <x v="14"/>
    <x v="23"/>
    <x v="299"/>
    <x v="122"/>
  </r>
  <r>
    <x v="26"/>
    <x v="210"/>
    <x v="4"/>
    <x v="1"/>
    <x v="147"/>
    <x v="42"/>
    <x v="0"/>
    <x v="854"/>
    <x v="879"/>
    <x v="0"/>
    <x v="1"/>
    <x v="1"/>
    <x v="1"/>
    <x v="9"/>
    <x v="960"/>
    <x v="989"/>
    <x v="956"/>
    <x v="973"/>
    <x v="754"/>
    <x v="1"/>
    <x v="0"/>
    <x v="1"/>
    <x v="7"/>
    <x v="7"/>
    <x v="2"/>
    <x v="0"/>
    <x v="4"/>
    <x v="32"/>
    <x v="0"/>
    <x v="129"/>
    <x v="5"/>
    <x v="4"/>
    <x v="471"/>
    <x v="90"/>
    <x v="42"/>
    <x v="1"/>
    <x v="879"/>
    <x v="852"/>
  </r>
  <r>
    <x v="97"/>
    <x v="288"/>
    <x v="0"/>
    <x v="3"/>
    <x v="322"/>
    <x v="30"/>
    <x v="2"/>
    <x v="485"/>
    <x v="451"/>
    <x v="1"/>
    <x v="27"/>
    <x v="1"/>
    <x v="1"/>
    <x v="15"/>
    <x v="642"/>
    <x v="582"/>
    <x v="663"/>
    <x v="101"/>
    <x v="35"/>
    <x v="0"/>
    <x v="2"/>
    <x v="2"/>
    <x v="10"/>
    <x v="10"/>
    <x v="3"/>
    <x v="5"/>
    <x v="1"/>
    <x v="45"/>
    <x v="0"/>
    <x v="51"/>
    <x v="2"/>
    <x v="0"/>
    <x v="976"/>
    <x v="90"/>
    <x v="30"/>
    <x v="27"/>
    <x v="451"/>
    <x v="677"/>
  </r>
  <r>
    <x v="20"/>
    <x v="6"/>
    <x v="1"/>
    <x v="1"/>
    <x v="303"/>
    <x v="8"/>
    <x v="3"/>
    <x v="675"/>
    <x v="699"/>
    <x v="0"/>
    <x v="17"/>
    <x v="0"/>
    <x v="0"/>
    <x v="6"/>
    <x v="348"/>
    <x v="341"/>
    <x v="371"/>
    <x v="433"/>
    <x v="393"/>
    <x v="0"/>
    <x v="1"/>
    <x v="2"/>
    <x v="0"/>
    <x v="0"/>
    <x v="0"/>
    <x v="2"/>
    <x v="5"/>
    <x v="1"/>
    <x v="1"/>
    <x v="333"/>
    <x v="12"/>
    <x v="1"/>
    <x v="266"/>
    <x v="90"/>
    <x v="8"/>
    <x v="17"/>
    <x v="699"/>
    <x v="696"/>
  </r>
  <r>
    <x v="29"/>
    <x v="306"/>
    <x v="0"/>
    <x v="3"/>
    <x v="880"/>
    <x v="38"/>
    <x v="1"/>
    <x v="406"/>
    <x v="409"/>
    <x v="1"/>
    <x v="24"/>
    <x v="0"/>
    <x v="1"/>
    <x v="15"/>
    <x v="687"/>
    <x v="652"/>
    <x v="680"/>
    <x v="176"/>
    <x v="242"/>
    <x v="0"/>
    <x v="2"/>
    <x v="0"/>
    <x v="10"/>
    <x v="10"/>
    <x v="3"/>
    <x v="3"/>
    <x v="6"/>
    <x v="47"/>
    <x v="1"/>
    <x v="33"/>
    <x v="1"/>
    <x v="0"/>
    <x v="986"/>
    <x v="90"/>
    <x v="38"/>
    <x v="24"/>
    <x v="409"/>
    <x v="117"/>
  </r>
  <r>
    <x v="96"/>
    <x v="245"/>
    <x v="3"/>
    <x v="1"/>
    <x v="670"/>
    <x v="44"/>
    <x v="0"/>
    <x v="310"/>
    <x v="330"/>
    <x v="1"/>
    <x v="24"/>
    <x v="1"/>
    <x v="1"/>
    <x v="8"/>
    <x v="669"/>
    <x v="636"/>
    <x v="631"/>
    <x v="343"/>
    <x v="421"/>
    <x v="0"/>
    <x v="2"/>
    <x v="2"/>
    <x v="8"/>
    <x v="8"/>
    <x v="2"/>
    <x v="6"/>
    <x v="2"/>
    <x v="38"/>
    <x v="0"/>
    <x v="94"/>
    <x v="4"/>
    <x v="3"/>
    <x v="483"/>
    <x v="90"/>
    <x v="44"/>
    <x v="24"/>
    <x v="330"/>
    <x v="328"/>
  </r>
  <r>
    <x v="27"/>
    <x v="149"/>
    <x v="0"/>
    <x v="1"/>
    <x v="802"/>
    <x v="1"/>
    <x v="3"/>
    <x v="641"/>
    <x v="619"/>
    <x v="1"/>
    <x v="6"/>
    <x v="0"/>
    <x v="0"/>
    <x v="5"/>
    <x v="76"/>
    <x v="82"/>
    <x v="111"/>
    <x v="584"/>
    <x v="540"/>
    <x v="0"/>
    <x v="0"/>
    <x v="0"/>
    <x v="5"/>
    <x v="5"/>
    <x v="1"/>
    <x v="2"/>
    <x v="5"/>
    <x v="23"/>
    <x v="1"/>
    <x v="190"/>
    <x v="7"/>
    <x v="0"/>
    <x v="316"/>
    <x v="90"/>
    <x v="1"/>
    <x v="6"/>
    <x v="619"/>
    <x v="195"/>
  </r>
  <r>
    <x v="63"/>
    <x v="139"/>
    <x v="3"/>
    <x v="2"/>
    <x v="256"/>
    <x v="7"/>
    <x v="0"/>
    <x v="158"/>
    <x v="190"/>
    <x v="0"/>
    <x v="3"/>
    <x v="1"/>
    <x v="1"/>
    <x v="13"/>
    <x v="107"/>
    <x v="128"/>
    <x v="117"/>
    <x v="785"/>
    <x v="928"/>
    <x v="1"/>
    <x v="0"/>
    <x v="2"/>
    <x v="4"/>
    <x v="4"/>
    <x v="1"/>
    <x v="6"/>
    <x v="2"/>
    <x v="22"/>
    <x v="0"/>
    <x v="200"/>
    <x v="7"/>
    <x v="3"/>
    <x v="686"/>
    <x v="90"/>
    <x v="7"/>
    <x v="3"/>
    <x v="190"/>
    <x v="743"/>
  </r>
  <r>
    <x v="96"/>
    <x v="78"/>
    <x v="3"/>
    <x v="0"/>
    <x v="621"/>
    <x v="6"/>
    <x v="0"/>
    <x v="377"/>
    <x v="426"/>
    <x v="0"/>
    <x v="22"/>
    <x v="0"/>
    <x v="0"/>
    <x v="3"/>
    <x v="178"/>
    <x v="165"/>
    <x v="191"/>
    <x v="583"/>
    <x v="572"/>
    <x v="0"/>
    <x v="2"/>
    <x v="2"/>
    <x v="2"/>
    <x v="2"/>
    <x v="0"/>
    <x v="3"/>
    <x v="6"/>
    <x v="12"/>
    <x v="1"/>
    <x v="261"/>
    <x v="9"/>
    <x v="3"/>
    <x v="36"/>
    <x v="90"/>
    <x v="6"/>
    <x v="22"/>
    <x v="426"/>
    <x v="377"/>
  </r>
  <r>
    <x v="68"/>
    <x v="135"/>
    <x v="2"/>
    <x v="3"/>
    <x v="567"/>
    <x v="43"/>
    <x v="1"/>
    <x v="211"/>
    <x v="227"/>
    <x v="1"/>
    <x v="5"/>
    <x v="2"/>
    <x v="0"/>
    <x v="17"/>
    <x v="549"/>
    <x v="609"/>
    <x v="493"/>
    <x v="964"/>
    <x v="889"/>
    <x v="1"/>
    <x v="0"/>
    <x v="2"/>
    <x v="4"/>
    <x v="4"/>
    <x v="1"/>
    <x v="2"/>
    <x v="5"/>
    <x v="21"/>
    <x v="1"/>
    <x v="204"/>
    <x v="7"/>
    <x v="2"/>
    <x v="807"/>
    <x v="90"/>
    <x v="43"/>
    <x v="5"/>
    <x v="227"/>
    <x v="432"/>
  </r>
  <r>
    <x v="60"/>
    <x v="103"/>
    <x v="4"/>
    <x v="2"/>
    <x v="838"/>
    <x v="38"/>
    <x v="1"/>
    <x v="702"/>
    <x v="706"/>
    <x v="1"/>
    <x v="25"/>
    <x v="0"/>
    <x v="1"/>
    <x v="14"/>
    <x v="873"/>
    <x v="829"/>
    <x v="867"/>
    <x v="60"/>
    <x v="120"/>
    <x v="0"/>
    <x v="2"/>
    <x v="0"/>
    <x v="3"/>
    <x v="3"/>
    <x v="1"/>
    <x v="2"/>
    <x v="5"/>
    <x v="16"/>
    <x v="1"/>
    <x v="236"/>
    <x v="9"/>
    <x v="4"/>
    <x v="678"/>
    <x v="90"/>
    <x v="38"/>
    <x v="25"/>
    <x v="706"/>
    <x v="159"/>
  </r>
  <r>
    <x v="47"/>
    <x v="33"/>
    <x v="3"/>
    <x v="1"/>
    <x v="911"/>
    <x v="41"/>
    <x v="1"/>
    <x v="951"/>
    <x v="988"/>
    <x v="1"/>
    <x v="22"/>
    <x v="2"/>
    <x v="0"/>
    <x v="8"/>
    <x v="983"/>
    <x v="965"/>
    <x v="973"/>
    <x v="53"/>
    <x v="244"/>
    <x v="0"/>
    <x v="2"/>
    <x v="0"/>
    <x v="1"/>
    <x v="1"/>
    <x v="0"/>
    <x v="3"/>
    <x v="6"/>
    <x v="5"/>
    <x v="1"/>
    <x v="306"/>
    <x v="11"/>
    <x v="3"/>
    <x v="283"/>
    <x v="39"/>
    <x v="41"/>
    <x v="22"/>
    <x v="988"/>
    <x v="86"/>
  </r>
  <r>
    <x v="18"/>
    <x v="265"/>
    <x v="2"/>
    <x v="3"/>
    <x v="15"/>
    <x v="15"/>
    <x v="0"/>
    <x v="992"/>
    <x v="955"/>
    <x v="0"/>
    <x v="25"/>
    <x v="2"/>
    <x v="0"/>
    <x v="17"/>
    <x v="651"/>
    <x v="613"/>
    <x v="682"/>
    <x v="88"/>
    <x v="29"/>
    <x v="0"/>
    <x v="2"/>
    <x v="1"/>
    <x v="9"/>
    <x v="9"/>
    <x v="3"/>
    <x v="4"/>
    <x v="3"/>
    <x v="41"/>
    <x v="0"/>
    <x v="74"/>
    <x v="3"/>
    <x v="2"/>
    <x v="853"/>
    <x v="90"/>
    <x v="15"/>
    <x v="25"/>
    <x v="955"/>
    <x v="984"/>
  </r>
  <r>
    <x v="3"/>
    <x v="175"/>
    <x v="4"/>
    <x v="1"/>
    <x v="675"/>
    <x v="34"/>
    <x v="0"/>
    <x v="459"/>
    <x v="490"/>
    <x v="1"/>
    <x v="9"/>
    <x v="0"/>
    <x v="0"/>
    <x v="9"/>
    <x v="692"/>
    <x v="714"/>
    <x v="683"/>
    <x v="842"/>
    <x v="731"/>
    <x v="1"/>
    <x v="0"/>
    <x v="2"/>
    <x v="6"/>
    <x v="6"/>
    <x v="2"/>
    <x v="0"/>
    <x v="4"/>
    <x v="27"/>
    <x v="0"/>
    <x v="164"/>
    <x v="6"/>
    <x v="4"/>
    <x v="327"/>
    <x v="90"/>
    <x v="34"/>
    <x v="9"/>
    <x v="490"/>
    <x v="323"/>
  </r>
  <r>
    <x v="34"/>
    <x v="75"/>
    <x v="3"/>
    <x v="0"/>
    <x v="48"/>
    <x v="29"/>
    <x v="0"/>
    <x v="259"/>
    <x v="306"/>
    <x v="0"/>
    <x v="9"/>
    <x v="1"/>
    <x v="1"/>
    <x v="3"/>
    <x v="483"/>
    <x v="512"/>
    <x v="431"/>
    <x v="933"/>
    <x v="879"/>
    <x v="1"/>
    <x v="0"/>
    <x v="1"/>
    <x v="2"/>
    <x v="2"/>
    <x v="0"/>
    <x v="4"/>
    <x v="3"/>
    <x v="12"/>
    <x v="0"/>
    <x v="264"/>
    <x v="10"/>
    <x v="3"/>
    <x v="154"/>
    <x v="90"/>
    <x v="29"/>
    <x v="9"/>
    <x v="306"/>
    <x v="951"/>
  </r>
  <r>
    <x v="63"/>
    <x v="1"/>
    <x v="3"/>
    <x v="2"/>
    <x v="548"/>
    <x v="9"/>
    <x v="1"/>
    <x v="440"/>
    <x v="406"/>
    <x v="1"/>
    <x v="20"/>
    <x v="2"/>
    <x v="0"/>
    <x v="13"/>
    <x v="240"/>
    <x v="233"/>
    <x v="289"/>
    <x v="369"/>
    <x v="143"/>
    <x v="0"/>
    <x v="2"/>
    <x v="2"/>
    <x v="0"/>
    <x v="0"/>
    <x v="0"/>
    <x v="1"/>
    <x v="0"/>
    <x v="1"/>
    <x v="0"/>
    <x v="338"/>
    <x v="12"/>
    <x v="3"/>
    <x v="530"/>
    <x v="90"/>
    <x v="9"/>
    <x v="20"/>
    <x v="406"/>
    <x v="451"/>
  </r>
  <r>
    <x v="48"/>
    <x v="281"/>
    <x v="0"/>
    <x v="0"/>
    <x v="300"/>
    <x v="37"/>
    <x v="2"/>
    <x v="857"/>
    <x v="864"/>
    <x v="0"/>
    <x v="1"/>
    <x v="2"/>
    <x v="0"/>
    <x v="0"/>
    <x v="918"/>
    <x v="962"/>
    <x v="918"/>
    <x v="899"/>
    <x v="706"/>
    <x v="1"/>
    <x v="0"/>
    <x v="2"/>
    <x v="9"/>
    <x v="9"/>
    <x v="3"/>
    <x v="1"/>
    <x v="0"/>
    <x v="44"/>
    <x v="0"/>
    <x v="58"/>
    <x v="2"/>
    <x v="0"/>
    <x v="100"/>
    <x v="90"/>
    <x v="37"/>
    <x v="1"/>
    <x v="864"/>
    <x v="699"/>
  </r>
  <r>
    <x v="16"/>
    <x v="184"/>
    <x v="0"/>
    <x v="2"/>
    <x v="320"/>
    <x v="17"/>
    <x v="3"/>
    <x v="207"/>
    <x v="186"/>
    <x v="1"/>
    <x v="22"/>
    <x v="0"/>
    <x v="0"/>
    <x v="10"/>
    <x v="230"/>
    <x v="201"/>
    <x v="257"/>
    <x v="420"/>
    <x v="256"/>
    <x v="0"/>
    <x v="2"/>
    <x v="2"/>
    <x v="6"/>
    <x v="6"/>
    <x v="2"/>
    <x v="3"/>
    <x v="6"/>
    <x v="28"/>
    <x v="1"/>
    <x v="155"/>
    <x v="6"/>
    <x v="0"/>
    <x v="598"/>
    <x v="90"/>
    <x v="17"/>
    <x v="22"/>
    <x v="186"/>
    <x v="679"/>
  </r>
  <r>
    <x v="43"/>
    <x v="10"/>
    <x v="4"/>
    <x v="1"/>
    <x v="357"/>
    <x v="4"/>
    <x v="2"/>
    <x v="959"/>
    <x v="968"/>
    <x v="0"/>
    <x v="25"/>
    <x v="1"/>
    <x v="1"/>
    <x v="9"/>
    <x v="269"/>
    <x v="240"/>
    <x v="302"/>
    <x v="337"/>
    <x v="95"/>
    <x v="0"/>
    <x v="2"/>
    <x v="2"/>
    <x v="0"/>
    <x v="0"/>
    <x v="0"/>
    <x v="6"/>
    <x v="2"/>
    <x v="2"/>
    <x v="0"/>
    <x v="329"/>
    <x v="12"/>
    <x v="4"/>
    <x v="397"/>
    <x v="90"/>
    <x v="4"/>
    <x v="25"/>
    <x v="968"/>
    <x v="642"/>
  </r>
  <r>
    <x v="91"/>
    <x v="220"/>
    <x v="3"/>
    <x v="0"/>
    <x v="613"/>
    <x v="28"/>
    <x v="0"/>
    <x v="355"/>
    <x v="365"/>
    <x v="0"/>
    <x v="12"/>
    <x v="1"/>
    <x v="0"/>
    <x v="3"/>
    <x v="528"/>
    <x v="548"/>
    <x v="512"/>
    <x v="768"/>
    <x v="710"/>
    <x v="1"/>
    <x v="1"/>
    <x v="2"/>
    <x v="7"/>
    <x v="7"/>
    <x v="2"/>
    <x v="5"/>
    <x v="1"/>
    <x v="34"/>
    <x v="0"/>
    <x v="119"/>
    <x v="5"/>
    <x v="3"/>
    <x v="85"/>
    <x v="90"/>
    <x v="28"/>
    <x v="12"/>
    <x v="365"/>
    <x v="385"/>
  </r>
  <r>
    <x v="29"/>
    <x v="182"/>
    <x v="1"/>
    <x v="0"/>
    <x v="344"/>
    <x v="38"/>
    <x v="0"/>
    <x v="985"/>
    <x v="975"/>
    <x v="0"/>
    <x v="23"/>
    <x v="0"/>
    <x v="1"/>
    <x v="1"/>
    <x v="964"/>
    <x v="935"/>
    <x v="966"/>
    <x v="15"/>
    <x v="93"/>
    <x v="0"/>
    <x v="2"/>
    <x v="2"/>
    <x v="6"/>
    <x v="6"/>
    <x v="2"/>
    <x v="0"/>
    <x v="4"/>
    <x v="28"/>
    <x v="0"/>
    <x v="157"/>
    <x v="6"/>
    <x v="1"/>
    <x v="191"/>
    <x v="90"/>
    <x v="38"/>
    <x v="23"/>
    <x v="975"/>
    <x v="655"/>
  </r>
  <r>
    <x v="92"/>
    <x v="110"/>
    <x v="0"/>
    <x v="1"/>
    <x v="734"/>
    <x v="33"/>
    <x v="2"/>
    <x v="849"/>
    <x v="853"/>
    <x v="0"/>
    <x v="5"/>
    <x v="1"/>
    <x v="0"/>
    <x v="5"/>
    <x v="883"/>
    <x v="916"/>
    <x v="888"/>
    <x v="657"/>
    <x v="609"/>
    <x v="1"/>
    <x v="0"/>
    <x v="2"/>
    <x v="3"/>
    <x v="3"/>
    <x v="1"/>
    <x v="2"/>
    <x v="5"/>
    <x v="17"/>
    <x v="1"/>
    <x v="229"/>
    <x v="8"/>
    <x v="0"/>
    <x v="304"/>
    <x v="90"/>
    <x v="33"/>
    <x v="5"/>
    <x v="853"/>
    <x v="264"/>
  </r>
  <r>
    <x v="45"/>
    <x v="19"/>
    <x v="4"/>
    <x v="0"/>
    <x v="413"/>
    <x v="42"/>
    <x v="0"/>
    <x v="812"/>
    <x v="791"/>
    <x v="0"/>
    <x v="10"/>
    <x v="0"/>
    <x v="1"/>
    <x v="4"/>
    <x v="935"/>
    <x v="953"/>
    <x v="946"/>
    <x v="172"/>
    <x v="427"/>
    <x v="0"/>
    <x v="1"/>
    <x v="2"/>
    <x v="0"/>
    <x v="0"/>
    <x v="0"/>
    <x v="0"/>
    <x v="4"/>
    <x v="3"/>
    <x v="0"/>
    <x v="320"/>
    <x v="12"/>
    <x v="4"/>
    <x v="130"/>
    <x v="90"/>
    <x v="42"/>
    <x v="10"/>
    <x v="791"/>
    <x v="586"/>
  </r>
  <r>
    <x v="5"/>
    <x v="243"/>
    <x v="3"/>
    <x v="3"/>
    <x v="71"/>
    <x v="44"/>
    <x v="3"/>
    <x v="335"/>
    <x v="316"/>
    <x v="0"/>
    <x v="29"/>
    <x v="0"/>
    <x v="1"/>
    <x v="18"/>
    <x v="660"/>
    <x v="598"/>
    <x v="658"/>
    <x v="124"/>
    <x v="89"/>
    <x v="0"/>
    <x v="2"/>
    <x v="1"/>
    <x v="8"/>
    <x v="8"/>
    <x v="2"/>
    <x v="1"/>
    <x v="0"/>
    <x v="38"/>
    <x v="0"/>
    <x v="96"/>
    <x v="4"/>
    <x v="3"/>
    <x v="957"/>
    <x v="90"/>
    <x v="44"/>
    <x v="29"/>
    <x v="316"/>
    <x v="928"/>
  </r>
  <r>
    <x v="98"/>
    <x v="272"/>
    <x v="3"/>
    <x v="2"/>
    <x v="790"/>
    <x v="22"/>
    <x v="0"/>
    <x v="11"/>
    <x v="2"/>
    <x v="1"/>
    <x v="30"/>
    <x v="0"/>
    <x v="1"/>
    <x v="13"/>
    <x v="40"/>
    <x v="32"/>
    <x v="32"/>
    <x v="676"/>
    <x v="921"/>
    <x v="1"/>
    <x v="2"/>
    <x v="0"/>
    <x v="9"/>
    <x v="9"/>
    <x v="3"/>
    <x v="0"/>
    <x v="4"/>
    <x v="42"/>
    <x v="0"/>
    <x v="67"/>
    <x v="3"/>
    <x v="3"/>
    <x v="727"/>
    <x v="90"/>
    <x v="22"/>
    <x v="30"/>
    <x v="2"/>
    <x v="208"/>
  </r>
  <r>
    <x v="36"/>
    <x v="238"/>
    <x v="1"/>
    <x v="2"/>
    <x v="296"/>
    <x v="4"/>
    <x v="3"/>
    <x v="383"/>
    <x v="425"/>
    <x v="1"/>
    <x v="15"/>
    <x v="2"/>
    <x v="0"/>
    <x v="11"/>
    <x v="134"/>
    <x v="137"/>
    <x v="147"/>
    <x v="655"/>
    <x v="707"/>
    <x v="1"/>
    <x v="1"/>
    <x v="2"/>
    <x v="8"/>
    <x v="8"/>
    <x v="2"/>
    <x v="6"/>
    <x v="2"/>
    <x v="37"/>
    <x v="0"/>
    <x v="101"/>
    <x v="4"/>
    <x v="1"/>
    <x v="609"/>
    <x v="90"/>
    <x v="4"/>
    <x v="15"/>
    <x v="425"/>
    <x v="703"/>
  </r>
  <r>
    <x v="23"/>
    <x v="209"/>
    <x v="4"/>
    <x v="2"/>
    <x v="439"/>
    <x v="29"/>
    <x v="2"/>
    <x v="317"/>
    <x v="268"/>
    <x v="1"/>
    <x v="28"/>
    <x v="2"/>
    <x v="0"/>
    <x v="14"/>
    <x v="452"/>
    <x v="401"/>
    <x v="481"/>
    <x v="154"/>
    <x v="7"/>
    <x v="0"/>
    <x v="2"/>
    <x v="2"/>
    <x v="7"/>
    <x v="7"/>
    <x v="2"/>
    <x v="4"/>
    <x v="3"/>
    <x v="32"/>
    <x v="0"/>
    <x v="130"/>
    <x v="5"/>
    <x v="4"/>
    <x v="604"/>
    <x v="90"/>
    <x v="29"/>
    <x v="28"/>
    <x v="268"/>
    <x v="560"/>
  </r>
  <r>
    <x v="92"/>
    <x v="213"/>
    <x v="3"/>
    <x v="3"/>
    <x v="686"/>
    <x v="5"/>
    <x v="2"/>
    <x v="38"/>
    <x v="71"/>
    <x v="1"/>
    <x v="16"/>
    <x v="2"/>
    <x v="0"/>
    <x v="18"/>
    <x v="37"/>
    <x v="41"/>
    <x v="16"/>
    <x v="761"/>
    <x v="976"/>
    <x v="1"/>
    <x v="1"/>
    <x v="2"/>
    <x v="7"/>
    <x v="7"/>
    <x v="2"/>
    <x v="1"/>
    <x v="0"/>
    <x v="33"/>
    <x v="0"/>
    <x v="126"/>
    <x v="5"/>
    <x v="3"/>
    <x v="831"/>
    <x v="90"/>
    <x v="5"/>
    <x v="16"/>
    <x v="71"/>
    <x v="312"/>
  </r>
  <r>
    <x v="45"/>
    <x v="48"/>
    <x v="0"/>
    <x v="2"/>
    <x v="342"/>
    <x v="45"/>
    <x v="0"/>
    <x v="518"/>
    <x v="528"/>
    <x v="0"/>
    <x v="9"/>
    <x v="0"/>
    <x v="1"/>
    <x v="10"/>
    <x v="836"/>
    <x v="857"/>
    <x v="822"/>
    <x v="733"/>
    <x v="641"/>
    <x v="1"/>
    <x v="0"/>
    <x v="2"/>
    <x v="1"/>
    <x v="1"/>
    <x v="0"/>
    <x v="6"/>
    <x v="2"/>
    <x v="8"/>
    <x v="0"/>
    <x v="291"/>
    <x v="11"/>
    <x v="0"/>
    <x v="658"/>
    <x v="90"/>
    <x v="45"/>
    <x v="9"/>
    <x v="528"/>
    <x v="657"/>
  </r>
  <r>
    <x v="52"/>
    <x v="329"/>
    <x v="1"/>
    <x v="1"/>
    <x v="54"/>
    <x v="43"/>
    <x v="3"/>
    <x v="407"/>
    <x v="393"/>
    <x v="1"/>
    <x v="8"/>
    <x v="2"/>
    <x v="0"/>
    <x v="6"/>
    <x v="706"/>
    <x v="740"/>
    <x v="715"/>
    <x v="581"/>
    <x v="597"/>
    <x v="0"/>
    <x v="0"/>
    <x v="1"/>
    <x v="11"/>
    <x v="11"/>
    <x v="3"/>
    <x v="4"/>
    <x v="3"/>
    <x v="51"/>
    <x v="0"/>
    <x v="10"/>
    <x v="1"/>
    <x v="1"/>
    <x v="388"/>
    <x v="90"/>
    <x v="43"/>
    <x v="8"/>
    <x v="393"/>
    <x v="945"/>
  </r>
  <r>
    <x v="94"/>
    <x v="318"/>
    <x v="4"/>
    <x v="0"/>
    <x v="387"/>
    <x v="3"/>
    <x v="0"/>
    <x v="651"/>
    <x v="663"/>
    <x v="0"/>
    <x v="28"/>
    <x v="2"/>
    <x v="0"/>
    <x v="4"/>
    <x v="155"/>
    <x v="139"/>
    <x v="182"/>
    <x v="425"/>
    <x v="113"/>
    <x v="0"/>
    <x v="2"/>
    <x v="2"/>
    <x v="11"/>
    <x v="11"/>
    <x v="3"/>
    <x v="0"/>
    <x v="4"/>
    <x v="49"/>
    <x v="0"/>
    <x v="21"/>
    <x v="1"/>
    <x v="4"/>
    <x v="117"/>
    <x v="90"/>
    <x v="3"/>
    <x v="28"/>
    <x v="663"/>
    <x v="612"/>
  </r>
  <r>
    <x v="98"/>
    <x v="337"/>
    <x v="1"/>
    <x v="3"/>
    <x v="941"/>
    <x v="28"/>
    <x v="1"/>
    <x v="634"/>
    <x v="635"/>
    <x v="0"/>
    <x v="5"/>
    <x v="2"/>
    <x v="1"/>
    <x v="16"/>
    <x v="711"/>
    <x v="759"/>
    <x v="718"/>
    <x v="780"/>
    <x v="675"/>
    <x v="1"/>
    <x v="0"/>
    <x v="0"/>
    <x v="11"/>
    <x v="11"/>
    <x v="3"/>
    <x v="2"/>
    <x v="5"/>
    <x v="52"/>
    <x v="1"/>
    <x v="2"/>
    <x v="0"/>
    <x v="1"/>
    <x v="997"/>
    <x v="40"/>
    <x v="28"/>
    <x v="5"/>
    <x v="635"/>
    <x v="56"/>
  </r>
  <r>
    <x v="59"/>
    <x v="260"/>
    <x v="0"/>
    <x v="2"/>
    <x v="635"/>
    <x v="22"/>
    <x v="1"/>
    <x v="131"/>
    <x v="131"/>
    <x v="0"/>
    <x v="17"/>
    <x v="0"/>
    <x v="0"/>
    <x v="10"/>
    <x v="225"/>
    <x v="212"/>
    <x v="207"/>
    <x v="769"/>
    <x v="844"/>
    <x v="1"/>
    <x v="1"/>
    <x v="2"/>
    <x v="9"/>
    <x v="9"/>
    <x v="3"/>
    <x v="2"/>
    <x v="5"/>
    <x v="40"/>
    <x v="1"/>
    <x v="79"/>
    <x v="3"/>
    <x v="0"/>
    <x v="617"/>
    <x v="90"/>
    <x v="22"/>
    <x v="17"/>
    <x v="131"/>
    <x v="363"/>
  </r>
  <r>
    <x v="96"/>
    <x v="74"/>
    <x v="4"/>
    <x v="1"/>
    <x v="668"/>
    <x v="5"/>
    <x v="1"/>
    <x v="976"/>
    <x v="945"/>
    <x v="1"/>
    <x v="17"/>
    <x v="0"/>
    <x v="0"/>
    <x v="9"/>
    <x v="307"/>
    <x v="302"/>
    <x v="358"/>
    <x v="344"/>
    <x v="206"/>
    <x v="0"/>
    <x v="1"/>
    <x v="2"/>
    <x v="2"/>
    <x v="2"/>
    <x v="0"/>
    <x v="6"/>
    <x v="2"/>
    <x v="12"/>
    <x v="0"/>
    <x v="265"/>
    <x v="10"/>
    <x v="4"/>
    <x v="293"/>
    <x v="90"/>
    <x v="5"/>
    <x v="17"/>
    <x v="945"/>
    <x v="330"/>
  </r>
  <r>
    <x v="62"/>
    <x v="189"/>
    <x v="1"/>
    <x v="0"/>
    <x v="627"/>
    <x v="31"/>
    <x v="1"/>
    <x v="187"/>
    <x v="184"/>
    <x v="0"/>
    <x v="22"/>
    <x v="0"/>
    <x v="1"/>
    <x v="1"/>
    <x v="383"/>
    <x v="362"/>
    <x v="379"/>
    <x v="472"/>
    <x v="452"/>
    <x v="0"/>
    <x v="2"/>
    <x v="2"/>
    <x v="6"/>
    <x v="6"/>
    <x v="2"/>
    <x v="0"/>
    <x v="4"/>
    <x v="29"/>
    <x v="0"/>
    <x v="150"/>
    <x v="6"/>
    <x v="1"/>
    <x v="193"/>
    <x v="90"/>
    <x v="31"/>
    <x v="22"/>
    <x v="184"/>
    <x v="371"/>
  </r>
  <r>
    <x v="84"/>
    <x v="146"/>
    <x v="2"/>
    <x v="0"/>
    <x v="191"/>
    <x v="41"/>
    <x v="0"/>
    <x v="447"/>
    <x v="423"/>
    <x v="1"/>
    <x v="15"/>
    <x v="2"/>
    <x v="1"/>
    <x v="2"/>
    <x v="718"/>
    <x v="720"/>
    <x v="738"/>
    <x v="214"/>
    <x v="342"/>
    <x v="0"/>
    <x v="1"/>
    <x v="1"/>
    <x v="5"/>
    <x v="5"/>
    <x v="1"/>
    <x v="6"/>
    <x v="2"/>
    <x v="23"/>
    <x v="0"/>
    <x v="193"/>
    <x v="7"/>
    <x v="2"/>
    <x v="179"/>
    <x v="90"/>
    <x v="41"/>
    <x v="15"/>
    <x v="423"/>
    <x v="808"/>
  </r>
  <r>
    <x v="31"/>
    <x v="111"/>
    <x v="0"/>
    <x v="3"/>
    <x v="424"/>
    <x v="17"/>
    <x v="1"/>
    <x v="498"/>
    <x v="447"/>
    <x v="1"/>
    <x v="8"/>
    <x v="1"/>
    <x v="0"/>
    <x v="15"/>
    <x v="440"/>
    <x v="464"/>
    <x v="470"/>
    <x v="401"/>
    <x v="410"/>
    <x v="0"/>
    <x v="0"/>
    <x v="2"/>
    <x v="3"/>
    <x v="3"/>
    <x v="1"/>
    <x v="3"/>
    <x v="6"/>
    <x v="17"/>
    <x v="1"/>
    <x v="228"/>
    <x v="8"/>
    <x v="0"/>
    <x v="798"/>
    <x v="90"/>
    <x v="17"/>
    <x v="8"/>
    <x v="447"/>
    <x v="575"/>
  </r>
  <r>
    <x v="86"/>
    <x v="54"/>
    <x v="0"/>
    <x v="3"/>
    <x v="753"/>
    <x v="14"/>
    <x v="3"/>
    <x v="816"/>
    <x v="805"/>
    <x v="1"/>
    <x v="5"/>
    <x v="2"/>
    <x v="1"/>
    <x v="15"/>
    <x v="556"/>
    <x v="621"/>
    <x v="584"/>
    <x v="561"/>
    <x v="592"/>
    <x v="0"/>
    <x v="0"/>
    <x v="0"/>
    <x v="1"/>
    <x v="1"/>
    <x v="0"/>
    <x v="5"/>
    <x v="1"/>
    <x v="9"/>
    <x v="0"/>
    <x v="285"/>
    <x v="10"/>
    <x v="0"/>
    <x v="904"/>
    <x v="90"/>
    <x v="14"/>
    <x v="5"/>
    <x v="805"/>
    <x v="245"/>
  </r>
  <r>
    <x v="32"/>
    <x v="202"/>
    <x v="0"/>
    <x v="3"/>
    <x v="103"/>
    <x v="39"/>
    <x v="2"/>
    <x v="101"/>
    <x v="56"/>
    <x v="1"/>
    <x v="19"/>
    <x v="2"/>
    <x v="0"/>
    <x v="15"/>
    <x v="253"/>
    <x v="247"/>
    <x v="276"/>
    <x v="438"/>
    <x v="323"/>
    <x v="0"/>
    <x v="1"/>
    <x v="1"/>
    <x v="7"/>
    <x v="7"/>
    <x v="2"/>
    <x v="4"/>
    <x v="3"/>
    <x v="31"/>
    <x v="0"/>
    <x v="137"/>
    <x v="5"/>
    <x v="0"/>
    <x v="825"/>
    <x v="90"/>
    <x v="39"/>
    <x v="19"/>
    <x v="56"/>
    <x v="896"/>
  </r>
  <r>
    <x v="66"/>
    <x v="117"/>
    <x v="2"/>
    <x v="1"/>
    <x v="289"/>
    <x v="31"/>
    <x v="2"/>
    <x v="427"/>
    <x v="412"/>
    <x v="1"/>
    <x v="22"/>
    <x v="0"/>
    <x v="0"/>
    <x v="7"/>
    <x v="619"/>
    <x v="591"/>
    <x v="636"/>
    <x v="167"/>
    <x v="178"/>
    <x v="0"/>
    <x v="2"/>
    <x v="2"/>
    <x v="4"/>
    <x v="4"/>
    <x v="1"/>
    <x v="1"/>
    <x v="0"/>
    <x v="19"/>
    <x v="0"/>
    <x v="222"/>
    <x v="8"/>
    <x v="2"/>
    <x v="307"/>
    <x v="90"/>
    <x v="31"/>
    <x v="22"/>
    <x v="412"/>
    <x v="710"/>
  </r>
  <r>
    <x v="17"/>
    <x v="211"/>
    <x v="2"/>
    <x v="1"/>
    <x v="287"/>
    <x v="8"/>
    <x v="1"/>
    <x v="644"/>
    <x v="608"/>
    <x v="0"/>
    <x v="17"/>
    <x v="0"/>
    <x v="0"/>
    <x v="7"/>
    <x v="298"/>
    <x v="297"/>
    <x v="343"/>
    <x v="355"/>
    <x v="212"/>
    <x v="0"/>
    <x v="1"/>
    <x v="2"/>
    <x v="7"/>
    <x v="7"/>
    <x v="2"/>
    <x v="2"/>
    <x v="5"/>
    <x v="32"/>
    <x v="1"/>
    <x v="128"/>
    <x v="5"/>
    <x v="2"/>
    <x v="347"/>
    <x v="90"/>
    <x v="8"/>
    <x v="17"/>
    <x v="608"/>
    <x v="712"/>
  </r>
  <r>
    <x v="24"/>
    <x v="196"/>
    <x v="3"/>
    <x v="3"/>
    <x v="436"/>
    <x v="36"/>
    <x v="1"/>
    <x v="217"/>
    <x v="182"/>
    <x v="0"/>
    <x v="22"/>
    <x v="2"/>
    <x v="0"/>
    <x v="18"/>
    <x v="431"/>
    <x v="405"/>
    <x v="453"/>
    <x v="272"/>
    <x v="158"/>
    <x v="0"/>
    <x v="2"/>
    <x v="2"/>
    <x v="6"/>
    <x v="6"/>
    <x v="2"/>
    <x v="0"/>
    <x v="4"/>
    <x v="30"/>
    <x v="0"/>
    <x v="143"/>
    <x v="5"/>
    <x v="3"/>
    <x v="822"/>
    <x v="90"/>
    <x v="36"/>
    <x v="22"/>
    <x v="182"/>
    <x v="563"/>
  </r>
  <r>
    <x v="94"/>
    <x v="106"/>
    <x v="1"/>
    <x v="2"/>
    <x v="981"/>
    <x v="9"/>
    <x v="1"/>
    <x v="642"/>
    <x v="622"/>
    <x v="1"/>
    <x v="4"/>
    <x v="2"/>
    <x v="0"/>
    <x v="11"/>
    <x v="333"/>
    <x v="382"/>
    <x v="383"/>
    <x v="577"/>
    <x v="588"/>
    <x v="0"/>
    <x v="0"/>
    <x v="0"/>
    <x v="3"/>
    <x v="3"/>
    <x v="1"/>
    <x v="5"/>
    <x v="1"/>
    <x v="17"/>
    <x v="0"/>
    <x v="233"/>
    <x v="8"/>
    <x v="1"/>
    <x v="565"/>
    <x v="41"/>
    <x v="9"/>
    <x v="4"/>
    <x v="622"/>
    <x v="16"/>
  </r>
  <r>
    <x v="53"/>
    <x v="196"/>
    <x v="3"/>
    <x v="0"/>
    <x v="70"/>
    <x v="19"/>
    <x v="0"/>
    <x v="927"/>
    <x v="981"/>
    <x v="0"/>
    <x v="26"/>
    <x v="1"/>
    <x v="1"/>
    <x v="3"/>
    <x v="731"/>
    <x v="687"/>
    <x v="729"/>
    <x v="111"/>
    <x v="157"/>
    <x v="0"/>
    <x v="2"/>
    <x v="1"/>
    <x v="6"/>
    <x v="6"/>
    <x v="2"/>
    <x v="0"/>
    <x v="4"/>
    <x v="30"/>
    <x v="0"/>
    <x v="143"/>
    <x v="5"/>
    <x v="3"/>
    <x v="197"/>
    <x v="90"/>
    <x v="19"/>
    <x v="26"/>
    <x v="981"/>
    <x v="929"/>
  </r>
  <r>
    <x v="57"/>
    <x v="13"/>
    <x v="1"/>
    <x v="0"/>
    <x v="523"/>
    <x v="5"/>
    <x v="2"/>
    <x v="994"/>
    <x v="956"/>
    <x v="1"/>
    <x v="17"/>
    <x v="1"/>
    <x v="1"/>
    <x v="1"/>
    <x v="311"/>
    <x v="306"/>
    <x v="364"/>
    <x v="334"/>
    <x v="190"/>
    <x v="0"/>
    <x v="1"/>
    <x v="2"/>
    <x v="0"/>
    <x v="0"/>
    <x v="0"/>
    <x v="2"/>
    <x v="5"/>
    <x v="2"/>
    <x v="1"/>
    <x v="326"/>
    <x v="12"/>
    <x v="1"/>
    <x v="127"/>
    <x v="90"/>
    <x v="5"/>
    <x v="17"/>
    <x v="956"/>
    <x v="476"/>
  </r>
  <r>
    <x v="66"/>
    <x v="8"/>
    <x v="2"/>
    <x v="1"/>
    <x v="170"/>
    <x v="47"/>
    <x v="1"/>
    <x v="35"/>
    <x v="46"/>
    <x v="0"/>
    <x v="4"/>
    <x v="0"/>
    <x v="0"/>
    <x v="7"/>
    <x v="272"/>
    <x v="300"/>
    <x v="152"/>
    <x v="989"/>
    <x v="977"/>
    <x v="1"/>
    <x v="0"/>
    <x v="1"/>
    <x v="0"/>
    <x v="0"/>
    <x v="0"/>
    <x v="1"/>
    <x v="0"/>
    <x v="2"/>
    <x v="0"/>
    <x v="331"/>
    <x v="12"/>
    <x v="2"/>
    <x v="268"/>
    <x v="90"/>
    <x v="47"/>
    <x v="4"/>
    <x v="46"/>
    <x v="829"/>
  </r>
  <r>
    <x v="45"/>
    <x v="37"/>
    <x v="2"/>
    <x v="0"/>
    <x v="971"/>
    <x v="2"/>
    <x v="3"/>
    <x v="241"/>
    <x v="208"/>
    <x v="0"/>
    <x v="14"/>
    <x v="1"/>
    <x v="1"/>
    <x v="2"/>
    <x v="35"/>
    <x v="37"/>
    <x v="64"/>
    <x v="569"/>
    <x v="377"/>
    <x v="0"/>
    <x v="1"/>
    <x v="0"/>
    <x v="1"/>
    <x v="1"/>
    <x v="0"/>
    <x v="4"/>
    <x v="3"/>
    <x v="6"/>
    <x v="0"/>
    <x v="302"/>
    <x v="11"/>
    <x v="2"/>
    <x v="137"/>
    <x v="42"/>
    <x v="2"/>
    <x v="14"/>
    <x v="208"/>
    <x v="26"/>
  </r>
  <r>
    <x v="23"/>
    <x v="223"/>
    <x v="3"/>
    <x v="2"/>
    <x v="113"/>
    <x v="41"/>
    <x v="1"/>
    <x v="325"/>
    <x v="362"/>
    <x v="0"/>
    <x v="25"/>
    <x v="1"/>
    <x v="1"/>
    <x v="13"/>
    <x v="677"/>
    <x v="638"/>
    <x v="621"/>
    <x v="456"/>
    <x v="528"/>
    <x v="0"/>
    <x v="2"/>
    <x v="1"/>
    <x v="7"/>
    <x v="7"/>
    <x v="2"/>
    <x v="0"/>
    <x v="4"/>
    <x v="34"/>
    <x v="0"/>
    <x v="116"/>
    <x v="4"/>
    <x v="3"/>
    <x v="711"/>
    <x v="90"/>
    <x v="41"/>
    <x v="25"/>
    <x v="362"/>
    <x v="886"/>
  </r>
  <r>
    <x v="31"/>
    <x v="261"/>
    <x v="4"/>
    <x v="0"/>
    <x v="411"/>
    <x v="10"/>
    <x v="2"/>
    <x v="401"/>
    <x v="371"/>
    <x v="0"/>
    <x v="27"/>
    <x v="0"/>
    <x v="0"/>
    <x v="4"/>
    <x v="243"/>
    <x v="206"/>
    <x v="283"/>
    <x v="317"/>
    <x v="27"/>
    <x v="0"/>
    <x v="2"/>
    <x v="2"/>
    <x v="9"/>
    <x v="9"/>
    <x v="3"/>
    <x v="3"/>
    <x v="6"/>
    <x v="40"/>
    <x v="1"/>
    <x v="78"/>
    <x v="3"/>
    <x v="4"/>
    <x v="94"/>
    <x v="90"/>
    <x v="10"/>
    <x v="27"/>
    <x v="371"/>
    <x v="588"/>
  </r>
  <r>
    <x v="46"/>
    <x v="332"/>
    <x v="3"/>
    <x v="1"/>
    <x v="739"/>
    <x v="42"/>
    <x v="1"/>
    <x v="251"/>
    <x v="302"/>
    <x v="0"/>
    <x v="8"/>
    <x v="1"/>
    <x v="1"/>
    <x v="8"/>
    <x v="622"/>
    <x v="653"/>
    <x v="534"/>
    <x v="990"/>
    <x v="898"/>
    <x v="1"/>
    <x v="0"/>
    <x v="2"/>
    <x v="11"/>
    <x v="11"/>
    <x v="3"/>
    <x v="1"/>
    <x v="0"/>
    <x v="52"/>
    <x v="0"/>
    <x v="7"/>
    <x v="0"/>
    <x v="3"/>
    <x v="525"/>
    <x v="90"/>
    <x v="42"/>
    <x v="8"/>
    <x v="302"/>
    <x v="259"/>
  </r>
  <r>
    <x v="85"/>
    <x v="188"/>
    <x v="1"/>
    <x v="1"/>
    <x v="705"/>
    <x v="16"/>
    <x v="2"/>
    <x v="205"/>
    <x v="219"/>
    <x v="0"/>
    <x v="21"/>
    <x v="2"/>
    <x v="1"/>
    <x v="6"/>
    <x v="249"/>
    <x v="234"/>
    <x v="240"/>
    <x v="648"/>
    <x v="664"/>
    <x v="1"/>
    <x v="2"/>
    <x v="2"/>
    <x v="6"/>
    <x v="6"/>
    <x v="2"/>
    <x v="4"/>
    <x v="3"/>
    <x v="29"/>
    <x v="0"/>
    <x v="151"/>
    <x v="6"/>
    <x v="1"/>
    <x v="464"/>
    <x v="90"/>
    <x v="16"/>
    <x v="21"/>
    <x v="219"/>
    <x v="293"/>
  </r>
  <r>
    <x v="22"/>
    <x v="231"/>
    <x v="3"/>
    <x v="2"/>
    <x v="429"/>
    <x v="31"/>
    <x v="1"/>
    <x v="965"/>
    <x v="921"/>
    <x v="0"/>
    <x v="3"/>
    <x v="1"/>
    <x v="0"/>
    <x v="13"/>
    <x v="887"/>
    <x v="927"/>
    <x v="906"/>
    <x v="366"/>
    <x v="539"/>
    <x v="0"/>
    <x v="0"/>
    <x v="2"/>
    <x v="8"/>
    <x v="8"/>
    <x v="2"/>
    <x v="3"/>
    <x v="6"/>
    <x v="35"/>
    <x v="1"/>
    <x v="108"/>
    <x v="4"/>
    <x v="3"/>
    <x v="608"/>
    <x v="90"/>
    <x v="31"/>
    <x v="3"/>
    <x v="921"/>
    <x v="570"/>
  </r>
  <r>
    <x v="65"/>
    <x v="259"/>
    <x v="0"/>
    <x v="2"/>
    <x v="353"/>
    <x v="3"/>
    <x v="3"/>
    <x v="925"/>
    <x v="966"/>
    <x v="0"/>
    <x v="1"/>
    <x v="0"/>
    <x v="0"/>
    <x v="10"/>
    <x v="217"/>
    <x v="254"/>
    <x v="246"/>
    <x v="734"/>
    <x v="773"/>
    <x v="1"/>
    <x v="0"/>
    <x v="2"/>
    <x v="9"/>
    <x v="9"/>
    <x v="3"/>
    <x v="4"/>
    <x v="3"/>
    <x v="40"/>
    <x v="0"/>
    <x v="80"/>
    <x v="3"/>
    <x v="0"/>
    <x v="616"/>
    <x v="90"/>
    <x v="3"/>
    <x v="1"/>
    <x v="966"/>
    <x v="646"/>
  </r>
  <r>
    <x v="26"/>
    <x v="221"/>
    <x v="1"/>
    <x v="0"/>
    <x v="406"/>
    <x v="3"/>
    <x v="1"/>
    <x v="44"/>
    <x v="48"/>
    <x v="0"/>
    <x v="17"/>
    <x v="2"/>
    <x v="0"/>
    <x v="1"/>
    <x v="16"/>
    <x v="17"/>
    <x v="8"/>
    <x v="670"/>
    <x v="942"/>
    <x v="1"/>
    <x v="1"/>
    <x v="2"/>
    <x v="7"/>
    <x v="7"/>
    <x v="2"/>
    <x v="6"/>
    <x v="2"/>
    <x v="34"/>
    <x v="0"/>
    <x v="118"/>
    <x v="5"/>
    <x v="1"/>
    <x v="86"/>
    <x v="90"/>
    <x v="3"/>
    <x v="17"/>
    <x v="48"/>
    <x v="593"/>
  </r>
  <r>
    <x v="1"/>
    <x v="3"/>
    <x v="1"/>
    <x v="0"/>
    <x v="269"/>
    <x v="16"/>
    <x v="3"/>
    <x v="351"/>
    <x v="329"/>
    <x v="0"/>
    <x v="21"/>
    <x v="1"/>
    <x v="0"/>
    <x v="1"/>
    <x v="325"/>
    <x v="308"/>
    <x v="359"/>
    <x v="363"/>
    <x v="234"/>
    <x v="0"/>
    <x v="2"/>
    <x v="2"/>
    <x v="0"/>
    <x v="0"/>
    <x v="0"/>
    <x v="6"/>
    <x v="2"/>
    <x v="1"/>
    <x v="0"/>
    <x v="336"/>
    <x v="12"/>
    <x v="1"/>
    <x v="3"/>
    <x v="90"/>
    <x v="16"/>
    <x v="21"/>
    <x v="329"/>
    <x v="730"/>
  </r>
  <r>
    <x v="89"/>
    <x v="142"/>
    <x v="4"/>
    <x v="1"/>
    <x v="200"/>
    <x v="40"/>
    <x v="3"/>
    <x v="410"/>
    <x v="434"/>
    <x v="0"/>
    <x v="24"/>
    <x v="2"/>
    <x v="0"/>
    <x v="9"/>
    <x v="719"/>
    <x v="689"/>
    <x v="694"/>
    <x v="248"/>
    <x v="350"/>
    <x v="0"/>
    <x v="2"/>
    <x v="1"/>
    <x v="5"/>
    <x v="5"/>
    <x v="1"/>
    <x v="2"/>
    <x v="5"/>
    <x v="22"/>
    <x v="1"/>
    <x v="197"/>
    <x v="7"/>
    <x v="4"/>
    <x v="314"/>
    <x v="90"/>
    <x v="40"/>
    <x v="24"/>
    <x v="434"/>
    <x v="799"/>
  </r>
  <r>
    <x v="16"/>
    <x v="27"/>
    <x v="2"/>
    <x v="2"/>
    <x v="484"/>
    <x v="18"/>
    <x v="1"/>
    <x v="246"/>
    <x v="294"/>
    <x v="0"/>
    <x v="10"/>
    <x v="2"/>
    <x v="0"/>
    <x v="12"/>
    <x v="330"/>
    <x v="359"/>
    <x v="300"/>
    <x v="875"/>
    <x v="888"/>
    <x v="1"/>
    <x v="1"/>
    <x v="2"/>
    <x v="0"/>
    <x v="0"/>
    <x v="0"/>
    <x v="3"/>
    <x v="6"/>
    <x v="4"/>
    <x v="1"/>
    <x v="312"/>
    <x v="11"/>
    <x v="2"/>
    <x v="543"/>
    <x v="90"/>
    <x v="18"/>
    <x v="10"/>
    <x v="294"/>
    <x v="515"/>
  </r>
  <r>
    <x v="32"/>
    <x v="100"/>
    <x v="1"/>
    <x v="2"/>
    <x v="275"/>
    <x v="4"/>
    <x v="3"/>
    <x v="646"/>
    <x v="644"/>
    <x v="0"/>
    <x v="0"/>
    <x v="1"/>
    <x v="0"/>
    <x v="11"/>
    <x v="181"/>
    <x v="209"/>
    <x v="219"/>
    <x v="712"/>
    <x v="764"/>
    <x v="1"/>
    <x v="0"/>
    <x v="2"/>
    <x v="3"/>
    <x v="3"/>
    <x v="1"/>
    <x v="6"/>
    <x v="2"/>
    <x v="16"/>
    <x v="0"/>
    <x v="239"/>
    <x v="9"/>
    <x v="1"/>
    <x v="563"/>
    <x v="90"/>
    <x v="4"/>
    <x v="0"/>
    <x v="644"/>
    <x v="724"/>
  </r>
  <r>
    <x v="8"/>
    <x v="90"/>
    <x v="2"/>
    <x v="2"/>
    <x v="299"/>
    <x v="31"/>
    <x v="0"/>
    <x v="654"/>
    <x v="636"/>
    <x v="1"/>
    <x v="14"/>
    <x v="1"/>
    <x v="1"/>
    <x v="12"/>
    <x v="759"/>
    <x v="758"/>
    <x v="771"/>
    <x v="205"/>
    <x v="352"/>
    <x v="0"/>
    <x v="1"/>
    <x v="2"/>
    <x v="3"/>
    <x v="3"/>
    <x v="1"/>
    <x v="2"/>
    <x v="5"/>
    <x v="14"/>
    <x v="1"/>
    <x v="249"/>
    <x v="9"/>
    <x v="2"/>
    <x v="673"/>
    <x v="90"/>
    <x v="31"/>
    <x v="14"/>
    <x v="636"/>
    <x v="700"/>
  </r>
  <r>
    <x v="42"/>
    <x v="202"/>
    <x v="3"/>
    <x v="0"/>
    <x v="651"/>
    <x v="21"/>
    <x v="1"/>
    <x v="861"/>
    <x v="896"/>
    <x v="0"/>
    <x v="0"/>
    <x v="0"/>
    <x v="0"/>
    <x v="3"/>
    <x v="732"/>
    <x v="805"/>
    <x v="733"/>
    <x v="938"/>
    <x v="783"/>
    <x v="1"/>
    <x v="0"/>
    <x v="2"/>
    <x v="7"/>
    <x v="7"/>
    <x v="2"/>
    <x v="4"/>
    <x v="3"/>
    <x v="31"/>
    <x v="0"/>
    <x v="137"/>
    <x v="5"/>
    <x v="3"/>
    <x v="78"/>
    <x v="90"/>
    <x v="21"/>
    <x v="0"/>
    <x v="896"/>
    <x v="347"/>
  </r>
  <r>
    <x v="47"/>
    <x v="272"/>
    <x v="0"/>
    <x v="2"/>
    <x v="968"/>
    <x v="5"/>
    <x v="1"/>
    <x v="751"/>
    <x v="764"/>
    <x v="0"/>
    <x v="3"/>
    <x v="0"/>
    <x v="1"/>
    <x v="10"/>
    <x v="259"/>
    <x v="292"/>
    <x v="285"/>
    <x v="720"/>
    <x v="734"/>
    <x v="1"/>
    <x v="0"/>
    <x v="0"/>
    <x v="9"/>
    <x v="9"/>
    <x v="3"/>
    <x v="0"/>
    <x v="4"/>
    <x v="42"/>
    <x v="0"/>
    <x v="67"/>
    <x v="3"/>
    <x v="0"/>
    <x v="728"/>
    <x v="43"/>
    <x v="5"/>
    <x v="3"/>
    <x v="764"/>
    <x v="29"/>
  </r>
  <r>
    <x v="38"/>
    <x v="68"/>
    <x v="4"/>
    <x v="1"/>
    <x v="600"/>
    <x v="34"/>
    <x v="3"/>
    <x v="564"/>
    <x v="591"/>
    <x v="0"/>
    <x v="10"/>
    <x v="2"/>
    <x v="1"/>
    <x v="9"/>
    <x v="773"/>
    <x v="794"/>
    <x v="742"/>
    <x v="838"/>
    <x v="712"/>
    <x v="1"/>
    <x v="1"/>
    <x v="2"/>
    <x v="2"/>
    <x v="2"/>
    <x v="0"/>
    <x v="4"/>
    <x v="3"/>
    <x v="11"/>
    <x v="0"/>
    <x v="271"/>
    <x v="10"/>
    <x v="4"/>
    <x v="416"/>
    <x v="90"/>
    <x v="34"/>
    <x v="10"/>
    <x v="591"/>
    <x v="399"/>
  </r>
  <r>
    <x v="92"/>
    <x v="302"/>
    <x v="2"/>
    <x v="1"/>
    <x v="86"/>
    <x v="21"/>
    <x v="3"/>
    <x v="660"/>
    <x v="682"/>
    <x v="0"/>
    <x v="13"/>
    <x v="0"/>
    <x v="0"/>
    <x v="7"/>
    <x v="652"/>
    <x v="659"/>
    <x v="651"/>
    <x v="419"/>
    <x v="516"/>
    <x v="0"/>
    <x v="1"/>
    <x v="1"/>
    <x v="10"/>
    <x v="10"/>
    <x v="3"/>
    <x v="6"/>
    <x v="2"/>
    <x v="47"/>
    <x v="0"/>
    <x v="37"/>
    <x v="2"/>
    <x v="2"/>
    <x v="378"/>
    <x v="90"/>
    <x v="21"/>
    <x v="13"/>
    <x v="682"/>
    <x v="913"/>
  </r>
  <r>
    <x v="41"/>
    <x v="134"/>
    <x v="1"/>
    <x v="0"/>
    <x v="81"/>
    <x v="0"/>
    <x v="1"/>
    <x v="287"/>
    <x v="259"/>
    <x v="0"/>
    <x v="8"/>
    <x v="2"/>
    <x v="1"/>
    <x v="1"/>
    <x v="8"/>
    <x v="9"/>
    <x v="15"/>
    <x v="604"/>
    <x v="616"/>
    <x v="1"/>
    <x v="0"/>
    <x v="1"/>
    <x v="4"/>
    <x v="4"/>
    <x v="1"/>
    <x v="0"/>
    <x v="4"/>
    <x v="21"/>
    <x v="0"/>
    <x v="205"/>
    <x v="7"/>
    <x v="1"/>
    <x v="175"/>
    <x v="90"/>
    <x v="0"/>
    <x v="8"/>
    <x v="259"/>
    <x v="918"/>
  </r>
  <r>
    <x v="25"/>
    <x v="117"/>
    <x v="2"/>
    <x v="3"/>
    <x v="948"/>
    <x v="19"/>
    <x v="0"/>
    <x v="611"/>
    <x v="649"/>
    <x v="0"/>
    <x v="17"/>
    <x v="2"/>
    <x v="1"/>
    <x v="17"/>
    <x v="588"/>
    <x v="588"/>
    <x v="573"/>
    <x v="434"/>
    <x v="505"/>
    <x v="0"/>
    <x v="1"/>
    <x v="0"/>
    <x v="4"/>
    <x v="4"/>
    <x v="1"/>
    <x v="1"/>
    <x v="0"/>
    <x v="19"/>
    <x v="0"/>
    <x v="222"/>
    <x v="8"/>
    <x v="2"/>
    <x v="919"/>
    <x v="44"/>
    <x v="19"/>
    <x v="17"/>
    <x v="649"/>
    <x v="49"/>
  </r>
  <r>
    <x v="98"/>
    <x v="317"/>
    <x v="1"/>
    <x v="0"/>
    <x v="310"/>
    <x v="21"/>
    <x v="3"/>
    <x v="500"/>
    <x v="463"/>
    <x v="1"/>
    <x v="2"/>
    <x v="0"/>
    <x v="1"/>
    <x v="1"/>
    <x v="506"/>
    <x v="566"/>
    <x v="539"/>
    <x v="636"/>
    <x v="615"/>
    <x v="1"/>
    <x v="0"/>
    <x v="2"/>
    <x v="11"/>
    <x v="11"/>
    <x v="3"/>
    <x v="4"/>
    <x v="3"/>
    <x v="49"/>
    <x v="0"/>
    <x v="22"/>
    <x v="1"/>
    <x v="1"/>
    <x v="253"/>
    <x v="90"/>
    <x v="21"/>
    <x v="2"/>
    <x v="463"/>
    <x v="689"/>
  </r>
  <r>
    <x v="49"/>
    <x v="39"/>
    <x v="2"/>
    <x v="3"/>
    <x v="97"/>
    <x v="47"/>
    <x v="3"/>
    <x v="144"/>
    <x v="119"/>
    <x v="1"/>
    <x v="4"/>
    <x v="0"/>
    <x v="0"/>
    <x v="17"/>
    <x v="405"/>
    <x v="445"/>
    <x v="401"/>
    <x v="860"/>
    <x v="840"/>
    <x v="1"/>
    <x v="0"/>
    <x v="1"/>
    <x v="1"/>
    <x v="1"/>
    <x v="0"/>
    <x v="2"/>
    <x v="5"/>
    <x v="6"/>
    <x v="1"/>
    <x v="300"/>
    <x v="11"/>
    <x v="2"/>
    <x v="772"/>
    <x v="90"/>
    <x v="47"/>
    <x v="4"/>
    <x v="119"/>
    <x v="902"/>
  </r>
  <r>
    <x v="24"/>
    <x v="330"/>
    <x v="1"/>
    <x v="2"/>
    <x v="597"/>
    <x v="10"/>
    <x v="2"/>
    <x v="252"/>
    <x v="254"/>
    <x v="1"/>
    <x v="21"/>
    <x v="0"/>
    <x v="1"/>
    <x v="11"/>
    <x v="176"/>
    <x v="168"/>
    <x v="197"/>
    <x v="545"/>
    <x v="501"/>
    <x v="0"/>
    <x v="2"/>
    <x v="2"/>
    <x v="11"/>
    <x v="11"/>
    <x v="3"/>
    <x v="0"/>
    <x v="4"/>
    <x v="51"/>
    <x v="0"/>
    <x v="9"/>
    <x v="1"/>
    <x v="1"/>
    <x v="749"/>
    <x v="90"/>
    <x v="10"/>
    <x v="21"/>
    <x v="254"/>
    <x v="402"/>
  </r>
  <r>
    <x v="23"/>
    <x v="38"/>
    <x v="3"/>
    <x v="0"/>
    <x v="617"/>
    <x v="12"/>
    <x v="0"/>
    <x v="304"/>
    <x v="312"/>
    <x v="0"/>
    <x v="4"/>
    <x v="1"/>
    <x v="1"/>
    <x v="3"/>
    <x v="248"/>
    <x v="274"/>
    <x v="258"/>
    <x v="788"/>
    <x v="837"/>
    <x v="1"/>
    <x v="0"/>
    <x v="2"/>
    <x v="1"/>
    <x v="1"/>
    <x v="0"/>
    <x v="0"/>
    <x v="4"/>
    <x v="6"/>
    <x v="0"/>
    <x v="301"/>
    <x v="11"/>
    <x v="3"/>
    <x v="140"/>
    <x v="90"/>
    <x v="12"/>
    <x v="4"/>
    <x v="312"/>
    <x v="381"/>
  </r>
  <r>
    <x v="12"/>
    <x v="31"/>
    <x v="1"/>
    <x v="1"/>
    <x v="640"/>
    <x v="41"/>
    <x v="0"/>
    <x v="929"/>
    <x v="890"/>
    <x v="0"/>
    <x v="19"/>
    <x v="2"/>
    <x v="0"/>
    <x v="6"/>
    <x v="958"/>
    <x v="944"/>
    <x v="967"/>
    <x v="26"/>
    <x v="140"/>
    <x v="0"/>
    <x v="1"/>
    <x v="2"/>
    <x v="1"/>
    <x v="1"/>
    <x v="0"/>
    <x v="0"/>
    <x v="4"/>
    <x v="5"/>
    <x v="0"/>
    <x v="308"/>
    <x v="11"/>
    <x v="1"/>
    <x v="280"/>
    <x v="90"/>
    <x v="41"/>
    <x v="19"/>
    <x v="890"/>
    <x v="358"/>
  </r>
  <r>
    <x v="59"/>
    <x v="16"/>
    <x v="1"/>
    <x v="2"/>
    <x v="273"/>
    <x v="2"/>
    <x v="1"/>
    <x v="237"/>
    <x v="275"/>
    <x v="0"/>
    <x v="2"/>
    <x v="2"/>
    <x v="1"/>
    <x v="11"/>
    <x v="52"/>
    <x v="61"/>
    <x v="62"/>
    <x v="702"/>
    <x v="909"/>
    <x v="1"/>
    <x v="0"/>
    <x v="2"/>
    <x v="0"/>
    <x v="0"/>
    <x v="0"/>
    <x v="5"/>
    <x v="1"/>
    <x v="3"/>
    <x v="0"/>
    <x v="323"/>
    <x v="12"/>
    <x v="1"/>
    <x v="647"/>
    <x v="90"/>
    <x v="2"/>
    <x v="2"/>
    <x v="275"/>
    <x v="726"/>
  </r>
  <r>
    <x v="6"/>
    <x v="153"/>
    <x v="0"/>
    <x v="1"/>
    <x v="19"/>
    <x v="8"/>
    <x v="0"/>
    <x v="301"/>
    <x v="287"/>
    <x v="1"/>
    <x v="12"/>
    <x v="2"/>
    <x v="1"/>
    <x v="5"/>
    <x v="164"/>
    <x v="169"/>
    <x v="192"/>
    <x v="589"/>
    <x v="583"/>
    <x v="0"/>
    <x v="1"/>
    <x v="1"/>
    <x v="5"/>
    <x v="5"/>
    <x v="1"/>
    <x v="6"/>
    <x v="2"/>
    <x v="24"/>
    <x v="0"/>
    <x v="186"/>
    <x v="7"/>
    <x v="0"/>
    <x v="447"/>
    <x v="90"/>
    <x v="8"/>
    <x v="12"/>
    <x v="287"/>
    <x v="980"/>
  </r>
  <r>
    <x v="56"/>
    <x v="141"/>
    <x v="1"/>
    <x v="2"/>
    <x v="963"/>
    <x v="11"/>
    <x v="1"/>
    <x v="376"/>
    <x v="373"/>
    <x v="0"/>
    <x v="5"/>
    <x v="0"/>
    <x v="1"/>
    <x v="11"/>
    <x v="267"/>
    <x v="293"/>
    <x v="290"/>
    <x v="714"/>
    <x v="727"/>
    <x v="1"/>
    <x v="0"/>
    <x v="0"/>
    <x v="5"/>
    <x v="5"/>
    <x v="1"/>
    <x v="0"/>
    <x v="4"/>
    <x v="22"/>
    <x v="0"/>
    <x v="198"/>
    <x v="7"/>
    <x v="1"/>
    <x v="688"/>
    <x v="45"/>
    <x v="11"/>
    <x v="5"/>
    <x v="373"/>
    <x v="34"/>
  </r>
  <r>
    <x v="35"/>
    <x v="69"/>
    <x v="0"/>
    <x v="0"/>
    <x v="257"/>
    <x v="22"/>
    <x v="2"/>
    <x v="671"/>
    <x v="703"/>
    <x v="0"/>
    <x v="3"/>
    <x v="0"/>
    <x v="1"/>
    <x v="0"/>
    <x v="679"/>
    <x v="711"/>
    <x v="670"/>
    <x v="891"/>
    <x v="775"/>
    <x v="1"/>
    <x v="0"/>
    <x v="2"/>
    <x v="2"/>
    <x v="2"/>
    <x v="0"/>
    <x v="0"/>
    <x v="4"/>
    <x v="11"/>
    <x v="0"/>
    <x v="270"/>
    <x v="10"/>
    <x v="0"/>
    <x v="153"/>
    <x v="90"/>
    <x v="22"/>
    <x v="3"/>
    <x v="703"/>
    <x v="742"/>
  </r>
  <r>
    <x v="44"/>
    <x v="80"/>
    <x v="4"/>
    <x v="3"/>
    <x v="678"/>
    <x v="13"/>
    <x v="0"/>
    <x v="126"/>
    <x v="115"/>
    <x v="1"/>
    <x v="17"/>
    <x v="0"/>
    <x v="1"/>
    <x v="19"/>
    <x v="131"/>
    <x v="130"/>
    <x v="143"/>
    <x v="674"/>
    <x v="772"/>
    <x v="1"/>
    <x v="1"/>
    <x v="2"/>
    <x v="2"/>
    <x v="2"/>
    <x v="0"/>
    <x v="5"/>
    <x v="1"/>
    <x v="13"/>
    <x v="0"/>
    <x v="259"/>
    <x v="9"/>
    <x v="4"/>
    <x v="911"/>
    <x v="90"/>
    <x v="13"/>
    <x v="17"/>
    <x v="115"/>
    <x v="320"/>
  </r>
  <r>
    <x v="19"/>
    <x v="108"/>
    <x v="0"/>
    <x v="2"/>
    <x v="709"/>
    <x v="32"/>
    <x v="3"/>
    <x v="964"/>
    <x v="925"/>
    <x v="1"/>
    <x v="28"/>
    <x v="0"/>
    <x v="0"/>
    <x v="10"/>
    <x v="902"/>
    <x v="840"/>
    <x v="914"/>
    <x v="7"/>
    <x v="6"/>
    <x v="0"/>
    <x v="2"/>
    <x v="2"/>
    <x v="3"/>
    <x v="3"/>
    <x v="1"/>
    <x v="4"/>
    <x v="3"/>
    <x v="17"/>
    <x v="0"/>
    <x v="231"/>
    <x v="8"/>
    <x v="0"/>
    <x v="566"/>
    <x v="90"/>
    <x v="32"/>
    <x v="28"/>
    <x v="925"/>
    <x v="289"/>
  </r>
  <r>
    <x v="64"/>
    <x v="335"/>
    <x v="3"/>
    <x v="3"/>
    <x v="606"/>
    <x v="17"/>
    <x v="2"/>
    <x v="882"/>
    <x v="851"/>
    <x v="0"/>
    <x v="2"/>
    <x v="0"/>
    <x v="1"/>
    <x v="18"/>
    <x v="650"/>
    <x v="695"/>
    <x v="674"/>
    <x v="623"/>
    <x v="606"/>
    <x v="1"/>
    <x v="0"/>
    <x v="2"/>
    <x v="11"/>
    <x v="11"/>
    <x v="3"/>
    <x v="4"/>
    <x v="3"/>
    <x v="52"/>
    <x v="0"/>
    <x v="4"/>
    <x v="0"/>
    <x v="3"/>
    <x v="996"/>
    <x v="90"/>
    <x v="17"/>
    <x v="2"/>
    <x v="851"/>
    <x v="392"/>
  </r>
  <r>
    <x v="7"/>
    <x v="318"/>
    <x v="0"/>
    <x v="2"/>
    <x v="326"/>
    <x v="48"/>
    <x v="1"/>
    <x v="594"/>
    <x v="637"/>
    <x v="0"/>
    <x v="13"/>
    <x v="1"/>
    <x v="0"/>
    <x v="10"/>
    <x v="910"/>
    <x v="920"/>
    <x v="885"/>
    <x v="750"/>
    <x v="640"/>
    <x v="1"/>
    <x v="1"/>
    <x v="2"/>
    <x v="11"/>
    <x v="11"/>
    <x v="3"/>
    <x v="0"/>
    <x v="4"/>
    <x v="49"/>
    <x v="0"/>
    <x v="21"/>
    <x v="1"/>
    <x v="0"/>
    <x v="635"/>
    <x v="90"/>
    <x v="48"/>
    <x v="13"/>
    <x v="637"/>
    <x v="673"/>
  </r>
  <r>
    <x v="15"/>
    <x v="26"/>
    <x v="4"/>
    <x v="1"/>
    <x v="281"/>
    <x v="40"/>
    <x v="2"/>
    <x v="680"/>
    <x v="647"/>
    <x v="0"/>
    <x v="21"/>
    <x v="0"/>
    <x v="1"/>
    <x v="9"/>
    <x v="858"/>
    <x v="832"/>
    <x v="876"/>
    <x v="58"/>
    <x v="106"/>
    <x v="0"/>
    <x v="2"/>
    <x v="2"/>
    <x v="0"/>
    <x v="0"/>
    <x v="0"/>
    <x v="0"/>
    <x v="4"/>
    <x v="4"/>
    <x v="0"/>
    <x v="313"/>
    <x v="11"/>
    <x v="4"/>
    <x v="407"/>
    <x v="90"/>
    <x v="40"/>
    <x v="21"/>
    <x v="647"/>
    <x v="718"/>
  </r>
  <r>
    <x v="13"/>
    <x v="290"/>
    <x v="3"/>
    <x v="1"/>
    <x v="596"/>
    <x v="8"/>
    <x v="1"/>
    <x v="19"/>
    <x v="12"/>
    <x v="0"/>
    <x v="14"/>
    <x v="2"/>
    <x v="0"/>
    <x v="8"/>
    <x v="25"/>
    <x v="24"/>
    <x v="11"/>
    <x v="713"/>
    <x v="964"/>
    <x v="1"/>
    <x v="1"/>
    <x v="2"/>
    <x v="10"/>
    <x v="10"/>
    <x v="3"/>
    <x v="4"/>
    <x v="3"/>
    <x v="45"/>
    <x v="0"/>
    <x v="49"/>
    <x v="2"/>
    <x v="3"/>
    <x v="373"/>
    <x v="90"/>
    <x v="8"/>
    <x v="14"/>
    <x v="12"/>
    <x v="403"/>
  </r>
  <r>
    <x v="75"/>
    <x v="267"/>
    <x v="2"/>
    <x v="2"/>
    <x v="876"/>
    <x v="22"/>
    <x v="2"/>
    <x v="352"/>
    <x v="351"/>
    <x v="1"/>
    <x v="24"/>
    <x v="0"/>
    <x v="0"/>
    <x v="12"/>
    <x v="444"/>
    <x v="413"/>
    <x v="437"/>
    <x v="332"/>
    <x v="279"/>
    <x v="0"/>
    <x v="2"/>
    <x v="0"/>
    <x v="9"/>
    <x v="9"/>
    <x v="3"/>
    <x v="2"/>
    <x v="5"/>
    <x v="41"/>
    <x v="1"/>
    <x v="72"/>
    <x v="3"/>
    <x v="2"/>
    <x v="621"/>
    <x v="90"/>
    <x v="22"/>
    <x v="24"/>
    <x v="351"/>
    <x v="121"/>
  </r>
  <r>
    <x v="86"/>
    <x v="123"/>
    <x v="2"/>
    <x v="3"/>
    <x v="944"/>
    <x v="9"/>
    <x v="1"/>
    <x v="802"/>
    <x v="801"/>
    <x v="0"/>
    <x v="5"/>
    <x v="2"/>
    <x v="0"/>
    <x v="17"/>
    <x v="420"/>
    <x v="456"/>
    <x v="438"/>
    <x v="652"/>
    <x v="633"/>
    <x v="1"/>
    <x v="0"/>
    <x v="0"/>
    <x v="4"/>
    <x v="4"/>
    <x v="1"/>
    <x v="3"/>
    <x v="6"/>
    <x v="19"/>
    <x v="1"/>
    <x v="216"/>
    <x v="8"/>
    <x v="2"/>
    <x v="803"/>
    <x v="46"/>
    <x v="9"/>
    <x v="5"/>
    <x v="801"/>
    <x v="53"/>
  </r>
  <r>
    <x v="14"/>
    <x v="206"/>
    <x v="0"/>
    <x v="0"/>
    <x v="110"/>
    <x v="18"/>
    <x v="0"/>
    <x v="80"/>
    <x v="27"/>
    <x v="0"/>
    <x v="29"/>
    <x v="0"/>
    <x v="1"/>
    <x v="0"/>
    <x v="97"/>
    <x v="79"/>
    <x v="137"/>
    <x v="449"/>
    <x v="9"/>
    <x v="0"/>
    <x v="2"/>
    <x v="1"/>
    <x v="7"/>
    <x v="7"/>
    <x v="2"/>
    <x v="1"/>
    <x v="0"/>
    <x v="32"/>
    <x v="0"/>
    <x v="133"/>
    <x v="5"/>
    <x v="0"/>
    <x v="201"/>
    <x v="90"/>
    <x v="18"/>
    <x v="29"/>
    <x v="27"/>
    <x v="889"/>
  </r>
  <r>
    <x v="91"/>
    <x v="155"/>
    <x v="0"/>
    <x v="0"/>
    <x v="143"/>
    <x v="46"/>
    <x v="3"/>
    <x v="294"/>
    <x v="295"/>
    <x v="1"/>
    <x v="12"/>
    <x v="0"/>
    <x v="1"/>
    <x v="0"/>
    <x v="653"/>
    <x v="665"/>
    <x v="626"/>
    <x v="772"/>
    <x v="689"/>
    <x v="1"/>
    <x v="1"/>
    <x v="1"/>
    <x v="5"/>
    <x v="5"/>
    <x v="1"/>
    <x v="2"/>
    <x v="5"/>
    <x v="24"/>
    <x v="1"/>
    <x v="184"/>
    <x v="7"/>
    <x v="0"/>
    <x v="184"/>
    <x v="90"/>
    <x v="46"/>
    <x v="12"/>
    <x v="295"/>
    <x v="856"/>
  </r>
  <r>
    <x v="97"/>
    <x v="90"/>
    <x v="4"/>
    <x v="1"/>
    <x v="942"/>
    <x v="4"/>
    <x v="1"/>
    <x v="605"/>
    <x v="585"/>
    <x v="0"/>
    <x v="10"/>
    <x v="2"/>
    <x v="1"/>
    <x v="9"/>
    <x v="167"/>
    <x v="184"/>
    <x v="205"/>
    <x v="547"/>
    <x v="510"/>
    <x v="0"/>
    <x v="1"/>
    <x v="0"/>
    <x v="3"/>
    <x v="3"/>
    <x v="1"/>
    <x v="2"/>
    <x v="5"/>
    <x v="14"/>
    <x v="1"/>
    <x v="249"/>
    <x v="9"/>
    <x v="4"/>
    <x v="420"/>
    <x v="47"/>
    <x v="4"/>
    <x v="10"/>
    <x v="585"/>
    <x v="55"/>
  </r>
  <r>
    <x v="65"/>
    <x v="250"/>
    <x v="4"/>
    <x v="0"/>
    <x v="737"/>
    <x v="46"/>
    <x v="2"/>
    <x v="266"/>
    <x v="315"/>
    <x v="0"/>
    <x v="26"/>
    <x v="2"/>
    <x v="1"/>
    <x v="4"/>
    <x v="672"/>
    <x v="632"/>
    <x v="592"/>
    <x v="678"/>
    <x v="639"/>
    <x v="1"/>
    <x v="2"/>
    <x v="2"/>
    <x v="8"/>
    <x v="8"/>
    <x v="2"/>
    <x v="1"/>
    <x v="0"/>
    <x v="39"/>
    <x v="0"/>
    <x v="89"/>
    <x v="3"/>
    <x v="4"/>
    <x v="216"/>
    <x v="90"/>
    <x v="46"/>
    <x v="26"/>
    <x v="315"/>
    <x v="261"/>
  </r>
  <r>
    <x v="31"/>
    <x v="223"/>
    <x v="1"/>
    <x v="1"/>
    <x v="892"/>
    <x v="22"/>
    <x v="1"/>
    <x v="939"/>
    <x v="918"/>
    <x v="1"/>
    <x v="17"/>
    <x v="2"/>
    <x v="1"/>
    <x v="6"/>
    <x v="765"/>
    <x v="746"/>
    <x v="790"/>
    <x v="112"/>
    <x v="214"/>
    <x v="0"/>
    <x v="1"/>
    <x v="0"/>
    <x v="7"/>
    <x v="7"/>
    <x v="2"/>
    <x v="0"/>
    <x v="4"/>
    <x v="34"/>
    <x v="0"/>
    <x v="116"/>
    <x v="4"/>
    <x v="1"/>
    <x v="477"/>
    <x v="90"/>
    <x v="22"/>
    <x v="17"/>
    <x v="918"/>
    <x v="105"/>
  </r>
  <r>
    <x v="86"/>
    <x v="286"/>
    <x v="4"/>
    <x v="0"/>
    <x v="196"/>
    <x v="29"/>
    <x v="1"/>
    <x v="140"/>
    <x v="129"/>
    <x v="1"/>
    <x v="15"/>
    <x v="2"/>
    <x v="0"/>
    <x v="4"/>
    <x v="283"/>
    <x v="279"/>
    <x v="271"/>
    <x v="730"/>
    <x v="759"/>
    <x v="1"/>
    <x v="1"/>
    <x v="1"/>
    <x v="10"/>
    <x v="10"/>
    <x v="3"/>
    <x v="3"/>
    <x v="6"/>
    <x v="44"/>
    <x v="1"/>
    <x v="53"/>
    <x v="2"/>
    <x v="4"/>
    <x v="104"/>
    <x v="90"/>
    <x v="29"/>
    <x v="15"/>
    <x v="129"/>
    <x v="803"/>
  </r>
  <r>
    <x v="62"/>
    <x v="160"/>
    <x v="1"/>
    <x v="2"/>
    <x v="585"/>
    <x v="24"/>
    <x v="1"/>
    <x v="805"/>
    <x v="796"/>
    <x v="0"/>
    <x v="22"/>
    <x v="1"/>
    <x v="0"/>
    <x v="11"/>
    <x v="747"/>
    <x v="707"/>
    <x v="761"/>
    <x v="102"/>
    <x v="159"/>
    <x v="0"/>
    <x v="2"/>
    <x v="2"/>
    <x v="5"/>
    <x v="5"/>
    <x v="1"/>
    <x v="4"/>
    <x v="3"/>
    <x v="25"/>
    <x v="0"/>
    <x v="179"/>
    <x v="7"/>
    <x v="1"/>
    <x v="590"/>
    <x v="90"/>
    <x v="24"/>
    <x v="22"/>
    <x v="796"/>
    <x v="414"/>
  </r>
  <r>
    <x v="85"/>
    <x v="177"/>
    <x v="3"/>
    <x v="1"/>
    <x v="701"/>
    <x v="27"/>
    <x v="2"/>
    <x v="521"/>
    <x v="515"/>
    <x v="1"/>
    <x v="17"/>
    <x v="2"/>
    <x v="0"/>
    <x v="8"/>
    <x v="641"/>
    <x v="637"/>
    <x v="649"/>
    <x v="265"/>
    <x v="334"/>
    <x v="0"/>
    <x v="1"/>
    <x v="2"/>
    <x v="6"/>
    <x v="6"/>
    <x v="2"/>
    <x v="3"/>
    <x v="6"/>
    <x v="27"/>
    <x v="1"/>
    <x v="162"/>
    <x v="6"/>
    <x v="3"/>
    <x v="328"/>
    <x v="90"/>
    <x v="27"/>
    <x v="17"/>
    <x v="515"/>
    <x v="297"/>
  </r>
  <r>
    <x v="50"/>
    <x v="112"/>
    <x v="0"/>
    <x v="1"/>
    <x v="684"/>
    <x v="33"/>
    <x v="3"/>
    <x v="764"/>
    <x v="775"/>
    <x v="1"/>
    <x v="5"/>
    <x v="0"/>
    <x v="1"/>
    <x v="5"/>
    <x v="854"/>
    <x v="892"/>
    <x v="852"/>
    <x v="839"/>
    <x v="686"/>
    <x v="1"/>
    <x v="0"/>
    <x v="2"/>
    <x v="4"/>
    <x v="4"/>
    <x v="1"/>
    <x v="5"/>
    <x v="1"/>
    <x v="18"/>
    <x v="0"/>
    <x v="227"/>
    <x v="8"/>
    <x v="0"/>
    <x v="431"/>
    <x v="90"/>
    <x v="33"/>
    <x v="5"/>
    <x v="775"/>
    <x v="314"/>
  </r>
  <r>
    <x v="24"/>
    <x v="42"/>
    <x v="3"/>
    <x v="2"/>
    <x v="415"/>
    <x v="44"/>
    <x v="0"/>
    <x v="326"/>
    <x v="296"/>
    <x v="0"/>
    <x v="20"/>
    <x v="0"/>
    <x v="1"/>
    <x v="13"/>
    <x v="638"/>
    <x v="623"/>
    <x v="646"/>
    <x v="202"/>
    <x v="251"/>
    <x v="0"/>
    <x v="2"/>
    <x v="2"/>
    <x v="1"/>
    <x v="1"/>
    <x v="0"/>
    <x v="6"/>
    <x v="2"/>
    <x v="7"/>
    <x v="0"/>
    <x v="297"/>
    <x v="11"/>
    <x v="3"/>
    <x v="654"/>
    <x v="90"/>
    <x v="44"/>
    <x v="20"/>
    <x v="296"/>
    <x v="584"/>
  </r>
  <r>
    <x v="57"/>
    <x v="59"/>
    <x v="4"/>
    <x v="1"/>
    <x v="20"/>
    <x v="47"/>
    <x v="3"/>
    <x v="536"/>
    <x v="506"/>
    <x v="1"/>
    <x v="4"/>
    <x v="1"/>
    <x v="0"/>
    <x v="9"/>
    <x v="834"/>
    <x v="874"/>
    <x v="841"/>
    <x v="658"/>
    <x v="612"/>
    <x v="1"/>
    <x v="0"/>
    <x v="1"/>
    <x v="2"/>
    <x v="2"/>
    <x v="0"/>
    <x v="3"/>
    <x v="6"/>
    <x v="9"/>
    <x v="1"/>
    <x v="280"/>
    <x v="10"/>
    <x v="4"/>
    <x v="289"/>
    <x v="90"/>
    <x v="47"/>
    <x v="4"/>
    <x v="506"/>
    <x v="979"/>
  </r>
  <r>
    <x v="62"/>
    <x v="119"/>
    <x v="3"/>
    <x v="0"/>
    <x v="579"/>
    <x v="46"/>
    <x v="1"/>
    <x v="871"/>
    <x v="897"/>
    <x v="0"/>
    <x v="24"/>
    <x v="2"/>
    <x v="1"/>
    <x v="3"/>
    <x v="985"/>
    <x v="959"/>
    <x v="976"/>
    <x v="30"/>
    <x v="169"/>
    <x v="0"/>
    <x v="2"/>
    <x v="2"/>
    <x v="4"/>
    <x v="4"/>
    <x v="1"/>
    <x v="6"/>
    <x v="2"/>
    <x v="19"/>
    <x v="0"/>
    <x v="220"/>
    <x v="8"/>
    <x v="3"/>
    <x v="172"/>
    <x v="90"/>
    <x v="46"/>
    <x v="24"/>
    <x v="897"/>
    <x v="420"/>
  </r>
  <r>
    <x v="61"/>
    <x v="287"/>
    <x v="3"/>
    <x v="0"/>
    <x v="259"/>
    <x v="24"/>
    <x v="2"/>
    <x v="475"/>
    <x v="481"/>
    <x v="0"/>
    <x v="30"/>
    <x v="0"/>
    <x v="1"/>
    <x v="3"/>
    <x v="565"/>
    <x v="500"/>
    <x v="569"/>
    <x v="142"/>
    <x v="57"/>
    <x v="0"/>
    <x v="2"/>
    <x v="2"/>
    <x v="10"/>
    <x v="10"/>
    <x v="3"/>
    <x v="1"/>
    <x v="0"/>
    <x v="45"/>
    <x v="0"/>
    <x v="52"/>
    <x v="2"/>
    <x v="3"/>
    <x v="232"/>
    <x v="90"/>
    <x v="24"/>
    <x v="30"/>
    <x v="481"/>
    <x v="740"/>
  </r>
  <r>
    <x v="21"/>
    <x v="336"/>
    <x v="3"/>
    <x v="1"/>
    <x v="455"/>
    <x v="9"/>
    <x v="3"/>
    <x v="373"/>
    <x v="360"/>
    <x v="0"/>
    <x v="11"/>
    <x v="1"/>
    <x v="0"/>
    <x v="8"/>
    <x v="221"/>
    <x v="231"/>
    <x v="244"/>
    <x v="590"/>
    <x v="593"/>
    <x v="0"/>
    <x v="1"/>
    <x v="2"/>
    <x v="11"/>
    <x v="11"/>
    <x v="3"/>
    <x v="0"/>
    <x v="4"/>
    <x v="52"/>
    <x v="0"/>
    <x v="3"/>
    <x v="0"/>
    <x v="3"/>
    <x v="392"/>
    <x v="90"/>
    <x v="9"/>
    <x v="11"/>
    <x v="360"/>
    <x v="544"/>
  </r>
  <r>
    <x v="57"/>
    <x v="180"/>
    <x v="4"/>
    <x v="0"/>
    <x v="954"/>
    <x v="13"/>
    <x v="1"/>
    <x v="560"/>
    <x v="523"/>
    <x v="0"/>
    <x v="13"/>
    <x v="0"/>
    <x v="0"/>
    <x v="4"/>
    <x v="394"/>
    <x v="407"/>
    <x v="423"/>
    <x v="378"/>
    <x v="347"/>
    <x v="0"/>
    <x v="1"/>
    <x v="0"/>
    <x v="6"/>
    <x v="6"/>
    <x v="2"/>
    <x v="6"/>
    <x v="2"/>
    <x v="28"/>
    <x v="0"/>
    <x v="159"/>
    <x v="6"/>
    <x v="4"/>
    <x v="74"/>
    <x v="48"/>
    <x v="13"/>
    <x v="13"/>
    <x v="523"/>
    <x v="43"/>
  </r>
  <r>
    <x v="57"/>
    <x v="285"/>
    <x v="3"/>
    <x v="3"/>
    <x v="409"/>
    <x v="41"/>
    <x v="0"/>
    <x v="727"/>
    <x v="690"/>
    <x v="1"/>
    <x v="1"/>
    <x v="1"/>
    <x v="1"/>
    <x v="18"/>
    <x v="891"/>
    <x v="937"/>
    <x v="903"/>
    <x v="786"/>
    <x v="650"/>
    <x v="1"/>
    <x v="0"/>
    <x v="2"/>
    <x v="10"/>
    <x v="10"/>
    <x v="3"/>
    <x v="0"/>
    <x v="4"/>
    <x v="44"/>
    <x v="0"/>
    <x v="54"/>
    <x v="2"/>
    <x v="3"/>
    <x v="973"/>
    <x v="90"/>
    <x v="41"/>
    <x v="1"/>
    <x v="690"/>
    <x v="590"/>
  </r>
  <r>
    <x v="85"/>
    <x v="168"/>
    <x v="1"/>
    <x v="1"/>
    <x v="849"/>
    <x v="45"/>
    <x v="0"/>
    <x v="441"/>
    <x v="403"/>
    <x v="0"/>
    <x v="0"/>
    <x v="1"/>
    <x v="1"/>
    <x v="6"/>
    <x v="738"/>
    <x v="814"/>
    <x v="774"/>
    <x v="671"/>
    <x v="624"/>
    <x v="1"/>
    <x v="0"/>
    <x v="0"/>
    <x v="5"/>
    <x v="5"/>
    <x v="1"/>
    <x v="0"/>
    <x v="4"/>
    <x v="26"/>
    <x v="0"/>
    <x v="171"/>
    <x v="6"/>
    <x v="1"/>
    <x v="457"/>
    <x v="90"/>
    <x v="45"/>
    <x v="0"/>
    <x v="403"/>
    <x v="148"/>
  </r>
  <r>
    <x v="48"/>
    <x v="271"/>
    <x v="4"/>
    <x v="2"/>
    <x v="179"/>
    <x v="29"/>
    <x v="0"/>
    <x v="947"/>
    <x v="915"/>
    <x v="0"/>
    <x v="28"/>
    <x v="2"/>
    <x v="0"/>
    <x v="14"/>
    <x v="861"/>
    <x v="807"/>
    <x v="882"/>
    <x v="21"/>
    <x v="8"/>
    <x v="0"/>
    <x v="2"/>
    <x v="1"/>
    <x v="9"/>
    <x v="9"/>
    <x v="3"/>
    <x v="4"/>
    <x v="3"/>
    <x v="42"/>
    <x v="0"/>
    <x v="68"/>
    <x v="3"/>
    <x v="4"/>
    <x v="623"/>
    <x v="90"/>
    <x v="29"/>
    <x v="28"/>
    <x v="915"/>
    <x v="820"/>
  </r>
  <r>
    <x v="51"/>
    <x v="262"/>
    <x v="3"/>
    <x v="3"/>
    <x v="669"/>
    <x v="40"/>
    <x v="1"/>
    <x v="305"/>
    <x v="313"/>
    <x v="0"/>
    <x v="4"/>
    <x v="1"/>
    <x v="1"/>
    <x v="18"/>
    <x v="618"/>
    <x v="667"/>
    <x v="590"/>
    <x v="934"/>
    <x v="833"/>
    <x v="1"/>
    <x v="0"/>
    <x v="2"/>
    <x v="9"/>
    <x v="9"/>
    <x v="3"/>
    <x v="1"/>
    <x v="0"/>
    <x v="41"/>
    <x v="0"/>
    <x v="77"/>
    <x v="3"/>
    <x v="3"/>
    <x v="963"/>
    <x v="90"/>
    <x v="40"/>
    <x v="4"/>
    <x v="313"/>
    <x v="329"/>
  </r>
  <r>
    <x v="41"/>
    <x v="27"/>
    <x v="4"/>
    <x v="1"/>
    <x v="978"/>
    <x v="24"/>
    <x v="2"/>
    <x v="484"/>
    <x v="531"/>
    <x v="0"/>
    <x v="13"/>
    <x v="0"/>
    <x v="0"/>
    <x v="9"/>
    <x v="601"/>
    <x v="628"/>
    <x v="577"/>
    <x v="755"/>
    <x v="679"/>
    <x v="1"/>
    <x v="1"/>
    <x v="0"/>
    <x v="0"/>
    <x v="0"/>
    <x v="0"/>
    <x v="3"/>
    <x v="6"/>
    <x v="4"/>
    <x v="1"/>
    <x v="312"/>
    <x v="11"/>
    <x v="4"/>
    <x v="276"/>
    <x v="49"/>
    <x v="24"/>
    <x v="13"/>
    <x v="531"/>
    <x v="19"/>
  </r>
  <r>
    <x v="69"/>
    <x v="137"/>
    <x v="2"/>
    <x v="2"/>
    <x v="105"/>
    <x v="13"/>
    <x v="3"/>
    <x v="771"/>
    <x v="748"/>
    <x v="1"/>
    <x v="24"/>
    <x v="0"/>
    <x v="0"/>
    <x v="12"/>
    <x v="503"/>
    <x v="474"/>
    <x v="530"/>
    <x v="184"/>
    <x v="81"/>
    <x v="0"/>
    <x v="2"/>
    <x v="1"/>
    <x v="4"/>
    <x v="4"/>
    <x v="1"/>
    <x v="1"/>
    <x v="0"/>
    <x v="22"/>
    <x v="0"/>
    <x v="202"/>
    <x v="7"/>
    <x v="2"/>
    <x v="578"/>
    <x v="90"/>
    <x v="13"/>
    <x v="24"/>
    <x v="748"/>
    <x v="894"/>
  </r>
  <r>
    <x v="14"/>
    <x v="249"/>
    <x v="1"/>
    <x v="0"/>
    <x v="7"/>
    <x v="34"/>
    <x v="0"/>
    <x v="696"/>
    <x v="681"/>
    <x v="1"/>
    <x v="27"/>
    <x v="2"/>
    <x v="0"/>
    <x v="1"/>
    <x v="817"/>
    <x v="756"/>
    <x v="834"/>
    <x v="56"/>
    <x v="46"/>
    <x v="0"/>
    <x v="2"/>
    <x v="1"/>
    <x v="8"/>
    <x v="8"/>
    <x v="2"/>
    <x v="3"/>
    <x v="6"/>
    <x v="38"/>
    <x v="1"/>
    <x v="90"/>
    <x v="4"/>
    <x v="1"/>
    <x v="91"/>
    <x v="90"/>
    <x v="34"/>
    <x v="27"/>
    <x v="681"/>
    <x v="992"/>
  </r>
  <r>
    <x v="53"/>
    <x v="275"/>
    <x v="3"/>
    <x v="2"/>
    <x v="442"/>
    <x v="47"/>
    <x v="1"/>
    <x v="880"/>
    <x v="845"/>
    <x v="1"/>
    <x v="16"/>
    <x v="2"/>
    <x v="1"/>
    <x v="13"/>
    <x v="975"/>
    <x v="974"/>
    <x v="981"/>
    <x v="48"/>
    <x v="232"/>
    <x v="0"/>
    <x v="1"/>
    <x v="2"/>
    <x v="9"/>
    <x v="9"/>
    <x v="3"/>
    <x v="1"/>
    <x v="0"/>
    <x v="43"/>
    <x v="0"/>
    <x v="64"/>
    <x v="3"/>
    <x v="3"/>
    <x v="734"/>
    <x v="90"/>
    <x v="47"/>
    <x v="16"/>
    <x v="845"/>
    <x v="557"/>
  </r>
  <r>
    <x v="59"/>
    <x v="10"/>
    <x v="2"/>
    <x v="3"/>
    <x v="98"/>
    <x v="33"/>
    <x v="1"/>
    <x v="993"/>
    <x v="987"/>
    <x v="0"/>
    <x v="17"/>
    <x v="1"/>
    <x v="0"/>
    <x v="17"/>
    <x v="928"/>
    <x v="923"/>
    <x v="936"/>
    <x v="72"/>
    <x v="266"/>
    <x v="0"/>
    <x v="1"/>
    <x v="1"/>
    <x v="0"/>
    <x v="0"/>
    <x v="0"/>
    <x v="6"/>
    <x v="2"/>
    <x v="2"/>
    <x v="0"/>
    <x v="329"/>
    <x v="12"/>
    <x v="2"/>
    <x v="757"/>
    <x v="90"/>
    <x v="33"/>
    <x v="17"/>
    <x v="987"/>
    <x v="901"/>
  </r>
  <r>
    <x v="96"/>
    <x v="152"/>
    <x v="2"/>
    <x v="0"/>
    <x v="750"/>
    <x v="9"/>
    <x v="3"/>
    <x v="426"/>
    <x v="387"/>
    <x v="1"/>
    <x v="20"/>
    <x v="2"/>
    <x v="0"/>
    <x v="2"/>
    <x v="234"/>
    <x v="217"/>
    <x v="275"/>
    <x v="372"/>
    <x v="134"/>
    <x v="0"/>
    <x v="2"/>
    <x v="0"/>
    <x v="5"/>
    <x v="5"/>
    <x v="1"/>
    <x v="5"/>
    <x v="1"/>
    <x v="24"/>
    <x v="0"/>
    <x v="187"/>
    <x v="7"/>
    <x v="2"/>
    <x v="69"/>
    <x v="90"/>
    <x v="9"/>
    <x v="20"/>
    <x v="387"/>
    <x v="248"/>
  </r>
  <r>
    <x v="7"/>
    <x v="104"/>
    <x v="4"/>
    <x v="1"/>
    <x v="917"/>
    <x v="34"/>
    <x v="0"/>
    <x v="115"/>
    <x v="156"/>
    <x v="1"/>
    <x v="29"/>
    <x v="0"/>
    <x v="1"/>
    <x v="9"/>
    <x v="380"/>
    <x v="319"/>
    <x v="272"/>
    <x v="868"/>
    <x v="892"/>
    <x v="1"/>
    <x v="2"/>
    <x v="0"/>
    <x v="3"/>
    <x v="3"/>
    <x v="1"/>
    <x v="3"/>
    <x v="6"/>
    <x v="16"/>
    <x v="1"/>
    <x v="235"/>
    <x v="9"/>
    <x v="4"/>
    <x v="426"/>
    <x v="50"/>
    <x v="34"/>
    <x v="29"/>
    <x v="156"/>
    <x v="80"/>
  </r>
  <r>
    <x v="52"/>
    <x v="174"/>
    <x v="2"/>
    <x v="0"/>
    <x v="443"/>
    <x v="10"/>
    <x v="1"/>
    <x v="33"/>
    <x v="47"/>
    <x v="0"/>
    <x v="18"/>
    <x v="0"/>
    <x v="0"/>
    <x v="2"/>
    <x v="65"/>
    <x v="64"/>
    <x v="33"/>
    <x v="784"/>
    <x v="968"/>
    <x v="1"/>
    <x v="1"/>
    <x v="2"/>
    <x v="6"/>
    <x v="6"/>
    <x v="2"/>
    <x v="4"/>
    <x v="3"/>
    <x v="27"/>
    <x v="0"/>
    <x v="165"/>
    <x v="6"/>
    <x v="2"/>
    <x v="71"/>
    <x v="90"/>
    <x v="10"/>
    <x v="18"/>
    <x v="47"/>
    <x v="556"/>
  </r>
  <r>
    <x v="59"/>
    <x v="274"/>
    <x v="1"/>
    <x v="1"/>
    <x v="262"/>
    <x v="10"/>
    <x v="3"/>
    <x v="738"/>
    <x v="782"/>
    <x v="1"/>
    <x v="17"/>
    <x v="2"/>
    <x v="1"/>
    <x v="6"/>
    <x v="443"/>
    <x v="438"/>
    <x v="442"/>
    <x v="443"/>
    <x v="460"/>
    <x v="0"/>
    <x v="1"/>
    <x v="2"/>
    <x v="9"/>
    <x v="9"/>
    <x v="3"/>
    <x v="3"/>
    <x v="6"/>
    <x v="42"/>
    <x v="1"/>
    <x v="65"/>
    <x v="3"/>
    <x v="1"/>
    <x v="502"/>
    <x v="90"/>
    <x v="10"/>
    <x v="17"/>
    <x v="782"/>
    <x v="737"/>
  </r>
  <r>
    <x v="4"/>
    <x v="218"/>
    <x v="1"/>
    <x v="1"/>
    <x v="444"/>
    <x v="20"/>
    <x v="2"/>
    <x v="895"/>
    <x v="926"/>
    <x v="0"/>
    <x v="0"/>
    <x v="2"/>
    <x v="1"/>
    <x v="6"/>
    <x v="724"/>
    <x v="798"/>
    <x v="726"/>
    <x v="946"/>
    <x v="798"/>
    <x v="1"/>
    <x v="0"/>
    <x v="2"/>
    <x v="7"/>
    <x v="7"/>
    <x v="2"/>
    <x v="3"/>
    <x v="6"/>
    <x v="33"/>
    <x v="1"/>
    <x v="121"/>
    <x v="5"/>
    <x v="1"/>
    <x v="474"/>
    <x v="90"/>
    <x v="20"/>
    <x v="0"/>
    <x v="926"/>
    <x v="555"/>
  </r>
  <r>
    <x v="67"/>
    <x v="214"/>
    <x v="0"/>
    <x v="2"/>
    <x v="727"/>
    <x v="20"/>
    <x v="2"/>
    <x v="228"/>
    <x v="222"/>
    <x v="1"/>
    <x v="2"/>
    <x v="2"/>
    <x v="1"/>
    <x v="10"/>
    <x v="301"/>
    <x v="353"/>
    <x v="305"/>
    <x v="840"/>
    <x v="863"/>
    <x v="1"/>
    <x v="0"/>
    <x v="2"/>
    <x v="7"/>
    <x v="7"/>
    <x v="2"/>
    <x v="5"/>
    <x v="1"/>
    <x v="33"/>
    <x v="0"/>
    <x v="125"/>
    <x v="5"/>
    <x v="0"/>
    <x v="705"/>
    <x v="90"/>
    <x v="20"/>
    <x v="2"/>
    <x v="222"/>
    <x v="271"/>
  </r>
  <r>
    <x v="5"/>
    <x v="287"/>
    <x v="1"/>
    <x v="2"/>
    <x v="10"/>
    <x v="21"/>
    <x v="2"/>
    <x v="159"/>
    <x v="166"/>
    <x v="1"/>
    <x v="17"/>
    <x v="1"/>
    <x v="0"/>
    <x v="11"/>
    <x v="257"/>
    <x v="255"/>
    <x v="245"/>
    <x v="744"/>
    <x v="784"/>
    <x v="1"/>
    <x v="1"/>
    <x v="1"/>
    <x v="10"/>
    <x v="10"/>
    <x v="3"/>
    <x v="1"/>
    <x v="0"/>
    <x v="45"/>
    <x v="0"/>
    <x v="52"/>
    <x v="2"/>
    <x v="1"/>
    <x v="626"/>
    <x v="90"/>
    <x v="21"/>
    <x v="17"/>
    <x v="166"/>
    <x v="989"/>
  </r>
  <r>
    <x v="95"/>
    <x v="90"/>
    <x v="2"/>
    <x v="2"/>
    <x v="586"/>
    <x v="44"/>
    <x v="0"/>
    <x v="64"/>
    <x v="31"/>
    <x v="1"/>
    <x v="28"/>
    <x v="1"/>
    <x v="0"/>
    <x v="12"/>
    <x v="226"/>
    <x v="190"/>
    <x v="222"/>
    <x v="504"/>
    <x v="414"/>
    <x v="0"/>
    <x v="2"/>
    <x v="2"/>
    <x v="3"/>
    <x v="3"/>
    <x v="1"/>
    <x v="2"/>
    <x v="5"/>
    <x v="14"/>
    <x v="1"/>
    <x v="249"/>
    <x v="9"/>
    <x v="2"/>
    <x v="559"/>
    <x v="90"/>
    <x v="44"/>
    <x v="28"/>
    <x v="31"/>
    <x v="413"/>
  </r>
  <r>
    <x v="93"/>
    <x v="50"/>
    <x v="1"/>
    <x v="3"/>
    <x v="608"/>
    <x v="6"/>
    <x v="3"/>
    <x v="830"/>
    <x v="834"/>
    <x v="1"/>
    <x v="26"/>
    <x v="0"/>
    <x v="1"/>
    <x v="16"/>
    <x v="316"/>
    <x v="280"/>
    <x v="349"/>
    <x v="299"/>
    <x v="73"/>
    <x v="0"/>
    <x v="2"/>
    <x v="2"/>
    <x v="1"/>
    <x v="1"/>
    <x v="0"/>
    <x v="0"/>
    <x v="4"/>
    <x v="8"/>
    <x v="0"/>
    <x v="289"/>
    <x v="11"/>
    <x v="1"/>
    <x v="901"/>
    <x v="90"/>
    <x v="6"/>
    <x v="26"/>
    <x v="834"/>
    <x v="390"/>
  </r>
  <r>
    <x v="46"/>
    <x v="102"/>
    <x v="4"/>
    <x v="3"/>
    <x v="633"/>
    <x v="16"/>
    <x v="3"/>
    <x v="327"/>
    <x v="359"/>
    <x v="0"/>
    <x v="29"/>
    <x v="1"/>
    <x v="1"/>
    <x v="19"/>
    <x v="358"/>
    <x v="303"/>
    <x v="331"/>
    <x v="437"/>
    <x v="368"/>
    <x v="0"/>
    <x v="2"/>
    <x v="2"/>
    <x v="3"/>
    <x v="3"/>
    <x v="1"/>
    <x v="0"/>
    <x v="4"/>
    <x v="16"/>
    <x v="0"/>
    <x v="237"/>
    <x v="9"/>
    <x v="4"/>
    <x v="917"/>
    <x v="90"/>
    <x v="16"/>
    <x v="29"/>
    <x v="359"/>
    <x v="365"/>
  </r>
  <r>
    <x v="98"/>
    <x v="140"/>
    <x v="0"/>
    <x v="2"/>
    <x v="245"/>
    <x v="1"/>
    <x v="1"/>
    <x v="404"/>
    <x v="366"/>
    <x v="0"/>
    <x v="16"/>
    <x v="1"/>
    <x v="1"/>
    <x v="10"/>
    <x v="39"/>
    <x v="43"/>
    <x v="78"/>
    <x v="544"/>
    <x v="235"/>
    <x v="0"/>
    <x v="1"/>
    <x v="1"/>
    <x v="5"/>
    <x v="5"/>
    <x v="1"/>
    <x v="4"/>
    <x v="3"/>
    <x v="22"/>
    <x v="0"/>
    <x v="199"/>
    <x v="7"/>
    <x v="0"/>
    <x v="687"/>
    <x v="90"/>
    <x v="1"/>
    <x v="16"/>
    <x v="366"/>
    <x v="754"/>
  </r>
  <r>
    <x v="54"/>
    <x v="231"/>
    <x v="2"/>
    <x v="3"/>
    <x v="717"/>
    <x v="11"/>
    <x v="1"/>
    <x v="515"/>
    <x v="554"/>
    <x v="1"/>
    <x v="24"/>
    <x v="1"/>
    <x v="0"/>
    <x v="17"/>
    <x v="369"/>
    <x v="329"/>
    <x v="372"/>
    <x v="396"/>
    <x v="319"/>
    <x v="0"/>
    <x v="2"/>
    <x v="2"/>
    <x v="8"/>
    <x v="8"/>
    <x v="2"/>
    <x v="3"/>
    <x v="6"/>
    <x v="35"/>
    <x v="1"/>
    <x v="108"/>
    <x v="4"/>
    <x v="2"/>
    <x v="841"/>
    <x v="90"/>
    <x v="11"/>
    <x v="24"/>
    <x v="554"/>
    <x v="281"/>
  </r>
  <r>
    <x v="39"/>
    <x v="63"/>
    <x v="0"/>
    <x v="0"/>
    <x v="96"/>
    <x v="41"/>
    <x v="1"/>
    <x v="850"/>
    <x v="840"/>
    <x v="0"/>
    <x v="25"/>
    <x v="1"/>
    <x v="1"/>
    <x v="0"/>
    <x v="943"/>
    <x v="906"/>
    <x v="948"/>
    <x v="19"/>
    <x v="67"/>
    <x v="0"/>
    <x v="2"/>
    <x v="1"/>
    <x v="2"/>
    <x v="2"/>
    <x v="0"/>
    <x v="0"/>
    <x v="4"/>
    <x v="10"/>
    <x v="0"/>
    <x v="276"/>
    <x v="10"/>
    <x v="0"/>
    <x v="150"/>
    <x v="90"/>
    <x v="41"/>
    <x v="25"/>
    <x v="840"/>
    <x v="903"/>
  </r>
  <r>
    <x v="51"/>
    <x v="289"/>
    <x v="2"/>
    <x v="0"/>
    <x v="193"/>
    <x v="17"/>
    <x v="3"/>
    <x v="658"/>
    <x v="695"/>
    <x v="1"/>
    <x v="19"/>
    <x v="0"/>
    <x v="1"/>
    <x v="2"/>
    <x v="573"/>
    <x v="565"/>
    <x v="568"/>
    <x v="345"/>
    <x v="400"/>
    <x v="0"/>
    <x v="1"/>
    <x v="1"/>
    <x v="10"/>
    <x v="10"/>
    <x v="3"/>
    <x v="6"/>
    <x v="2"/>
    <x v="45"/>
    <x v="0"/>
    <x v="50"/>
    <x v="2"/>
    <x v="2"/>
    <x v="233"/>
    <x v="90"/>
    <x v="17"/>
    <x v="19"/>
    <x v="695"/>
    <x v="806"/>
  </r>
  <r>
    <x v="15"/>
    <x v="269"/>
    <x v="4"/>
    <x v="3"/>
    <x v="885"/>
    <x v="10"/>
    <x v="1"/>
    <x v="625"/>
    <x v="668"/>
    <x v="1"/>
    <x v="10"/>
    <x v="2"/>
    <x v="1"/>
    <x v="19"/>
    <x v="396"/>
    <x v="419"/>
    <x v="400"/>
    <x v="715"/>
    <x v="692"/>
    <x v="1"/>
    <x v="1"/>
    <x v="0"/>
    <x v="9"/>
    <x v="9"/>
    <x v="3"/>
    <x v="1"/>
    <x v="0"/>
    <x v="42"/>
    <x v="0"/>
    <x v="70"/>
    <x v="3"/>
    <x v="4"/>
    <x v="966"/>
    <x v="90"/>
    <x v="10"/>
    <x v="10"/>
    <x v="668"/>
    <x v="112"/>
  </r>
  <r>
    <x v="12"/>
    <x v="234"/>
    <x v="0"/>
    <x v="3"/>
    <x v="742"/>
    <x v="15"/>
    <x v="3"/>
    <x v="176"/>
    <x v="196"/>
    <x v="1"/>
    <x v="14"/>
    <x v="0"/>
    <x v="0"/>
    <x v="15"/>
    <x v="215"/>
    <x v="214"/>
    <x v="204"/>
    <x v="782"/>
    <x v="852"/>
    <x v="1"/>
    <x v="1"/>
    <x v="2"/>
    <x v="8"/>
    <x v="8"/>
    <x v="2"/>
    <x v="4"/>
    <x v="3"/>
    <x v="36"/>
    <x v="0"/>
    <x v="105"/>
    <x v="4"/>
    <x v="0"/>
    <x v="842"/>
    <x v="90"/>
    <x v="15"/>
    <x v="14"/>
    <x v="196"/>
    <x v="256"/>
  </r>
  <r>
    <x v="29"/>
    <x v="33"/>
    <x v="3"/>
    <x v="0"/>
    <x v="16"/>
    <x v="48"/>
    <x v="3"/>
    <x v="529"/>
    <x v="544"/>
    <x v="1"/>
    <x v="26"/>
    <x v="1"/>
    <x v="1"/>
    <x v="3"/>
    <x v="864"/>
    <x v="820"/>
    <x v="848"/>
    <x v="82"/>
    <x v="197"/>
    <x v="0"/>
    <x v="2"/>
    <x v="1"/>
    <x v="1"/>
    <x v="1"/>
    <x v="0"/>
    <x v="3"/>
    <x v="6"/>
    <x v="5"/>
    <x v="1"/>
    <x v="306"/>
    <x v="11"/>
    <x v="3"/>
    <x v="134"/>
    <x v="90"/>
    <x v="48"/>
    <x v="26"/>
    <x v="544"/>
    <x v="983"/>
  </r>
  <r>
    <x v="18"/>
    <x v="225"/>
    <x v="2"/>
    <x v="1"/>
    <x v="251"/>
    <x v="17"/>
    <x v="2"/>
    <x v="723"/>
    <x v="723"/>
    <x v="1"/>
    <x v="9"/>
    <x v="2"/>
    <x v="0"/>
    <x v="7"/>
    <x v="587"/>
    <x v="631"/>
    <x v="609"/>
    <x v="463"/>
    <x v="530"/>
    <x v="0"/>
    <x v="0"/>
    <x v="2"/>
    <x v="7"/>
    <x v="7"/>
    <x v="2"/>
    <x v="3"/>
    <x v="6"/>
    <x v="34"/>
    <x v="1"/>
    <x v="114"/>
    <x v="4"/>
    <x v="2"/>
    <x v="350"/>
    <x v="90"/>
    <x v="17"/>
    <x v="9"/>
    <x v="723"/>
    <x v="748"/>
  </r>
  <r>
    <x v="16"/>
    <x v="136"/>
    <x v="3"/>
    <x v="0"/>
    <x v="211"/>
    <x v="34"/>
    <x v="1"/>
    <x v="974"/>
    <x v="994"/>
    <x v="1"/>
    <x v="28"/>
    <x v="2"/>
    <x v="0"/>
    <x v="3"/>
    <x v="947"/>
    <x v="893"/>
    <x v="939"/>
    <x v="24"/>
    <x v="71"/>
    <x v="0"/>
    <x v="2"/>
    <x v="1"/>
    <x v="4"/>
    <x v="4"/>
    <x v="1"/>
    <x v="3"/>
    <x v="6"/>
    <x v="21"/>
    <x v="1"/>
    <x v="203"/>
    <x v="7"/>
    <x v="3"/>
    <x v="56"/>
    <x v="90"/>
    <x v="34"/>
    <x v="28"/>
    <x v="994"/>
    <x v="788"/>
  </r>
  <r>
    <x v="62"/>
    <x v="214"/>
    <x v="0"/>
    <x v="0"/>
    <x v="279"/>
    <x v="25"/>
    <x v="2"/>
    <x v="201"/>
    <x v="255"/>
    <x v="0"/>
    <x v="7"/>
    <x v="2"/>
    <x v="1"/>
    <x v="0"/>
    <x v="400"/>
    <x v="431"/>
    <x v="333"/>
    <x v="949"/>
    <x v="920"/>
    <x v="1"/>
    <x v="0"/>
    <x v="2"/>
    <x v="7"/>
    <x v="7"/>
    <x v="2"/>
    <x v="5"/>
    <x v="1"/>
    <x v="33"/>
    <x v="0"/>
    <x v="125"/>
    <x v="5"/>
    <x v="0"/>
    <x v="206"/>
    <x v="90"/>
    <x v="25"/>
    <x v="7"/>
    <x v="255"/>
    <x v="720"/>
  </r>
  <r>
    <x v="18"/>
    <x v="229"/>
    <x v="3"/>
    <x v="3"/>
    <x v="250"/>
    <x v="15"/>
    <x v="0"/>
    <x v="12"/>
    <x v="35"/>
    <x v="0"/>
    <x v="22"/>
    <x v="0"/>
    <x v="1"/>
    <x v="18"/>
    <x v="86"/>
    <x v="80"/>
    <x v="21"/>
    <x v="841"/>
    <x v="993"/>
    <x v="1"/>
    <x v="2"/>
    <x v="2"/>
    <x v="8"/>
    <x v="8"/>
    <x v="2"/>
    <x v="0"/>
    <x v="4"/>
    <x v="35"/>
    <x v="0"/>
    <x v="110"/>
    <x v="4"/>
    <x v="3"/>
    <x v="954"/>
    <x v="90"/>
    <x v="15"/>
    <x v="22"/>
    <x v="35"/>
    <x v="749"/>
  </r>
  <r>
    <x v="91"/>
    <x v="313"/>
    <x v="3"/>
    <x v="0"/>
    <x v="61"/>
    <x v="5"/>
    <x v="0"/>
    <x v="77"/>
    <x v="88"/>
    <x v="1"/>
    <x v="19"/>
    <x v="2"/>
    <x v="1"/>
    <x v="3"/>
    <x v="42"/>
    <x v="47"/>
    <x v="39"/>
    <x v="697"/>
    <x v="927"/>
    <x v="1"/>
    <x v="1"/>
    <x v="1"/>
    <x v="11"/>
    <x v="11"/>
    <x v="3"/>
    <x v="3"/>
    <x v="6"/>
    <x v="48"/>
    <x v="1"/>
    <x v="26"/>
    <x v="1"/>
    <x v="3"/>
    <x v="251"/>
    <x v="90"/>
    <x v="5"/>
    <x v="19"/>
    <x v="88"/>
    <x v="938"/>
  </r>
  <r>
    <x v="57"/>
    <x v="338"/>
    <x v="0"/>
    <x v="3"/>
    <x v="465"/>
    <x v="43"/>
    <x v="0"/>
    <x v="378"/>
    <x v="394"/>
    <x v="0"/>
    <x v="22"/>
    <x v="0"/>
    <x v="0"/>
    <x v="15"/>
    <x v="707"/>
    <x v="690"/>
    <x v="693"/>
    <x v="254"/>
    <x v="355"/>
    <x v="0"/>
    <x v="2"/>
    <x v="2"/>
    <x v="11"/>
    <x v="11"/>
    <x v="3"/>
    <x v="3"/>
    <x v="6"/>
    <x v="52"/>
    <x v="1"/>
    <x v="1"/>
    <x v="0"/>
    <x v="0"/>
    <x v="879"/>
    <x v="90"/>
    <x v="43"/>
    <x v="22"/>
    <x v="394"/>
    <x v="534"/>
  </r>
  <r>
    <x v="54"/>
    <x v="188"/>
    <x v="4"/>
    <x v="3"/>
    <x v="735"/>
    <x v="42"/>
    <x v="3"/>
    <x v="825"/>
    <x v="874"/>
    <x v="1"/>
    <x v="13"/>
    <x v="0"/>
    <x v="0"/>
    <x v="19"/>
    <x v="959"/>
    <x v="964"/>
    <x v="949"/>
    <x v="282"/>
    <x v="508"/>
    <x v="0"/>
    <x v="1"/>
    <x v="2"/>
    <x v="6"/>
    <x v="6"/>
    <x v="2"/>
    <x v="4"/>
    <x v="3"/>
    <x v="29"/>
    <x v="0"/>
    <x v="151"/>
    <x v="6"/>
    <x v="4"/>
    <x v="820"/>
    <x v="90"/>
    <x v="42"/>
    <x v="13"/>
    <x v="874"/>
    <x v="263"/>
  </r>
  <r>
    <x v="89"/>
    <x v="142"/>
    <x v="3"/>
    <x v="2"/>
    <x v="602"/>
    <x v="46"/>
    <x v="3"/>
    <x v="8"/>
    <x v="17"/>
    <x v="0"/>
    <x v="28"/>
    <x v="1"/>
    <x v="0"/>
    <x v="13"/>
    <x v="179"/>
    <x v="155"/>
    <x v="77"/>
    <x v="923"/>
    <x v="983"/>
    <x v="1"/>
    <x v="2"/>
    <x v="2"/>
    <x v="5"/>
    <x v="5"/>
    <x v="1"/>
    <x v="2"/>
    <x v="5"/>
    <x v="22"/>
    <x v="1"/>
    <x v="197"/>
    <x v="7"/>
    <x v="3"/>
    <x v="582"/>
    <x v="90"/>
    <x v="46"/>
    <x v="28"/>
    <x v="17"/>
    <x v="397"/>
  </r>
  <r>
    <x v="89"/>
    <x v="66"/>
    <x v="3"/>
    <x v="0"/>
    <x v="672"/>
    <x v="46"/>
    <x v="3"/>
    <x v="464"/>
    <x v="505"/>
    <x v="0"/>
    <x v="19"/>
    <x v="1"/>
    <x v="1"/>
    <x v="3"/>
    <x v="820"/>
    <x v="811"/>
    <x v="794"/>
    <x v="326"/>
    <x v="481"/>
    <x v="0"/>
    <x v="1"/>
    <x v="2"/>
    <x v="2"/>
    <x v="2"/>
    <x v="0"/>
    <x v="5"/>
    <x v="1"/>
    <x v="11"/>
    <x v="0"/>
    <x v="273"/>
    <x v="10"/>
    <x v="3"/>
    <x v="151"/>
    <x v="90"/>
    <x v="46"/>
    <x v="19"/>
    <x v="505"/>
    <x v="326"/>
  </r>
  <r>
    <x v="61"/>
    <x v="188"/>
    <x v="4"/>
    <x v="1"/>
    <x v="88"/>
    <x v="47"/>
    <x v="1"/>
    <x v="343"/>
    <x v="341"/>
    <x v="0"/>
    <x v="9"/>
    <x v="2"/>
    <x v="0"/>
    <x v="9"/>
    <x v="693"/>
    <x v="719"/>
    <x v="687"/>
    <x v="828"/>
    <x v="718"/>
    <x v="1"/>
    <x v="0"/>
    <x v="1"/>
    <x v="6"/>
    <x v="6"/>
    <x v="2"/>
    <x v="4"/>
    <x v="3"/>
    <x v="29"/>
    <x v="0"/>
    <x v="151"/>
    <x v="6"/>
    <x v="4"/>
    <x v="336"/>
    <x v="90"/>
    <x v="47"/>
    <x v="9"/>
    <x v="341"/>
    <x v="911"/>
  </r>
  <r>
    <x v="22"/>
    <x v="275"/>
    <x v="3"/>
    <x v="2"/>
    <x v="951"/>
    <x v="41"/>
    <x v="2"/>
    <x v="50"/>
    <x v="15"/>
    <x v="1"/>
    <x v="19"/>
    <x v="2"/>
    <x v="1"/>
    <x v="13"/>
    <x v="162"/>
    <x v="153"/>
    <x v="184"/>
    <x v="512"/>
    <x v="379"/>
    <x v="0"/>
    <x v="1"/>
    <x v="0"/>
    <x v="9"/>
    <x v="9"/>
    <x v="3"/>
    <x v="1"/>
    <x v="0"/>
    <x v="43"/>
    <x v="0"/>
    <x v="64"/>
    <x v="3"/>
    <x v="3"/>
    <x v="735"/>
    <x v="51"/>
    <x v="41"/>
    <x v="19"/>
    <x v="15"/>
    <x v="46"/>
  </r>
  <r>
    <x v="8"/>
    <x v="16"/>
    <x v="3"/>
    <x v="3"/>
    <x v="847"/>
    <x v="11"/>
    <x v="3"/>
    <x v="458"/>
    <x v="445"/>
    <x v="0"/>
    <x v="9"/>
    <x v="1"/>
    <x v="1"/>
    <x v="18"/>
    <x v="308"/>
    <x v="328"/>
    <x v="335"/>
    <x v="570"/>
    <x v="578"/>
    <x v="0"/>
    <x v="0"/>
    <x v="0"/>
    <x v="0"/>
    <x v="0"/>
    <x v="0"/>
    <x v="5"/>
    <x v="1"/>
    <x v="3"/>
    <x v="0"/>
    <x v="323"/>
    <x v="12"/>
    <x v="3"/>
    <x v="886"/>
    <x v="90"/>
    <x v="11"/>
    <x v="9"/>
    <x v="445"/>
    <x v="150"/>
  </r>
  <r>
    <x v="11"/>
    <x v="118"/>
    <x v="3"/>
    <x v="3"/>
    <x v="814"/>
    <x v="12"/>
    <x v="2"/>
    <x v="263"/>
    <x v="260"/>
    <x v="1"/>
    <x v="9"/>
    <x v="0"/>
    <x v="1"/>
    <x v="18"/>
    <x v="211"/>
    <x v="232"/>
    <x v="232"/>
    <x v="706"/>
    <x v="752"/>
    <x v="1"/>
    <x v="0"/>
    <x v="0"/>
    <x v="4"/>
    <x v="4"/>
    <x v="1"/>
    <x v="5"/>
    <x v="1"/>
    <x v="19"/>
    <x v="0"/>
    <x v="221"/>
    <x v="8"/>
    <x v="3"/>
    <x v="920"/>
    <x v="90"/>
    <x v="12"/>
    <x v="9"/>
    <x v="260"/>
    <x v="183"/>
  </r>
  <r>
    <x v="0"/>
    <x v="204"/>
    <x v="1"/>
    <x v="1"/>
    <x v="832"/>
    <x v="3"/>
    <x v="2"/>
    <x v="367"/>
    <x v="332"/>
    <x v="1"/>
    <x v="12"/>
    <x v="0"/>
    <x v="0"/>
    <x v="6"/>
    <x v="84"/>
    <x v="90"/>
    <x v="123"/>
    <x v="548"/>
    <x v="390"/>
    <x v="0"/>
    <x v="1"/>
    <x v="0"/>
    <x v="7"/>
    <x v="7"/>
    <x v="2"/>
    <x v="2"/>
    <x v="5"/>
    <x v="31"/>
    <x v="1"/>
    <x v="135"/>
    <x v="5"/>
    <x v="1"/>
    <x v="341"/>
    <x v="90"/>
    <x v="3"/>
    <x v="12"/>
    <x v="332"/>
    <x v="165"/>
  </r>
  <r>
    <x v="57"/>
    <x v="56"/>
    <x v="4"/>
    <x v="3"/>
    <x v="931"/>
    <x v="38"/>
    <x v="2"/>
    <x v="711"/>
    <x v="676"/>
    <x v="1"/>
    <x v="26"/>
    <x v="1"/>
    <x v="0"/>
    <x v="19"/>
    <x v="857"/>
    <x v="813"/>
    <x v="873"/>
    <x v="35"/>
    <x v="28"/>
    <x v="0"/>
    <x v="2"/>
    <x v="0"/>
    <x v="2"/>
    <x v="2"/>
    <x v="0"/>
    <x v="4"/>
    <x v="3"/>
    <x v="9"/>
    <x v="0"/>
    <x v="283"/>
    <x v="10"/>
    <x v="4"/>
    <x v="778"/>
    <x v="52"/>
    <x v="38"/>
    <x v="26"/>
    <x v="676"/>
    <x v="66"/>
  </r>
  <r>
    <x v="0"/>
    <x v="95"/>
    <x v="3"/>
    <x v="0"/>
    <x v="542"/>
    <x v="1"/>
    <x v="1"/>
    <x v="546"/>
    <x v="540"/>
    <x v="0"/>
    <x v="15"/>
    <x v="0"/>
    <x v="0"/>
    <x v="3"/>
    <x v="63"/>
    <x v="67"/>
    <x v="95"/>
    <x v="567"/>
    <x v="444"/>
    <x v="0"/>
    <x v="1"/>
    <x v="2"/>
    <x v="3"/>
    <x v="3"/>
    <x v="1"/>
    <x v="0"/>
    <x v="4"/>
    <x v="15"/>
    <x v="0"/>
    <x v="244"/>
    <x v="9"/>
    <x v="3"/>
    <x v="46"/>
    <x v="90"/>
    <x v="1"/>
    <x v="15"/>
    <x v="540"/>
    <x v="457"/>
  </r>
  <r>
    <x v="33"/>
    <x v="39"/>
    <x v="4"/>
    <x v="2"/>
    <x v="194"/>
    <x v="25"/>
    <x v="1"/>
    <x v="136"/>
    <x v="84"/>
    <x v="0"/>
    <x v="20"/>
    <x v="1"/>
    <x v="1"/>
    <x v="14"/>
    <x v="197"/>
    <x v="191"/>
    <x v="235"/>
    <x v="435"/>
    <x v="263"/>
    <x v="0"/>
    <x v="2"/>
    <x v="1"/>
    <x v="1"/>
    <x v="1"/>
    <x v="0"/>
    <x v="2"/>
    <x v="5"/>
    <x v="6"/>
    <x v="1"/>
    <x v="300"/>
    <x v="11"/>
    <x v="4"/>
    <x v="653"/>
    <x v="90"/>
    <x v="25"/>
    <x v="20"/>
    <x v="84"/>
    <x v="805"/>
  </r>
  <r>
    <x v="95"/>
    <x v="24"/>
    <x v="2"/>
    <x v="3"/>
    <x v="610"/>
    <x v="26"/>
    <x v="0"/>
    <x v="967"/>
    <x v="948"/>
    <x v="0"/>
    <x v="12"/>
    <x v="1"/>
    <x v="0"/>
    <x v="17"/>
    <x v="844"/>
    <x v="853"/>
    <x v="855"/>
    <x v="169"/>
    <x v="363"/>
    <x v="0"/>
    <x v="1"/>
    <x v="2"/>
    <x v="0"/>
    <x v="0"/>
    <x v="0"/>
    <x v="6"/>
    <x v="2"/>
    <x v="4"/>
    <x v="0"/>
    <x v="315"/>
    <x v="11"/>
    <x v="2"/>
    <x v="761"/>
    <x v="90"/>
    <x v="26"/>
    <x v="12"/>
    <x v="948"/>
    <x v="388"/>
  </r>
  <r>
    <x v="47"/>
    <x v="36"/>
    <x v="2"/>
    <x v="3"/>
    <x v="746"/>
    <x v="26"/>
    <x v="0"/>
    <x v="653"/>
    <x v="669"/>
    <x v="1"/>
    <x v="8"/>
    <x v="2"/>
    <x v="0"/>
    <x v="17"/>
    <x v="703"/>
    <x v="737"/>
    <x v="705"/>
    <x v="771"/>
    <x v="672"/>
    <x v="1"/>
    <x v="0"/>
    <x v="2"/>
    <x v="1"/>
    <x v="1"/>
    <x v="0"/>
    <x v="6"/>
    <x v="2"/>
    <x v="6"/>
    <x v="0"/>
    <x v="303"/>
    <x v="11"/>
    <x v="2"/>
    <x v="767"/>
    <x v="90"/>
    <x v="26"/>
    <x v="8"/>
    <x v="669"/>
    <x v="252"/>
  </r>
  <r>
    <x v="88"/>
    <x v="270"/>
    <x v="3"/>
    <x v="1"/>
    <x v="740"/>
    <x v="14"/>
    <x v="2"/>
    <x v="778"/>
    <x v="825"/>
    <x v="1"/>
    <x v="29"/>
    <x v="2"/>
    <x v="1"/>
    <x v="8"/>
    <x v="562"/>
    <x v="503"/>
    <x v="560"/>
    <x v="175"/>
    <x v="103"/>
    <x v="0"/>
    <x v="2"/>
    <x v="2"/>
    <x v="9"/>
    <x v="9"/>
    <x v="3"/>
    <x v="6"/>
    <x v="2"/>
    <x v="42"/>
    <x v="0"/>
    <x v="69"/>
    <x v="3"/>
    <x v="3"/>
    <x v="499"/>
    <x v="90"/>
    <x v="14"/>
    <x v="29"/>
    <x v="825"/>
    <x v="258"/>
  </r>
  <r>
    <x v="0"/>
    <x v="120"/>
    <x v="4"/>
    <x v="0"/>
    <x v="527"/>
    <x v="7"/>
    <x v="0"/>
    <x v="82"/>
    <x v="105"/>
    <x v="0"/>
    <x v="18"/>
    <x v="1"/>
    <x v="1"/>
    <x v="4"/>
    <x v="73"/>
    <x v="71"/>
    <x v="61"/>
    <x v="745"/>
    <x v="938"/>
    <x v="1"/>
    <x v="1"/>
    <x v="2"/>
    <x v="4"/>
    <x v="4"/>
    <x v="1"/>
    <x v="4"/>
    <x v="3"/>
    <x v="19"/>
    <x v="0"/>
    <x v="219"/>
    <x v="8"/>
    <x v="4"/>
    <x v="173"/>
    <x v="90"/>
    <x v="7"/>
    <x v="18"/>
    <x v="105"/>
    <x v="472"/>
  </r>
  <r>
    <x v="15"/>
    <x v="216"/>
    <x v="4"/>
    <x v="3"/>
    <x v="72"/>
    <x v="6"/>
    <x v="2"/>
    <x v="45"/>
    <x v="97"/>
    <x v="1"/>
    <x v="28"/>
    <x v="2"/>
    <x v="0"/>
    <x v="19"/>
    <x v="61"/>
    <x v="52"/>
    <x v="27"/>
    <x v="757"/>
    <x v="961"/>
    <x v="1"/>
    <x v="2"/>
    <x v="1"/>
    <x v="7"/>
    <x v="7"/>
    <x v="2"/>
    <x v="4"/>
    <x v="3"/>
    <x v="33"/>
    <x v="0"/>
    <x v="123"/>
    <x v="5"/>
    <x v="4"/>
    <x v="835"/>
    <x v="90"/>
    <x v="6"/>
    <x v="28"/>
    <x v="97"/>
    <x v="927"/>
  </r>
  <r>
    <x v="60"/>
    <x v="99"/>
    <x v="4"/>
    <x v="1"/>
    <x v="380"/>
    <x v="46"/>
    <x v="1"/>
    <x v="22"/>
    <x v="40"/>
    <x v="0"/>
    <x v="6"/>
    <x v="1"/>
    <x v="1"/>
    <x v="9"/>
    <x v="251"/>
    <x v="270"/>
    <x v="120"/>
    <x v="991"/>
    <x v="986"/>
    <x v="1"/>
    <x v="0"/>
    <x v="2"/>
    <x v="3"/>
    <x v="3"/>
    <x v="1"/>
    <x v="5"/>
    <x v="1"/>
    <x v="16"/>
    <x v="0"/>
    <x v="240"/>
    <x v="9"/>
    <x v="4"/>
    <x v="424"/>
    <x v="90"/>
    <x v="46"/>
    <x v="6"/>
    <x v="40"/>
    <x v="619"/>
  </r>
  <r>
    <x v="63"/>
    <x v="159"/>
    <x v="1"/>
    <x v="3"/>
    <x v="923"/>
    <x v="45"/>
    <x v="1"/>
    <x v="189"/>
    <x v="175"/>
    <x v="0"/>
    <x v="4"/>
    <x v="0"/>
    <x v="0"/>
    <x v="16"/>
    <x v="484"/>
    <x v="532"/>
    <x v="473"/>
    <x v="856"/>
    <x v="806"/>
    <x v="1"/>
    <x v="0"/>
    <x v="0"/>
    <x v="5"/>
    <x v="5"/>
    <x v="1"/>
    <x v="6"/>
    <x v="2"/>
    <x v="25"/>
    <x v="0"/>
    <x v="180"/>
    <x v="7"/>
    <x v="1"/>
    <x v="812"/>
    <x v="53"/>
    <x v="45"/>
    <x v="4"/>
    <x v="175"/>
    <x v="74"/>
  </r>
  <r>
    <x v="62"/>
    <x v="93"/>
    <x v="2"/>
    <x v="1"/>
    <x v="583"/>
    <x v="39"/>
    <x v="1"/>
    <x v="417"/>
    <x v="433"/>
    <x v="0"/>
    <x v="26"/>
    <x v="0"/>
    <x v="1"/>
    <x v="7"/>
    <x v="708"/>
    <x v="672"/>
    <x v="692"/>
    <x v="170"/>
    <x v="254"/>
    <x v="0"/>
    <x v="2"/>
    <x v="2"/>
    <x v="3"/>
    <x v="3"/>
    <x v="1"/>
    <x v="6"/>
    <x v="2"/>
    <x v="15"/>
    <x v="0"/>
    <x v="246"/>
    <x v="9"/>
    <x v="2"/>
    <x v="421"/>
    <x v="90"/>
    <x v="39"/>
    <x v="26"/>
    <x v="433"/>
    <x v="416"/>
  </r>
  <r>
    <x v="68"/>
    <x v="328"/>
    <x v="4"/>
    <x v="1"/>
    <x v="538"/>
    <x v="11"/>
    <x v="3"/>
    <x v="941"/>
    <x v="961"/>
    <x v="0"/>
    <x v="20"/>
    <x v="0"/>
    <x v="1"/>
    <x v="9"/>
    <x v="530"/>
    <x v="515"/>
    <x v="545"/>
    <x v="258"/>
    <x v="257"/>
    <x v="0"/>
    <x v="2"/>
    <x v="2"/>
    <x v="11"/>
    <x v="11"/>
    <x v="3"/>
    <x v="6"/>
    <x v="2"/>
    <x v="51"/>
    <x v="0"/>
    <x v="11"/>
    <x v="1"/>
    <x v="4"/>
    <x v="523"/>
    <x v="90"/>
    <x v="11"/>
    <x v="20"/>
    <x v="961"/>
    <x v="461"/>
  </r>
  <r>
    <x v="21"/>
    <x v="11"/>
    <x v="4"/>
    <x v="0"/>
    <x v="277"/>
    <x v="12"/>
    <x v="2"/>
    <x v="466"/>
    <x v="453"/>
    <x v="1"/>
    <x v="6"/>
    <x v="0"/>
    <x v="0"/>
    <x v="4"/>
    <x v="331"/>
    <x v="374"/>
    <x v="365"/>
    <x v="661"/>
    <x v="651"/>
    <x v="1"/>
    <x v="0"/>
    <x v="2"/>
    <x v="0"/>
    <x v="0"/>
    <x v="0"/>
    <x v="4"/>
    <x v="3"/>
    <x v="2"/>
    <x v="0"/>
    <x v="328"/>
    <x v="12"/>
    <x v="4"/>
    <x v="7"/>
    <x v="90"/>
    <x v="12"/>
    <x v="6"/>
    <x v="453"/>
    <x v="722"/>
  </r>
  <r>
    <x v="92"/>
    <x v="257"/>
    <x v="1"/>
    <x v="3"/>
    <x v="374"/>
    <x v="42"/>
    <x v="1"/>
    <x v="303"/>
    <x v="249"/>
    <x v="0"/>
    <x v="8"/>
    <x v="1"/>
    <x v="1"/>
    <x v="16"/>
    <x v="561"/>
    <x v="612"/>
    <x v="606"/>
    <x v="357"/>
    <x v="424"/>
    <x v="0"/>
    <x v="0"/>
    <x v="2"/>
    <x v="9"/>
    <x v="9"/>
    <x v="3"/>
    <x v="1"/>
    <x v="0"/>
    <x v="40"/>
    <x v="0"/>
    <x v="82"/>
    <x v="3"/>
    <x v="1"/>
    <x v="961"/>
    <x v="90"/>
    <x v="42"/>
    <x v="8"/>
    <x v="249"/>
    <x v="625"/>
  </r>
  <r>
    <x v="66"/>
    <x v="92"/>
    <x v="1"/>
    <x v="0"/>
    <x v="903"/>
    <x v="16"/>
    <x v="2"/>
    <x v="580"/>
    <x v="594"/>
    <x v="0"/>
    <x v="24"/>
    <x v="0"/>
    <x v="1"/>
    <x v="1"/>
    <x v="493"/>
    <x v="466"/>
    <x v="496"/>
    <x v="285"/>
    <x v="239"/>
    <x v="0"/>
    <x v="2"/>
    <x v="0"/>
    <x v="3"/>
    <x v="3"/>
    <x v="1"/>
    <x v="5"/>
    <x v="1"/>
    <x v="15"/>
    <x v="0"/>
    <x v="247"/>
    <x v="9"/>
    <x v="1"/>
    <x v="164"/>
    <x v="90"/>
    <x v="16"/>
    <x v="24"/>
    <x v="594"/>
    <x v="94"/>
  </r>
  <r>
    <x v="75"/>
    <x v="40"/>
    <x v="4"/>
    <x v="1"/>
    <x v="662"/>
    <x v="16"/>
    <x v="0"/>
    <x v="117"/>
    <x v="59"/>
    <x v="0"/>
    <x v="14"/>
    <x v="0"/>
    <x v="1"/>
    <x v="9"/>
    <x v="120"/>
    <x v="122"/>
    <x v="154"/>
    <x v="507"/>
    <x v="318"/>
    <x v="0"/>
    <x v="1"/>
    <x v="2"/>
    <x v="1"/>
    <x v="1"/>
    <x v="0"/>
    <x v="1"/>
    <x v="0"/>
    <x v="7"/>
    <x v="0"/>
    <x v="299"/>
    <x v="11"/>
    <x v="4"/>
    <x v="409"/>
    <x v="90"/>
    <x v="16"/>
    <x v="14"/>
    <x v="59"/>
    <x v="336"/>
  </r>
  <r>
    <x v="25"/>
    <x v="283"/>
    <x v="0"/>
    <x v="2"/>
    <x v="793"/>
    <x v="35"/>
    <x v="0"/>
    <x v="620"/>
    <x v="638"/>
    <x v="0"/>
    <x v="20"/>
    <x v="0"/>
    <x v="0"/>
    <x v="10"/>
    <x v="808"/>
    <x v="782"/>
    <x v="800"/>
    <x v="148"/>
    <x v="303"/>
    <x v="0"/>
    <x v="2"/>
    <x v="0"/>
    <x v="10"/>
    <x v="10"/>
    <x v="3"/>
    <x v="6"/>
    <x v="2"/>
    <x v="44"/>
    <x v="0"/>
    <x v="56"/>
    <x v="2"/>
    <x v="0"/>
    <x v="624"/>
    <x v="90"/>
    <x v="35"/>
    <x v="20"/>
    <x v="638"/>
    <x v="205"/>
  </r>
  <r>
    <x v="15"/>
    <x v="16"/>
    <x v="4"/>
    <x v="3"/>
    <x v="458"/>
    <x v="20"/>
    <x v="1"/>
    <x v="583"/>
    <x v="550"/>
    <x v="0"/>
    <x v="10"/>
    <x v="0"/>
    <x v="1"/>
    <x v="19"/>
    <x v="545"/>
    <x v="576"/>
    <x v="579"/>
    <x v="362"/>
    <x v="416"/>
    <x v="0"/>
    <x v="1"/>
    <x v="2"/>
    <x v="0"/>
    <x v="0"/>
    <x v="0"/>
    <x v="5"/>
    <x v="1"/>
    <x v="3"/>
    <x v="0"/>
    <x v="323"/>
    <x v="12"/>
    <x v="4"/>
    <x v="887"/>
    <x v="90"/>
    <x v="20"/>
    <x v="10"/>
    <x v="550"/>
    <x v="541"/>
  </r>
  <r>
    <x v="50"/>
    <x v="306"/>
    <x v="4"/>
    <x v="2"/>
    <x v="624"/>
    <x v="7"/>
    <x v="2"/>
    <x v="799"/>
    <x v="803"/>
    <x v="0"/>
    <x v="11"/>
    <x v="1"/>
    <x v="1"/>
    <x v="14"/>
    <x v="353"/>
    <x v="372"/>
    <x v="386"/>
    <x v="486"/>
    <x v="490"/>
    <x v="0"/>
    <x v="1"/>
    <x v="2"/>
    <x v="10"/>
    <x v="10"/>
    <x v="3"/>
    <x v="3"/>
    <x v="6"/>
    <x v="47"/>
    <x v="1"/>
    <x v="33"/>
    <x v="1"/>
    <x v="4"/>
    <x v="744"/>
    <x v="90"/>
    <x v="7"/>
    <x v="11"/>
    <x v="803"/>
    <x v="374"/>
  </r>
  <r>
    <x v="85"/>
    <x v="52"/>
    <x v="1"/>
    <x v="3"/>
    <x v="252"/>
    <x v="4"/>
    <x v="1"/>
    <x v="987"/>
    <x v="989"/>
    <x v="0"/>
    <x v="30"/>
    <x v="0"/>
    <x v="0"/>
    <x v="16"/>
    <x v="278"/>
    <x v="230"/>
    <x v="313"/>
    <x v="291"/>
    <x v="12"/>
    <x v="0"/>
    <x v="2"/>
    <x v="2"/>
    <x v="1"/>
    <x v="1"/>
    <x v="0"/>
    <x v="3"/>
    <x v="6"/>
    <x v="8"/>
    <x v="1"/>
    <x v="287"/>
    <x v="10"/>
    <x v="1"/>
    <x v="775"/>
    <x v="90"/>
    <x v="4"/>
    <x v="30"/>
    <x v="989"/>
    <x v="747"/>
  </r>
  <r>
    <x v="56"/>
    <x v="288"/>
    <x v="1"/>
    <x v="0"/>
    <x v="708"/>
    <x v="25"/>
    <x v="0"/>
    <x v="256"/>
    <x v="210"/>
    <x v="1"/>
    <x v="7"/>
    <x v="2"/>
    <x v="0"/>
    <x v="1"/>
    <x v="352"/>
    <x v="386"/>
    <x v="398"/>
    <x v="466"/>
    <x v="456"/>
    <x v="0"/>
    <x v="0"/>
    <x v="2"/>
    <x v="10"/>
    <x v="10"/>
    <x v="3"/>
    <x v="5"/>
    <x v="1"/>
    <x v="45"/>
    <x v="0"/>
    <x v="51"/>
    <x v="2"/>
    <x v="1"/>
    <x v="105"/>
    <x v="90"/>
    <x v="25"/>
    <x v="7"/>
    <x v="210"/>
    <x v="290"/>
  </r>
  <r>
    <x v="28"/>
    <x v="281"/>
    <x v="4"/>
    <x v="0"/>
    <x v="433"/>
    <x v="15"/>
    <x v="1"/>
    <x v="524"/>
    <x v="514"/>
    <x v="1"/>
    <x v="15"/>
    <x v="2"/>
    <x v="1"/>
    <x v="4"/>
    <x v="435"/>
    <x v="435"/>
    <x v="452"/>
    <x v="383"/>
    <x v="369"/>
    <x v="0"/>
    <x v="1"/>
    <x v="2"/>
    <x v="9"/>
    <x v="9"/>
    <x v="3"/>
    <x v="1"/>
    <x v="0"/>
    <x v="44"/>
    <x v="0"/>
    <x v="58"/>
    <x v="2"/>
    <x v="4"/>
    <x v="229"/>
    <x v="90"/>
    <x v="15"/>
    <x v="15"/>
    <x v="514"/>
    <x v="566"/>
  </r>
  <r>
    <x v="77"/>
    <x v="11"/>
    <x v="4"/>
    <x v="0"/>
    <x v="451"/>
    <x v="35"/>
    <x v="2"/>
    <x v="918"/>
    <x v="932"/>
    <x v="1"/>
    <x v="25"/>
    <x v="2"/>
    <x v="1"/>
    <x v="4"/>
    <x v="927"/>
    <x v="887"/>
    <x v="925"/>
    <x v="38"/>
    <x v="105"/>
    <x v="0"/>
    <x v="2"/>
    <x v="2"/>
    <x v="0"/>
    <x v="0"/>
    <x v="0"/>
    <x v="4"/>
    <x v="3"/>
    <x v="2"/>
    <x v="0"/>
    <x v="328"/>
    <x v="12"/>
    <x v="4"/>
    <x v="124"/>
    <x v="90"/>
    <x v="35"/>
    <x v="25"/>
    <x v="932"/>
    <x v="548"/>
  </r>
  <r>
    <x v="91"/>
    <x v="295"/>
    <x v="4"/>
    <x v="0"/>
    <x v="642"/>
    <x v="27"/>
    <x v="0"/>
    <x v="789"/>
    <x v="837"/>
    <x v="1"/>
    <x v="7"/>
    <x v="2"/>
    <x v="1"/>
    <x v="4"/>
    <x v="809"/>
    <x v="838"/>
    <x v="799"/>
    <x v="800"/>
    <x v="676"/>
    <x v="1"/>
    <x v="0"/>
    <x v="2"/>
    <x v="10"/>
    <x v="10"/>
    <x v="3"/>
    <x v="5"/>
    <x v="1"/>
    <x v="46"/>
    <x v="0"/>
    <x v="44"/>
    <x v="2"/>
    <x v="4"/>
    <x v="238"/>
    <x v="90"/>
    <x v="27"/>
    <x v="7"/>
    <x v="837"/>
    <x v="356"/>
  </r>
  <r>
    <x v="68"/>
    <x v="73"/>
    <x v="1"/>
    <x v="0"/>
    <x v="933"/>
    <x v="28"/>
    <x v="3"/>
    <x v="497"/>
    <x v="541"/>
    <x v="0"/>
    <x v="12"/>
    <x v="2"/>
    <x v="0"/>
    <x v="1"/>
    <x v="671"/>
    <x v="680"/>
    <x v="645"/>
    <x v="787"/>
    <x v="695"/>
    <x v="1"/>
    <x v="1"/>
    <x v="0"/>
    <x v="2"/>
    <x v="2"/>
    <x v="0"/>
    <x v="5"/>
    <x v="1"/>
    <x v="12"/>
    <x v="0"/>
    <x v="266"/>
    <x v="10"/>
    <x v="1"/>
    <x v="32"/>
    <x v="54"/>
    <x v="28"/>
    <x v="12"/>
    <x v="541"/>
    <x v="64"/>
  </r>
  <r>
    <x v="46"/>
    <x v="203"/>
    <x v="4"/>
    <x v="2"/>
    <x v="63"/>
    <x v="46"/>
    <x v="0"/>
    <x v="952"/>
    <x v="951"/>
    <x v="1"/>
    <x v="18"/>
    <x v="2"/>
    <x v="1"/>
    <x v="14"/>
    <x v="995"/>
    <x v="987"/>
    <x v="995"/>
    <x v="49"/>
    <x v="264"/>
    <x v="0"/>
    <x v="1"/>
    <x v="1"/>
    <x v="7"/>
    <x v="7"/>
    <x v="2"/>
    <x v="0"/>
    <x v="4"/>
    <x v="31"/>
    <x v="0"/>
    <x v="136"/>
    <x v="5"/>
    <x v="4"/>
    <x v="701"/>
    <x v="90"/>
    <x v="46"/>
    <x v="18"/>
    <x v="951"/>
    <x v="936"/>
  </r>
  <r>
    <x v="93"/>
    <x v="315"/>
    <x v="4"/>
    <x v="0"/>
    <x v="833"/>
    <x v="11"/>
    <x v="3"/>
    <x v="59"/>
    <x v="81"/>
    <x v="1"/>
    <x v="14"/>
    <x v="1"/>
    <x v="0"/>
    <x v="4"/>
    <x v="96"/>
    <x v="96"/>
    <x v="76"/>
    <x v="799"/>
    <x v="953"/>
    <x v="1"/>
    <x v="1"/>
    <x v="0"/>
    <x v="11"/>
    <x v="11"/>
    <x v="3"/>
    <x v="5"/>
    <x v="1"/>
    <x v="49"/>
    <x v="0"/>
    <x v="24"/>
    <x v="1"/>
    <x v="4"/>
    <x v="116"/>
    <x v="90"/>
    <x v="11"/>
    <x v="14"/>
    <x v="81"/>
    <x v="164"/>
  </r>
  <r>
    <x v="61"/>
    <x v="246"/>
    <x v="3"/>
    <x v="1"/>
    <x v="306"/>
    <x v="36"/>
    <x v="1"/>
    <x v="935"/>
    <x v="929"/>
    <x v="1"/>
    <x v="14"/>
    <x v="2"/>
    <x v="0"/>
    <x v="8"/>
    <x v="932"/>
    <x v="936"/>
    <x v="943"/>
    <x v="95"/>
    <x v="321"/>
    <x v="0"/>
    <x v="1"/>
    <x v="2"/>
    <x v="8"/>
    <x v="8"/>
    <x v="2"/>
    <x v="4"/>
    <x v="3"/>
    <x v="38"/>
    <x v="0"/>
    <x v="93"/>
    <x v="4"/>
    <x v="3"/>
    <x v="357"/>
    <x v="90"/>
    <x v="36"/>
    <x v="14"/>
    <x v="929"/>
    <x v="693"/>
  </r>
  <r>
    <x v="68"/>
    <x v="137"/>
    <x v="0"/>
    <x v="1"/>
    <x v="452"/>
    <x v="29"/>
    <x v="1"/>
    <x v="49"/>
    <x v="34"/>
    <x v="0"/>
    <x v="11"/>
    <x v="0"/>
    <x v="1"/>
    <x v="5"/>
    <x v="157"/>
    <x v="163"/>
    <x v="144"/>
    <x v="818"/>
    <x v="929"/>
    <x v="1"/>
    <x v="1"/>
    <x v="2"/>
    <x v="4"/>
    <x v="4"/>
    <x v="1"/>
    <x v="1"/>
    <x v="0"/>
    <x v="22"/>
    <x v="0"/>
    <x v="202"/>
    <x v="7"/>
    <x v="0"/>
    <x v="442"/>
    <x v="90"/>
    <x v="29"/>
    <x v="11"/>
    <x v="34"/>
    <x v="547"/>
  </r>
  <r>
    <x v="75"/>
    <x v="74"/>
    <x v="2"/>
    <x v="2"/>
    <x v="27"/>
    <x v="22"/>
    <x v="2"/>
    <x v="571"/>
    <x v="533"/>
    <x v="1"/>
    <x v="18"/>
    <x v="2"/>
    <x v="1"/>
    <x v="12"/>
    <x v="569"/>
    <x v="562"/>
    <x v="603"/>
    <x v="218"/>
    <x v="227"/>
    <x v="0"/>
    <x v="1"/>
    <x v="1"/>
    <x v="2"/>
    <x v="2"/>
    <x v="0"/>
    <x v="6"/>
    <x v="2"/>
    <x v="12"/>
    <x v="0"/>
    <x v="265"/>
    <x v="10"/>
    <x v="2"/>
    <x v="668"/>
    <x v="90"/>
    <x v="22"/>
    <x v="18"/>
    <x v="533"/>
    <x v="972"/>
  </r>
  <r>
    <x v="15"/>
    <x v="202"/>
    <x v="0"/>
    <x v="3"/>
    <x v="313"/>
    <x v="15"/>
    <x v="3"/>
    <x v="907"/>
    <x v="913"/>
    <x v="1"/>
    <x v="19"/>
    <x v="1"/>
    <x v="0"/>
    <x v="15"/>
    <x v="632"/>
    <x v="625"/>
    <x v="643"/>
    <x v="206"/>
    <x v="262"/>
    <x v="0"/>
    <x v="1"/>
    <x v="2"/>
    <x v="7"/>
    <x v="7"/>
    <x v="2"/>
    <x v="4"/>
    <x v="3"/>
    <x v="31"/>
    <x v="0"/>
    <x v="137"/>
    <x v="5"/>
    <x v="0"/>
    <x v="826"/>
    <x v="90"/>
    <x v="15"/>
    <x v="19"/>
    <x v="913"/>
    <x v="686"/>
  </r>
  <r>
    <x v="89"/>
    <x v="185"/>
    <x v="3"/>
    <x v="1"/>
    <x v="506"/>
    <x v="13"/>
    <x v="1"/>
    <x v="275"/>
    <x v="253"/>
    <x v="0"/>
    <x v="20"/>
    <x v="2"/>
    <x v="1"/>
    <x v="8"/>
    <x v="228"/>
    <x v="208"/>
    <x v="254"/>
    <x v="468"/>
    <x v="337"/>
    <x v="0"/>
    <x v="2"/>
    <x v="2"/>
    <x v="6"/>
    <x v="6"/>
    <x v="2"/>
    <x v="1"/>
    <x v="0"/>
    <x v="29"/>
    <x v="0"/>
    <x v="154"/>
    <x v="6"/>
    <x v="3"/>
    <x v="463"/>
    <x v="90"/>
    <x v="13"/>
    <x v="20"/>
    <x v="253"/>
    <x v="493"/>
  </r>
  <r>
    <x v="89"/>
    <x v="187"/>
    <x v="2"/>
    <x v="3"/>
    <x v="53"/>
    <x v="9"/>
    <x v="3"/>
    <x v="480"/>
    <x v="431"/>
    <x v="1"/>
    <x v="2"/>
    <x v="0"/>
    <x v="1"/>
    <x v="17"/>
    <x v="260"/>
    <x v="295"/>
    <x v="304"/>
    <x v="607"/>
    <x v="605"/>
    <x v="1"/>
    <x v="0"/>
    <x v="1"/>
    <x v="6"/>
    <x v="6"/>
    <x v="2"/>
    <x v="6"/>
    <x v="2"/>
    <x v="29"/>
    <x v="0"/>
    <x v="152"/>
    <x v="6"/>
    <x v="2"/>
    <x v="941"/>
    <x v="90"/>
    <x v="9"/>
    <x v="2"/>
    <x v="431"/>
    <x v="946"/>
  </r>
  <r>
    <x v="47"/>
    <x v="24"/>
    <x v="4"/>
    <x v="2"/>
    <x v="496"/>
    <x v="6"/>
    <x v="1"/>
    <x v="338"/>
    <x v="354"/>
    <x v="0"/>
    <x v="19"/>
    <x v="0"/>
    <x v="0"/>
    <x v="14"/>
    <x v="154"/>
    <x v="150"/>
    <x v="165"/>
    <x v="575"/>
    <x v="555"/>
    <x v="0"/>
    <x v="1"/>
    <x v="2"/>
    <x v="0"/>
    <x v="0"/>
    <x v="0"/>
    <x v="6"/>
    <x v="2"/>
    <x v="4"/>
    <x v="0"/>
    <x v="315"/>
    <x v="11"/>
    <x v="4"/>
    <x v="541"/>
    <x v="90"/>
    <x v="6"/>
    <x v="19"/>
    <x v="354"/>
    <x v="503"/>
  </r>
  <r>
    <x v="84"/>
    <x v="82"/>
    <x v="3"/>
    <x v="3"/>
    <x v="927"/>
    <x v="44"/>
    <x v="0"/>
    <x v="960"/>
    <x v="980"/>
    <x v="1"/>
    <x v="29"/>
    <x v="1"/>
    <x v="1"/>
    <x v="18"/>
    <x v="991"/>
    <x v="954"/>
    <x v="989"/>
    <x v="2"/>
    <x v="43"/>
    <x v="0"/>
    <x v="2"/>
    <x v="0"/>
    <x v="2"/>
    <x v="2"/>
    <x v="0"/>
    <x v="4"/>
    <x v="3"/>
    <x v="13"/>
    <x v="0"/>
    <x v="257"/>
    <x v="9"/>
    <x v="3"/>
    <x v="912"/>
    <x v="55"/>
    <x v="44"/>
    <x v="29"/>
    <x v="980"/>
    <x v="70"/>
  </r>
  <r>
    <x v="38"/>
    <x v="250"/>
    <x v="4"/>
    <x v="3"/>
    <x v="109"/>
    <x v="36"/>
    <x v="1"/>
    <x v="831"/>
    <x v="820"/>
    <x v="0"/>
    <x v="16"/>
    <x v="1"/>
    <x v="0"/>
    <x v="19"/>
    <x v="905"/>
    <x v="896"/>
    <x v="905"/>
    <x v="97"/>
    <x v="290"/>
    <x v="0"/>
    <x v="1"/>
    <x v="1"/>
    <x v="8"/>
    <x v="8"/>
    <x v="2"/>
    <x v="1"/>
    <x v="0"/>
    <x v="39"/>
    <x v="0"/>
    <x v="89"/>
    <x v="3"/>
    <x v="4"/>
    <x v="847"/>
    <x v="90"/>
    <x v="36"/>
    <x v="16"/>
    <x v="820"/>
    <x v="890"/>
  </r>
  <r>
    <x v="99"/>
    <x v="131"/>
    <x v="1"/>
    <x v="3"/>
    <x v="769"/>
    <x v="28"/>
    <x v="2"/>
    <x v="715"/>
    <x v="678"/>
    <x v="1"/>
    <x v="21"/>
    <x v="1"/>
    <x v="1"/>
    <x v="16"/>
    <x v="743"/>
    <x v="709"/>
    <x v="773"/>
    <x v="84"/>
    <x v="107"/>
    <x v="0"/>
    <x v="2"/>
    <x v="0"/>
    <x v="4"/>
    <x v="4"/>
    <x v="1"/>
    <x v="5"/>
    <x v="1"/>
    <x v="21"/>
    <x v="0"/>
    <x v="208"/>
    <x v="8"/>
    <x v="1"/>
    <x v="925"/>
    <x v="90"/>
    <x v="28"/>
    <x v="21"/>
    <x v="678"/>
    <x v="229"/>
  </r>
  <r>
    <x v="32"/>
    <x v="54"/>
    <x v="3"/>
    <x v="3"/>
    <x v="417"/>
    <x v="2"/>
    <x v="0"/>
    <x v="607"/>
    <x v="590"/>
    <x v="1"/>
    <x v="17"/>
    <x v="1"/>
    <x v="0"/>
    <x v="18"/>
    <x v="106"/>
    <x v="102"/>
    <x v="142"/>
    <x v="518"/>
    <x v="325"/>
    <x v="0"/>
    <x v="1"/>
    <x v="2"/>
    <x v="1"/>
    <x v="1"/>
    <x v="0"/>
    <x v="5"/>
    <x v="1"/>
    <x v="9"/>
    <x v="0"/>
    <x v="285"/>
    <x v="10"/>
    <x v="3"/>
    <x v="777"/>
    <x v="90"/>
    <x v="2"/>
    <x v="17"/>
    <x v="590"/>
    <x v="582"/>
  </r>
  <r>
    <x v="93"/>
    <x v="338"/>
    <x v="1"/>
    <x v="2"/>
    <x v="648"/>
    <x v="14"/>
    <x v="2"/>
    <x v="826"/>
    <x v="829"/>
    <x v="1"/>
    <x v="26"/>
    <x v="2"/>
    <x v="0"/>
    <x v="11"/>
    <x v="564"/>
    <x v="514"/>
    <x v="588"/>
    <x v="138"/>
    <x v="66"/>
    <x v="0"/>
    <x v="2"/>
    <x v="2"/>
    <x v="11"/>
    <x v="11"/>
    <x v="3"/>
    <x v="3"/>
    <x v="6"/>
    <x v="52"/>
    <x v="1"/>
    <x v="1"/>
    <x v="0"/>
    <x v="1"/>
    <x v="640"/>
    <x v="90"/>
    <x v="14"/>
    <x v="26"/>
    <x v="829"/>
    <x v="350"/>
  </r>
  <r>
    <x v="22"/>
    <x v="25"/>
    <x v="3"/>
    <x v="1"/>
    <x v="266"/>
    <x v="35"/>
    <x v="0"/>
    <x v="391"/>
    <x v="416"/>
    <x v="0"/>
    <x v="28"/>
    <x v="2"/>
    <x v="1"/>
    <x v="8"/>
    <x v="668"/>
    <x v="618"/>
    <x v="647"/>
    <x v="181"/>
    <x v="208"/>
    <x v="0"/>
    <x v="2"/>
    <x v="2"/>
    <x v="0"/>
    <x v="0"/>
    <x v="0"/>
    <x v="4"/>
    <x v="3"/>
    <x v="4"/>
    <x v="0"/>
    <x v="314"/>
    <x v="11"/>
    <x v="3"/>
    <x v="406"/>
    <x v="90"/>
    <x v="35"/>
    <x v="28"/>
    <x v="416"/>
    <x v="733"/>
  </r>
  <r>
    <x v="9"/>
    <x v="43"/>
    <x v="3"/>
    <x v="0"/>
    <x v="148"/>
    <x v="46"/>
    <x v="3"/>
    <x v="453"/>
    <x v="429"/>
    <x v="1"/>
    <x v="6"/>
    <x v="0"/>
    <x v="0"/>
    <x v="3"/>
    <x v="782"/>
    <x v="823"/>
    <x v="786"/>
    <x v="688"/>
    <x v="628"/>
    <x v="1"/>
    <x v="0"/>
    <x v="1"/>
    <x v="1"/>
    <x v="1"/>
    <x v="0"/>
    <x v="4"/>
    <x v="3"/>
    <x v="7"/>
    <x v="0"/>
    <x v="296"/>
    <x v="11"/>
    <x v="3"/>
    <x v="20"/>
    <x v="90"/>
    <x v="46"/>
    <x v="6"/>
    <x v="429"/>
    <x v="851"/>
  </r>
  <r>
    <x v="68"/>
    <x v="268"/>
    <x v="1"/>
    <x v="3"/>
    <x v="150"/>
    <x v="45"/>
    <x v="2"/>
    <x v="742"/>
    <x v="759"/>
    <x v="0"/>
    <x v="13"/>
    <x v="1"/>
    <x v="0"/>
    <x v="16"/>
    <x v="945"/>
    <x v="948"/>
    <x v="932"/>
    <x v="252"/>
    <x v="483"/>
    <x v="0"/>
    <x v="1"/>
    <x v="1"/>
    <x v="9"/>
    <x v="9"/>
    <x v="3"/>
    <x v="3"/>
    <x v="6"/>
    <x v="41"/>
    <x v="1"/>
    <x v="71"/>
    <x v="3"/>
    <x v="1"/>
    <x v="854"/>
    <x v="90"/>
    <x v="45"/>
    <x v="13"/>
    <x v="759"/>
    <x v="849"/>
  </r>
  <r>
    <x v="99"/>
    <x v="248"/>
    <x v="2"/>
    <x v="1"/>
    <x v="76"/>
    <x v="18"/>
    <x v="1"/>
    <x v="370"/>
    <x v="401"/>
    <x v="0"/>
    <x v="12"/>
    <x v="1"/>
    <x v="1"/>
    <x v="7"/>
    <x v="426"/>
    <x v="437"/>
    <x v="405"/>
    <x v="797"/>
    <x v="780"/>
    <x v="1"/>
    <x v="1"/>
    <x v="1"/>
    <x v="8"/>
    <x v="8"/>
    <x v="2"/>
    <x v="2"/>
    <x v="5"/>
    <x v="38"/>
    <x v="1"/>
    <x v="91"/>
    <x v="4"/>
    <x v="2"/>
    <x v="486"/>
    <x v="90"/>
    <x v="18"/>
    <x v="12"/>
    <x v="401"/>
    <x v="923"/>
  </r>
  <r>
    <x v="33"/>
    <x v="15"/>
    <x v="0"/>
    <x v="1"/>
    <x v="175"/>
    <x v="12"/>
    <x v="3"/>
    <x v="68"/>
    <x v="38"/>
    <x v="0"/>
    <x v="12"/>
    <x v="2"/>
    <x v="1"/>
    <x v="5"/>
    <x v="72"/>
    <x v="76"/>
    <x v="88"/>
    <x v="687"/>
    <x v="860"/>
    <x v="1"/>
    <x v="1"/>
    <x v="1"/>
    <x v="0"/>
    <x v="0"/>
    <x v="0"/>
    <x v="1"/>
    <x v="0"/>
    <x v="3"/>
    <x v="0"/>
    <x v="324"/>
    <x v="12"/>
    <x v="0"/>
    <x v="401"/>
    <x v="90"/>
    <x v="12"/>
    <x v="12"/>
    <x v="38"/>
    <x v="824"/>
  </r>
  <r>
    <x v="51"/>
    <x v="186"/>
    <x v="4"/>
    <x v="2"/>
    <x v="661"/>
    <x v="41"/>
    <x v="1"/>
    <x v="75"/>
    <x v="132"/>
    <x v="0"/>
    <x v="4"/>
    <x v="1"/>
    <x v="1"/>
    <x v="14"/>
    <x v="388"/>
    <x v="428"/>
    <x v="239"/>
    <x v="998"/>
    <x v="965"/>
    <x v="1"/>
    <x v="0"/>
    <x v="2"/>
    <x v="6"/>
    <x v="6"/>
    <x v="2"/>
    <x v="5"/>
    <x v="1"/>
    <x v="29"/>
    <x v="0"/>
    <x v="153"/>
    <x v="6"/>
    <x v="4"/>
    <x v="697"/>
    <x v="90"/>
    <x v="41"/>
    <x v="4"/>
    <x v="132"/>
    <x v="337"/>
  </r>
  <r>
    <x v="94"/>
    <x v="262"/>
    <x v="3"/>
    <x v="1"/>
    <x v="889"/>
    <x v="20"/>
    <x v="0"/>
    <x v="122"/>
    <x v="112"/>
    <x v="1"/>
    <x v="24"/>
    <x v="0"/>
    <x v="0"/>
    <x v="8"/>
    <x v="186"/>
    <x v="167"/>
    <x v="185"/>
    <x v="609"/>
    <x v="614"/>
    <x v="1"/>
    <x v="2"/>
    <x v="0"/>
    <x v="9"/>
    <x v="9"/>
    <x v="3"/>
    <x v="1"/>
    <x v="0"/>
    <x v="41"/>
    <x v="0"/>
    <x v="77"/>
    <x v="3"/>
    <x v="3"/>
    <x v="360"/>
    <x v="90"/>
    <x v="20"/>
    <x v="24"/>
    <x v="112"/>
    <x v="108"/>
  </r>
  <r>
    <x v="9"/>
    <x v="79"/>
    <x v="4"/>
    <x v="2"/>
    <x v="823"/>
    <x v="36"/>
    <x v="0"/>
    <x v="891"/>
    <x v="868"/>
    <x v="1"/>
    <x v="1"/>
    <x v="0"/>
    <x v="0"/>
    <x v="14"/>
    <x v="911"/>
    <x v="956"/>
    <x v="917"/>
    <x v="812"/>
    <x v="665"/>
    <x v="1"/>
    <x v="0"/>
    <x v="0"/>
    <x v="2"/>
    <x v="2"/>
    <x v="0"/>
    <x v="1"/>
    <x v="0"/>
    <x v="13"/>
    <x v="0"/>
    <x v="260"/>
    <x v="9"/>
    <x v="4"/>
    <x v="554"/>
    <x v="90"/>
    <x v="36"/>
    <x v="1"/>
    <x v="868"/>
    <x v="174"/>
  </r>
  <r>
    <x v="18"/>
    <x v="234"/>
    <x v="1"/>
    <x v="3"/>
    <x v="685"/>
    <x v="26"/>
    <x v="1"/>
    <x v="479"/>
    <x v="477"/>
    <x v="1"/>
    <x v="16"/>
    <x v="1"/>
    <x v="0"/>
    <x v="16"/>
    <x v="598"/>
    <x v="605"/>
    <x v="608"/>
    <x v="323"/>
    <x v="380"/>
    <x v="0"/>
    <x v="1"/>
    <x v="2"/>
    <x v="8"/>
    <x v="8"/>
    <x v="2"/>
    <x v="4"/>
    <x v="3"/>
    <x v="36"/>
    <x v="0"/>
    <x v="105"/>
    <x v="4"/>
    <x v="1"/>
    <x v="843"/>
    <x v="90"/>
    <x v="26"/>
    <x v="16"/>
    <x v="477"/>
    <x v="313"/>
  </r>
  <r>
    <x v="57"/>
    <x v="252"/>
    <x v="4"/>
    <x v="3"/>
    <x v="111"/>
    <x v="28"/>
    <x v="1"/>
    <x v="719"/>
    <x v="683"/>
    <x v="0"/>
    <x v="20"/>
    <x v="0"/>
    <x v="1"/>
    <x v="19"/>
    <x v="748"/>
    <x v="715"/>
    <x v="777"/>
    <x v="90"/>
    <x v="137"/>
    <x v="0"/>
    <x v="2"/>
    <x v="1"/>
    <x v="8"/>
    <x v="8"/>
    <x v="2"/>
    <x v="6"/>
    <x v="2"/>
    <x v="39"/>
    <x v="0"/>
    <x v="87"/>
    <x v="3"/>
    <x v="4"/>
    <x v="960"/>
    <x v="90"/>
    <x v="28"/>
    <x v="20"/>
    <x v="683"/>
    <x v="888"/>
  </r>
  <r>
    <x v="95"/>
    <x v="311"/>
    <x v="1"/>
    <x v="0"/>
    <x v="302"/>
    <x v="19"/>
    <x v="3"/>
    <x v="392"/>
    <x v="364"/>
    <x v="1"/>
    <x v="6"/>
    <x v="0"/>
    <x v="0"/>
    <x v="1"/>
    <x v="411"/>
    <x v="442"/>
    <x v="440"/>
    <x v="516"/>
    <x v="544"/>
    <x v="0"/>
    <x v="0"/>
    <x v="2"/>
    <x v="11"/>
    <x v="11"/>
    <x v="3"/>
    <x v="0"/>
    <x v="4"/>
    <x v="48"/>
    <x v="0"/>
    <x v="28"/>
    <x v="1"/>
    <x v="1"/>
    <x v="114"/>
    <x v="90"/>
    <x v="19"/>
    <x v="6"/>
    <x v="364"/>
    <x v="697"/>
  </r>
  <r>
    <x v="0"/>
    <x v="108"/>
    <x v="4"/>
    <x v="0"/>
    <x v="323"/>
    <x v="24"/>
    <x v="1"/>
    <x v="268"/>
    <x v="262"/>
    <x v="0"/>
    <x v="27"/>
    <x v="2"/>
    <x v="0"/>
    <x v="4"/>
    <x v="392"/>
    <x v="347"/>
    <x v="395"/>
    <x v="330"/>
    <x v="217"/>
    <x v="0"/>
    <x v="2"/>
    <x v="2"/>
    <x v="3"/>
    <x v="3"/>
    <x v="1"/>
    <x v="4"/>
    <x v="3"/>
    <x v="17"/>
    <x v="0"/>
    <x v="231"/>
    <x v="8"/>
    <x v="4"/>
    <x v="48"/>
    <x v="90"/>
    <x v="24"/>
    <x v="27"/>
    <x v="262"/>
    <x v="676"/>
  </r>
  <r>
    <x v="68"/>
    <x v="6"/>
    <x v="0"/>
    <x v="0"/>
    <x v="255"/>
    <x v="5"/>
    <x v="2"/>
    <x v="362"/>
    <x v="379"/>
    <x v="0"/>
    <x v="25"/>
    <x v="0"/>
    <x v="1"/>
    <x v="0"/>
    <x v="142"/>
    <x v="132"/>
    <x v="160"/>
    <x v="520"/>
    <x v="370"/>
    <x v="0"/>
    <x v="2"/>
    <x v="2"/>
    <x v="0"/>
    <x v="0"/>
    <x v="0"/>
    <x v="2"/>
    <x v="5"/>
    <x v="1"/>
    <x v="1"/>
    <x v="333"/>
    <x v="12"/>
    <x v="0"/>
    <x v="122"/>
    <x v="90"/>
    <x v="5"/>
    <x v="25"/>
    <x v="379"/>
    <x v="744"/>
  </r>
  <r>
    <x v="3"/>
    <x v="125"/>
    <x v="0"/>
    <x v="1"/>
    <x v="518"/>
    <x v="35"/>
    <x v="2"/>
    <x v="801"/>
    <x v="852"/>
    <x v="0"/>
    <x v="14"/>
    <x v="1"/>
    <x v="0"/>
    <x v="5"/>
    <x v="904"/>
    <x v="904"/>
    <x v="889"/>
    <x v="303"/>
    <x v="502"/>
    <x v="0"/>
    <x v="1"/>
    <x v="2"/>
    <x v="4"/>
    <x v="4"/>
    <x v="1"/>
    <x v="6"/>
    <x v="2"/>
    <x v="20"/>
    <x v="0"/>
    <x v="214"/>
    <x v="8"/>
    <x v="0"/>
    <x v="310"/>
    <x v="90"/>
    <x v="35"/>
    <x v="14"/>
    <x v="852"/>
    <x v="481"/>
  </r>
  <r>
    <x v="15"/>
    <x v="163"/>
    <x v="0"/>
    <x v="3"/>
    <x v="534"/>
    <x v="1"/>
    <x v="1"/>
    <x v="640"/>
    <x v="654"/>
    <x v="1"/>
    <x v="12"/>
    <x v="1"/>
    <x v="1"/>
    <x v="15"/>
    <x v="80"/>
    <x v="83"/>
    <x v="110"/>
    <x v="585"/>
    <x v="545"/>
    <x v="0"/>
    <x v="1"/>
    <x v="2"/>
    <x v="5"/>
    <x v="5"/>
    <x v="1"/>
    <x v="3"/>
    <x v="6"/>
    <x v="25"/>
    <x v="1"/>
    <x v="176"/>
    <x v="6"/>
    <x v="0"/>
    <x v="935"/>
    <x v="90"/>
    <x v="1"/>
    <x v="12"/>
    <x v="654"/>
    <x v="465"/>
  </r>
  <r>
    <x v="23"/>
    <x v="304"/>
    <x v="0"/>
    <x v="2"/>
    <x v="364"/>
    <x v="21"/>
    <x v="2"/>
    <x v="943"/>
    <x v="916"/>
    <x v="1"/>
    <x v="7"/>
    <x v="0"/>
    <x v="1"/>
    <x v="10"/>
    <x v="742"/>
    <x v="781"/>
    <x v="772"/>
    <x v="307"/>
    <x v="458"/>
    <x v="0"/>
    <x v="0"/>
    <x v="2"/>
    <x v="10"/>
    <x v="10"/>
    <x v="3"/>
    <x v="0"/>
    <x v="4"/>
    <x v="47"/>
    <x v="0"/>
    <x v="35"/>
    <x v="2"/>
    <x v="0"/>
    <x v="743"/>
    <x v="90"/>
    <x v="21"/>
    <x v="7"/>
    <x v="916"/>
    <x v="635"/>
  </r>
  <r>
    <x v="79"/>
    <x v="292"/>
    <x v="0"/>
    <x v="0"/>
    <x v="359"/>
    <x v="31"/>
    <x v="1"/>
    <x v="683"/>
    <x v="708"/>
    <x v="0"/>
    <x v="22"/>
    <x v="1"/>
    <x v="1"/>
    <x v="0"/>
    <x v="801"/>
    <x v="763"/>
    <x v="796"/>
    <x v="121"/>
    <x v="247"/>
    <x v="0"/>
    <x v="2"/>
    <x v="2"/>
    <x v="10"/>
    <x v="10"/>
    <x v="3"/>
    <x v="2"/>
    <x v="5"/>
    <x v="45"/>
    <x v="1"/>
    <x v="47"/>
    <x v="2"/>
    <x v="0"/>
    <x v="236"/>
    <x v="90"/>
    <x v="31"/>
    <x v="22"/>
    <x v="708"/>
    <x v="640"/>
  </r>
  <r>
    <x v="1"/>
    <x v="202"/>
    <x v="0"/>
    <x v="2"/>
    <x v="837"/>
    <x v="15"/>
    <x v="3"/>
    <x v="586"/>
    <x v="598"/>
    <x v="1"/>
    <x v="4"/>
    <x v="2"/>
    <x v="0"/>
    <x v="10"/>
    <x v="477"/>
    <x v="518"/>
    <x v="480"/>
    <x v="795"/>
    <x v="750"/>
    <x v="1"/>
    <x v="0"/>
    <x v="0"/>
    <x v="7"/>
    <x v="7"/>
    <x v="2"/>
    <x v="4"/>
    <x v="3"/>
    <x v="31"/>
    <x v="0"/>
    <x v="137"/>
    <x v="5"/>
    <x v="0"/>
    <x v="602"/>
    <x v="90"/>
    <x v="15"/>
    <x v="4"/>
    <x v="598"/>
    <x v="160"/>
  </r>
  <r>
    <x v="91"/>
    <x v="75"/>
    <x v="1"/>
    <x v="2"/>
    <x v="795"/>
    <x v="17"/>
    <x v="2"/>
    <x v="621"/>
    <x v="653"/>
    <x v="1"/>
    <x v="20"/>
    <x v="0"/>
    <x v="0"/>
    <x v="11"/>
    <x v="550"/>
    <x v="529"/>
    <x v="542"/>
    <x v="327"/>
    <x v="354"/>
    <x v="0"/>
    <x v="2"/>
    <x v="0"/>
    <x v="2"/>
    <x v="2"/>
    <x v="0"/>
    <x v="4"/>
    <x v="3"/>
    <x v="12"/>
    <x v="0"/>
    <x v="264"/>
    <x v="10"/>
    <x v="1"/>
    <x v="553"/>
    <x v="90"/>
    <x v="17"/>
    <x v="20"/>
    <x v="653"/>
    <x v="203"/>
  </r>
  <r>
    <x v="31"/>
    <x v="210"/>
    <x v="3"/>
    <x v="0"/>
    <x v="321"/>
    <x v="4"/>
    <x v="2"/>
    <x v="949"/>
    <x v="982"/>
    <x v="0"/>
    <x v="25"/>
    <x v="0"/>
    <x v="0"/>
    <x v="3"/>
    <x v="273"/>
    <x v="246"/>
    <x v="301"/>
    <x v="358"/>
    <x v="149"/>
    <x v="0"/>
    <x v="2"/>
    <x v="2"/>
    <x v="7"/>
    <x v="7"/>
    <x v="2"/>
    <x v="0"/>
    <x v="4"/>
    <x v="32"/>
    <x v="0"/>
    <x v="129"/>
    <x v="5"/>
    <x v="3"/>
    <x v="79"/>
    <x v="90"/>
    <x v="4"/>
    <x v="25"/>
    <x v="982"/>
    <x v="678"/>
  </r>
  <r>
    <x v="90"/>
    <x v="94"/>
    <x v="4"/>
    <x v="3"/>
    <x v="916"/>
    <x v="35"/>
    <x v="1"/>
    <x v="791"/>
    <x v="843"/>
    <x v="0"/>
    <x v="7"/>
    <x v="0"/>
    <x v="1"/>
    <x v="19"/>
    <x v="901"/>
    <x v="924"/>
    <x v="884"/>
    <x v="845"/>
    <x v="680"/>
    <x v="1"/>
    <x v="0"/>
    <x v="0"/>
    <x v="3"/>
    <x v="3"/>
    <x v="1"/>
    <x v="4"/>
    <x v="3"/>
    <x v="15"/>
    <x v="0"/>
    <x v="245"/>
    <x v="9"/>
    <x v="4"/>
    <x v="914"/>
    <x v="56"/>
    <x v="35"/>
    <x v="7"/>
    <x v="843"/>
    <x v="81"/>
  </r>
  <r>
    <x v="83"/>
    <x v="255"/>
    <x v="0"/>
    <x v="0"/>
    <x v="953"/>
    <x v="29"/>
    <x v="2"/>
    <x v="27"/>
    <x v="19"/>
    <x v="1"/>
    <x v="26"/>
    <x v="1"/>
    <x v="1"/>
    <x v="0"/>
    <x v="127"/>
    <x v="111"/>
    <x v="92"/>
    <x v="803"/>
    <x v="947"/>
    <x v="1"/>
    <x v="2"/>
    <x v="0"/>
    <x v="8"/>
    <x v="8"/>
    <x v="2"/>
    <x v="2"/>
    <x v="5"/>
    <x v="39"/>
    <x v="1"/>
    <x v="84"/>
    <x v="3"/>
    <x v="0"/>
    <x v="219"/>
    <x v="57"/>
    <x v="29"/>
    <x v="26"/>
    <x v="19"/>
    <x v="44"/>
  </r>
  <r>
    <x v="23"/>
    <x v="13"/>
    <x v="1"/>
    <x v="2"/>
    <x v="338"/>
    <x v="44"/>
    <x v="0"/>
    <x v="558"/>
    <x v="570"/>
    <x v="0"/>
    <x v="1"/>
    <x v="1"/>
    <x v="1"/>
    <x v="11"/>
    <x v="851"/>
    <x v="900"/>
    <x v="835"/>
    <x v="988"/>
    <x v="817"/>
    <x v="1"/>
    <x v="0"/>
    <x v="2"/>
    <x v="0"/>
    <x v="0"/>
    <x v="0"/>
    <x v="2"/>
    <x v="5"/>
    <x v="2"/>
    <x v="1"/>
    <x v="326"/>
    <x v="12"/>
    <x v="1"/>
    <x v="645"/>
    <x v="90"/>
    <x v="44"/>
    <x v="1"/>
    <x v="570"/>
    <x v="661"/>
  </r>
  <r>
    <x v="11"/>
    <x v="147"/>
    <x v="1"/>
    <x v="0"/>
    <x v="361"/>
    <x v="18"/>
    <x v="3"/>
    <x v="694"/>
    <x v="673"/>
    <x v="0"/>
    <x v="27"/>
    <x v="0"/>
    <x v="0"/>
    <x v="1"/>
    <x v="583"/>
    <x v="525"/>
    <x v="618"/>
    <x v="119"/>
    <x v="37"/>
    <x v="0"/>
    <x v="2"/>
    <x v="2"/>
    <x v="5"/>
    <x v="5"/>
    <x v="1"/>
    <x v="4"/>
    <x v="3"/>
    <x v="23"/>
    <x v="0"/>
    <x v="192"/>
    <x v="7"/>
    <x v="1"/>
    <x v="63"/>
    <x v="90"/>
    <x v="18"/>
    <x v="27"/>
    <x v="673"/>
    <x v="638"/>
  </r>
  <r>
    <x v="49"/>
    <x v="140"/>
    <x v="1"/>
    <x v="2"/>
    <x v="510"/>
    <x v="22"/>
    <x v="3"/>
    <x v="760"/>
    <x v="802"/>
    <x v="1"/>
    <x v="4"/>
    <x v="1"/>
    <x v="0"/>
    <x v="11"/>
    <x v="710"/>
    <x v="765"/>
    <x v="706"/>
    <x v="913"/>
    <x v="774"/>
    <x v="1"/>
    <x v="0"/>
    <x v="2"/>
    <x v="5"/>
    <x v="5"/>
    <x v="1"/>
    <x v="4"/>
    <x v="3"/>
    <x v="22"/>
    <x v="0"/>
    <x v="199"/>
    <x v="7"/>
    <x v="1"/>
    <x v="580"/>
    <x v="90"/>
    <x v="22"/>
    <x v="4"/>
    <x v="802"/>
    <x v="489"/>
  </r>
  <r>
    <x v="34"/>
    <x v="99"/>
    <x v="3"/>
    <x v="2"/>
    <x v="937"/>
    <x v="33"/>
    <x v="2"/>
    <x v="216"/>
    <x v="191"/>
    <x v="1"/>
    <x v="19"/>
    <x v="1"/>
    <x v="0"/>
    <x v="13"/>
    <x v="404"/>
    <x v="396"/>
    <x v="420"/>
    <x v="351"/>
    <x v="296"/>
    <x v="0"/>
    <x v="1"/>
    <x v="0"/>
    <x v="3"/>
    <x v="3"/>
    <x v="1"/>
    <x v="5"/>
    <x v="1"/>
    <x v="16"/>
    <x v="0"/>
    <x v="240"/>
    <x v="9"/>
    <x v="3"/>
    <x v="562"/>
    <x v="58"/>
    <x v="33"/>
    <x v="19"/>
    <x v="191"/>
    <x v="60"/>
  </r>
  <r>
    <x v="32"/>
    <x v="175"/>
    <x v="4"/>
    <x v="0"/>
    <x v="883"/>
    <x v="12"/>
    <x v="2"/>
    <x v="886"/>
    <x v="832"/>
    <x v="0"/>
    <x v="8"/>
    <x v="0"/>
    <x v="0"/>
    <x v="4"/>
    <x v="508"/>
    <x v="544"/>
    <x v="550"/>
    <x v="359"/>
    <x v="404"/>
    <x v="0"/>
    <x v="0"/>
    <x v="0"/>
    <x v="6"/>
    <x v="6"/>
    <x v="2"/>
    <x v="0"/>
    <x v="4"/>
    <x v="27"/>
    <x v="0"/>
    <x v="164"/>
    <x v="6"/>
    <x v="4"/>
    <x v="72"/>
    <x v="90"/>
    <x v="12"/>
    <x v="8"/>
    <x v="832"/>
    <x v="114"/>
  </r>
  <r>
    <x v="32"/>
    <x v="279"/>
    <x v="3"/>
    <x v="1"/>
    <x v="107"/>
    <x v="42"/>
    <x v="0"/>
    <x v="966"/>
    <x v="934"/>
    <x v="1"/>
    <x v="25"/>
    <x v="0"/>
    <x v="0"/>
    <x v="8"/>
    <x v="973"/>
    <x v="942"/>
    <x v="979"/>
    <x v="4"/>
    <x v="42"/>
    <x v="0"/>
    <x v="2"/>
    <x v="1"/>
    <x v="9"/>
    <x v="9"/>
    <x v="3"/>
    <x v="2"/>
    <x v="5"/>
    <x v="43"/>
    <x v="1"/>
    <x v="60"/>
    <x v="2"/>
    <x v="3"/>
    <x v="368"/>
    <x v="90"/>
    <x v="42"/>
    <x v="25"/>
    <x v="934"/>
    <x v="892"/>
  </r>
  <r>
    <x v="60"/>
    <x v="90"/>
    <x v="2"/>
    <x v="0"/>
    <x v="402"/>
    <x v="28"/>
    <x v="0"/>
    <x v="243"/>
    <x v="280"/>
    <x v="0"/>
    <x v="15"/>
    <x v="1"/>
    <x v="1"/>
    <x v="2"/>
    <x v="451"/>
    <x v="447"/>
    <x v="411"/>
    <x v="835"/>
    <x v="819"/>
    <x v="1"/>
    <x v="1"/>
    <x v="2"/>
    <x v="3"/>
    <x v="3"/>
    <x v="1"/>
    <x v="2"/>
    <x v="5"/>
    <x v="14"/>
    <x v="1"/>
    <x v="249"/>
    <x v="9"/>
    <x v="2"/>
    <x v="163"/>
    <x v="90"/>
    <x v="28"/>
    <x v="15"/>
    <x v="280"/>
    <x v="597"/>
  </r>
  <r>
    <x v="50"/>
    <x v="120"/>
    <x v="1"/>
    <x v="1"/>
    <x v="551"/>
    <x v="35"/>
    <x v="2"/>
    <x v="902"/>
    <x v="895"/>
    <x v="0"/>
    <x v="4"/>
    <x v="0"/>
    <x v="0"/>
    <x v="6"/>
    <x v="914"/>
    <x v="950"/>
    <x v="916"/>
    <x v="731"/>
    <x v="631"/>
    <x v="1"/>
    <x v="0"/>
    <x v="2"/>
    <x v="4"/>
    <x v="4"/>
    <x v="1"/>
    <x v="4"/>
    <x v="3"/>
    <x v="19"/>
    <x v="0"/>
    <x v="219"/>
    <x v="8"/>
    <x v="1"/>
    <x v="308"/>
    <x v="90"/>
    <x v="35"/>
    <x v="4"/>
    <x v="895"/>
    <x v="448"/>
  </r>
  <r>
    <x v="42"/>
    <x v="272"/>
    <x v="2"/>
    <x v="2"/>
    <x v="507"/>
    <x v="21"/>
    <x v="2"/>
    <x v="98"/>
    <x v="94"/>
    <x v="1"/>
    <x v="17"/>
    <x v="0"/>
    <x v="1"/>
    <x v="12"/>
    <x v="177"/>
    <x v="179"/>
    <x v="167"/>
    <x v="764"/>
    <x v="865"/>
    <x v="1"/>
    <x v="1"/>
    <x v="2"/>
    <x v="9"/>
    <x v="9"/>
    <x v="3"/>
    <x v="0"/>
    <x v="4"/>
    <x v="42"/>
    <x v="0"/>
    <x v="67"/>
    <x v="3"/>
    <x v="2"/>
    <x v="729"/>
    <x v="90"/>
    <x v="21"/>
    <x v="17"/>
    <x v="94"/>
    <x v="492"/>
  </r>
  <r>
    <x v="11"/>
    <x v="158"/>
    <x v="0"/>
    <x v="2"/>
    <x v="183"/>
    <x v="46"/>
    <x v="0"/>
    <x v="57"/>
    <x v="104"/>
    <x v="0"/>
    <x v="12"/>
    <x v="0"/>
    <x v="1"/>
    <x v="10"/>
    <x v="384"/>
    <x v="399"/>
    <x v="214"/>
    <x v="996"/>
    <x v="967"/>
    <x v="1"/>
    <x v="1"/>
    <x v="1"/>
    <x v="5"/>
    <x v="5"/>
    <x v="1"/>
    <x v="5"/>
    <x v="1"/>
    <x v="25"/>
    <x v="0"/>
    <x v="181"/>
    <x v="7"/>
    <x v="0"/>
    <x v="693"/>
    <x v="90"/>
    <x v="46"/>
    <x v="12"/>
    <x v="104"/>
    <x v="816"/>
  </r>
  <r>
    <x v="66"/>
    <x v="170"/>
    <x v="0"/>
    <x v="1"/>
    <x v="867"/>
    <x v="35"/>
    <x v="1"/>
    <x v="139"/>
    <x v="177"/>
    <x v="0"/>
    <x v="20"/>
    <x v="0"/>
    <x v="0"/>
    <x v="5"/>
    <x v="412"/>
    <x v="397"/>
    <x v="314"/>
    <x v="925"/>
    <x v="916"/>
    <x v="1"/>
    <x v="2"/>
    <x v="0"/>
    <x v="6"/>
    <x v="6"/>
    <x v="2"/>
    <x v="3"/>
    <x v="6"/>
    <x v="26"/>
    <x v="1"/>
    <x v="169"/>
    <x v="6"/>
    <x v="0"/>
    <x v="325"/>
    <x v="90"/>
    <x v="35"/>
    <x v="20"/>
    <x v="177"/>
    <x v="130"/>
  </r>
  <r>
    <x v="64"/>
    <x v="337"/>
    <x v="3"/>
    <x v="2"/>
    <x v="679"/>
    <x v="8"/>
    <x v="0"/>
    <x v="61"/>
    <x v="39"/>
    <x v="0"/>
    <x v="26"/>
    <x v="1"/>
    <x v="1"/>
    <x v="13"/>
    <x v="46"/>
    <x v="36"/>
    <x v="52"/>
    <x v="640"/>
    <x v="795"/>
    <x v="1"/>
    <x v="2"/>
    <x v="2"/>
    <x v="11"/>
    <x v="11"/>
    <x v="3"/>
    <x v="2"/>
    <x v="5"/>
    <x v="52"/>
    <x v="1"/>
    <x v="2"/>
    <x v="0"/>
    <x v="3"/>
    <x v="754"/>
    <x v="90"/>
    <x v="8"/>
    <x v="26"/>
    <x v="39"/>
    <x v="319"/>
  </r>
  <r>
    <x v="32"/>
    <x v="36"/>
    <x v="4"/>
    <x v="1"/>
    <x v="844"/>
    <x v="38"/>
    <x v="1"/>
    <x v="855"/>
    <x v="830"/>
    <x v="1"/>
    <x v="12"/>
    <x v="0"/>
    <x v="0"/>
    <x v="9"/>
    <x v="916"/>
    <x v="930"/>
    <x v="926"/>
    <x v="117"/>
    <x v="351"/>
    <x v="0"/>
    <x v="1"/>
    <x v="0"/>
    <x v="1"/>
    <x v="1"/>
    <x v="0"/>
    <x v="6"/>
    <x v="2"/>
    <x v="6"/>
    <x v="0"/>
    <x v="303"/>
    <x v="11"/>
    <x v="4"/>
    <x v="284"/>
    <x v="90"/>
    <x v="38"/>
    <x v="12"/>
    <x v="830"/>
    <x v="153"/>
  </r>
  <r>
    <x v="39"/>
    <x v="14"/>
    <x v="2"/>
    <x v="1"/>
    <x v="866"/>
    <x v="18"/>
    <x v="3"/>
    <x v="62"/>
    <x v="96"/>
    <x v="1"/>
    <x v="9"/>
    <x v="2"/>
    <x v="0"/>
    <x v="7"/>
    <x v="160"/>
    <x v="171"/>
    <x v="116"/>
    <x v="892"/>
    <x v="963"/>
    <x v="1"/>
    <x v="0"/>
    <x v="0"/>
    <x v="0"/>
    <x v="0"/>
    <x v="0"/>
    <x v="3"/>
    <x v="6"/>
    <x v="2"/>
    <x v="1"/>
    <x v="325"/>
    <x v="12"/>
    <x v="2"/>
    <x v="272"/>
    <x v="90"/>
    <x v="18"/>
    <x v="9"/>
    <x v="96"/>
    <x v="131"/>
  </r>
  <r>
    <x v="73"/>
    <x v="3"/>
    <x v="4"/>
    <x v="2"/>
    <x v="749"/>
    <x v="37"/>
    <x v="3"/>
    <x v="286"/>
    <x v="325"/>
    <x v="1"/>
    <x v="0"/>
    <x v="0"/>
    <x v="1"/>
    <x v="14"/>
    <x v="597"/>
    <x v="663"/>
    <x v="528"/>
    <x v="994"/>
    <x v="913"/>
    <x v="1"/>
    <x v="0"/>
    <x v="0"/>
    <x v="0"/>
    <x v="0"/>
    <x v="0"/>
    <x v="6"/>
    <x v="2"/>
    <x v="1"/>
    <x v="0"/>
    <x v="336"/>
    <x v="12"/>
    <x v="4"/>
    <x v="643"/>
    <x v="90"/>
    <x v="37"/>
    <x v="0"/>
    <x v="325"/>
    <x v="249"/>
  </r>
  <r>
    <x v="42"/>
    <x v="324"/>
    <x v="3"/>
    <x v="3"/>
    <x v="448"/>
    <x v="5"/>
    <x v="0"/>
    <x v="108"/>
    <x v="116"/>
    <x v="0"/>
    <x v="17"/>
    <x v="2"/>
    <x v="0"/>
    <x v="18"/>
    <x v="58"/>
    <x v="57"/>
    <x v="57"/>
    <x v="679"/>
    <x v="886"/>
    <x v="1"/>
    <x v="1"/>
    <x v="2"/>
    <x v="11"/>
    <x v="11"/>
    <x v="3"/>
    <x v="0"/>
    <x v="4"/>
    <x v="50"/>
    <x v="0"/>
    <x v="15"/>
    <x v="1"/>
    <x v="3"/>
    <x v="871"/>
    <x v="90"/>
    <x v="5"/>
    <x v="17"/>
    <x v="116"/>
    <x v="551"/>
  </r>
  <r>
    <x v="43"/>
    <x v="197"/>
    <x v="0"/>
    <x v="1"/>
    <x v="607"/>
    <x v="46"/>
    <x v="1"/>
    <x v="306"/>
    <x v="319"/>
    <x v="0"/>
    <x v="12"/>
    <x v="0"/>
    <x v="0"/>
    <x v="5"/>
    <x v="678"/>
    <x v="685"/>
    <x v="640"/>
    <x v="846"/>
    <x v="743"/>
    <x v="1"/>
    <x v="1"/>
    <x v="2"/>
    <x v="6"/>
    <x v="6"/>
    <x v="2"/>
    <x v="2"/>
    <x v="5"/>
    <x v="30"/>
    <x v="1"/>
    <x v="142"/>
    <x v="5"/>
    <x v="0"/>
    <x v="338"/>
    <x v="90"/>
    <x v="46"/>
    <x v="12"/>
    <x v="319"/>
    <x v="391"/>
  </r>
  <r>
    <x v="28"/>
    <x v="149"/>
    <x v="4"/>
    <x v="0"/>
    <x v="149"/>
    <x v="14"/>
    <x v="0"/>
    <x v="92"/>
    <x v="61"/>
    <x v="1"/>
    <x v="11"/>
    <x v="2"/>
    <x v="1"/>
    <x v="4"/>
    <x v="104"/>
    <x v="110"/>
    <x v="127"/>
    <x v="696"/>
    <x v="828"/>
    <x v="1"/>
    <x v="1"/>
    <x v="1"/>
    <x v="5"/>
    <x v="5"/>
    <x v="1"/>
    <x v="2"/>
    <x v="5"/>
    <x v="23"/>
    <x v="1"/>
    <x v="190"/>
    <x v="7"/>
    <x v="4"/>
    <x v="182"/>
    <x v="90"/>
    <x v="14"/>
    <x v="11"/>
    <x v="61"/>
    <x v="850"/>
  </r>
  <r>
    <x v="12"/>
    <x v="15"/>
    <x v="4"/>
    <x v="0"/>
    <x v="673"/>
    <x v="19"/>
    <x v="0"/>
    <x v="674"/>
    <x v="709"/>
    <x v="1"/>
    <x v="5"/>
    <x v="2"/>
    <x v="1"/>
    <x v="4"/>
    <x v="626"/>
    <x v="668"/>
    <x v="624"/>
    <x v="834"/>
    <x v="738"/>
    <x v="1"/>
    <x v="0"/>
    <x v="2"/>
    <x v="0"/>
    <x v="0"/>
    <x v="0"/>
    <x v="1"/>
    <x v="0"/>
    <x v="3"/>
    <x v="0"/>
    <x v="324"/>
    <x v="12"/>
    <x v="4"/>
    <x v="128"/>
    <x v="90"/>
    <x v="19"/>
    <x v="5"/>
    <x v="709"/>
    <x v="325"/>
  </r>
  <r>
    <x v="11"/>
    <x v="99"/>
    <x v="0"/>
    <x v="2"/>
    <x v="167"/>
    <x v="8"/>
    <x v="1"/>
    <x v="143"/>
    <x v="152"/>
    <x v="1"/>
    <x v="13"/>
    <x v="0"/>
    <x v="1"/>
    <x v="10"/>
    <x v="103"/>
    <x v="105"/>
    <x v="114"/>
    <x v="740"/>
    <x v="897"/>
    <x v="1"/>
    <x v="1"/>
    <x v="1"/>
    <x v="3"/>
    <x v="3"/>
    <x v="1"/>
    <x v="5"/>
    <x v="1"/>
    <x v="16"/>
    <x v="0"/>
    <x v="240"/>
    <x v="9"/>
    <x v="0"/>
    <x v="677"/>
    <x v="90"/>
    <x v="8"/>
    <x v="13"/>
    <x v="152"/>
    <x v="832"/>
  </r>
  <r>
    <x v="94"/>
    <x v="288"/>
    <x v="2"/>
    <x v="3"/>
    <x v="692"/>
    <x v="31"/>
    <x v="0"/>
    <x v="865"/>
    <x v="871"/>
    <x v="0"/>
    <x v="30"/>
    <x v="0"/>
    <x v="1"/>
    <x v="17"/>
    <x v="867"/>
    <x v="799"/>
    <x v="868"/>
    <x v="32"/>
    <x v="18"/>
    <x v="0"/>
    <x v="2"/>
    <x v="2"/>
    <x v="10"/>
    <x v="10"/>
    <x v="3"/>
    <x v="5"/>
    <x v="1"/>
    <x v="45"/>
    <x v="0"/>
    <x v="51"/>
    <x v="2"/>
    <x v="2"/>
    <x v="977"/>
    <x v="90"/>
    <x v="31"/>
    <x v="30"/>
    <x v="871"/>
    <x v="306"/>
  </r>
  <r>
    <x v="45"/>
    <x v="214"/>
    <x v="0"/>
    <x v="2"/>
    <x v="231"/>
    <x v="3"/>
    <x v="3"/>
    <x v="822"/>
    <x v="779"/>
    <x v="1"/>
    <x v="9"/>
    <x v="0"/>
    <x v="1"/>
    <x v="10"/>
    <x v="173"/>
    <x v="192"/>
    <x v="224"/>
    <x v="492"/>
    <x v="387"/>
    <x v="0"/>
    <x v="0"/>
    <x v="1"/>
    <x v="7"/>
    <x v="7"/>
    <x v="2"/>
    <x v="5"/>
    <x v="1"/>
    <x v="33"/>
    <x v="0"/>
    <x v="125"/>
    <x v="5"/>
    <x v="0"/>
    <x v="706"/>
    <x v="90"/>
    <x v="3"/>
    <x v="9"/>
    <x v="779"/>
    <x v="768"/>
  </r>
  <r>
    <x v="1"/>
    <x v="157"/>
    <x v="4"/>
    <x v="3"/>
    <x v="116"/>
    <x v="17"/>
    <x v="2"/>
    <x v="16"/>
    <x v="53"/>
    <x v="0"/>
    <x v="18"/>
    <x v="2"/>
    <x v="1"/>
    <x v="19"/>
    <x v="117"/>
    <x v="112"/>
    <x v="30"/>
    <x v="885"/>
    <x v="994"/>
    <x v="1"/>
    <x v="1"/>
    <x v="1"/>
    <x v="5"/>
    <x v="5"/>
    <x v="1"/>
    <x v="1"/>
    <x v="0"/>
    <x v="25"/>
    <x v="0"/>
    <x v="182"/>
    <x v="7"/>
    <x v="4"/>
    <x v="931"/>
    <x v="90"/>
    <x v="17"/>
    <x v="18"/>
    <x v="53"/>
    <x v="883"/>
  </r>
  <r>
    <x v="34"/>
    <x v="31"/>
    <x v="2"/>
    <x v="1"/>
    <x v="155"/>
    <x v="4"/>
    <x v="2"/>
    <x v="911"/>
    <x v="923"/>
    <x v="1"/>
    <x v="23"/>
    <x v="1"/>
    <x v="0"/>
    <x v="7"/>
    <x v="255"/>
    <x v="235"/>
    <x v="288"/>
    <x v="374"/>
    <x v="166"/>
    <x v="0"/>
    <x v="2"/>
    <x v="1"/>
    <x v="1"/>
    <x v="1"/>
    <x v="0"/>
    <x v="0"/>
    <x v="4"/>
    <x v="5"/>
    <x v="0"/>
    <x v="308"/>
    <x v="11"/>
    <x v="2"/>
    <x v="281"/>
    <x v="90"/>
    <x v="4"/>
    <x v="23"/>
    <x v="923"/>
    <x v="844"/>
  </r>
  <r>
    <x v="86"/>
    <x v="235"/>
    <x v="2"/>
    <x v="1"/>
    <x v="4"/>
    <x v="19"/>
    <x v="0"/>
    <x v="32"/>
    <x v="9"/>
    <x v="0"/>
    <x v="22"/>
    <x v="1"/>
    <x v="0"/>
    <x v="7"/>
    <x v="66"/>
    <x v="60"/>
    <x v="73"/>
    <x v="677"/>
    <x v="871"/>
    <x v="1"/>
    <x v="2"/>
    <x v="1"/>
    <x v="8"/>
    <x v="8"/>
    <x v="2"/>
    <x v="0"/>
    <x v="4"/>
    <x v="36"/>
    <x v="0"/>
    <x v="104"/>
    <x v="4"/>
    <x v="2"/>
    <x v="354"/>
    <x v="90"/>
    <x v="19"/>
    <x v="22"/>
    <x v="9"/>
    <x v="995"/>
  </r>
  <r>
    <x v="80"/>
    <x v="232"/>
    <x v="0"/>
    <x v="1"/>
    <x v="724"/>
    <x v="22"/>
    <x v="1"/>
    <x v="248"/>
    <x v="261"/>
    <x v="0"/>
    <x v="10"/>
    <x v="0"/>
    <x v="0"/>
    <x v="5"/>
    <x v="367"/>
    <x v="387"/>
    <x v="342"/>
    <x v="808"/>
    <x v="822"/>
    <x v="1"/>
    <x v="1"/>
    <x v="2"/>
    <x v="8"/>
    <x v="8"/>
    <x v="2"/>
    <x v="1"/>
    <x v="0"/>
    <x v="36"/>
    <x v="0"/>
    <x v="107"/>
    <x v="4"/>
    <x v="0"/>
    <x v="353"/>
    <x v="90"/>
    <x v="22"/>
    <x v="10"/>
    <x v="261"/>
    <x v="274"/>
  </r>
  <r>
    <x v="89"/>
    <x v="251"/>
    <x v="4"/>
    <x v="1"/>
    <x v="733"/>
    <x v="10"/>
    <x v="1"/>
    <x v="34"/>
    <x v="49"/>
    <x v="1"/>
    <x v="18"/>
    <x v="1"/>
    <x v="1"/>
    <x v="9"/>
    <x v="69"/>
    <x v="68"/>
    <x v="35"/>
    <x v="783"/>
    <x v="966"/>
    <x v="1"/>
    <x v="1"/>
    <x v="2"/>
    <x v="8"/>
    <x v="8"/>
    <x v="2"/>
    <x v="5"/>
    <x v="1"/>
    <x v="39"/>
    <x v="0"/>
    <x v="88"/>
    <x v="3"/>
    <x v="4"/>
    <x v="487"/>
    <x v="90"/>
    <x v="10"/>
    <x v="18"/>
    <x v="49"/>
    <x v="265"/>
  </r>
  <r>
    <x v="7"/>
    <x v="129"/>
    <x v="3"/>
    <x v="0"/>
    <x v="517"/>
    <x v="36"/>
    <x v="3"/>
    <x v="347"/>
    <x v="348"/>
    <x v="0"/>
    <x v="26"/>
    <x v="1"/>
    <x v="0"/>
    <x v="3"/>
    <x v="615"/>
    <x v="563"/>
    <x v="602"/>
    <x v="223"/>
    <x v="241"/>
    <x v="0"/>
    <x v="2"/>
    <x v="2"/>
    <x v="4"/>
    <x v="4"/>
    <x v="1"/>
    <x v="3"/>
    <x v="6"/>
    <x v="20"/>
    <x v="1"/>
    <x v="210"/>
    <x v="8"/>
    <x v="3"/>
    <x v="52"/>
    <x v="90"/>
    <x v="36"/>
    <x v="26"/>
    <x v="348"/>
    <x v="482"/>
  </r>
  <r>
    <x v="92"/>
    <x v="256"/>
    <x v="4"/>
    <x v="0"/>
    <x v="151"/>
    <x v="21"/>
    <x v="1"/>
    <x v="531"/>
    <x v="551"/>
    <x v="1"/>
    <x v="0"/>
    <x v="0"/>
    <x v="1"/>
    <x v="4"/>
    <x v="563"/>
    <x v="641"/>
    <x v="555"/>
    <x v="921"/>
    <x v="832"/>
    <x v="1"/>
    <x v="0"/>
    <x v="1"/>
    <x v="9"/>
    <x v="9"/>
    <x v="3"/>
    <x v="3"/>
    <x v="6"/>
    <x v="39"/>
    <x v="1"/>
    <x v="83"/>
    <x v="3"/>
    <x v="4"/>
    <x v="220"/>
    <x v="90"/>
    <x v="21"/>
    <x v="0"/>
    <x v="551"/>
    <x v="848"/>
  </r>
  <r>
    <x v="25"/>
    <x v="88"/>
    <x v="1"/>
    <x v="2"/>
    <x v="91"/>
    <x v="3"/>
    <x v="1"/>
    <x v="804"/>
    <x v="816"/>
    <x v="0"/>
    <x v="13"/>
    <x v="2"/>
    <x v="0"/>
    <x v="11"/>
    <x v="184"/>
    <x v="189"/>
    <x v="221"/>
    <x v="515"/>
    <x v="431"/>
    <x v="0"/>
    <x v="1"/>
    <x v="1"/>
    <x v="3"/>
    <x v="3"/>
    <x v="1"/>
    <x v="4"/>
    <x v="3"/>
    <x v="14"/>
    <x v="0"/>
    <x v="251"/>
    <x v="9"/>
    <x v="1"/>
    <x v="558"/>
    <x v="90"/>
    <x v="3"/>
    <x v="13"/>
    <x v="816"/>
    <x v="908"/>
  </r>
  <r>
    <x v="73"/>
    <x v="214"/>
    <x v="3"/>
    <x v="3"/>
    <x v="24"/>
    <x v="28"/>
    <x v="3"/>
    <x v="349"/>
    <x v="390"/>
    <x v="0"/>
    <x v="7"/>
    <x v="0"/>
    <x v="1"/>
    <x v="18"/>
    <x v="555"/>
    <x v="607"/>
    <x v="509"/>
    <x v="947"/>
    <x v="861"/>
    <x v="1"/>
    <x v="0"/>
    <x v="1"/>
    <x v="7"/>
    <x v="7"/>
    <x v="2"/>
    <x v="5"/>
    <x v="1"/>
    <x v="33"/>
    <x v="0"/>
    <x v="125"/>
    <x v="5"/>
    <x v="3"/>
    <x v="949"/>
    <x v="90"/>
    <x v="28"/>
    <x v="7"/>
    <x v="390"/>
    <x v="975"/>
  </r>
  <r>
    <x v="89"/>
    <x v="36"/>
    <x v="2"/>
    <x v="1"/>
    <x v="156"/>
    <x v="43"/>
    <x v="0"/>
    <x v="710"/>
    <x v="670"/>
    <x v="1"/>
    <x v="12"/>
    <x v="1"/>
    <x v="0"/>
    <x v="7"/>
    <x v="896"/>
    <x v="908"/>
    <x v="911"/>
    <x v="104"/>
    <x v="314"/>
    <x v="0"/>
    <x v="1"/>
    <x v="1"/>
    <x v="1"/>
    <x v="1"/>
    <x v="0"/>
    <x v="6"/>
    <x v="2"/>
    <x v="6"/>
    <x v="0"/>
    <x v="303"/>
    <x v="11"/>
    <x v="2"/>
    <x v="285"/>
    <x v="90"/>
    <x v="43"/>
    <x v="12"/>
    <x v="670"/>
    <x v="843"/>
  </r>
  <r>
    <x v="33"/>
    <x v="280"/>
    <x v="3"/>
    <x v="1"/>
    <x v="900"/>
    <x v="33"/>
    <x v="2"/>
    <x v="188"/>
    <x v="154"/>
    <x v="0"/>
    <x v="12"/>
    <x v="2"/>
    <x v="1"/>
    <x v="8"/>
    <x v="364"/>
    <x v="380"/>
    <x v="394"/>
    <x v="454"/>
    <x v="434"/>
    <x v="0"/>
    <x v="1"/>
    <x v="0"/>
    <x v="9"/>
    <x v="9"/>
    <x v="3"/>
    <x v="3"/>
    <x v="6"/>
    <x v="43"/>
    <x v="1"/>
    <x v="59"/>
    <x v="2"/>
    <x v="3"/>
    <x v="504"/>
    <x v="90"/>
    <x v="33"/>
    <x v="12"/>
    <x v="154"/>
    <x v="97"/>
  </r>
  <r>
    <x v="6"/>
    <x v="27"/>
    <x v="2"/>
    <x v="3"/>
    <x v="242"/>
    <x v="12"/>
    <x v="3"/>
    <x v="765"/>
    <x v="732"/>
    <x v="1"/>
    <x v="22"/>
    <x v="1"/>
    <x v="1"/>
    <x v="17"/>
    <x v="471"/>
    <x v="444"/>
    <x v="502"/>
    <x v="211"/>
    <x v="104"/>
    <x v="0"/>
    <x v="2"/>
    <x v="1"/>
    <x v="0"/>
    <x v="0"/>
    <x v="0"/>
    <x v="3"/>
    <x v="6"/>
    <x v="4"/>
    <x v="1"/>
    <x v="312"/>
    <x v="11"/>
    <x v="2"/>
    <x v="889"/>
    <x v="90"/>
    <x v="12"/>
    <x v="22"/>
    <x v="732"/>
    <x v="757"/>
  </r>
  <r>
    <x v="67"/>
    <x v="295"/>
    <x v="2"/>
    <x v="3"/>
    <x v="360"/>
    <x v="41"/>
    <x v="0"/>
    <x v="242"/>
    <x v="269"/>
    <x v="1"/>
    <x v="3"/>
    <x v="2"/>
    <x v="1"/>
    <x v="17"/>
    <x v="567"/>
    <x v="635"/>
    <x v="514"/>
    <x v="974"/>
    <x v="891"/>
    <x v="1"/>
    <x v="0"/>
    <x v="2"/>
    <x v="10"/>
    <x v="10"/>
    <x v="3"/>
    <x v="5"/>
    <x v="1"/>
    <x v="46"/>
    <x v="0"/>
    <x v="44"/>
    <x v="2"/>
    <x v="2"/>
    <x v="979"/>
    <x v="90"/>
    <x v="41"/>
    <x v="3"/>
    <x v="269"/>
    <x v="639"/>
  </r>
  <r>
    <x v="57"/>
    <x v="230"/>
    <x v="3"/>
    <x v="2"/>
    <x v="108"/>
    <x v="8"/>
    <x v="3"/>
    <x v="157"/>
    <x v="163"/>
    <x v="1"/>
    <x v="15"/>
    <x v="1"/>
    <x v="1"/>
    <x v="13"/>
    <x v="111"/>
    <x v="109"/>
    <x v="119"/>
    <x v="726"/>
    <x v="878"/>
    <x v="1"/>
    <x v="1"/>
    <x v="1"/>
    <x v="8"/>
    <x v="8"/>
    <x v="2"/>
    <x v="2"/>
    <x v="5"/>
    <x v="35"/>
    <x v="1"/>
    <x v="109"/>
    <x v="4"/>
    <x v="3"/>
    <x v="714"/>
    <x v="90"/>
    <x v="8"/>
    <x v="15"/>
    <x v="163"/>
    <x v="891"/>
  </r>
  <r>
    <x v="74"/>
    <x v="222"/>
    <x v="2"/>
    <x v="3"/>
    <x v="223"/>
    <x v="41"/>
    <x v="0"/>
    <x v="185"/>
    <x v="226"/>
    <x v="0"/>
    <x v="17"/>
    <x v="0"/>
    <x v="0"/>
    <x v="17"/>
    <x v="522"/>
    <x v="520"/>
    <x v="448"/>
    <x v="935"/>
    <x v="877"/>
    <x v="1"/>
    <x v="1"/>
    <x v="1"/>
    <x v="7"/>
    <x v="7"/>
    <x v="2"/>
    <x v="4"/>
    <x v="3"/>
    <x v="34"/>
    <x v="0"/>
    <x v="117"/>
    <x v="5"/>
    <x v="2"/>
    <x v="837"/>
    <x v="90"/>
    <x v="41"/>
    <x v="17"/>
    <x v="226"/>
    <x v="776"/>
  </r>
  <r>
    <x v="28"/>
    <x v="172"/>
    <x v="2"/>
    <x v="1"/>
    <x v="525"/>
    <x v="30"/>
    <x v="3"/>
    <x v="181"/>
    <x v="212"/>
    <x v="0"/>
    <x v="15"/>
    <x v="1"/>
    <x v="0"/>
    <x v="7"/>
    <x v="406"/>
    <x v="414"/>
    <x v="362"/>
    <x v="866"/>
    <x v="854"/>
    <x v="1"/>
    <x v="1"/>
    <x v="2"/>
    <x v="6"/>
    <x v="6"/>
    <x v="2"/>
    <x v="5"/>
    <x v="1"/>
    <x v="27"/>
    <x v="0"/>
    <x v="167"/>
    <x v="6"/>
    <x v="2"/>
    <x v="326"/>
    <x v="90"/>
    <x v="30"/>
    <x v="15"/>
    <x v="212"/>
    <x v="474"/>
  </r>
  <r>
    <x v="35"/>
    <x v="254"/>
    <x v="1"/>
    <x v="1"/>
    <x v="604"/>
    <x v="6"/>
    <x v="0"/>
    <x v="528"/>
    <x v="529"/>
    <x v="0"/>
    <x v="22"/>
    <x v="1"/>
    <x v="1"/>
    <x v="6"/>
    <x v="208"/>
    <x v="196"/>
    <x v="241"/>
    <x v="422"/>
    <x v="250"/>
    <x v="0"/>
    <x v="2"/>
    <x v="2"/>
    <x v="8"/>
    <x v="8"/>
    <x v="2"/>
    <x v="0"/>
    <x v="4"/>
    <x v="39"/>
    <x v="0"/>
    <x v="85"/>
    <x v="3"/>
    <x v="1"/>
    <x v="490"/>
    <x v="90"/>
    <x v="6"/>
    <x v="22"/>
    <x v="529"/>
    <x v="395"/>
  </r>
  <r>
    <x v="88"/>
    <x v="222"/>
    <x v="4"/>
    <x v="1"/>
    <x v="247"/>
    <x v="3"/>
    <x v="3"/>
    <x v="853"/>
    <x v="911"/>
    <x v="1"/>
    <x v="12"/>
    <x v="2"/>
    <x v="1"/>
    <x v="9"/>
    <x v="199"/>
    <x v="203"/>
    <x v="230"/>
    <x v="572"/>
    <x v="568"/>
    <x v="0"/>
    <x v="1"/>
    <x v="1"/>
    <x v="7"/>
    <x v="7"/>
    <x v="2"/>
    <x v="4"/>
    <x v="3"/>
    <x v="34"/>
    <x v="0"/>
    <x v="117"/>
    <x v="5"/>
    <x v="4"/>
    <x v="476"/>
    <x v="90"/>
    <x v="3"/>
    <x v="12"/>
    <x v="911"/>
    <x v="752"/>
  </r>
  <r>
    <x v="20"/>
    <x v="225"/>
    <x v="4"/>
    <x v="1"/>
    <x v="56"/>
    <x v="18"/>
    <x v="0"/>
    <x v="83"/>
    <x v="54"/>
    <x v="1"/>
    <x v="28"/>
    <x v="1"/>
    <x v="1"/>
    <x v="9"/>
    <x v="122"/>
    <x v="103"/>
    <x v="139"/>
    <x v="557"/>
    <x v="469"/>
    <x v="0"/>
    <x v="2"/>
    <x v="1"/>
    <x v="7"/>
    <x v="7"/>
    <x v="2"/>
    <x v="3"/>
    <x v="6"/>
    <x v="34"/>
    <x v="1"/>
    <x v="114"/>
    <x v="4"/>
    <x v="4"/>
    <x v="478"/>
    <x v="90"/>
    <x v="18"/>
    <x v="28"/>
    <x v="54"/>
    <x v="943"/>
  </r>
  <r>
    <x v="35"/>
    <x v="248"/>
    <x v="1"/>
    <x v="1"/>
    <x v="399"/>
    <x v="41"/>
    <x v="3"/>
    <x v="713"/>
    <x v="752"/>
    <x v="0"/>
    <x v="14"/>
    <x v="0"/>
    <x v="0"/>
    <x v="6"/>
    <x v="912"/>
    <x v="917"/>
    <x v="899"/>
    <x v="312"/>
    <x v="514"/>
    <x v="0"/>
    <x v="1"/>
    <x v="2"/>
    <x v="8"/>
    <x v="8"/>
    <x v="2"/>
    <x v="2"/>
    <x v="5"/>
    <x v="38"/>
    <x v="1"/>
    <x v="91"/>
    <x v="4"/>
    <x v="1"/>
    <x v="358"/>
    <x v="90"/>
    <x v="41"/>
    <x v="14"/>
    <x v="752"/>
    <x v="600"/>
  </r>
  <r>
    <x v="9"/>
    <x v="332"/>
    <x v="3"/>
    <x v="2"/>
    <x v="236"/>
    <x v="29"/>
    <x v="2"/>
    <x v="663"/>
    <x v="658"/>
    <x v="0"/>
    <x v="17"/>
    <x v="0"/>
    <x v="1"/>
    <x v="13"/>
    <x v="746"/>
    <x v="733"/>
    <x v="757"/>
    <x v="182"/>
    <x v="311"/>
    <x v="0"/>
    <x v="1"/>
    <x v="1"/>
    <x v="11"/>
    <x v="11"/>
    <x v="3"/>
    <x v="1"/>
    <x v="0"/>
    <x v="52"/>
    <x v="0"/>
    <x v="7"/>
    <x v="0"/>
    <x v="3"/>
    <x v="751"/>
    <x v="90"/>
    <x v="29"/>
    <x v="17"/>
    <x v="658"/>
    <x v="763"/>
  </r>
  <r>
    <x v="72"/>
    <x v="316"/>
    <x v="0"/>
    <x v="1"/>
    <x v="218"/>
    <x v="30"/>
    <x v="2"/>
    <x v="893"/>
    <x v="903"/>
    <x v="1"/>
    <x v="25"/>
    <x v="0"/>
    <x v="1"/>
    <x v="5"/>
    <x v="870"/>
    <x v="828"/>
    <x v="865"/>
    <x v="61"/>
    <x v="126"/>
    <x v="0"/>
    <x v="2"/>
    <x v="1"/>
    <x v="11"/>
    <x v="11"/>
    <x v="3"/>
    <x v="6"/>
    <x v="2"/>
    <x v="49"/>
    <x v="0"/>
    <x v="23"/>
    <x v="1"/>
    <x v="0"/>
    <x v="518"/>
    <x v="90"/>
    <x v="30"/>
    <x v="25"/>
    <x v="903"/>
    <x v="781"/>
  </r>
  <r>
    <x v="23"/>
    <x v="60"/>
    <x v="0"/>
    <x v="2"/>
    <x v="957"/>
    <x v="34"/>
    <x v="1"/>
    <x v="253"/>
    <x v="282"/>
    <x v="0"/>
    <x v="8"/>
    <x v="2"/>
    <x v="0"/>
    <x v="10"/>
    <x v="510"/>
    <x v="545"/>
    <x v="467"/>
    <x v="924"/>
    <x v="864"/>
    <x v="1"/>
    <x v="0"/>
    <x v="0"/>
    <x v="2"/>
    <x v="2"/>
    <x v="0"/>
    <x v="1"/>
    <x v="0"/>
    <x v="10"/>
    <x v="0"/>
    <x v="279"/>
    <x v="10"/>
    <x v="0"/>
    <x v="547"/>
    <x v="59"/>
    <x v="34"/>
    <x v="8"/>
    <x v="282"/>
    <x v="40"/>
  </r>
  <r>
    <x v="63"/>
    <x v="164"/>
    <x v="0"/>
    <x v="1"/>
    <x v="609"/>
    <x v="20"/>
    <x v="0"/>
    <x v="457"/>
    <x v="475"/>
    <x v="1"/>
    <x v="2"/>
    <x v="2"/>
    <x v="1"/>
    <x v="5"/>
    <x v="500"/>
    <x v="558"/>
    <x v="494"/>
    <x v="878"/>
    <x v="815"/>
    <x v="1"/>
    <x v="0"/>
    <x v="2"/>
    <x v="5"/>
    <x v="5"/>
    <x v="1"/>
    <x v="1"/>
    <x v="0"/>
    <x v="26"/>
    <x v="0"/>
    <x v="175"/>
    <x v="6"/>
    <x v="0"/>
    <x v="453"/>
    <x v="90"/>
    <x v="20"/>
    <x v="2"/>
    <x v="475"/>
    <x v="389"/>
  </r>
  <r>
    <x v="98"/>
    <x v="2"/>
    <x v="1"/>
    <x v="0"/>
    <x v="553"/>
    <x v="30"/>
    <x v="3"/>
    <x v="930"/>
    <x v="906"/>
    <x v="0"/>
    <x v="21"/>
    <x v="1"/>
    <x v="1"/>
    <x v="1"/>
    <x v="872"/>
    <x v="844"/>
    <x v="890"/>
    <x v="57"/>
    <x v="118"/>
    <x v="0"/>
    <x v="2"/>
    <x v="2"/>
    <x v="0"/>
    <x v="0"/>
    <x v="0"/>
    <x v="5"/>
    <x v="1"/>
    <x v="1"/>
    <x v="0"/>
    <x v="337"/>
    <x v="12"/>
    <x v="1"/>
    <x v="121"/>
    <x v="90"/>
    <x v="30"/>
    <x v="21"/>
    <x v="906"/>
    <x v="446"/>
  </r>
  <r>
    <x v="48"/>
    <x v="130"/>
    <x v="1"/>
    <x v="0"/>
    <x v="421"/>
    <x v="18"/>
    <x v="0"/>
    <x v="666"/>
    <x v="660"/>
    <x v="1"/>
    <x v="14"/>
    <x v="1"/>
    <x v="0"/>
    <x v="1"/>
    <x v="576"/>
    <x v="597"/>
    <x v="598"/>
    <x v="329"/>
    <x v="389"/>
    <x v="0"/>
    <x v="1"/>
    <x v="2"/>
    <x v="4"/>
    <x v="4"/>
    <x v="1"/>
    <x v="1"/>
    <x v="0"/>
    <x v="21"/>
    <x v="0"/>
    <x v="209"/>
    <x v="8"/>
    <x v="1"/>
    <x v="53"/>
    <x v="90"/>
    <x v="18"/>
    <x v="14"/>
    <x v="660"/>
    <x v="578"/>
  </r>
  <r>
    <x v="98"/>
    <x v="146"/>
    <x v="2"/>
    <x v="0"/>
    <x v="435"/>
    <x v="30"/>
    <x v="2"/>
    <x v="390"/>
    <x v="402"/>
    <x v="0"/>
    <x v="27"/>
    <x v="1"/>
    <x v="1"/>
    <x v="2"/>
    <x v="594"/>
    <x v="537"/>
    <x v="585"/>
    <x v="203"/>
    <x v="195"/>
    <x v="0"/>
    <x v="2"/>
    <x v="2"/>
    <x v="5"/>
    <x v="5"/>
    <x v="1"/>
    <x v="6"/>
    <x v="2"/>
    <x v="23"/>
    <x v="0"/>
    <x v="193"/>
    <x v="7"/>
    <x v="2"/>
    <x v="180"/>
    <x v="90"/>
    <x v="30"/>
    <x v="27"/>
    <x v="402"/>
    <x v="564"/>
  </r>
  <r>
    <x v="35"/>
    <x v="301"/>
    <x v="0"/>
    <x v="0"/>
    <x v="540"/>
    <x v="31"/>
    <x v="0"/>
    <x v="141"/>
    <x v="172"/>
    <x v="0"/>
    <x v="29"/>
    <x v="2"/>
    <x v="1"/>
    <x v="0"/>
    <x v="371"/>
    <x v="313"/>
    <x v="287"/>
    <x v="798"/>
    <x v="834"/>
    <x v="1"/>
    <x v="2"/>
    <x v="2"/>
    <x v="10"/>
    <x v="10"/>
    <x v="3"/>
    <x v="1"/>
    <x v="0"/>
    <x v="47"/>
    <x v="0"/>
    <x v="38"/>
    <x v="2"/>
    <x v="0"/>
    <x v="244"/>
    <x v="90"/>
    <x v="31"/>
    <x v="29"/>
    <x v="172"/>
    <x v="459"/>
  </r>
  <r>
    <x v="81"/>
    <x v="134"/>
    <x v="3"/>
    <x v="2"/>
    <x v="696"/>
    <x v="1"/>
    <x v="3"/>
    <x v="274"/>
    <x v="274"/>
    <x v="1"/>
    <x v="12"/>
    <x v="2"/>
    <x v="0"/>
    <x v="13"/>
    <x v="29"/>
    <x v="29"/>
    <x v="42"/>
    <x v="613"/>
    <x v="673"/>
    <x v="1"/>
    <x v="1"/>
    <x v="2"/>
    <x v="4"/>
    <x v="4"/>
    <x v="1"/>
    <x v="0"/>
    <x v="4"/>
    <x v="21"/>
    <x v="0"/>
    <x v="205"/>
    <x v="7"/>
    <x v="3"/>
    <x v="576"/>
    <x v="90"/>
    <x v="1"/>
    <x v="12"/>
    <x v="274"/>
    <x v="302"/>
  </r>
  <r>
    <x v="95"/>
    <x v="272"/>
    <x v="3"/>
    <x v="2"/>
    <x v="703"/>
    <x v="9"/>
    <x v="0"/>
    <x v="597"/>
    <x v="639"/>
    <x v="1"/>
    <x v="12"/>
    <x v="1"/>
    <x v="1"/>
    <x v="13"/>
    <x v="350"/>
    <x v="367"/>
    <x v="357"/>
    <x v="660"/>
    <x v="652"/>
    <x v="1"/>
    <x v="1"/>
    <x v="2"/>
    <x v="9"/>
    <x v="9"/>
    <x v="3"/>
    <x v="0"/>
    <x v="4"/>
    <x v="42"/>
    <x v="0"/>
    <x v="67"/>
    <x v="3"/>
    <x v="3"/>
    <x v="730"/>
    <x v="90"/>
    <x v="9"/>
    <x v="12"/>
    <x v="639"/>
    <x v="295"/>
  </r>
  <r>
    <x v="23"/>
    <x v="141"/>
    <x v="0"/>
    <x v="3"/>
    <x v="163"/>
    <x v="1"/>
    <x v="3"/>
    <x v="728"/>
    <x v="725"/>
    <x v="1"/>
    <x v="12"/>
    <x v="2"/>
    <x v="0"/>
    <x v="15"/>
    <x v="85"/>
    <x v="91"/>
    <x v="124"/>
    <x v="555"/>
    <x v="433"/>
    <x v="0"/>
    <x v="1"/>
    <x v="1"/>
    <x v="5"/>
    <x v="5"/>
    <x v="1"/>
    <x v="0"/>
    <x v="4"/>
    <x v="22"/>
    <x v="0"/>
    <x v="198"/>
    <x v="7"/>
    <x v="0"/>
    <x v="808"/>
    <x v="90"/>
    <x v="1"/>
    <x v="12"/>
    <x v="725"/>
    <x v="836"/>
  </r>
  <r>
    <x v="22"/>
    <x v="180"/>
    <x v="0"/>
    <x v="1"/>
    <x v="502"/>
    <x v="1"/>
    <x v="2"/>
    <x v="134"/>
    <x v="138"/>
    <x v="0"/>
    <x v="10"/>
    <x v="2"/>
    <x v="1"/>
    <x v="5"/>
    <x v="13"/>
    <x v="14"/>
    <x v="14"/>
    <x v="645"/>
    <x v="901"/>
    <x v="1"/>
    <x v="1"/>
    <x v="2"/>
    <x v="6"/>
    <x v="6"/>
    <x v="2"/>
    <x v="6"/>
    <x v="2"/>
    <x v="28"/>
    <x v="0"/>
    <x v="159"/>
    <x v="6"/>
    <x v="0"/>
    <x v="462"/>
    <x v="90"/>
    <x v="1"/>
    <x v="10"/>
    <x v="138"/>
    <x v="497"/>
  </r>
  <r>
    <x v="61"/>
    <x v="66"/>
    <x v="0"/>
    <x v="0"/>
    <x v="419"/>
    <x v="23"/>
    <x v="2"/>
    <x v="614"/>
    <x v="645"/>
    <x v="1"/>
    <x v="23"/>
    <x v="0"/>
    <x v="1"/>
    <x v="0"/>
    <x v="661"/>
    <x v="633"/>
    <x v="654"/>
    <x v="221"/>
    <x v="277"/>
    <x v="0"/>
    <x v="2"/>
    <x v="2"/>
    <x v="2"/>
    <x v="2"/>
    <x v="0"/>
    <x v="5"/>
    <x v="1"/>
    <x v="11"/>
    <x v="0"/>
    <x v="273"/>
    <x v="10"/>
    <x v="0"/>
    <x v="152"/>
    <x v="90"/>
    <x v="23"/>
    <x v="23"/>
    <x v="645"/>
    <x v="580"/>
  </r>
  <r>
    <x v="95"/>
    <x v="283"/>
    <x v="1"/>
    <x v="2"/>
    <x v="878"/>
    <x v="16"/>
    <x v="2"/>
    <x v="574"/>
    <x v="574"/>
    <x v="1"/>
    <x v="23"/>
    <x v="0"/>
    <x v="1"/>
    <x v="11"/>
    <x v="482"/>
    <x v="454"/>
    <x v="489"/>
    <x v="284"/>
    <x v="230"/>
    <x v="0"/>
    <x v="2"/>
    <x v="0"/>
    <x v="10"/>
    <x v="10"/>
    <x v="3"/>
    <x v="6"/>
    <x v="2"/>
    <x v="44"/>
    <x v="0"/>
    <x v="56"/>
    <x v="2"/>
    <x v="1"/>
    <x v="737"/>
    <x v="90"/>
    <x v="16"/>
    <x v="23"/>
    <x v="574"/>
    <x v="119"/>
  </r>
  <r>
    <x v="36"/>
    <x v="319"/>
    <x v="1"/>
    <x v="1"/>
    <x v="626"/>
    <x v="31"/>
    <x v="1"/>
    <x v="532"/>
    <x v="575"/>
    <x v="0"/>
    <x v="14"/>
    <x v="1"/>
    <x v="1"/>
    <x v="6"/>
    <x v="712"/>
    <x v="718"/>
    <x v="689"/>
    <x v="735"/>
    <x v="656"/>
    <x v="1"/>
    <x v="1"/>
    <x v="2"/>
    <x v="11"/>
    <x v="11"/>
    <x v="3"/>
    <x v="3"/>
    <x v="6"/>
    <x v="49"/>
    <x v="1"/>
    <x v="20"/>
    <x v="1"/>
    <x v="1"/>
    <x v="520"/>
    <x v="90"/>
    <x v="31"/>
    <x v="14"/>
    <x v="575"/>
    <x v="372"/>
  </r>
  <r>
    <x v="11"/>
    <x v="128"/>
    <x v="1"/>
    <x v="1"/>
    <x v="533"/>
    <x v="15"/>
    <x v="2"/>
    <x v="698"/>
    <x v="718"/>
    <x v="1"/>
    <x v="1"/>
    <x v="1"/>
    <x v="1"/>
    <x v="6"/>
    <x v="535"/>
    <x v="616"/>
    <x v="543"/>
    <x v="848"/>
    <x v="771"/>
    <x v="1"/>
    <x v="0"/>
    <x v="2"/>
    <x v="4"/>
    <x v="4"/>
    <x v="1"/>
    <x v="2"/>
    <x v="5"/>
    <x v="20"/>
    <x v="1"/>
    <x v="211"/>
    <x v="8"/>
    <x v="1"/>
    <x v="436"/>
    <x v="90"/>
    <x v="15"/>
    <x v="1"/>
    <x v="718"/>
    <x v="466"/>
  </r>
  <r>
    <x v="54"/>
    <x v="174"/>
    <x v="4"/>
    <x v="2"/>
    <x v="114"/>
    <x v="15"/>
    <x v="0"/>
    <x v="847"/>
    <x v="859"/>
    <x v="1"/>
    <x v="9"/>
    <x v="0"/>
    <x v="0"/>
    <x v="14"/>
    <x v="604"/>
    <x v="639"/>
    <x v="623"/>
    <x v="452"/>
    <x v="527"/>
    <x v="0"/>
    <x v="0"/>
    <x v="1"/>
    <x v="6"/>
    <x v="6"/>
    <x v="2"/>
    <x v="4"/>
    <x v="3"/>
    <x v="27"/>
    <x v="0"/>
    <x v="165"/>
    <x v="6"/>
    <x v="4"/>
    <x v="594"/>
    <x v="90"/>
    <x v="15"/>
    <x v="9"/>
    <x v="859"/>
    <x v="885"/>
  </r>
  <r>
    <x v="12"/>
    <x v="272"/>
    <x v="3"/>
    <x v="0"/>
    <x v="601"/>
    <x v="45"/>
    <x v="1"/>
    <x v="337"/>
    <x v="289"/>
    <x v="1"/>
    <x v="9"/>
    <x v="2"/>
    <x v="1"/>
    <x v="3"/>
    <x v="639"/>
    <x v="662"/>
    <x v="667"/>
    <x v="308"/>
    <x v="402"/>
    <x v="0"/>
    <x v="0"/>
    <x v="2"/>
    <x v="9"/>
    <x v="9"/>
    <x v="3"/>
    <x v="0"/>
    <x v="4"/>
    <x v="42"/>
    <x v="0"/>
    <x v="67"/>
    <x v="3"/>
    <x v="3"/>
    <x v="225"/>
    <x v="90"/>
    <x v="45"/>
    <x v="9"/>
    <x v="289"/>
    <x v="398"/>
  </r>
  <r>
    <x v="22"/>
    <x v="56"/>
    <x v="3"/>
    <x v="3"/>
    <x v="115"/>
    <x v="38"/>
    <x v="2"/>
    <x v="905"/>
    <x v="898"/>
    <x v="0"/>
    <x v="24"/>
    <x v="1"/>
    <x v="1"/>
    <x v="18"/>
    <x v="938"/>
    <x v="907"/>
    <x v="945"/>
    <x v="28"/>
    <x v="97"/>
    <x v="0"/>
    <x v="2"/>
    <x v="1"/>
    <x v="2"/>
    <x v="2"/>
    <x v="0"/>
    <x v="4"/>
    <x v="3"/>
    <x v="9"/>
    <x v="0"/>
    <x v="283"/>
    <x v="10"/>
    <x v="3"/>
    <x v="906"/>
    <x v="90"/>
    <x v="38"/>
    <x v="24"/>
    <x v="898"/>
    <x v="884"/>
  </r>
  <r>
    <x v="88"/>
    <x v="185"/>
    <x v="2"/>
    <x v="1"/>
    <x v="347"/>
    <x v="30"/>
    <x v="0"/>
    <x v="161"/>
    <x v="147"/>
    <x v="0"/>
    <x v="3"/>
    <x v="1"/>
    <x v="0"/>
    <x v="7"/>
    <x v="321"/>
    <x v="369"/>
    <x v="324"/>
    <x v="824"/>
    <x v="839"/>
    <x v="1"/>
    <x v="0"/>
    <x v="2"/>
    <x v="6"/>
    <x v="6"/>
    <x v="2"/>
    <x v="1"/>
    <x v="0"/>
    <x v="29"/>
    <x v="0"/>
    <x v="154"/>
    <x v="6"/>
    <x v="2"/>
    <x v="333"/>
    <x v="90"/>
    <x v="30"/>
    <x v="3"/>
    <x v="147"/>
    <x v="652"/>
  </r>
  <r>
    <x v="98"/>
    <x v="274"/>
    <x v="1"/>
    <x v="3"/>
    <x v="132"/>
    <x v="42"/>
    <x v="0"/>
    <x v="172"/>
    <x v="204"/>
    <x v="0"/>
    <x v="24"/>
    <x v="1"/>
    <x v="0"/>
    <x v="16"/>
    <x v="502"/>
    <x v="472"/>
    <x v="430"/>
    <x v="791"/>
    <x v="763"/>
    <x v="1"/>
    <x v="2"/>
    <x v="1"/>
    <x v="9"/>
    <x v="9"/>
    <x v="3"/>
    <x v="3"/>
    <x v="6"/>
    <x v="42"/>
    <x v="1"/>
    <x v="65"/>
    <x v="3"/>
    <x v="1"/>
    <x v="858"/>
    <x v="90"/>
    <x v="42"/>
    <x v="24"/>
    <x v="204"/>
    <x v="867"/>
  </r>
  <r>
    <x v="29"/>
    <x v="296"/>
    <x v="4"/>
    <x v="0"/>
    <x v="689"/>
    <x v="23"/>
    <x v="0"/>
    <x v="280"/>
    <x v="243"/>
    <x v="1"/>
    <x v="20"/>
    <x v="2"/>
    <x v="1"/>
    <x v="4"/>
    <x v="368"/>
    <x v="351"/>
    <x v="390"/>
    <x v="354"/>
    <x v="268"/>
    <x v="0"/>
    <x v="2"/>
    <x v="2"/>
    <x v="10"/>
    <x v="10"/>
    <x v="3"/>
    <x v="6"/>
    <x v="2"/>
    <x v="46"/>
    <x v="0"/>
    <x v="43"/>
    <x v="2"/>
    <x v="4"/>
    <x v="239"/>
    <x v="90"/>
    <x v="23"/>
    <x v="20"/>
    <x v="243"/>
    <x v="309"/>
  </r>
  <r>
    <x v="16"/>
    <x v="280"/>
    <x v="4"/>
    <x v="0"/>
    <x v="201"/>
    <x v="0"/>
    <x v="3"/>
    <x v="130"/>
    <x v="91"/>
    <x v="0"/>
    <x v="22"/>
    <x v="0"/>
    <x v="0"/>
    <x v="4"/>
    <x v="4"/>
    <x v="4"/>
    <x v="5"/>
    <x v="595"/>
    <x v="373"/>
    <x v="0"/>
    <x v="2"/>
    <x v="1"/>
    <x v="9"/>
    <x v="9"/>
    <x v="3"/>
    <x v="3"/>
    <x v="6"/>
    <x v="43"/>
    <x v="1"/>
    <x v="59"/>
    <x v="2"/>
    <x v="4"/>
    <x v="99"/>
    <x v="90"/>
    <x v="0"/>
    <x v="22"/>
    <x v="91"/>
    <x v="798"/>
  </r>
  <r>
    <x v="61"/>
    <x v="319"/>
    <x v="3"/>
    <x v="3"/>
    <x v="400"/>
    <x v="10"/>
    <x v="1"/>
    <x v="236"/>
    <x v="207"/>
    <x v="1"/>
    <x v="13"/>
    <x v="1"/>
    <x v="1"/>
    <x v="18"/>
    <x v="156"/>
    <x v="157"/>
    <x v="188"/>
    <x v="534"/>
    <x v="463"/>
    <x v="0"/>
    <x v="1"/>
    <x v="2"/>
    <x v="11"/>
    <x v="11"/>
    <x v="3"/>
    <x v="3"/>
    <x v="6"/>
    <x v="49"/>
    <x v="1"/>
    <x v="20"/>
    <x v="1"/>
    <x v="3"/>
    <x v="990"/>
    <x v="90"/>
    <x v="10"/>
    <x v="13"/>
    <x v="207"/>
    <x v="599"/>
  </r>
  <r>
    <x v="83"/>
    <x v="10"/>
    <x v="1"/>
    <x v="0"/>
    <x v="904"/>
    <x v="20"/>
    <x v="0"/>
    <x v="111"/>
    <x v="64"/>
    <x v="1"/>
    <x v="20"/>
    <x v="0"/>
    <x v="0"/>
    <x v="1"/>
    <x v="150"/>
    <x v="145"/>
    <x v="172"/>
    <x v="498"/>
    <x v="345"/>
    <x v="0"/>
    <x v="2"/>
    <x v="0"/>
    <x v="0"/>
    <x v="0"/>
    <x v="0"/>
    <x v="6"/>
    <x v="2"/>
    <x v="2"/>
    <x v="0"/>
    <x v="329"/>
    <x v="12"/>
    <x v="1"/>
    <x v="6"/>
    <x v="90"/>
    <x v="20"/>
    <x v="20"/>
    <x v="64"/>
    <x v="93"/>
  </r>
  <r>
    <x v="88"/>
    <x v="57"/>
    <x v="2"/>
    <x v="1"/>
    <x v="198"/>
    <x v="3"/>
    <x v="3"/>
    <x v="829"/>
    <x v="814"/>
    <x v="1"/>
    <x v="18"/>
    <x v="0"/>
    <x v="0"/>
    <x v="7"/>
    <x v="183"/>
    <x v="181"/>
    <x v="225"/>
    <x v="432"/>
    <x v="231"/>
    <x v="0"/>
    <x v="1"/>
    <x v="1"/>
    <x v="2"/>
    <x v="2"/>
    <x v="0"/>
    <x v="0"/>
    <x v="4"/>
    <x v="9"/>
    <x v="0"/>
    <x v="282"/>
    <x v="10"/>
    <x v="2"/>
    <x v="288"/>
    <x v="90"/>
    <x v="3"/>
    <x v="18"/>
    <x v="814"/>
    <x v="801"/>
  </r>
  <r>
    <x v="85"/>
    <x v="309"/>
    <x v="1"/>
    <x v="3"/>
    <x v="514"/>
    <x v="6"/>
    <x v="2"/>
    <x v="151"/>
    <x v="187"/>
    <x v="0"/>
    <x v="23"/>
    <x v="2"/>
    <x v="1"/>
    <x v="16"/>
    <x v="94"/>
    <x v="88"/>
    <x v="94"/>
    <x v="710"/>
    <x v="885"/>
    <x v="1"/>
    <x v="2"/>
    <x v="2"/>
    <x v="10"/>
    <x v="10"/>
    <x v="3"/>
    <x v="6"/>
    <x v="2"/>
    <x v="48"/>
    <x v="0"/>
    <x v="30"/>
    <x v="1"/>
    <x v="1"/>
    <x v="988"/>
    <x v="90"/>
    <x v="6"/>
    <x v="23"/>
    <x v="187"/>
    <x v="485"/>
  </r>
  <r>
    <x v="12"/>
    <x v="213"/>
    <x v="0"/>
    <x v="0"/>
    <x v="426"/>
    <x v="25"/>
    <x v="0"/>
    <x v="758"/>
    <x v="780"/>
    <x v="0"/>
    <x v="13"/>
    <x v="2"/>
    <x v="0"/>
    <x v="0"/>
    <x v="757"/>
    <x v="762"/>
    <x v="748"/>
    <x v="377"/>
    <x v="509"/>
    <x v="0"/>
    <x v="1"/>
    <x v="2"/>
    <x v="7"/>
    <x v="7"/>
    <x v="2"/>
    <x v="1"/>
    <x v="0"/>
    <x v="33"/>
    <x v="0"/>
    <x v="126"/>
    <x v="5"/>
    <x v="0"/>
    <x v="81"/>
    <x v="90"/>
    <x v="25"/>
    <x v="13"/>
    <x v="780"/>
    <x v="573"/>
  </r>
  <r>
    <x v="58"/>
    <x v="141"/>
    <x v="1"/>
    <x v="3"/>
    <x v="23"/>
    <x v="46"/>
    <x v="3"/>
    <x v="46"/>
    <x v="65"/>
    <x v="1"/>
    <x v="14"/>
    <x v="2"/>
    <x v="1"/>
    <x v="16"/>
    <x v="320"/>
    <x v="321"/>
    <x v="196"/>
    <x v="979"/>
    <x v="959"/>
    <x v="1"/>
    <x v="1"/>
    <x v="1"/>
    <x v="5"/>
    <x v="5"/>
    <x v="1"/>
    <x v="0"/>
    <x v="4"/>
    <x v="22"/>
    <x v="0"/>
    <x v="198"/>
    <x v="7"/>
    <x v="1"/>
    <x v="927"/>
    <x v="90"/>
    <x v="46"/>
    <x v="14"/>
    <x v="65"/>
    <x v="976"/>
  </r>
  <r>
    <x v="18"/>
    <x v="186"/>
    <x v="0"/>
    <x v="1"/>
    <x v="798"/>
    <x v="11"/>
    <x v="0"/>
    <x v="956"/>
    <x v="984"/>
    <x v="1"/>
    <x v="19"/>
    <x v="2"/>
    <x v="0"/>
    <x v="5"/>
    <x v="543"/>
    <x v="527"/>
    <x v="553"/>
    <x v="286"/>
    <x v="291"/>
    <x v="0"/>
    <x v="1"/>
    <x v="0"/>
    <x v="6"/>
    <x v="6"/>
    <x v="2"/>
    <x v="5"/>
    <x v="1"/>
    <x v="29"/>
    <x v="0"/>
    <x v="153"/>
    <x v="6"/>
    <x v="0"/>
    <x v="334"/>
    <x v="90"/>
    <x v="11"/>
    <x v="19"/>
    <x v="984"/>
    <x v="199"/>
  </r>
  <r>
    <x v="48"/>
    <x v="47"/>
    <x v="0"/>
    <x v="0"/>
    <x v="75"/>
    <x v="30"/>
    <x v="1"/>
    <x v="716"/>
    <x v="693"/>
    <x v="0"/>
    <x v="3"/>
    <x v="2"/>
    <x v="0"/>
    <x v="0"/>
    <x v="783"/>
    <x v="834"/>
    <x v="801"/>
    <x v="692"/>
    <x v="629"/>
    <x v="1"/>
    <x v="0"/>
    <x v="1"/>
    <x v="1"/>
    <x v="1"/>
    <x v="0"/>
    <x v="5"/>
    <x v="1"/>
    <x v="8"/>
    <x v="0"/>
    <x v="292"/>
    <x v="11"/>
    <x v="0"/>
    <x v="22"/>
    <x v="90"/>
    <x v="30"/>
    <x v="3"/>
    <x v="693"/>
    <x v="924"/>
  </r>
  <r>
    <x v="99"/>
    <x v="242"/>
    <x v="2"/>
    <x v="1"/>
    <x v="480"/>
    <x v="16"/>
    <x v="1"/>
    <x v="5"/>
    <x v="44"/>
    <x v="0"/>
    <x v="13"/>
    <x v="2"/>
    <x v="0"/>
    <x v="7"/>
    <x v="100"/>
    <x v="101"/>
    <x v="17"/>
    <x v="886"/>
    <x v="998"/>
    <x v="1"/>
    <x v="1"/>
    <x v="2"/>
    <x v="8"/>
    <x v="8"/>
    <x v="2"/>
    <x v="3"/>
    <x v="6"/>
    <x v="37"/>
    <x v="1"/>
    <x v="97"/>
    <x v="4"/>
    <x v="2"/>
    <x v="356"/>
    <x v="90"/>
    <x v="16"/>
    <x v="13"/>
    <x v="44"/>
    <x v="519"/>
  </r>
  <r>
    <x v="11"/>
    <x v="54"/>
    <x v="3"/>
    <x v="0"/>
    <x v="556"/>
    <x v="32"/>
    <x v="2"/>
    <x v="776"/>
    <x v="741"/>
    <x v="0"/>
    <x v="29"/>
    <x v="1"/>
    <x v="1"/>
    <x v="3"/>
    <x v="828"/>
    <x v="751"/>
    <x v="846"/>
    <x v="33"/>
    <x v="5"/>
    <x v="0"/>
    <x v="2"/>
    <x v="2"/>
    <x v="1"/>
    <x v="1"/>
    <x v="0"/>
    <x v="5"/>
    <x v="1"/>
    <x v="9"/>
    <x v="0"/>
    <x v="285"/>
    <x v="10"/>
    <x v="3"/>
    <x v="144"/>
    <x v="90"/>
    <x v="32"/>
    <x v="29"/>
    <x v="741"/>
    <x v="443"/>
  </r>
  <r>
    <x v="60"/>
    <x v="65"/>
    <x v="1"/>
    <x v="2"/>
    <x v="623"/>
    <x v="10"/>
    <x v="0"/>
    <x v="534"/>
    <x v="518"/>
    <x v="1"/>
    <x v="1"/>
    <x v="0"/>
    <x v="1"/>
    <x v="11"/>
    <x v="314"/>
    <x v="370"/>
    <x v="345"/>
    <x v="736"/>
    <x v="730"/>
    <x v="1"/>
    <x v="0"/>
    <x v="2"/>
    <x v="2"/>
    <x v="2"/>
    <x v="0"/>
    <x v="1"/>
    <x v="0"/>
    <x v="11"/>
    <x v="0"/>
    <x v="274"/>
    <x v="10"/>
    <x v="1"/>
    <x v="661"/>
    <x v="90"/>
    <x v="10"/>
    <x v="1"/>
    <x v="518"/>
    <x v="375"/>
  </r>
  <r>
    <x v="18"/>
    <x v="136"/>
    <x v="0"/>
    <x v="0"/>
    <x v="687"/>
    <x v="27"/>
    <x v="3"/>
    <x v="786"/>
    <x v="792"/>
    <x v="0"/>
    <x v="9"/>
    <x v="2"/>
    <x v="0"/>
    <x v="0"/>
    <x v="788"/>
    <x v="822"/>
    <x v="798"/>
    <x v="445"/>
    <x v="557"/>
    <x v="0"/>
    <x v="0"/>
    <x v="2"/>
    <x v="4"/>
    <x v="4"/>
    <x v="1"/>
    <x v="3"/>
    <x v="6"/>
    <x v="21"/>
    <x v="1"/>
    <x v="203"/>
    <x v="7"/>
    <x v="0"/>
    <x v="57"/>
    <x v="90"/>
    <x v="27"/>
    <x v="9"/>
    <x v="792"/>
    <x v="311"/>
  </r>
  <r>
    <x v="75"/>
    <x v="324"/>
    <x v="1"/>
    <x v="3"/>
    <x v="260"/>
    <x v="31"/>
    <x v="2"/>
    <x v="548"/>
    <x v="500"/>
    <x v="0"/>
    <x v="9"/>
    <x v="1"/>
    <x v="1"/>
    <x v="16"/>
    <x v="680"/>
    <x v="697"/>
    <x v="696"/>
    <x v="309"/>
    <x v="420"/>
    <x v="0"/>
    <x v="0"/>
    <x v="2"/>
    <x v="11"/>
    <x v="11"/>
    <x v="3"/>
    <x v="0"/>
    <x v="4"/>
    <x v="50"/>
    <x v="0"/>
    <x v="15"/>
    <x v="1"/>
    <x v="1"/>
    <x v="991"/>
    <x v="90"/>
    <x v="31"/>
    <x v="9"/>
    <x v="500"/>
    <x v="739"/>
  </r>
  <r>
    <x v="8"/>
    <x v="58"/>
    <x v="3"/>
    <x v="0"/>
    <x v="12"/>
    <x v="0"/>
    <x v="0"/>
    <x v="655"/>
    <x v="671"/>
    <x v="0"/>
    <x v="19"/>
    <x v="0"/>
    <x v="1"/>
    <x v="3"/>
    <x v="33"/>
    <x v="31"/>
    <x v="54"/>
    <x v="568"/>
    <x v="349"/>
    <x v="0"/>
    <x v="1"/>
    <x v="1"/>
    <x v="2"/>
    <x v="2"/>
    <x v="0"/>
    <x v="2"/>
    <x v="5"/>
    <x v="9"/>
    <x v="1"/>
    <x v="281"/>
    <x v="10"/>
    <x v="3"/>
    <x v="149"/>
    <x v="90"/>
    <x v="0"/>
    <x v="19"/>
    <x v="671"/>
    <x v="987"/>
  </r>
  <r>
    <x v="70"/>
    <x v="287"/>
    <x v="3"/>
    <x v="1"/>
    <x v="726"/>
    <x v="46"/>
    <x v="2"/>
    <x v="790"/>
    <x v="781"/>
    <x v="1"/>
    <x v="3"/>
    <x v="2"/>
    <x v="1"/>
    <x v="8"/>
    <x v="957"/>
    <x v="984"/>
    <x v="958"/>
    <x v="811"/>
    <x v="655"/>
    <x v="1"/>
    <x v="0"/>
    <x v="2"/>
    <x v="10"/>
    <x v="10"/>
    <x v="3"/>
    <x v="1"/>
    <x v="0"/>
    <x v="45"/>
    <x v="0"/>
    <x v="52"/>
    <x v="2"/>
    <x v="3"/>
    <x v="506"/>
    <x v="90"/>
    <x v="46"/>
    <x v="3"/>
    <x v="781"/>
    <x v="272"/>
  </r>
  <r>
    <x v="27"/>
    <x v="228"/>
    <x v="4"/>
    <x v="1"/>
    <x v="535"/>
    <x v="27"/>
    <x v="3"/>
    <x v="409"/>
    <x v="436"/>
    <x v="0"/>
    <x v="19"/>
    <x v="2"/>
    <x v="0"/>
    <x v="9"/>
    <x v="584"/>
    <x v="572"/>
    <x v="558"/>
    <x v="465"/>
    <x v="521"/>
    <x v="0"/>
    <x v="1"/>
    <x v="2"/>
    <x v="7"/>
    <x v="7"/>
    <x v="2"/>
    <x v="4"/>
    <x v="3"/>
    <x v="35"/>
    <x v="0"/>
    <x v="111"/>
    <x v="4"/>
    <x v="4"/>
    <x v="352"/>
    <x v="90"/>
    <x v="27"/>
    <x v="19"/>
    <x v="436"/>
    <x v="464"/>
  </r>
  <r>
    <x v="77"/>
    <x v="339"/>
    <x v="3"/>
    <x v="0"/>
    <x v="841"/>
    <x v="41"/>
    <x v="2"/>
    <x v="2"/>
    <x v="11"/>
    <x v="1"/>
    <x v="3"/>
    <x v="1"/>
    <x v="1"/>
    <x v="3"/>
    <x v="145"/>
    <x v="164"/>
    <x v="41"/>
    <x v="954"/>
    <x v="995"/>
    <x v="1"/>
    <x v="0"/>
    <x v="0"/>
    <x v="12"/>
    <x v="12"/>
    <x v="4"/>
    <x v="1"/>
    <x v="0"/>
    <x v="0"/>
    <x v="0"/>
    <x v="0"/>
    <x v="0"/>
    <x v="3"/>
    <x v="262"/>
    <x v="90"/>
    <x v="41"/>
    <x v="3"/>
    <x v="11"/>
    <x v="156"/>
  </r>
  <r>
    <x v="94"/>
    <x v="306"/>
    <x v="2"/>
    <x v="3"/>
    <x v="828"/>
    <x v="6"/>
    <x v="2"/>
    <x v="860"/>
    <x v="831"/>
    <x v="1"/>
    <x v="3"/>
    <x v="0"/>
    <x v="0"/>
    <x v="17"/>
    <x v="315"/>
    <x v="364"/>
    <x v="363"/>
    <x v="580"/>
    <x v="587"/>
    <x v="0"/>
    <x v="0"/>
    <x v="0"/>
    <x v="10"/>
    <x v="10"/>
    <x v="3"/>
    <x v="3"/>
    <x v="6"/>
    <x v="47"/>
    <x v="1"/>
    <x v="33"/>
    <x v="1"/>
    <x v="2"/>
    <x v="864"/>
    <x v="90"/>
    <x v="6"/>
    <x v="3"/>
    <x v="831"/>
    <x v="169"/>
  </r>
  <r>
    <x v="51"/>
    <x v="98"/>
    <x v="0"/>
    <x v="2"/>
    <x v="851"/>
    <x v="1"/>
    <x v="2"/>
    <x v="382"/>
    <x v="411"/>
    <x v="1"/>
    <x v="22"/>
    <x v="2"/>
    <x v="0"/>
    <x v="10"/>
    <x v="48"/>
    <x v="48"/>
    <x v="74"/>
    <x v="573"/>
    <x v="417"/>
    <x v="0"/>
    <x v="2"/>
    <x v="0"/>
    <x v="3"/>
    <x v="3"/>
    <x v="1"/>
    <x v="1"/>
    <x v="0"/>
    <x v="16"/>
    <x v="0"/>
    <x v="241"/>
    <x v="9"/>
    <x v="0"/>
    <x v="561"/>
    <x v="90"/>
    <x v="1"/>
    <x v="22"/>
    <x v="411"/>
    <x v="146"/>
  </r>
  <r>
    <x v="82"/>
    <x v="213"/>
    <x v="4"/>
    <x v="3"/>
    <x v="489"/>
    <x v="41"/>
    <x v="0"/>
    <x v="506"/>
    <x v="488"/>
    <x v="0"/>
    <x v="10"/>
    <x v="0"/>
    <x v="0"/>
    <x v="19"/>
    <x v="769"/>
    <x v="790"/>
    <x v="779"/>
    <x v="321"/>
    <x v="470"/>
    <x v="0"/>
    <x v="1"/>
    <x v="2"/>
    <x v="7"/>
    <x v="7"/>
    <x v="2"/>
    <x v="1"/>
    <x v="0"/>
    <x v="33"/>
    <x v="0"/>
    <x v="126"/>
    <x v="5"/>
    <x v="4"/>
    <x v="832"/>
    <x v="90"/>
    <x v="41"/>
    <x v="10"/>
    <x v="488"/>
    <x v="510"/>
  </r>
  <r>
    <x v="15"/>
    <x v="290"/>
    <x v="2"/>
    <x v="2"/>
    <x v="343"/>
    <x v="23"/>
    <x v="3"/>
    <x v="10"/>
    <x v="14"/>
    <x v="0"/>
    <x v="29"/>
    <x v="1"/>
    <x v="0"/>
    <x v="12"/>
    <x v="89"/>
    <x v="78"/>
    <x v="31"/>
    <x v="815"/>
    <x v="980"/>
    <x v="1"/>
    <x v="2"/>
    <x v="2"/>
    <x v="10"/>
    <x v="10"/>
    <x v="3"/>
    <x v="4"/>
    <x v="3"/>
    <x v="45"/>
    <x v="0"/>
    <x v="49"/>
    <x v="2"/>
    <x v="2"/>
    <x v="628"/>
    <x v="90"/>
    <x v="23"/>
    <x v="29"/>
    <x v="14"/>
    <x v="656"/>
  </r>
  <r>
    <x v="68"/>
    <x v="205"/>
    <x v="1"/>
    <x v="1"/>
    <x v="796"/>
    <x v="3"/>
    <x v="1"/>
    <x v="502"/>
    <x v="462"/>
    <x v="0"/>
    <x v="1"/>
    <x v="2"/>
    <x v="0"/>
    <x v="6"/>
    <x v="113"/>
    <x v="133"/>
    <x v="150"/>
    <x v="615"/>
    <x v="630"/>
    <x v="1"/>
    <x v="0"/>
    <x v="0"/>
    <x v="7"/>
    <x v="7"/>
    <x v="2"/>
    <x v="3"/>
    <x v="6"/>
    <x v="31"/>
    <x v="1"/>
    <x v="134"/>
    <x v="5"/>
    <x v="1"/>
    <x v="342"/>
    <x v="90"/>
    <x v="3"/>
    <x v="1"/>
    <x v="462"/>
    <x v="202"/>
  </r>
  <r>
    <x v="98"/>
    <x v="226"/>
    <x v="0"/>
    <x v="3"/>
    <x v="456"/>
    <x v="43"/>
    <x v="0"/>
    <x v="986"/>
    <x v="992"/>
    <x v="1"/>
    <x v="13"/>
    <x v="0"/>
    <x v="1"/>
    <x v="15"/>
    <x v="992"/>
    <x v="993"/>
    <x v="992"/>
    <x v="113"/>
    <x v="406"/>
    <x v="0"/>
    <x v="1"/>
    <x v="2"/>
    <x v="7"/>
    <x v="7"/>
    <x v="2"/>
    <x v="5"/>
    <x v="1"/>
    <x v="35"/>
    <x v="0"/>
    <x v="113"/>
    <x v="4"/>
    <x v="0"/>
    <x v="953"/>
    <x v="90"/>
    <x v="43"/>
    <x v="13"/>
    <x v="992"/>
    <x v="543"/>
  </r>
  <r>
    <x v="11"/>
    <x v="241"/>
    <x v="3"/>
    <x v="2"/>
    <x v="173"/>
    <x v="18"/>
    <x v="1"/>
    <x v="291"/>
    <x v="311"/>
    <x v="0"/>
    <x v="3"/>
    <x v="1"/>
    <x v="1"/>
    <x v="13"/>
    <x v="347"/>
    <x v="391"/>
    <x v="332"/>
    <x v="869"/>
    <x v="869"/>
    <x v="1"/>
    <x v="0"/>
    <x v="1"/>
    <x v="8"/>
    <x v="8"/>
    <x v="2"/>
    <x v="2"/>
    <x v="5"/>
    <x v="37"/>
    <x v="1"/>
    <x v="98"/>
    <x v="4"/>
    <x v="3"/>
    <x v="718"/>
    <x v="90"/>
    <x v="18"/>
    <x v="3"/>
    <x v="311"/>
    <x v="826"/>
  </r>
  <r>
    <x v="24"/>
    <x v="244"/>
    <x v="0"/>
    <x v="0"/>
    <x v="862"/>
    <x v="25"/>
    <x v="1"/>
    <x v="395"/>
    <x v="391"/>
    <x v="1"/>
    <x v="11"/>
    <x v="1"/>
    <x v="0"/>
    <x v="0"/>
    <x v="513"/>
    <x v="536"/>
    <x v="522"/>
    <x v="499"/>
    <x v="549"/>
    <x v="0"/>
    <x v="1"/>
    <x v="0"/>
    <x v="8"/>
    <x v="8"/>
    <x v="2"/>
    <x v="5"/>
    <x v="1"/>
    <x v="38"/>
    <x v="0"/>
    <x v="95"/>
    <x v="4"/>
    <x v="0"/>
    <x v="90"/>
    <x v="90"/>
    <x v="25"/>
    <x v="11"/>
    <x v="391"/>
    <x v="135"/>
  </r>
  <r>
    <x v="51"/>
    <x v="4"/>
    <x v="1"/>
    <x v="1"/>
    <x v="890"/>
    <x v="10"/>
    <x v="0"/>
    <x v="693"/>
    <x v="743"/>
    <x v="0"/>
    <x v="30"/>
    <x v="2"/>
    <x v="1"/>
    <x v="6"/>
    <x v="430"/>
    <x v="371"/>
    <x v="424"/>
    <x v="262"/>
    <x v="99"/>
    <x v="0"/>
    <x v="2"/>
    <x v="0"/>
    <x v="0"/>
    <x v="0"/>
    <x v="0"/>
    <x v="4"/>
    <x v="3"/>
    <x v="1"/>
    <x v="0"/>
    <x v="335"/>
    <x v="12"/>
    <x v="1"/>
    <x v="394"/>
    <x v="90"/>
    <x v="10"/>
    <x v="30"/>
    <x v="743"/>
    <x v="107"/>
  </r>
  <r>
    <x v="84"/>
    <x v="243"/>
    <x v="4"/>
    <x v="0"/>
    <x v="473"/>
    <x v="39"/>
    <x v="0"/>
    <x v="818"/>
    <x v="870"/>
    <x v="0"/>
    <x v="27"/>
    <x v="0"/>
    <x v="1"/>
    <x v="4"/>
    <x v="936"/>
    <x v="890"/>
    <x v="923"/>
    <x v="43"/>
    <x v="131"/>
    <x v="0"/>
    <x v="2"/>
    <x v="2"/>
    <x v="8"/>
    <x v="8"/>
    <x v="2"/>
    <x v="1"/>
    <x v="0"/>
    <x v="38"/>
    <x v="0"/>
    <x v="96"/>
    <x v="4"/>
    <x v="4"/>
    <x v="214"/>
    <x v="90"/>
    <x v="39"/>
    <x v="27"/>
    <x v="870"/>
    <x v="526"/>
  </r>
  <r>
    <x v="99"/>
    <x v="49"/>
    <x v="4"/>
    <x v="1"/>
    <x v="83"/>
    <x v="42"/>
    <x v="3"/>
    <x v="418"/>
    <x v="442"/>
    <x v="0"/>
    <x v="1"/>
    <x v="2"/>
    <x v="1"/>
    <x v="9"/>
    <x v="752"/>
    <x v="818"/>
    <x v="719"/>
    <x v="987"/>
    <x v="845"/>
    <x v="1"/>
    <x v="0"/>
    <x v="1"/>
    <x v="1"/>
    <x v="1"/>
    <x v="0"/>
    <x v="4"/>
    <x v="3"/>
    <x v="8"/>
    <x v="0"/>
    <x v="290"/>
    <x v="11"/>
    <x v="4"/>
    <x v="411"/>
    <x v="90"/>
    <x v="42"/>
    <x v="1"/>
    <x v="442"/>
    <x v="916"/>
  </r>
  <r>
    <x v="52"/>
    <x v="43"/>
    <x v="4"/>
    <x v="3"/>
    <x v="395"/>
    <x v="10"/>
    <x v="3"/>
    <x v="324"/>
    <x v="342"/>
    <x v="0"/>
    <x v="17"/>
    <x v="2"/>
    <x v="1"/>
    <x v="19"/>
    <x v="231"/>
    <x v="222"/>
    <x v="237"/>
    <x v="642"/>
    <x v="653"/>
    <x v="1"/>
    <x v="1"/>
    <x v="2"/>
    <x v="1"/>
    <x v="1"/>
    <x v="0"/>
    <x v="4"/>
    <x v="3"/>
    <x v="7"/>
    <x v="0"/>
    <x v="296"/>
    <x v="11"/>
    <x v="4"/>
    <x v="897"/>
    <x v="90"/>
    <x v="10"/>
    <x v="17"/>
    <x v="342"/>
    <x v="604"/>
  </r>
  <r>
    <x v="22"/>
    <x v="202"/>
    <x v="3"/>
    <x v="3"/>
    <x v="809"/>
    <x v="44"/>
    <x v="2"/>
    <x v="945"/>
    <x v="930"/>
    <x v="1"/>
    <x v="19"/>
    <x v="0"/>
    <x v="1"/>
    <x v="18"/>
    <x v="982"/>
    <x v="971"/>
    <x v="986"/>
    <x v="31"/>
    <x v="192"/>
    <x v="0"/>
    <x v="1"/>
    <x v="0"/>
    <x v="7"/>
    <x v="7"/>
    <x v="2"/>
    <x v="4"/>
    <x v="3"/>
    <x v="31"/>
    <x v="0"/>
    <x v="137"/>
    <x v="5"/>
    <x v="3"/>
    <x v="945"/>
    <x v="90"/>
    <x v="44"/>
    <x v="19"/>
    <x v="930"/>
    <x v="188"/>
  </r>
  <r>
    <x v="15"/>
    <x v="164"/>
    <x v="2"/>
    <x v="1"/>
    <x v="909"/>
    <x v="2"/>
    <x v="1"/>
    <x v="681"/>
    <x v="701"/>
    <x v="1"/>
    <x v="6"/>
    <x v="0"/>
    <x v="1"/>
    <x v="7"/>
    <x v="125"/>
    <x v="142"/>
    <x v="153"/>
    <x v="641"/>
    <x v="678"/>
    <x v="1"/>
    <x v="0"/>
    <x v="0"/>
    <x v="5"/>
    <x v="5"/>
    <x v="1"/>
    <x v="1"/>
    <x v="0"/>
    <x v="26"/>
    <x v="0"/>
    <x v="175"/>
    <x v="6"/>
    <x v="2"/>
    <x v="454"/>
    <x v="60"/>
    <x v="2"/>
    <x v="6"/>
    <x v="701"/>
    <x v="88"/>
  </r>
  <r>
    <x v="56"/>
    <x v="8"/>
    <x v="2"/>
    <x v="1"/>
    <x v="197"/>
    <x v="11"/>
    <x v="3"/>
    <x v="128"/>
    <x v="90"/>
    <x v="1"/>
    <x v="4"/>
    <x v="0"/>
    <x v="1"/>
    <x v="7"/>
    <x v="98"/>
    <x v="115"/>
    <x v="131"/>
    <x v="689"/>
    <x v="818"/>
    <x v="1"/>
    <x v="0"/>
    <x v="1"/>
    <x v="0"/>
    <x v="0"/>
    <x v="0"/>
    <x v="1"/>
    <x v="0"/>
    <x v="2"/>
    <x v="0"/>
    <x v="331"/>
    <x v="12"/>
    <x v="2"/>
    <x v="395"/>
    <x v="90"/>
    <x v="11"/>
    <x v="4"/>
    <x v="90"/>
    <x v="802"/>
  </r>
  <r>
    <x v="38"/>
    <x v="91"/>
    <x v="0"/>
    <x v="1"/>
    <x v="67"/>
    <x v="2"/>
    <x v="2"/>
    <x v="70"/>
    <x v="32"/>
    <x v="1"/>
    <x v="27"/>
    <x v="1"/>
    <x v="0"/>
    <x v="5"/>
    <x v="7"/>
    <x v="7"/>
    <x v="10"/>
    <x v="586"/>
    <x v="297"/>
    <x v="0"/>
    <x v="2"/>
    <x v="1"/>
    <x v="3"/>
    <x v="3"/>
    <x v="1"/>
    <x v="3"/>
    <x v="6"/>
    <x v="14"/>
    <x v="1"/>
    <x v="248"/>
    <x v="9"/>
    <x v="0"/>
    <x v="297"/>
    <x v="90"/>
    <x v="2"/>
    <x v="27"/>
    <x v="32"/>
    <x v="932"/>
  </r>
  <r>
    <x v="52"/>
    <x v="19"/>
    <x v="3"/>
    <x v="3"/>
    <x v="884"/>
    <x v="41"/>
    <x v="3"/>
    <x v="492"/>
    <x v="549"/>
    <x v="0"/>
    <x v="29"/>
    <x v="1"/>
    <x v="0"/>
    <x v="18"/>
    <x v="811"/>
    <x v="734"/>
    <x v="769"/>
    <x v="128"/>
    <x v="240"/>
    <x v="0"/>
    <x v="2"/>
    <x v="0"/>
    <x v="0"/>
    <x v="0"/>
    <x v="0"/>
    <x v="0"/>
    <x v="4"/>
    <x v="3"/>
    <x v="0"/>
    <x v="320"/>
    <x v="12"/>
    <x v="3"/>
    <x v="760"/>
    <x v="90"/>
    <x v="41"/>
    <x v="29"/>
    <x v="549"/>
    <x v="113"/>
  </r>
  <r>
    <x v="41"/>
    <x v="226"/>
    <x v="4"/>
    <x v="2"/>
    <x v="398"/>
    <x v="26"/>
    <x v="0"/>
    <x v="224"/>
    <x v="237"/>
    <x v="1"/>
    <x v="30"/>
    <x v="0"/>
    <x v="0"/>
    <x v="14"/>
    <x v="398"/>
    <x v="333"/>
    <x v="376"/>
    <x v="400"/>
    <x v="329"/>
    <x v="0"/>
    <x v="2"/>
    <x v="2"/>
    <x v="7"/>
    <x v="7"/>
    <x v="2"/>
    <x v="5"/>
    <x v="1"/>
    <x v="35"/>
    <x v="0"/>
    <x v="113"/>
    <x v="4"/>
    <x v="4"/>
    <x v="607"/>
    <x v="90"/>
    <x v="26"/>
    <x v="30"/>
    <x v="237"/>
    <x v="601"/>
  </r>
  <r>
    <x v="57"/>
    <x v="56"/>
    <x v="4"/>
    <x v="0"/>
    <x v="541"/>
    <x v="48"/>
    <x v="3"/>
    <x v="261"/>
    <x v="256"/>
    <x v="1"/>
    <x v="24"/>
    <x v="1"/>
    <x v="1"/>
    <x v="4"/>
    <x v="623"/>
    <x v="585"/>
    <x v="607"/>
    <x v="278"/>
    <x v="313"/>
    <x v="0"/>
    <x v="2"/>
    <x v="2"/>
    <x v="2"/>
    <x v="2"/>
    <x v="0"/>
    <x v="4"/>
    <x v="3"/>
    <x v="9"/>
    <x v="0"/>
    <x v="283"/>
    <x v="10"/>
    <x v="4"/>
    <x v="147"/>
    <x v="90"/>
    <x v="48"/>
    <x v="24"/>
    <x v="256"/>
    <x v="458"/>
  </r>
  <r>
    <x v="38"/>
    <x v="165"/>
    <x v="1"/>
    <x v="0"/>
    <x v="967"/>
    <x v="1"/>
    <x v="1"/>
    <x v="898"/>
    <x v="875"/>
    <x v="1"/>
    <x v="20"/>
    <x v="2"/>
    <x v="1"/>
    <x v="1"/>
    <x v="102"/>
    <x v="97"/>
    <x v="141"/>
    <x v="484"/>
    <x v="174"/>
    <x v="0"/>
    <x v="2"/>
    <x v="0"/>
    <x v="5"/>
    <x v="5"/>
    <x v="1"/>
    <x v="5"/>
    <x v="1"/>
    <x v="26"/>
    <x v="0"/>
    <x v="174"/>
    <x v="6"/>
    <x v="1"/>
    <x v="186"/>
    <x v="61"/>
    <x v="1"/>
    <x v="20"/>
    <x v="875"/>
    <x v="30"/>
  </r>
  <r>
    <x v="13"/>
    <x v="314"/>
    <x v="1"/>
    <x v="3"/>
    <x v="66"/>
    <x v="48"/>
    <x v="3"/>
    <x v="91"/>
    <x v="100"/>
    <x v="0"/>
    <x v="10"/>
    <x v="0"/>
    <x v="0"/>
    <x v="16"/>
    <x v="395"/>
    <x v="418"/>
    <x v="309"/>
    <x v="960"/>
    <x v="933"/>
    <x v="1"/>
    <x v="1"/>
    <x v="1"/>
    <x v="11"/>
    <x v="11"/>
    <x v="3"/>
    <x v="1"/>
    <x v="0"/>
    <x v="49"/>
    <x v="0"/>
    <x v="25"/>
    <x v="1"/>
    <x v="1"/>
    <x v="868"/>
    <x v="90"/>
    <x v="48"/>
    <x v="10"/>
    <x v="100"/>
    <x v="933"/>
  </r>
  <r>
    <x v="94"/>
    <x v="57"/>
    <x v="4"/>
    <x v="0"/>
    <x v="639"/>
    <x v="15"/>
    <x v="1"/>
    <x v="722"/>
    <x v="680"/>
    <x v="1"/>
    <x v="5"/>
    <x v="2"/>
    <x v="1"/>
    <x v="4"/>
    <x v="516"/>
    <x v="570"/>
    <x v="557"/>
    <x v="439"/>
    <x v="503"/>
    <x v="0"/>
    <x v="0"/>
    <x v="2"/>
    <x v="2"/>
    <x v="2"/>
    <x v="0"/>
    <x v="0"/>
    <x v="4"/>
    <x v="9"/>
    <x v="0"/>
    <x v="282"/>
    <x v="10"/>
    <x v="4"/>
    <x v="148"/>
    <x v="90"/>
    <x v="15"/>
    <x v="5"/>
    <x v="680"/>
    <x v="359"/>
  </r>
  <r>
    <x v="4"/>
    <x v="133"/>
    <x v="4"/>
    <x v="1"/>
    <x v="80"/>
    <x v="1"/>
    <x v="0"/>
    <x v="283"/>
    <x v="236"/>
    <x v="1"/>
    <x v="2"/>
    <x v="0"/>
    <x v="1"/>
    <x v="9"/>
    <x v="26"/>
    <x v="30"/>
    <x v="47"/>
    <x v="611"/>
    <x v="658"/>
    <x v="1"/>
    <x v="0"/>
    <x v="1"/>
    <x v="4"/>
    <x v="4"/>
    <x v="1"/>
    <x v="4"/>
    <x v="3"/>
    <x v="21"/>
    <x v="0"/>
    <x v="206"/>
    <x v="7"/>
    <x v="4"/>
    <x v="439"/>
    <x v="90"/>
    <x v="1"/>
    <x v="2"/>
    <x v="236"/>
    <x v="919"/>
  </r>
  <r>
    <x v="34"/>
    <x v="203"/>
    <x v="3"/>
    <x v="2"/>
    <x v="389"/>
    <x v="29"/>
    <x v="1"/>
    <x v="774"/>
    <x v="728"/>
    <x v="0"/>
    <x v="21"/>
    <x v="2"/>
    <x v="0"/>
    <x v="13"/>
    <x v="784"/>
    <x v="748"/>
    <x v="813"/>
    <x v="70"/>
    <x v="96"/>
    <x v="0"/>
    <x v="2"/>
    <x v="2"/>
    <x v="7"/>
    <x v="7"/>
    <x v="2"/>
    <x v="0"/>
    <x v="4"/>
    <x v="31"/>
    <x v="0"/>
    <x v="136"/>
    <x v="5"/>
    <x v="3"/>
    <x v="603"/>
    <x v="90"/>
    <x v="29"/>
    <x v="21"/>
    <x v="728"/>
    <x v="610"/>
  </r>
  <r>
    <x v="86"/>
    <x v="2"/>
    <x v="2"/>
    <x v="0"/>
    <x v="811"/>
    <x v="19"/>
    <x v="3"/>
    <x v="734"/>
    <x v="734"/>
    <x v="0"/>
    <x v="24"/>
    <x v="0"/>
    <x v="0"/>
    <x v="2"/>
    <x v="643"/>
    <x v="603"/>
    <x v="655"/>
    <x v="137"/>
    <x v="141"/>
    <x v="0"/>
    <x v="2"/>
    <x v="0"/>
    <x v="0"/>
    <x v="0"/>
    <x v="0"/>
    <x v="5"/>
    <x v="1"/>
    <x v="1"/>
    <x v="0"/>
    <x v="337"/>
    <x v="12"/>
    <x v="2"/>
    <x v="0"/>
    <x v="90"/>
    <x v="19"/>
    <x v="24"/>
    <x v="734"/>
    <x v="186"/>
  </r>
  <r>
    <x v="92"/>
    <x v="148"/>
    <x v="1"/>
    <x v="2"/>
    <x v="441"/>
    <x v="37"/>
    <x v="2"/>
    <x v="9"/>
    <x v="21"/>
    <x v="1"/>
    <x v="25"/>
    <x v="2"/>
    <x v="0"/>
    <x v="11"/>
    <x v="163"/>
    <x v="147"/>
    <x v="55"/>
    <x v="918"/>
    <x v="989"/>
    <x v="1"/>
    <x v="2"/>
    <x v="2"/>
    <x v="5"/>
    <x v="5"/>
    <x v="1"/>
    <x v="0"/>
    <x v="4"/>
    <x v="23"/>
    <x v="0"/>
    <x v="191"/>
    <x v="7"/>
    <x v="1"/>
    <x v="586"/>
    <x v="90"/>
    <x v="37"/>
    <x v="25"/>
    <x v="21"/>
    <x v="558"/>
  </r>
  <r>
    <x v="74"/>
    <x v="214"/>
    <x v="2"/>
    <x v="1"/>
    <x v="994"/>
    <x v="27"/>
    <x v="0"/>
    <x v="523"/>
    <x v="479"/>
    <x v="1"/>
    <x v="27"/>
    <x v="0"/>
    <x v="1"/>
    <x v="7"/>
    <x v="614"/>
    <x v="555"/>
    <x v="650"/>
    <x v="98"/>
    <x v="17"/>
    <x v="0"/>
    <x v="2"/>
    <x v="0"/>
    <x v="7"/>
    <x v="7"/>
    <x v="2"/>
    <x v="5"/>
    <x v="1"/>
    <x v="33"/>
    <x v="0"/>
    <x v="125"/>
    <x v="5"/>
    <x v="2"/>
    <x v="473"/>
    <x v="62"/>
    <x v="27"/>
    <x v="27"/>
    <x v="479"/>
    <x v="3"/>
  </r>
  <r>
    <x v="17"/>
    <x v="251"/>
    <x v="3"/>
    <x v="0"/>
    <x v="555"/>
    <x v="24"/>
    <x v="3"/>
    <x v="153"/>
    <x v="167"/>
    <x v="0"/>
    <x v="26"/>
    <x v="0"/>
    <x v="1"/>
    <x v="3"/>
    <x v="288"/>
    <x v="259"/>
    <x v="248"/>
    <x v="756"/>
    <x v="801"/>
    <x v="1"/>
    <x v="2"/>
    <x v="2"/>
    <x v="8"/>
    <x v="8"/>
    <x v="2"/>
    <x v="5"/>
    <x v="1"/>
    <x v="39"/>
    <x v="0"/>
    <x v="88"/>
    <x v="3"/>
    <x v="3"/>
    <x v="217"/>
    <x v="90"/>
    <x v="24"/>
    <x v="26"/>
    <x v="167"/>
    <x v="444"/>
  </r>
  <r>
    <x v="75"/>
    <x v="111"/>
    <x v="4"/>
    <x v="3"/>
    <x v="330"/>
    <x v="31"/>
    <x v="0"/>
    <x v="884"/>
    <x v="858"/>
    <x v="1"/>
    <x v="30"/>
    <x v="1"/>
    <x v="1"/>
    <x v="19"/>
    <x v="862"/>
    <x v="793"/>
    <x v="875"/>
    <x v="16"/>
    <x v="3"/>
    <x v="0"/>
    <x v="2"/>
    <x v="2"/>
    <x v="3"/>
    <x v="3"/>
    <x v="1"/>
    <x v="3"/>
    <x v="6"/>
    <x v="17"/>
    <x v="1"/>
    <x v="228"/>
    <x v="8"/>
    <x v="4"/>
    <x v="918"/>
    <x v="90"/>
    <x v="31"/>
    <x v="30"/>
    <x v="858"/>
    <x v="669"/>
  </r>
  <r>
    <x v="8"/>
    <x v="82"/>
    <x v="2"/>
    <x v="2"/>
    <x v="219"/>
    <x v="9"/>
    <x v="0"/>
    <x v="892"/>
    <x v="905"/>
    <x v="0"/>
    <x v="7"/>
    <x v="2"/>
    <x v="0"/>
    <x v="12"/>
    <x v="455"/>
    <x v="487"/>
    <x v="465"/>
    <x v="626"/>
    <x v="611"/>
    <x v="1"/>
    <x v="0"/>
    <x v="1"/>
    <x v="2"/>
    <x v="2"/>
    <x v="0"/>
    <x v="4"/>
    <x v="3"/>
    <x v="13"/>
    <x v="0"/>
    <x v="257"/>
    <x v="9"/>
    <x v="2"/>
    <x v="555"/>
    <x v="90"/>
    <x v="9"/>
    <x v="7"/>
    <x v="905"/>
    <x v="780"/>
  </r>
  <r>
    <x v="73"/>
    <x v="305"/>
    <x v="4"/>
    <x v="1"/>
    <x v="355"/>
    <x v="41"/>
    <x v="3"/>
    <x v="420"/>
    <x v="480"/>
    <x v="1"/>
    <x v="23"/>
    <x v="1"/>
    <x v="0"/>
    <x v="9"/>
    <x v="766"/>
    <x v="716"/>
    <x v="713"/>
    <x v="346"/>
    <x v="471"/>
    <x v="0"/>
    <x v="2"/>
    <x v="2"/>
    <x v="10"/>
    <x v="10"/>
    <x v="3"/>
    <x v="2"/>
    <x v="5"/>
    <x v="47"/>
    <x v="1"/>
    <x v="34"/>
    <x v="1"/>
    <x v="4"/>
    <x v="379"/>
    <x v="90"/>
    <x v="41"/>
    <x v="23"/>
    <x v="480"/>
    <x v="644"/>
  </r>
  <r>
    <x v="57"/>
    <x v="62"/>
    <x v="4"/>
    <x v="2"/>
    <x v="385"/>
    <x v="39"/>
    <x v="3"/>
    <x v="444"/>
    <x v="474"/>
    <x v="1"/>
    <x v="18"/>
    <x v="2"/>
    <x v="1"/>
    <x v="14"/>
    <x v="737"/>
    <x v="722"/>
    <x v="716"/>
    <x v="340"/>
    <x v="467"/>
    <x v="0"/>
    <x v="1"/>
    <x v="2"/>
    <x v="2"/>
    <x v="2"/>
    <x v="0"/>
    <x v="4"/>
    <x v="3"/>
    <x v="10"/>
    <x v="0"/>
    <x v="277"/>
    <x v="10"/>
    <x v="4"/>
    <x v="660"/>
    <x v="90"/>
    <x v="39"/>
    <x v="18"/>
    <x v="474"/>
    <x v="614"/>
  </r>
  <r>
    <x v="16"/>
    <x v="331"/>
    <x v="0"/>
    <x v="0"/>
    <x v="73"/>
    <x v="32"/>
    <x v="2"/>
    <x v="318"/>
    <x v="353"/>
    <x v="1"/>
    <x v="8"/>
    <x v="1"/>
    <x v="0"/>
    <x v="0"/>
    <x v="568"/>
    <x v="620"/>
    <x v="515"/>
    <x v="948"/>
    <x v="857"/>
    <x v="1"/>
    <x v="0"/>
    <x v="1"/>
    <x v="11"/>
    <x v="11"/>
    <x v="3"/>
    <x v="2"/>
    <x v="5"/>
    <x v="51"/>
    <x v="1"/>
    <x v="8"/>
    <x v="1"/>
    <x v="0"/>
    <x v="119"/>
    <x v="90"/>
    <x v="32"/>
    <x v="8"/>
    <x v="353"/>
    <x v="926"/>
  </r>
  <r>
    <x v="6"/>
    <x v="90"/>
    <x v="2"/>
    <x v="0"/>
    <x v="377"/>
    <x v="12"/>
    <x v="0"/>
    <x v="726"/>
    <x v="766"/>
    <x v="1"/>
    <x v="29"/>
    <x v="0"/>
    <x v="0"/>
    <x v="2"/>
    <x v="487"/>
    <x v="436"/>
    <x v="485"/>
    <x v="222"/>
    <x v="119"/>
    <x v="0"/>
    <x v="2"/>
    <x v="2"/>
    <x v="3"/>
    <x v="3"/>
    <x v="1"/>
    <x v="2"/>
    <x v="5"/>
    <x v="14"/>
    <x v="1"/>
    <x v="249"/>
    <x v="9"/>
    <x v="2"/>
    <x v="44"/>
    <x v="90"/>
    <x v="12"/>
    <x v="29"/>
    <x v="766"/>
    <x v="622"/>
  </r>
  <r>
    <x v="45"/>
    <x v="249"/>
    <x v="2"/>
    <x v="3"/>
    <x v="470"/>
    <x v="40"/>
    <x v="0"/>
    <x v="372"/>
    <x v="367"/>
    <x v="1"/>
    <x v="27"/>
    <x v="1"/>
    <x v="1"/>
    <x v="17"/>
    <x v="673"/>
    <x v="629"/>
    <x v="664"/>
    <x v="153"/>
    <x v="180"/>
    <x v="0"/>
    <x v="2"/>
    <x v="2"/>
    <x v="8"/>
    <x v="8"/>
    <x v="2"/>
    <x v="3"/>
    <x v="6"/>
    <x v="38"/>
    <x v="1"/>
    <x v="90"/>
    <x v="4"/>
    <x v="2"/>
    <x v="959"/>
    <x v="90"/>
    <x v="40"/>
    <x v="27"/>
    <x v="367"/>
    <x v="529"/>
  </r>
  <r>
    <x v="12"/>
    <x v="96"/>
    <x v="4"/>
    <x v="1"/>
    <x v="725"/>
    <x v="41"/>
    <x v="3"/>
    <x v="282"/>
    <x v="303"/>
    <x v="0"/>
    <x v="4"/>
    <x v="1"/>
    <x v="0"/>
    <x v="9"/>
    <x v="612"/>
    <x v="660"/>
    <x v="561"/>
    <x v="966"/>
    <x v="874"/>
    <x v="1"/>
    <x v="0"/>
    <x v="2"/>
    <x v="3"/>
    <x v="3"/>
    <x v="1"/>
    <x v="2"/>
    <x v="5"/>
    <x v="15"/>
    <x v="1"/>
    <x v="243"/>
    <x v="9"/>
    <x v="4"/>
    <x v="299"/>
    <x v="90"/>
    <x v="41"/>
    <x v="4"/>
    <x v="303"/>
    <x v="273"/>
  </r>
  <r>
    <x v="39"/>
    <x v="300"/>
    <x v="3"/>
    <x v="1"/>
    <x v="650"/>
    <x v="46"/>
    <x v="1"/>
    <x v="434"/>
    <x v="482"/>
    <x v="0"/>
    <x v="1"/>
    <x v="0"/>
    <x v="0"/>
    <x v="8"/>
    <x v="810"/>
    <x v="864"/>
    <x v="770"/>
    <x v="997"/>
    <x v="859"/>
    <x v="1"/>
    <x v="0"/>
    <x v="2"/>
    <x v="10"/>
    <x v="10"/>
    <x v="3"/>
    <x v="3"/>
    <x v="6"/>
    <x v="46"/>
    <x v="1"/>
    <x v="39"/>
    <x v="2"/>
    <x v="3"/>
    <x v="375"/>
    <x v="90"/>
    <x v="46"/>
    <x v="1"/>
    <x v="482"/>
    <x v="348"/>
  </r>
  <r>
    <x v="41"/>
    <x v="113"/>
    <x v="0"/>
    <x v="3"/>
    <x v="712"/>
    <x v="36"/>
    <x v="3"/>
    <x v="93"/>
    <x v="78"/>
    <x v="1"/>
    <x v="21"/>
    <x v="1"/>
    <x v="0"/>
    <x v="15"/>
    <x v="270"/>
    <x v="256"/>
    <x v="250"/>
    <x v="727"/>
    <x v="766"/>
    <x v="1"/>
    <x v="2"/>
    <x v="2"/>
    <x v="4"/>
    <x v="4"/>
    <x v="1"/>
    <x v="6"/>
    <x v="2"/>
    <x v="18"/>
    <x v="0"/>
    <x v="226"/>
    <x v="8"/>
    <x v="0"/>
    <x v="799"/>
    <x v="90"/>
    <x v="36"/>
    <x v="21"/>
    <x v="78"/>
    <x v="286"/>
  </r>
  <r>
    <x v="8"/>
    <x v="27"/>
    <x v="4"/>
    <x v="3"/>
    <x v="8"/>
    <x v="15"/>
    <x v="0"/>
    <x v="757"/>
    <x v="735"/>
    <x v="1"/>
    <x v="18"/>
    <x v="0"/>
    <x v="1"/>
    <x v="19"/>
    <x v="546"/>
    <x v="535"/>
    <x v="575"/>
    <x v="228"/>
    <x v="223"/>
    <x v="0"/>
    <x v="1"/>
    <x v="1"/>
    <x v="0"/>
    <x v="0"/>
    <x v="0"/>
    <x v="3"/>
    <x v="6"/>
    <x v="4"/>
    <x v="1"/>
    <x v="312"/>
    <x v="11"/>
    <x v="4"/>
    <x v="890"/>
    <x v="90"/>
    <x v="15"/>
    <x v="18"/>
    <x v="735"/>
    <x v="991"/>
  </r>
  <r>
    <x v="49"/>
    <x v="125"/>
    <x v="1"/>
    <x v="1"/>
    <x v="214"/>
    <x v="44"/>
    <x v="3"/>
    <x v="15"/>
    <x v="55"/>
    <x v="1"/>
    <x v="28"/>
    <x v="2"/>
    <x v="1"/>
    <x v="6"/>
    <x v="281"/>
    <x v="242"/>
    <x v="91"/>
    <x v="985"/>
    <x v="992"/>
    <x v="1"/>
    <x v="2"/>
    <x v="1"/>
    <x v="4"/>
    <x v="4"/>
    <x v="1"/>
    <x v="6"/>
    <x v="2"/>
    <x v="20"/>
    <x v="0"/>
    <x v="214"/>
    <x v="8"/>
    <x v="1"/>
    <x v="435"/>
    <x v="90"/>
    <x v="44"/>
    <x v="28"/>
    <x v="55"/>
    <x v="785"/>
  </r>
  <r>
    <x v="26"/>
    <x v="182"/>
    <x v="1"/>
    <x v="2"/>
    <x v="657"/>
    <x v="21"/>
    <x v="2"/>
    <x v="657"/>
    <x v="677"/>
    <x v="0"/>
    <x v="7"/>
    <x v="1"/>
    <x v="0"/>
    <x v="11"/>
    <x v="649"/>
    <x v="676"/>
    <x v="642"/>
    <x v="775"/>
    <x v="687"/>
    <x v="1"/>
    <x v="0"/>
    <x v="2"/>
    <x v="6"/>
    <x v="6"/>
    <x v="2"/>
    <x v="0"/>
    <x v="4"/>
    <x v="28"/>
    <x v="0"/>
    <x v="157"/>
    <x v="6"/>
    <x v="1"/>
    <x v="597"/>
    <x v="90"/>
    <x v="21"/>
    <x v="7"/>
    <x v="677"/>
    <x v="341"/>
  </r>
  <r>
    <x v="65"/>
    <x v="213"/>
    <x v="0"/>
    <x v="2"/>
    <x v="486"/>
    <x v="19"/>
    <x v="1"/>
    <x v="182"/>
    <x v="160"/>
    <x v="0"/>
    <x v="3"/>
    <x v="0"/>
    <x v="1"/>
    <x v="10"/>
    <x v="232"/>
    <x v="262"/>
    <x v="255"/>
    <x v="743"/>
    <x v="776"/>
    <x v="1"/>
    <x v="0"/>
    <x v="2"/>
    <x v="7"/>
    <x v="7"/>
    <x v="2"/>
    <x v="1"/>
    <x v="0"/>
    <x v="33"/>
    <x v="0"/>
    <x v="126"/>
    <x v="5"/>
    <x v="0"/>
    <x v="704"/>
    <x v="90"/>
    <x v="19"/>
    <x v="3"/>
    <x v="160"/>
    <x v="513"/>
  </r>
  <r>
    <x v="4"/>
    <x v="308"/>
    <x v="3"/>
    <x v="3"/>
    <x v="5"/>
    <x v="42"/>
    <x v="3"/>
    <x v="240"/>
    <x v="231"/>
    <x v="0"/>
    <x v="8"/>
    <x v="0"/>
    <x v="1"/>
    <x v="18"/>
    <x v="542"/>
    <x v="581"/>
    <x v="518"/>
    <x v="854"/>
    <x v="789"/>
    <x v="1"/>
    <x v="0"/>
    <x v="1"/>
    <x v="10"/>
    <x v="10"/>
    <x v="3"/>
    <x v="5"/>
    <x v="1"/>
    <x v="48"/>
    <x v="0"/>
    <x v="31"/>
    <x v="1"/>
    <x v="3"/>
    <x v="987"/>
    <x v="90"/>
    <x v="42"/>
    <x v="8"/>
    <x v="231"/>
    <x v="994"/>
  </r>
  <r>
    <x v="28"/>
    <x v="157"/>
    <x v="4"/>
    <x v="2"/>
    <x v="813"/>
    <x v="26"/>
    <x v="2"/>
    <x v="652"/>
    <x v="672"/>
    <x v="0"/>
    <x v="1"/>
    <x v="1"/>
    <x v="1"/>
    <x v="14"/>
    <x v="704"/>
    <x v="775"/>
    <x v="704"/>
    <x v="950"/>
    <x v="808"/>
    <x v="1"/>
    <x v="0"/>
    <x v="0"/>
    <x v="5"/>
    <x v="5"/>
    <x v="1"/>
    <x v="1"/>
    <x v="0"/>
    <x v="25"/>
    <x v="0"/>
    <x v="182"/>
    <x v="7"/>
    <x v="4"/>
    <x v="692"/>
    <x v="90"/>
    <x v="26"/>
    <x v="1"/>
    <x v="672"/>
    <x v="184"/>
  </r>
  <r>
    <x v="36"/>
    <x v="8"/>
    <x v="2"/>
    <x v="1"/>
    <x v="776"/>
    <x v="40"/>
    <x v="0"/>
    <x v="989"/>
    <x v="991"/>
    <x v="0"/>
    <x v="1"/>
    <x v="2"/>
    <x v="0"/>
    <x v="7"/>
    <x v="980"/>
    <x v="996"/>
    <x v="978"/>
    <x v="945"/>
    <x v="709"/>
    <x v="1"/>
    <x v="0"/>
    <x v="0"/>
    <x v="0"/>
    <x v="0"/>
    <x v="0"/>
    <x v="1"/>
    <x v="0"/>
    <x v="2"/>
    <x v="0"/>
    <x v="331"/>
    <x v="12"/>
    <x v="2"/>
    <x v="269"/>
    <x v="90"/>
    <x v="40"/>
    <x v="1"/>
    <x v="991"/>
    <x v="222"/>
  </r>
  <r>
    <x v="37"/>
    <x v="37"/>
    <x v="0"/>
    <x v="0"/>
    <x v="547"/>
    <x v="15"/>
    <x v="3"/>
    <x v="785"/>
    <x v="798"/>
    <x v="0"/>
    <x v="27"/>
    <x v="1"/>
    <x v="1"/>
    <x v="0"/>
    <x v="578"/>
    <x v="521"/>
    <x v="594"/>
    <x v="145"/>
    <x v="84"/>
    <x v="0"/>
    <x v="2"/>
    <x v="2"/>
    <x v="1"/>
    <x v="1"/>
    <x v="0"/>
    <x v="4"/>
    <x v="3"/>
    <x v="6"/>
    <x v="0"/>
    <x v="302"/>
    <x v="11"/>
    <x v="0"/>
    <x v="138"/>
    <x v="90"/>
    <x v="15"/>
    <x v="27"/>
    <x v="798"/>
    <x v="452"/>
  </r>
  <r>
    <x v="82"/>
    <x v="24"/>
    <x v="3"/>
    <x v="0"/>
    <x v="65"/>
    <x v="33"/>
    <x v="0"/>
    <x v="233"/>
    <x v="265"/>
    <x v="0"/>
    <x v="11"/>
    <x v="0"/>
    <x v="0"/>
    <x v="3"/>
    <x v="485"/>
    <x v="508"/>
    <x v="436"/>
    <x v="905"/>
    <x v="853"/>
    <x v="1"/>
    <x v="1"/>
    <x v="1"/>
    <x v="0"/>
    <x v="0"/>
    <x v="0"/>
    <x v="6"/>
    <x v="2"/>
    <x v="4"/>
    <x v="0"/>
    <x v="315"/>
    <x v="11"/>
    <x v="3"/>
    <x v="12"/>
    <x v="90"/>
    <x v="33"/>
    <x v="11"/>
    <x v="265"/>
    <x v="934"/>
  </r>
  <r>
    <x v="7"/>
    <x v="243"/>
    <x v="2"/>
    <x v="2"/>
    <x v="771"/>
    <x v="31"/>
    <x v="2"/>
    <x v="177"/>
    <x v="195"/>
    <x v="0"/>
    <x v="12"/>
    <x v="2"/>
    <x v="0"/>
    <x v="12"/>
    <x v="399"/>
    <x v="415"/>
    <x v="361"/>
    <x v="867"/>
    <x v="855"/>
    <x v="1"/>
    <x v="1"/>
    <x v="0"/>
    <x v="8"/>
    <x v="8"/>
    <x v="2"/>
    <x v="1"/>
    <x v="0"/>
    <x v="38"/>
    <x v="0"/>
    <x v="96"/>
    <x v="4"/>
    <x v="2"/>
    <x v="612"/>
    <x v="90"/>
    <x v="31"/>
    <x v="12"/>
    <x v="195"/>
    <x v="227"/>
  </r>
  <r>
    <x v="64"/>
    <x v="213"/>
    <x v="1"/>
    <x v="3"/>
    <x v="581"/>
    <x v="25"/>
    <x v="0"/>
    <x v="885"/>
    <x v="882"/>
    <x v="1"/>
    <x v="1"/>
    <x v="1"/>
    <x v="1"/>
    <x v="16"/>
    <x v="798"/>
    <x v="856"/>
    <x v="808"/>
    <x v="880"/>
    <x v="722"/>
    <x v="1"/>
    <x v="0"/>
    <x v="2"/>
    <x v="7"/>
    <x v="7"/>
    <x v="2"/>
    <x v="1"/>
    <x v="0"/>
    <x v="33"/>
    <x v="0"/>
    <x v="126"/>
    <x v="5"/>
    <x v="1"/>
    <x v="948"/>
    <x v="90"/>
    <x v="25"/>
    <x v="1"/>
    <x v="882"/>
    <x v="418"/>
  </r>
  <r>
    <x v="85"/>
    <x v="114"/>
    <x v="1"/>
    <x v="3"/>
    <x v="787"/>
    <x v="24"/>
    <x v="2"/>
    <x v="443"/>
    <x v="484"/>
    <x v="0"/>
    <x v="8"/>
    <x v="0"/>
    <x v="0"/>
    <x v="16"/>
    <x v="566"/>
    <x v="619"/>
    <x v="546"/>
    <x v="830"/>
    <x v="761"/>
    <x v="1"/>
    <x v="0"/>
    <x v="0"/>
    <x v="4"/>
    <x v="4"/>
    <x v="1"/>
    <x v="4"/>
    <x v="3"/>
    <x v="18"/>
    <x v="0"/>
    <x v="225"/>
    <x v="8"/>
    <x v="1"/>
    <x v="800"/>
    <x v="90"/>
    <x v="24"/>
    <x v="8"/>
    <x v="484"/>
    <x v="211"/>
  </r>
  <r>
    <x v="16"/>
    <x v="35"/>
    <x v="2"/>
    <x v="3"/>
    <x v="754"/>
    <x v="1"/>
    <x v="2"/>
    <x v="148"/>
    <x v="164"/>
    <x v="0"/>
    <x v="24"/>
    <x v="1"/>
    <x v="1"/>
    <x v="17"/>
    <x v="15"/>
    <x v="12"/>
    <x v="18"/>
    <x v="634"/>
    <x v="836"/>
    <x v="1"/>
    <x v="2"/>
    <x v="0"/>
    <x v="1"/>
    <x v="1"/>
    <x v="0"/>
    <x v="5"/>
    <x v="1"/>
    <x v="6"/>
    <x v="0"/>
    <x v="304"/>
    <x v="11"/>
    <x v="2"/>
    <x v="894"/>
    <x v="90"/>
    <x v="1"/>
    <x v="24"/>
    <x v="164"/>
    <x v="244"/>
  </r>
  <r>
    <x v="70"/>
    <x v="304"/>
    <x v="0"/>
    <x v="3"/>
    <x v="808"/>
    <x v="11"/>
    <x v="2"/>
    <x v="878"/>
    <x v="887"/>
    <x v="0"/>
    <x v="18"/>
    <x v="2"/>
    <x v="1"/>
    <x v="15"/>
    <x v="505"/>
    <x v="499"/>
    <x v="519"/>
    <x v="301"/>
    <x v="298"/>
    <x v="0"/>
    <x v="1"/>
    <x v="0"/>
    <x v="10"/>
    <x v="10"/>
    <x v="3"/>
    <x v="0"/>
    <x v="4"/>
    <x v="47"/>
    <x v="0"/>
    <x v="35"/>
    <x v="2"/>
    <x v="0"/>
    <x v="984"/>
    <x v="90"/>
    <x v="11"/>
    <x v="18"/>
    <x v="887"/>
    <x v="189"/>
  </r>
  <r>
    <x v="88"/>
    <x v="235"/>
    <x v="1"/>
    <x v="3"/>
    <x v="522"/>
    <x v="39"/>
    <x v="3"/>
    <x v="819"/>
    <x v="812"/>
    <x v="0"/>
    <x v="23"/>
    <x v="2"/>
    <x v="0"/>
    <x v="16"/>
    <x v="923"/>
    <x v="888"/>
    <x v="924"/>
    <x v="40"/>
    <x v="123"/>
    <x v="0"/>
    <x v="2"/>
    <x v="2"/>
    <x v="8"/>
    <x v="8"/>
    <x v="2"/>
    <x v="0"/>
    <x v="4"/>
    <x v="36"/>
    <x v="0"/>
    <x v="104"/>
    <x v="4"/>
    <x v="1"/>
    <x v="844"/>
    <x v="90"/>
    <x v="39"/>
    <x v="23"/>
    <x v="812"/>
    <x v="477"/>
  </r>
  <r>
    <x v="44"/>
    <x v="163"/>
    <x v="4"/>
    <x v="2"/>
    <x v="129"/>
    <x v="8"/>
    <x v="0"/>
    <x v="982"/>
    <x v="983"/>
    <x v="1"/>
    <x v="13"/>
    <x v="2"/>
    <x v="0"/>
    <x v="14"/>
    <x v="447"/>
    <x v="453"/>
    <x v="469"/>
    <x v="371"/>
    <x v="361"/>
    <x v="0"/>
    <x v="1"/>
    <x v="1"/>
    <x v="5"/>
    <x v="5"/>
    <x v="1"/>
    <x v="3"/>
    <x v="6"/>
    <x v="25"/>
    <x v="1"/>
    <x v="176"/>
    <x v="6"/>
    <x v="4"/>
    <x v="591"/>
    <x v="90"/>
    <x v="8"/>
    <x v="13"/>
    <x v="983"/>
    <x v="870"/>
  </r>
  <r>
    <x v="3"/>
    <x v="83"/>
    <x v="2"/>
    <x v="0"/>
    <x v="667"/>
    <x v="11"/>
    <x v="0"/>
    <x v="919"/>
    <x v="963"/>
    <x v="0"/>
    <x v="9"/>
    <x v="2"/>
    <x v="1"/>
    <x v="2"/>
    <x v="531"/>
    <x v="569"/>
    <x v="540"/>
    <x v="649"/>
    <x v="626"/>
    <x v="1"/>
    <x v="0"/>
    <x v="2"/>
    <x v="2"/>
    <x v="2"/>
    <x v="0"/>
    <x v="0"/>
    <x v="4"/>
    <x v="13"/>
    <x v="0"/>
    <x v="256"/>
    <x v="9"/>
    <x v="2"/>
    <x v="160"/>
    <x v="90"/>
    <x v="11"/>
    <x v="9"/>
    <x v="963"/>
    <x v="331"/>
  </r>
  <r>
    <x v="35"/>
    <x v="34"/>
    <x v="2"/>
    <x v="0"/>
    <x v="612"/>
    <x v="25"/>
    <x v="1"/>
    <x v="864"/>
    <x v="828"/>
    <x v="1"/>
    <x v="14"/>
    <x v="2"/>
    <x v="1"/>
    <x v="2"/>
    <x v="776"/>
    <x v="778"/>
    <x v="803"/>
    <x v="133"/>
    <x v="280"/>
    <x v="0"/>
    <x v="1"/>
    <x v="2"/>
    <x v="1"/>
    <x v="1"/>
    <x v="0"/>
    <x v="1"/>
    <x v="0"/>
    <x v="6"/>
    <x v="0"/>
    <x v="305"/>
    <x v="11"/>
    <x v="2"/>
    <x v="135"/>
    <x v="90"/>
    <x v="25"/>
    <x v="14"/>
    <x v="828"/>
    <x v="386"/>
  </r>
  <r>
    <x v="69"/>
    <x v="293"/>
    <x v="1"/>
    <x v="2"/>
    <x v="745"/>
    <x v="8"/>
    <x v="1"/>
    <x v="51"/>
    <x v="29"/>
    <x v="1"/>
    <x v="10"/>
    <x v="1"/>
    <x v="1"/>
    <x v="11"/>
    <x v="38"/>
    <x v="49"/>
    <x v="48"/>
    <x v="685"/>
    <x v="910"/>
    <x v="1"/>
    <x v="1"/>
    <x v="2"/>
    <x v="10"/>
    <x v="10"/>
    <x v="3"/>
    <x v="3"/>
    <x v="6"/>
    <x v="45"/>
    <x v="1"/>
    <x v="46"/>
    <x v="2"/>
    <x v="1"/>
    <x v="740"/>
    <x v="90"/>
    <x v="8"/>
    <x v="10"/>
    <x v="29"/>
    <x v="253"/>
  </r>
  <r>
    <x v="30"/>
    <x v="163"/>
    <x v="0"/>
    <x v="3"/>
    <x v="162"/>
    <x v="9"/>
    <x v="1"/>
    <x v="109"/>
    <x v="111"/>
    <x v="1"/>
    <x v="25"/>
    <x v="2"/>
    <x v="1"/>
    <x v="15"/>
    <x v="92"/>
    <x v="84"/>
    <x v="101"/>
    <x v="659"/>
    <x v="769"/>
    <x v="1"/>
    <x v="2"/>
    <x v="1"/>
    <x v="5"/>
    <x v="5"/>
    <x v="1"/>
    <x v="3"/>
    <x v="6"/>
    <x v="25"/>
    <x v="1"/>
    <x v="176"/>
    <x v="6"/>
    <x v="0"/>
    <x v="936"/>
    <x v="90"/>
    <x v="9"/>
    <x v="25"/>
    <x v="111"/>
    <x v="837"/>
  </r>
  <r>
    <x v="18"/>
    <x v="264"/>
    <x v="4"/>
    <x v="2"/>
    <x v="184"/>
    <x v="31"/>
    <x v="1"/>
    <x v="584"/>
    <x v="625"/>
    <x v="0"/>
    <x v="9"/>
    <x v="2"/>
    <x v="0"/>
    <x v="14"/>
    <x v="744"/>
    <x v="774"/>
    <x v="723"/>
    <x v="825"/>
    <x v="704"/>
    <x v="1"/>
    <x v="0"/>
    <x v="1"/>
    <x v="9"/>
    <x v="9"/>
    <x v="3"/>
    <x v="6"/>
    <x v="2"/>
    <x v="41"/>
    <x v="0"/>
    <x v="75"/>
    <x v="3"/>
    <x v="4"/>
    <x v="618"/>
    <x v="90"/>
    <x v="31"/>
    <x v="9"/>
    <x v="625"/>
    <x v="815"/>
  </r>
  <r>
    <x v="60"/>
    <x v="74"/>
    <x v="0"/>
    <x v="0"/>
    <x v="899"/>
    <x v="33"/>
    <x v="0"/>
    <x v="555"/>
    <x v="519"/>
    <x v="0"/>
    <x v="20"/>
    <x v="0"/>
    <x v="0"/>
    <x v="0"/>
    <x v="698"/>
    <x v="684"/>
    <x v="720"/>
    <x v="118"/>
    <x v="172"/>
    <x v="0"/>
    <x v="2"/>
    <x v="0"/>
    <x v="2"/>
    <x v="2"/>
    <x v="0"/>
    <x v="6"/>
    <x v="2"/>
    <x v="12"/>
    <x v="0"/>
    <x v="265"/>
    <x v="10"/>
    <x v="0"/>
    <x v="33"/>
    <x v="90"/>
    <x v="33"/>
    <x v="20"/>
    <x v="519"/>
    <x v="98"/>
  </r>
  <r>
    <x v="53"/>
    <x v="105"/>
    <x v="3"/>
    <x v="1"/>
    <x v="751"/>
    <x v="47"/>
    <x v="2"/>
    <x v="470"/>
    <x v="440"/>
    <x v="0"/>
    <x v="4"/>
    <x v="2"/>
    <x v="0"/>
    <x v="8"/>
    <x v="791"/>
    <x v="837"/>
    <x v="804"/>
    <x v="765"/>
    <x v="662"/>
    <x v="1"/>
    <x v="0"/>
    <x v="0"/>
    <x v="3"/>
    <x v="3"/>
    <x v="1"/>
    <x v="1"/>
    <x v="0"/>
    <x v="17"/>
    <x v="0"/>
    <x v="234"/>
    <x v="9"/>
    <x v="3"/>
    <x v="302"/>
    <x v="90"/>
    <x v="47"/>
    <x v="4"/>
    <x v="440"/>
    <x v="247"/>
  </r>
  <r>
    <x v="38"/>
    <x v="37"/>
    <x v="3"/>
    <x v="2"/>
    <x v="914"/>
    <x v="19"/>
    <x v="2"/>
    <x v="398"/>
    <x v="363"/>
    <x v="1"/>
    <x v="21"/>
    <x v="0"/>
    <x v="1"/>
    <x v="13"/>
    <x v="409"/>
    <x v="390"/>
    <x v="444"/>
    <x v="259"/>
    <x v="127"/>
    <x v="0"/>
    <x v="2"/>
    <x v="0"/>
    <x v="1"/>
    <x v="1"/>
    <x v="0"/>
    <x v="4"/>
    <x v="3"/>
    <x v="6"/>
    <x v="0"/>
    <x v="302"/>
    <x v="11"/>
    <x v="3"/>
    <x v="652"/>
    <x v="63"/>
    <x v="19"/>
    <x v="21"/>
    <x v="363"/>
    <x v="83"/>
  </r>
  <r>
    <x v="90"/>
    <x v="279"/>
    <x v="1"/>
    <x v="3"/>
    <x v="759"/>
    <x v="38"/>
    <x v="3"/>
    <x v="431"/>
    <x v="464"/>
    <x v="1"/>
    <x v="27"/>
    <x v="0"/>
    <x v="0"/>
    <x v="16"/>
    <x v="713"/>
    <x v="673"/>
    <x v="699"/>
    <x v="150"/>
    <x v="222"/>
    <x v="0"/>
    <x v="2"/>
    <x v="0"/>
    <x v="9"/>
    <x v="9"/>
    <x v="3"/>
    <x v="2"/>
    <x v="5"/>
    <x v="43"/>
    <x v="1"/>
    <x v="60"/>
    <x v="2"/>
    <x v="1"/>
    <x v="859"/>
    <x v="90"/>
    <x v="38"/>
    <x v="27"/>
    <x v="464"/>
    <x v="239"/>
  </r>
  <r>
    <x v="73"/>
    <x v="211"/>
    <x v="1"/>
    <x v="0"/>
    <x v="595"/>
    <x v="1"/>
    <x v="2"/>
    <x v="585"/>
    <x v="558"/>
    <x v="1"/>
    <x v="18"/>
    <x v="0"/>
    <x v="0"/>
    <x v="1"/>
    <x v="68"/>
    <x v="65"/>
    <x v="102"/>
    <x v="524"/>
    <x v="243"/>
    <x v="0"/>
    <x v="1"/>
    <x v="2"/>
    <x v="7"/>
    <x v="7"/>
    <x v="2"/>
    <x v="2"/>
    <x v="5"/>
    <x v="32"/>
    <x v="1"/>
    <x v="128"/>
    <x v="5"/>
    <x v="1"/>
    <x v="80"/>
    <x v="90"/>
    <x v="1"/>
    <x v="18"/>
    <x v="558"/>
    <x v="404"/>
  </r>
  <r>
    <x v="89"/>
    <x v="295"/>
    <x v="1"/>
    <x v="0"/>
    <x v="645"/>
    <x v="0"/>
    <x v="0"/>
    <x v="0"/>
    <x v="7"/>
    <x v="1"/>
    <x v="17"/>
    <x v="1"/>
    <x v="0"/>
    <x v="1"/>
    <x v="1"/>
    <x v="1"/>
    <x v="0"/>
    <x v="625"/>
    <x v="991"/>
    <x v="1"/>
    <x v="1"/>
    <x v="2"/>
    <x v="10"/>
    <x v="10"/>
    <x v="3"/>
    <x v="5"/>
    <x v="1"/>
    <x v="46"/>
    <x v="0"/>
    <x v="44"/>
    <x v="2"/>
    <x v="1"/>
    <x v="108"/>
    <x v="90"/>
    <x v="0"/>
    <x v="17"/>
    <x v="7"/>
    <x v="353"/>
  </r>
  <r>
    <x v="18"/>
    <x v="324"/>
    <x v="3"/>
    <x v="0"/>
    <x v="895"/>
    <x v="35"/>
    <x v="0"/>
    <x v="271"/>
    <x v="271"/>
    <x v="0"/>
    <x v="29"/>
    <x v="1"/>
    <x v="0"/>
    <x v="3"/>
    <x v="507"/>
    <x v="451"/>
    <x v="497"/>
    <x v="249"/>
    <x v="185"/>
    <x v="0"/>
    <x v="2"/>
    <x v="0"/>
    <x v="11"/>
    <x v="11"/>
    <x v="3"/>
    <x v="0"/>
    <x v="4"/>
    <x v="50"/>
    <x v="0"/>
    <x v="15"/>
    <x v="1"/>
    <x v="3"/>
    <x v="118"/>
    <x v="90"/>
    <x v="35"/>
    <x v="29"/>
    <x v="271"/>
    <x v="102"/>
  </r>
  <r>
    <x v="38"/>
    <x v="106"/>
    <x v="0"/>
    <x v="0"/>
    <x v="573"/>
    <x v="23"/>
    <x v="0"/>
    <x v="544"/>
    <x v="573"/>
    <x v="0"/>
    <x v="19"/>
    <x v="0"/>
    <x v="1"/>
    <x v="0"/>
    <x v="617"/>
    <x v="611"/>
    <x v="597"/>
    <x v="402"/>
    <x v="472"/>
    <x v="0"/>
    <x v="1"/>
    <x v="2"/>
    <x v="3"/>
    <x v="3"/>
    <x v="1"/>
    <x v="5"/>
    <x v="1"/>
    <x v="17"/>
    <x v="0"/>
    <x v="233"/>
    <x v="8"/>
    <x v="0"/>
    <x v="168"/>
    <x v="90"/>
    <x v="23"/>
    <x v="19"/>
    <x v="573"/>
    <x v="426"/>
  </r>
  <r>
    <x v="66"/>
    <x v="173"/>
    <x v="0"/>
    <x v="3"/>
    <x v="628"/>
    <x v="26"/>
    <x v="3"/>
    <x v="733"/>
    <x v="726"/>
    <x v="0"/>
    <x v="8"/>
    <x v="1"/>
    <x v="0"/>
    <x v="15"/>
    <x v="735"/>
    <x v="771"/>
    <x v="750"/>
    <x v="421"/>
    <x v="543"/>
    <x v="0"/>
    <x v="0"/>
    <x v="2"/>
    <x v="6"/>
    <x v="6"/>
    <x v="2"/>
    <x v="6"/>
    <x v="2"/>
    <x v="27"/>
    <x v="0"/>
    <x v="166"/>
    <x v="6"/>
    <x v="0"/>
    <x v="816"/>
    <x v="90"/>
    <x v="26"/>
    <x v="8"/>
    <x v="726"/>
    <x v="370"/>
  </r>
  <r>
    <x v="44"/>
    <x v="300"/>
    <x v="1"/>
    <x v="1"/>
    <x v="146"/>
    <x v="1"/>
    <x v="1"/>
    <x v="174"/>
    <x v="145"/>
    <x v="1"/>
    <x v="9"/>
    <x v="2"/>
    <x v="0"/>
    <x v="6"/>
    <x v="14"/>
    <x v="16"/>
    <x v="25"/>
    <x v="600"/>
    <x v="582"/>
    <x v="0"/>
    <x v="0"/>
    <x v="1"/>
    <x v="10"/>
    <x v="10"/>
    <x v="3"/>
    <x v="3"/>
    <x v="6"/>
    <x v="46"/>
    <x v="1"/>
    <x v="39"/>
    <x v="2"/>
    <x v="1"/>
    <x v="376"/>
    <x v="90"/>
    <x v="1"/>
    <x v="9"/>
    <x v="145"/>
    <x v="853"/>
  </r>
  <r>
    <x v="12"/>
    <x v="51"/>
    <x v="4"/>
    <x v="0"/>
    <x v="479"/>
    <x v="30"/>
    <x v="2"/>
    <x v="570"/>
    <x v="563"/>
    <x v="1"/>
    <x v="21"/>
    <x v="1"/>
    <x v="0"/>
    <x v="4"/>
    <x v="695"/>
    <x v="678"/>
    <x v="700"/>
    <x v="179"/>
    <x v="270"/>
    <x v="0"/>
    <x v="2"/>
    <x v="2"/>
    <x v="1"/>
    <x v="1"/>
    <x v="0"/>
    <x v="2"/>
    <x v="5"/>
    <x v="8"/>
    <x v="1"/>
    <x v="288"/>
    <x v="10"/>
    <x v="4"/>
    <x v="23"/>
    <x v="90"/>
    <x v="30"/>
    <x v="21"/>
    <x v="563"/>
    <x v="520"/>
  </r>
  <r>
    <x v="91"/>
    <x v="37"/>
    <x v="0"/>
    <x v="2"/>
    <x v="721"/>
    <x v="13"/>
    <x v="0"/>
    <x v="720"/>
    <x v="765"/>
    <x v="0"/>
    <x v="22"/>
    <x v="2"/>
    <x v="0"/>
    <x v="10"/>
    <x v="512"/>
    <x v="490"/>
    <x v="511"/>
    <x v="311"/>
    <x v="308"/>
    <x v="0"/>
    <x v="2"/>
    <x v="2"/>
    <x v="1"/>
    <x v="1"/>
    <x v="0"/>
    <x v="4"/>
    <x v="3"/>
    <x v="6"/>
    <x v="0"/>
    <x v="302"/>
    <x v="11"/>
    <x v="0"/>
    <x v="544"/>
    <x v="90"/>
    <x v="13"/>
    <x v="22"/>
    <x v="765"/>
    <x v="277"/>
  </r>
  <r>
    <x v="57"/>
    <x v="328"/>
    <x v="3"/>
    <x v="1"/>
    <x v="280"/>
    <x v="1"/>
    <x v="0"/>
    <x v="445"/>
    <x v="465"/>
    <x v="0"/>
    <x v="9"/>
    <x v="2"/>
    <x v="1"/>
    <x v="8"/>
    <x v="59"/>
    <x v="62"/>
    <x v="84"/>
    <x v="624"/>
    <x v="685"/>
    <x v="1"/>
    <x v="0"/>
    <x v="2"/>
    <x v="11"/>
    <x v="11"/>
    <x v="3"/>
    <x v="6"/>
    <x v="2"/>
    <x v="51"/>
    <x v="0"/>
    <x v="11"/>
    <x v="1"/>
    <x v="3"/>
    <x v="524"/>
    <x v="90"/>
    <x v="1"/>
    <x v="9"/>
    <x v="465"/>
    <x v="719"/>
  </r>
  <r>
    <x v="19"/>
    <x v="37"/>
    <x v="2"/>
    <x v="0"/>
    <x v="195"/>
    <x v="28"/>
    <x v="1"/>
    <x v="31"/>
    <x v="69"/>
    <x v="1"/>
    <x v="10"/>
    <x v="1"/>
    <x v="1"/>
    <x v="2"/>
    <x v="205"/>
    <x v="221"/>
    <x v="98"/>
    <x v="969"/>
    <x v="988"/>
    <x v="1"/>
    <x v="1"/>
    <x v="1"/>
    <x v="1"/>
    <x v="1"/>
    <x v="0"/>
    <x v="4"/>
    <x v="3"/>
    <x v="6"/>
    <x v="0"/>
    <x v="302"/>
    <x v="11"/>
    <x v="2"/>
    <x v="139"/>
    <x v="90"/>
    <x v="28"/>
    <x v="10"/>
    <x v="69"/>
    <x v="804"/>
  </r>
  <r>
    <x v="91"/>
    <x v="322"/>
    <x v="2"/>
    <x v="1"/>
    <x v="327"/>
    <x v="14"/>
    <x v="0"/>
    <x v="455"/>
    <x v="499"/>
    <x v="0"/>
    <x v="30"/>
    <x v="1"/>
    <x v="0"/>
    <x v="7"/>
    <x v="402"/>
    <x v="349"/>
    <x v="402"/>
    <x v="310"/>
    <x v="182"/>
    <x v="0"/>
    <x v="2"/>
    <x v="2"/>
    <x v="11"/>
    <x v="11"/>
    <x v="3"/>
    <x v="6"/>
    <x v="2"/>
    <x v="50"/>
    <x v="0"/>
    <x v="17"/>
    <x v="1"/>
    <x v="2"/>
    <x v="385"/>
    <x v="90"/>
    <x v="14"/>
    <x v="30"/>
    <x v="499"/>
    <x v="672"/>
  </r>
  <r>
    <x v="71"/>
    <x v="223"/>
    <x v="2"/>
    <x v="2"/>
    <x v="241"/>
    <x v="11"/>
    <x v="2"/>
    <x v="307"/>
    <x v="264"/>
    <x v="0"/>
    <x v="3"/>
    <x v="0"/>
    <x v="1"/>
    <x v="12"/>
    <x v="195"/>
    <x v="226"/>
    <x v="242"/>
    <x v="579"/>
    <x v="576"/>
    <x v="0"/>
    <x v="0"/>
    <x v="1"/>
    <x v="7"/>
    <x v="7"/>
    <x v="2"/>
    <x v="0"/>
    <x v="4"/>
    <x v="34"/>
    <x v="0"/>
    <x v="116"/>
    <x v="4"/>
    <x v="2"/>
    <x v="712"/>
    <x v="90"/>
    <x v="11"/>
    <x v="3"/>
    <x v="264"/>
    <x v="758"/>
  </r>
  <r>
    <x v="60"/>
    <x v="269"/>
    <x v="4"/>
    <x v="0"/>
    <x v="212"/>
    <x v="36"/>
    <x v="3"/>
    <x v="934"/>
    <x v="952"/>
    <x v="1"/>
    <x v="12"/>
    <x v="1"/>
    <x v="1"/>
    <x v="4"/>
    <x v="946"/>
    <x v="951"/>
    <x v="942"/>
    <x v="209"/>
    <x v="461"/>
    <x v="0"/>
    <x v="1"/>
    <x v="1"/>
    <x v="9"/>
    <x v="9"/>
    <x v="3"/>
    <x v="1"/>
    <x v="0"/>
    <x v="42"/>
    <x v="0"/>
    <x v="70"/>
    <x v="3"/>
    <x v="4"/>
    <x v="223"/>
    <x v="90"/>
    <x v="36"/>
    <x v="12"/>
    <x v="952"/>
    <x v="787"/>
  </r>
  <r>
    <x v="38"/>
    <x v="244"/>
    <x v="1"/>
    <x v="2"/>
    <x v="431"/>
    <x v="27"/>
    <x v="0"/>
    <x v="135"/>
    <x v="110"/>
    <x v="1"/>
    <x v="2"/>
    <x v="1"/>
    <x v="1"/>
    <x v="11"/>
    <x v="242"/>
    <x v="277"/>
    <x v="251"/>
    <x v="819"/>
    <x v="870"/>
    <x v="1"/>
    <x v="0"/>
    <x v="2"/>
    <x v="8"/>
    <x v="8"/>
    <x v="2"/>
    <x v="5"/>
    <x v="1"/>
    <x v="38"/>
    <x v="0"/>
    <x v="95"/>
    <x v="4"/>
    <x v="1"/>
    <x v="719"/>
    <x v="90"/>
    <x v="27"/>
    <x v="2"/>
    <x v="110"/>
    <x v="568"/>
  </r>
  <r>
    <x v="0"/>
    <x v="203"/>
    <x v="3"/>
    <x v="3"/>
    <x v="912"/>
    <x v="19"/>
    <x v="2"/>
    <x v="659"/>
    <x v="665"/>
    <x v="1"/>
    <x v="25"/>
    <x v="1"/>
    <x v="1"/>
    <x v="18"/>
    <x v="602"/>
    <x v="557"/>
    <x v="617"/>
    <x v="164"/>
    <x v="145"/>
    <x v="0"/>
    <x v="2"/>
    <x v="0"/>
    <x v="7"/>
    <x v="7"/>
    <x v="2"/>
    <x v="0"/>
    <x v="4"/>
    <x v="31"/>
    <x v="0"/>
    <x v="136"/>
    <x v="5"/>
    <x v="3"/>
    <x v="946"/>
    <x v="64"/>
    <x v="19"/>
    <x v="25"/>
    <x v="665"/>
    <x v="85"/>
  </r>
  <r>
    <x v="2"/>
    <x v="135"/>
    <x v="4"/>
    <x v="0"/>
    <x v="513"/>
    <x v="38"/>
    <x v="0"/>
    <x v="52"/>
    <x v="30"/>
    <x v="0"/>
    <x v="3"/>
    <x v="2"/>
    <x v="0"/>
    <x v="4"/>
    <x v="191"/>
    <x v="215"/>
    <x v="174"/>
    <x v="861"/>
    <x v="930"/>
    <x v="1"/>
    <x v="0"/>
    <x v="2"/>
    <x v="4"/>
    <x v="4"/>
    <x v="1"/>
    <x v="2"/>
    <x v="5"/>
    <x v="21"/>
    <x v="1"/>
    <x v="204"/>
    <x v="7"/>
    <x v="4"/>
    <x v="55"/>
    <x v="90"/>
    <x v="38"/>
    <x v="3"/>
    <x v="30"/>
    <x v="486"/>
  </r>
  <r>
    <x v="76"/>
    <x v="312"/>
    <x v="3"/>
    <x v="0"/>
    <x v="178"/>
    <x v="23"/>
    <x v="1"/>
    <x v="451"/>
    <x v="432"/>
    <x v="1"/>
    <x v="20"/>
    <x v="2"/>
    <x v="1"/>
    <x v="3"/>
    <x v="520"/>
    <x v="509"/>
    <x v="538"/>
    <x v="271"/>
    <x v="267"/>
    <x v="0"/>
    <x v="2"/>
    <x v="1"/>
    <x v="11"/>
    <x v="11"/>
    <x v="3"/>
    <x v="2"/>
    <x v="5"/>
    <x v="48"/>
    <x v="1"/>
    <x v="27"/>
    <x v="1"/>
    <x v="3"/>
    <x v="250"/>
    <x v="90"/>
    <x v="23"/>
    <x v="20"/>
    <x v="432"/>
    <x v="821"/>
  </r>
  <r>
    <x v="91"/>
    <x v="155"/>
    <x v="3"/>
    <x v="0"/>
    <x v="85"/>
    <x v="20"/>
    <x v="0"/>
    <x v="577"/>
    <x v="618"/>
    <x v="0"/>
    <x v="2"/>
    <x v="2"/>
    <x v="1"/>
    <x v="3"/>
    <x v="582"/>
    <x v="647"/>
    <x v="565"/>
    <x v="928"/>
    <x v="835"/>
    <x v="1"/>
    <x v="0"/>
    <x v="1"/>
    <x v="5"/>
    <x v="5"/>
    <x v="1"/>
    <x v="2"/>
    <x v="5"/>
    <x v="24"/>
    <x v="1"/>
    <x v="184"/>
    <x v="7"/>
    <x v="3"/>
    <x v="185"/>
    <x v="90"/>
    <x v="20"/>
    <x v="2"/>
    <x v="618"/>
    <x v="914"/>
  </r>
  <r>
    <x v="61"/>
    <x v="84"/>
    <x v="1"/>
    <x v="0"/>
    <x v="695"/>
    <x v="9"/>
    <x v="0"/>
    <x v="309"/>
    <x v="284"/>
    <x v="0"/>
    <x v="20"/>
    <x v="0"/>
    <x v="0"/>
    <x v="1"/>
    <x v="170"/>
    <x v="166"/>
    <x v="213"/>
    <x v="453"/>
    <x v="252"/>
    <x v="0"/>
    <x v="2"/>
    <x v="2"/>
    <x v="3"/>
    <x v="3"/>
    <x v="1"/>
    <x v="3"/>
    <x v="6"/>
    <x v="13"/>
    <x v="1"/>
    <x v="255"/>
    <x v="9"/>
    <x v="1"/>
    <x v="40"/>
    <x v="90"/>
    <x v="9"/>
    <x v="20"/>
    <x v="284"/>
    <x v="303"/>
  </r>
  <r>
    <x v="62"/>
    <x v="327"/>
    <x v="2"/>
    <x v="3"/>
    <x v="392"/>
    <x v="45"/>
    <x v="3"/>
    <x v="463"/>
    <x v="509"/>
    <x v="1"/>
    <x v="25"/>
    <x v="0"/>
    <x v="0"/>
    <x v="17"/>
    <x v="815"/>
    <x v="768"/>
    <x v="783"/>
    <x v="180"/>
    <x v="327"/>
    <x v="0"/>
    <x v="2"/>
    <x v="2"/>
    <x v="11"/>
    <x v="11"/>
    <x v="3"/>
    <x v="5"/>
    <x v="1"/>
    <x v="51"/>
    <x v="0"/>
    <x v="12"/>
    <x v="1"/>
    <x v="2"/>
    <x v="872"/>
    <x v="90"/>
    <x v="45"/>
    <x v="25"/>
    <x v="509"/>
    <x v="607"/>
  </r>
  <r>
    <x v="24"/>
    <x v="54"/>
    <x v="1"/>
    <x v="0"/>
    <x v="829"/>
    <x v="13"/>
    <x v="1"/>
    <x v="163"/>
    <x v="130"/>
    <x v="0"/>
    <x v="12"/>
    <x v="0"/>
    <x v="0"/>
    <x v="1"/>
    <x v="136"/>
    <x v="146"/>
    <x v="171"/>
    <x v="506"/>
    <x v="356"/>
    <x v="0"/>
    <x v="1"/>
    <x v="0"/>
    <x v="1"/>
    <x v="1"/>
    <x v="0"/>
    <x v="5"/>
    <x v="1"/>
    <x v="9"/>
    <x v="0"/>
    <x v="285"/>
    <x v="10"/>
    <x v="1"/>
    <x v="24"/>
    <x v="90"/>
    <x v="13"/>
    <x v="12"/>
    <x v="130"/>
    <x v="168"/>
  </r>
  <r>
    <x v="55"/>
    <x v="54"/>
    <x v="4"/>
    <x v="1"/>
    <x v="654"/>
    <x v="36"/>
    <x v="1"/>
    <x v="319"/>
    <x v="279"/>
    <x v="1"/>
    <x v="16"/>
    <x v="2"/>
    <x v="0"/>
    <x v="9"/>
    <x v="523"/>
    <x v="528"/>
    <x v="559"/>
    <x v="266"/>
    <x v="276"/>
    <x v="0"/>
    <x v="1"/>
    <x v="2"/>
    <x v="1"/>
    <x v="1"/>
    <x v="0"/>
    <x v="5"/>
    <x v="1"/>
    <x v="9"/>
    <x v="0"/>
    <x v="285"/>
    <x v="10"/>
    <x v="4"/>
    <x v="287"/>
    <x v="90"/>
    <x v="36"/>
    <x v="16"/>
    <x v="279"/>
    <x v="344"/>
  </r>
  <r>
    <x v="32"/>
    <x v="282"/>
    <x v="4"/>
    <x v="0"/>
    <x v="801"/>
    <x v="17"/>
    <x v="3"/>
    <x v="633"/>
    <x v="662"/>
    <x v="1"/>
    <x v="12"/>
    <x v="1"/>
    <x v="1"/>
    <x v="4"/>
    <x v="557"/>
    <x v="580"/>
    <x v="547"/>
    <x v="608"/>
    <x v="604"/>
    <x v="1"/>
    <x v="1"/>
    <x v="0"/>
    <x v="9"/>
    <x v="9"/>
    <x v="3"/>
    <x v="5"/>
    <x v="1"/>
    <x v="44"/>
    <x v="0"/>
    <x v="57"/>
    <x v="2"/>
    <x v="4"/>
    <x v="230"/>
    <x v="90"/>
    <x v="17"/>
    <x v="12"/>
    <x v="662"/>
    <x v="196"/>
  </r>
  <r>
    <x v="37"/>
    <x v="156"/>
    <x v="4"/>
    <x v="3"/>
    <x v="282"/>
    <x v="23"/>
    <x v="0"/>
    <x v="316"/>
    <x v="328"/>
    <x v="0"/>
    <x v="9"/>
    <x v="0"/>
    <x v="0"/>
    <x v="19"/>
    <x v="439"/>
    <x v="460"/>
    <x v="418"/>
    <x v="814"/>
    <x v="794"/>
    <x v="1"/>
    <x v="0"/>
    <x v="2"/>
    <x v="5"/>
    <x v="5"/>
    <x v="1"/>
    <x v="3"/>
    <x v="6"/>
    <x v="24"/>
    <x v="1"/>
    <x v="183"/>
    <x v="7"/>
    <x v="4"/>
    <x v="811"/>
    <x v="90"/>
    <x v="23"/>
    <x v="9"/>
    <x v="328"/>
    <x v="717"/>
  </r>
  <r>
    <x v="5"/>
    <x v="251"/>
    <x v="1"/>
    <x v="0"/>
    <x v="690"/>
    <x v="13"/>
    <x v="2"/>
    <x v="915"/>
    <x v="939"/>
    <x v="0"/>
    <x v="24"/>
    <x v="0"/>
    <x v="1"/>
    <x v="1"/>
    <x v="581"/>
    <x v="542"/>
    <x v="600"/>
    <x v="185"/>
    <x v="165"/>
    <x v="0"/>
    <x v="2"/>
    <x v="2"/>
    <x v="8"/>
    <x v="8"/>
    <x v="2"/>
    <x v="5"/>
    <x v="1"/>
    <x v="39"/>
    <x v="0"/>
    <x v="88"/>
    <x v="3"/>
    <x v="1"/>
    <x v="218"/>
    <x v="90"/>
    <x v="13"/>
    <x v="24"/>
    <x v="939"/>
    <x v="308"/>
  </r>
  <r>
    <x v="57"/>
    <x v="336"/>
    <x v="3"/>
    <x v="1"/>
    <x v="268"/>
    <x v="33"/>
    <x v="1"/>
    <x v="643"/>
    <x v="624"/>
    <x v="1"/>
    <x v="8"/>
    <x v="2"/>
    <x v="1"/>
    <x v="8"/>
    <x v="772"/>
    <x v="804"/>
    <x v="789"/>
    <x v="331"/>
    <x v="487"/>
    <x v="0"/>
    <x v="0"/>
    <x v="2"/>
    <x v="11"/>
    <x v="11"/>
    <x v="3"/>
    <x v="0"/>
    <x v="4"/>
    <x v="52"/>
    <x v="0"/>
    <x v="3"/>
    <x v="0"/>
    <x v="3"/>
    <x v="529"/>
    <x v="90"/>
    <x v="33"/>
    <x v="8"/>
    <x v="624"/>
    <x v="731"/>
  </r>
  <r>
    <x v="43"/>
    <x v="41"/>
    <x v="3"/>
    <x v="3"/>
    <x v="935"/>
    <x v="11"/>
    <x v="1"/>
    <x v="437"/>
    <x v="450"/>
    <x v="1"/>
    <x v="22"/>
    <x v="0"/>
    <x v="0"/>
    <x v="18"/>
    <x v="310"/>
    <x v="290"/>
    <x v="326"/>
    <x v="399"/>
    <x v="288"/>
    <x v="0"/>
    <x v="2"/>
    <x v="0"/>
    <x v="1"/>
    <x v="1"/>
    <x v="0"/>
    <x v="5"/>
    <x v="1"/>
    <x v="7"/>
    <x v="0"/>
    <x v="298"/>
    <x v="11"/>
    <x v="3"/>
    <x v="773"/>
    <x v="65"/>
    <x v="11"/>
    <x v="22"/>
    <x v="450"/>
    <x v="62"/>
  </r>
  <r>
    <x v="44"/>
    <x v="320"/>
    <x v="0"/>
    <x v="3"/>
    <x v="632"/>
    <x v="21"/>
    <x v="0"/>
    <x v="39"/>
    <x v="58"/>
    <x v="1"/>
    <x v="6"/>
    <x v="1"/>
    <x v="0"/>
    <x v="15"/>
    <x v="149"/>
    <x v="161"/>
    <x v="97"/>
    <x v="910"/>
    <x v="974"/>
    <x v="1"/>
    <x v="0"/>
    <x v="2"/>
    <x v="11"/>
    <x v="11"/>
    <x v="3"/>
    <x v="1"/>
    <x v="0"/>
    <x v="50"/>
    <x v="0"/>
    <x v="19"/>
    <x v="1"/>
    <x v="0"/>
    <x v="869"/>
    <x v="90"/>
    <x v="21"/>
    <x v="6"/>
    <x v="58"/>
    <x v="366"/>
  </r>
  <r>
    <x v="31"/>
    <x v="168"/>
    <x v="4"/>
    <x v="1"/>
    <x v="333"/>
    <x v="5"/>
    <x v="0"/>
    <x v="511"/>
    <x v="527"/>
    <x v="1"/>
    <x v="7"/>
    <x v="2"/>
    <x v="1"/>
    <x v="9"/>
    <x v="180"/>
    <x v="198"/>
    <x v="211"/>
    <x v="673"/>
    <x v="713"/>
    <x v="1"/>
    <x v="0"/>
    <x v="2"/>
    <x v="5"/>
    <x v="5"/>
    <x v="1"/>
    <x v="0"/>
    <x v="4"/>
    <x v="26"/>
    <x v="0"/>
    <x v="171"/>
    <x v="6"/>
    <x v="4"/>
    <x v="458"/>
    <x v="90"/>
    <x v="5"/>
    <x v="7"/>
    <x v="527"/>
    <x v="666"/>
  </r>
  <r>
    <x v="44"/>
    <x v="157"/>
    <x v="3"/>
    <x v="1"/>
    <x v="278"/>
    <x v="35"/>
    <x v="1"/>
    <x v="777"/>
    <x v="767"/>
    <x v="1"/>
    <x v="10"/>
    <x v="2"/>
    <x v="1"/>
    <x v="8"/>
    <x v="876"/>
    <x v="891"/>
    <x v="872"/>
    <x v="306"/>
    <x v="499"/>
    <x v="0"/>
    <x v="1"/>
    <x v="2"/>
    <x v="5"/>
    <x v="5"/>
    <x v="1"/>
    <x v="1"/>
    <x v="0"/>
    <x v="25"/>
    <x v="0"/>
    <x v="182"/>
    <x v="7"/>
    <x v="3"/>
    <x v="450"/>
    <x v="90"/>
    <x v="35"/>
    <x v="10"/>
    <x v="767"/>
    <x v="721"/>
  </r>
  <r>
    <x v="60"/>
    <x v="330"/>
    <x v="0"/>
    <x v="1"/>
    <x v="181"/>
    <x v="44"/>
    <x v="0"/>
    <x v="279"/>
    <x v="324"/>
    <x v="1"/>
    <x v="18"/>
    <x v="1"/>
    <x v="0"/>
    <x v="5"/>
    <x v="664"/>
    <x v="650"/>
    <x v="587"/>
    <x v="890"/>
    <x v="805"/>
    <x v="1"/>
    <x v="1"/>
    <x v="1"/>
    <x v="11"/>
    <x v="11"/>
    <x v="3"/>
    <x v="0"/>
    <x v="4"/>
    <x v="51"/>
    <x v="0"/>
    <x v="9"/>
    <x v="1"/>
    <x v="0"/>
    <x v="390"/>
    <x v="90"/>
    <x v="44"/>
    <x v="18"/>
    <x v="324"/>
    <x v="818"/>
  </r>
  <r>
    <x v="46"/>
    <x v="178"/>
    <x v="3"/>
    <x v="1"/>
    <x v="694"/>
    <x v="35"/>
    <x v="2"/>
    <x v="811"/>
    <x v="841"/>
    <x v="0"/>
    <x v="14"/>
    <x v="1"/>
    <x v="0"/>
    <x v="8"/>
    <x v="899"/>
    <x v="901"/>
    <x v="895"/>
    <x v="210"/>
    <x v="426"/>
    <x v="0"/>
    <x v="1"/>
    <x v="2"/>
    <x v="6"/>
    <x v="6"/>
    <x v="2"/>
    <x v="1"/>
    <x v="0"/>
    <x v="28"/>
    <x v="0"/>
    <x v="161"/>
    <x v="6"/>
    <x v="3"/>
    <x v="329"/>
    <x v="90"/>
    <x v="35"/>
    <x v="14"/>
    <x v="841"/>
    <x v="304"/>
  </r>
  <r>
    <x v="20"/>
    <x v="143"/>
    <x v="4"/>
    <x v="1"/>
    <x v="217"/>
    <x v="21"/>
    <x v="1"/>
    <x v="258"/>
    <x v="308"/>
    <x v="0"/>
    <x v="22"/>
    <x v="1"/>
    <x v="0"/>
    <x v="9"/>
    <x v="390"/>
    <x v="368"/>
    <x v="344"/>
    <x v="728"/>
    <x v="724"/>
    <x v="1"/>
    <x v="2"/>
    <x v="1"/>
    <x v="5"/>
    <x v="5"/>
    <x v="1"/>
    <x v="3"/>
    <x v="6"/>
    <x v="22"/>
    <x v="1"/>
    <x v="196"/>
    <x v="7"/>
    <x v="4"/>
    <x v="315"/>
    <x v="90"/>
    <x v="21"/>
    <x v="22"/>
    <x v="308"/>
    <x v="782"/>
  </r>
  <r>
    <x v="79"/>
    <x v="175"/>
    <x v="2"/>
    <x v="3"/>
    <x v="593"/>
    <x v="13"/>
    <x v="2"/>
    <x v="832"/>
    <x v="867"/>
    <x v="0"/>
    <x v="6"/>
    <x v="0"/>
    <x v="1"/>
    <x v="17"/>
    <x v="551"/>
    <x v="606"/>
    <x v="562"/>
    <x v="722"/>
    <x v="667"/>
    <x v="1"/>
    <x v="0"/>
    <x v="2"/>
    <x v="6"/>
    <x v="6"/>
    <x v="2"/>
    <x v="0"/>
    <x v="4"/>
    <x v="27"/>
    <x v="0"/>
    <x v="164"/>
    <x v="6"/>
    <x v="2"/>
    <x v="939"/>
    <x v="90"/>
    <x v="13"/>
    <x v="6"/>
    <x v="867"/>
    <x v="406"/>
  </r>
  <r>
    <x v="84"/>
    <x v="6"/>
    <x v="4"/>
    <x v="3"/>
    <x v="270"/>
    <x v="15"/>
    <x v="2"/>
    <x v="87"/>
    <x v="118"/>
    <x v="0"/>
    <x v="0"/>
    <x v="1"/>
    <x v="1"/>
    <x v="19"/>
    <x v="148"/>
    <x v="175"/>
    <x v="129"/>
    <x v="879"/>
    <x v="952"/>
    <x v="1"/>
    <x v="0"/>
    <x v="2"/>
    <x v="0"/>
    <x v="0"/>
    <x v="0"/>
    <x v="2"/>
    <x v="5"/>
    <x v="1"/>
    <x v="1"/>
    <x v="333"/>
    <x v="12"/>
    <x v="4"/>
    <x v="881"/>
    <x v="90"/>
    <x v="15"/>
    <x v="0"/>
    <x v="118"/>
    <x v="729"/>
  </r>
  <r>
    <x v="74"/>
    <x v="122"/>
    <x v="1"/>
    <x v="0"/>
    <x v="658"/>
    <x v="35"/>
    <x v="0"/>
    <x v="883"/>
    <x v="842"/>
    <x v="1"/>
    <x v="23"/>
    <x v="2"/>
    <x v="0"/>
    <x v="1"/>
    <x v="900"/>
    <x v="862"/>
    <x v="912"/>
    <x v="34"/>
    <x v="63"/>
    <x v="0"/>
    <x v="2"/>
    <x v="2"/>
    <x v="4"/>
    <x v="4"/>
    <x v="1"/>
    <x v="2"/>
    <x v="5"/>
    <x v="19"/>
    <x v="1"/>
    <x v="217"/>
    <x v="8"/>
    <x v="1"/>
    <x v="51"/>
    <x v="90"/>
    <x v="35"/>
    <x v="23"/>
    <x v="842"/>
    <x v="340"/>
  </r>
  <r>
    <x v="35"/>
    <x v="221"/>
    <x v="3"/>
    <x v="0"/>
    <x v="824"/>
    <x v="24"/>
    <x v="2"/>
    <x v="509"/>
    <x v="501"/>
    <x v="0"/>
    <x v="25"/>
    <x v="1"/>
    <x v="1"/>
    <x v="3"/>
    <x v="579"/>
    <x v="534"/>
    <x v="599"/>
    <x v="163"/>
    <x v="125"/>
    <x v="0"/>
    <x v="2"/>
    <x v="0"/>
    <x v="7"/>
    <x v="7"/>
    <x v="2"/>
    <x v="6"/>
    <x v="2"/>
    <x v="34"/>
    <x v="0"/>
    <x v="118"/>
    <x v="5"/>
    <x v="3"/>
    <x v="208"/>
    <x v="90"/>
    <x v="24"/>
    <x v="25"/>
    <x v="501"/>
    <x v="173"/>
  </r>
  <r>
    <x v="98"/>
    <x v="41"/>
    <x v="3"/>
    <x v="2"/>
    <x v="781"/>
    <x v="31"/>
    <x v="0"/>
    <x v="308"/>
    <x v="343"/>
    <x v="0"/>
    <x v="2"/>
    <x v="2"/>
    <x v="0"/>
    <x v="13"/>
    <x v="548"/>
    <x v="622"/>
    <x v="500"/>
    <x v="971"/>
    <x v="895"/>
    <x v="1"/>
    <x v="0"/>
    <x v="0"/>
    <x v="1"/>
    <x v="1"/>
    <x v="0"/>
    <x v="5"/>
    <x v="1"/>
    <x v="7"/>
    <x v="0"/>
    <x v="298"/>
    <x v="11"/>
    <x v="3"/>
    <x v="545"/>
    <x v="90"/>
    <x v="31"/>
    <x v="2"/>
    <x v="343"/>
    <x v="217"/>
  </r>
  <r>
    <x v="18"/>
    <x v="291"/>
    <x v="1"/>
    <x v="0"/>
    <x v="764"/>
    <x v="32"/>
    <x v="3"/>
    <x v="277"/>
    <x v="247"/>
    <x v="1"/>
    <x v="18"/>
    <x v="2"/>
    <x v="1"/>
    <x v="1"/>
    <x v="467"/>
    <x v="455"/>
    <x v="471"/>
    <x v="342"/>
    <x v="331"/>
    <x v="0"/>
    <x v="1"/>
    <x v="0"/>
    <x v="10"/>
    <x v="10"/>
    <x v="3"/>
    <x v="0"/>
    <x v="4"/>
    <x v="45"/>
    <x v="0"/>
    <x v="48"/>
    <x v="2"/>
    <x v="1"/>
    <x v="235"/>
    <x v="90"/>
    <x v="32"/>
    <x v="18"/>
    <x v="247"/>
    <x v="234"/>
  </r>
  <r>
    <x v="19"/>
    <x v="233"/>
    <x v="1"/>
    <x v="0"/>
    <x v="177"/>
    <x v="44"/>
    <x v="0"/>
    <x v="433"/>
    <x v="400"/>
    <x v="0"/>
    <x v="11"/>
    <x v="0"/>
    <x v="1"/>
    <x v="1"/>
    <x v="725"/>
    <x v="742"/>
    <x v="756"/>
    <x v="251"/>
    <x v="382"/>
    <x v="0"/>
    <x v="1"/>
    <x v="1"/>
    <x v="8"/>
    <x v="8"/>
    <x v="2"/>
    <x v="6"/>
    <x v="2"/>
    <x v="36"/>
    <x v="0"/>
    <x v="106"/>
    <x v="4"/>
    <x v="1"/>
    <x v="212"/>
    <x v="90"/>
    <x v="44"/>
    <x v="11"/>
    <x v="400"/>
    <x v="822"/>
  </r>
  <r>
    <x v="56"/>
    <x v="28"/>
    <x v="2"/>
    <x v="1"/>
    <x v="95"/>
    <x v="35"/>
    <x v="2"/>
    <x v="997"/>
    <x v="985"/>
    <x v="1"/>
    <x v="24"/>
    <x v="1"/>
    <x v="0"/>
    <x v="7"/>
    <x v="948"/>
    <x v="910"/>
    <x v="951"/>
    <x v="20"/>
    <x v="78"/>
    <x v="0"/>
    <x v="2"/>
    <x v="1"/>
    <x v="0"/>
    <x v="0"/>
    <x v="0"/>
    <x v="5"/>
    <x v="1"/>
    <x v="5"/>
    <x v="0"/>
    <x v="311"/>
    <x v="11"/>
    <x v="2"/>
    <x v="278"/>
    <x v="90"/>
    <x v="35"/>
    <x v="24"/>
    <x v="985"/>
    <x v="904"/>
  </r>
  <r>
    <x v="17"/>
    <x v="22"/>
    <x v="3"/>
    <x v="1"/>
    <x v="699"/>
    <x v="19"/>
    <x v="3"/>
    <x v="226"/>
    <x v="197"/>
    <x v="1"/>
    <x v="26"/>
    <x v="0"/>
    <x v="0"/>
    <x v="8"/>
    <x v="268"/>
    <x v="237"/>
    <x v="295"/>
    <x v="368"/>
    <x v="151"/>
    <x v="0"/>
    <x v="2"/>
    <x v="2"/>
    <x v="0"/>
    <x v="0"/>
    <x v="0"/>
    <x v="1"/>
    <x v="0"/>
    <x v="4"/>
    <x v="0"/>
    <x v="317"/>
    <x v="12"/>
    <x v="3"/>
    <x v="274"/>
    <x v="90"/>
    <x v="19"/>
    <x v="26"/>
    <x v="197"/>
    <x v="299"/>
  </r>
  <r>
    <x v="46"/>
    <x v="148"/>
    <x v="3"/>
    <x v="0"/>
    <x v="373"/>
    <x v="17"/>
    <x v="0"/>
    <x v="107"/>
    <x v="151"/>
    <x v="1"/>
    <x v="26"/>
    <x v="1"/>
    <x v="0"/>
    <x v="3"/>
    <x v="192"/>
    <x v="178"/>
    <x v="151"/>
    <x v="810"/>
    <x v="918"/>
    <x v="1"/>
    <x v="2"/>
    <x v="2"/>
    <x v="5"/>
    <x v="5"/>
    <x v="1"/>
    <x v="0"/>
    <x v="4"/>
    <x v="23"/>
    <x v="0"/>
    <x v="191"/>
    <x v="7"/>
    <x v="3"/>
    <x v="64"/>
    <x v="90"/>
    <x v="17"/>
    <x v="26"/>
    <x v="151"/>
    <x v="626"/>
  </r>
  <r>
    <x v="48"/>
    <x v="336"/>
    <x v="2"/>
    <x v="2"/>
    <x v="437"/>
    <x v="37"/>
    <x v="2"/>
    <x v="604"/>
    <x v="634"/>
    <x v="1"/>
    <x v="23"/>
    <x v="1"/>
    <x v="1"/>
    <x v="12"/>
    <x v="826"/>
    <x v="787"/>
    <x v="806"/>
    <x v="144"/>
    <x v="305"/>
    <x v="0"/>
    <x v="2"/>
    <x v="2"/>
    <x v="11"/>
    <x v="11"/>
    <x v="3"/>
    <x v="0"/>
    <x v="4"/>
    <x v="52"/>
    <x v="0"/>
    <x v="3"/>
    <x v="0"/>
    <x v="2"/>
    <x v="753"/>
    <x v="90"/>
    <x v="37"/>
    <x v="23"/>
    <x v="634"/>
    <x v="562"/>
  </r>
  <r>
    <x v="13"/>
    <x v="146"/>
    <x v="0"/>
    <x v="1"/>
    <x v="33"/>
    <x v="2"/>
    <x v="1"/>
    <x v="499"/>
    <x v="507"/>
    <x v="1"/>
    <x v="8"/>
    <x v="1"/>
    <x v="1"/>
    <x v="5"/>
    <x v="91"/>
    <x v="99"/>
    <x v="126"/>
    <x v="619"/>
    <x v="643"/>
    <x v="1"/>
    <x v="0"/>
    <x v="1"/>
    <x v="5"/>
    <x v="5"/>
    <x v="1"/>
    <x v="6"/>
    <x v="2"/>
    <x v="23"/>
    <x v="0"/>
    <x v="193"/>
    <x v="7"/>
    <x v="0"/>
    <x v="445"/>
    <x v="90"/>
    <x v="2"/>
    <x v="8"/>
    <x v="507"/>
    <x v="966"/>
  </r>
  <r>
    <x v="14"/>
    <x v="36"/>
    <x v="2"/>
    <x v="0"/>
    <x v="264"/>
    <x v="22"/>
    <x v="1"/>
    <x v="549"/>
    <x v="497"/>
    <x v="0"/>
    <x v="24"/>
    <x v="1"/>
    <x v="0"/>
    <x v="2"/>
    <x v="544"/>
    <x v="510"/>
    <x v="582"/>
    <x v="136"/>
    <x v="53"/>
    <x v="0"/>
    <x v="2"/>
    <x v="2"/>
    <x v="1"/>
    <x v="1"/>
    <x v="0"/>
    <x v="6"/>
    <x v="2"/>
    <x v="6"/>
    <x v="0"/>
    <x v="303"/>
    <x v="11"/>
    <x v="2"/>
    <x v="18"/>
    <x v="90"/>
    <x v="22"/>
    <x v="24"/>
    <x v="497"/>
    <x v="735"/>
  </r>
  <r>
    <x v="30"/>
    <x v="75"/>
    <x v="4"/>
    <x v="0"/>
    <x v="35"/>
    <x v="31"/>
    <x v="0"/>
    <x v="673"/>
    <x v="692"/>
    <x v="0"/>
    <x v="16"/>
    <x v="1"/>
    <x v="1"/>
    <x v="4"/>
    <x v="795"/>
    <x v="791"/>
    <x v="788"/>
    <x v="268"/>
    <x v="418"/>
    <x v="0"/>
    <x v="1"/>
    <x v="1"/>
    <x v="2"/>
    <x v="2"/>
    <x v="0"/>
    <x v="4"/>
    <x v="3"/>
    <x v="12"/>
    <x v="0"/>
    <x v="264"/>
    <x v="10"/>
    <x v="4"/>
    <x v="155"/>
    <x v="90"/>
    <x v="31"/>
    <x v="16"/>
    <x v="692"/>
    <x v="964"/>
  </r>
  <r>
    <x v="0"/>
    <x v="330"/>
    <x v="3"/>
    <x v="3"/>
    <x v="886"/>
    <x v="44"/>
    <x v="0"/>
    <x v="281"/>
    <x v="293"/>
    <x v="0"/>
    <x v="2"/>
    <x v="2"/>
    <x v="0"/>
    <x v="18"/>
    <x v="633"/>
    <x v="681"/>
    <x v="589"/>
    <x v="975"/>
    <x v="873"/>
    <x v="1"/>
    <x v="0"/>
    <x v="0"/>
    <x v="11"/>
    <x v="11"/>
    <x v="3"/>
    <x v="0"/>
    <x v="4"/>
    <x v="51"/>
    <x v="0"/>
    <x v="9"/>
    <x v="1"/>
    <x v="3"/>
    <x v="875"/>
    <x v="90"/>
    <x v="44"/>
    <x v="2"/>
    <x v="293"/>
    <x v="111"/>
  </r>
  <r>
    <x v="53"/>
    <x v="240"/>
    <x v="1"/>
    <x v="2"/>
    <x v="246"/>
    <x v="15"/>
    <x v="1"/>
    <x v="920"/>
    <x v="965"/>
    <x v="1"/>
    <x v="14"/>
    <x v="2"/>
    <x v="1"/>
    <x v="11"/>
    <x v="656"/>
    <x v="656"/>
    <x v="657"/>
    <x v="388"/>
    <x v="482"/>
    <x v="0"/>
    <x v="1"/>
    <x v="1"/>
    <x v="8"/>
    <x v="8"/>
    <x v="2"/>
    <x v="0"/>
    <x v="4"/>
    <x v="37"/>
    <x v="0"/>
    <x v="99"/>
    <x v="4"/>
    <x v="1"/>
    <x v="717"/>
    <x v="90"/>
    <x v="15"/>
    <x v="14"/>
    <x v="965"/>
    <x v="753"/>
  </r>
  <r>
    <x v="2"/>
    <x v="193"/>
    <x v="4"/>
    <x v="3"/>
    <x v="554"/>
    <x v="4"/>
    <x v="2"/>
    <x v="435"/>
    <x v="449"/>
    <x v="0"/>
    <x v="28"/>
    <x v="1"/>
    <x v="0"/>
    <x v="19"/>
    <x v="139"/>
    <x v="120"/>
    <x v="162"/>
    <x v="460"/>
    <x v="138"/>
    <x v="0"/>
    <x v="2"/>
    <x v="2"/>
    <x v="6"/>
    <x v="6"/>
    <x v="2"/>
    <x v="5"/>
    <x v="1"/>
    <x v="30"/>
    <x v="0"/>
    <x v="146"/>
    <x v="5"/>
    <x v="4"/>
    <x v="821"/>
    <x v="90"/>
    <x v="4"/>
    <x v="28"/>
    <x v="449"/>
    <x v="445"/>
  </r>
  <r>
    <x v="15"/>
    <x v="70"/>
    <x v="3"/>
    <x v="2"/>
    <x v="40"/>
    <x v="3"/>
    <x v="2"/>
    <x v="138"/>
    <x v="124"/>
    <x v="0"/>
    <x v="27"/>
    <x v="2"/>
    <x v="1"/>
    <x v="13"/>
    <x v="32"/>
    <x v="25"/>
    <x v="46"/>
    <x v="576"/>
    <x v="375"/>
    <x v="0"/>
    <x v="2"/>
    <x v="1"/>
    <x v="2"/>
    <x v="2"/>
    <x v="0"/>
    <x v="2"/>
    <x v="5"/>
    <x v="11"/>
    <x v="1"/>
    <x v="269"/>
    <x v="10"/>
    <x v="3"/>
    <x v="665"/>
    <x v="90"/>
    <x v="3"/>
    <x v="27"/>
    <x v="124"/>
    <x v="959"/>
  </r>
  <r>
    <x v="86"/>
    <x v="11"/>
    <x v="2"/>
    <x v="1"/>
    <x v="664"/>
    <x v="20"/>
    <x v="2"/>
    <x v="752"/>
    <x v="753"/>
    <x v="0"/>
    <x v="3"/>
    <x v="0"/>
    <x v="1"/>
    <x v="7"/>
    <x v="667"/>
    <x v="705"/>
    <x v="675"/>
    <x v="792"/>
    <x v="694"/>
    <x v="1"/>
    <x v="0"/>
    <x v="2"/>
    <x v="0"/>
    <x v="0"/>
    <x v="0"/>
    <x v="4"/>
    <x v="3"/>
    <x v="2"/>
    <x v="0"/>
    <x v="328"/>
    <x v="12"/>
    <x v="2"/>
    <x v="398"/>
    <x v="90"/>
    <x v="20"/>
    <x v="3"/>
    <x v="753"/>
    <x v="334"/>
  </r>
  <r>
    <x v="56"/>
    <x v="274"/>
    <x v="4"/>
    <x v="2"/>
    <x v="332"/>
    <x v="39"/>
    <x v="0"/>
    <x v="656"/>
    <x v="696"/>
    <x v="0"/>
    <x v="22"/>
    <x v="0"/>
    <x v="1"/>
    <x v="14"/>
    <x v="879"/>
    <x v="847"/>
    <x v="854"/>
    <x v="143"/>
    <x v="341"/>
    <x v="0"/>
    <x v="2"/>
    <x v="2"/>
    <x v="9"/>
    <x v="9"/>
    <x v="3"/>
    <x v="3"/>
    <x v="6"/>
    <x v="42"/>
    <x v="1"/>
    <x v="65"/>
    <x v="3"/>
    <x v="4"/>
    <x v="732"/>
    <x v="90"/>
    <x v="39"/>
    <x v="22"/>
    <x v="696"/>
    <x v="667"/>
  </r>
  <r>
    <x v="74"/>
    <x v="211"/>
    <x v="3"/>
    <x v="0"/>
    <x v="906"/>
    <x v="13"/>
    <x v="3"/>
    <x v="331"/>
    <x v="346"/>
    <x v="1"/>
    <x v="24"/>
    <x v="0"/>
    <x v="1"/>
    <x v="3"/>
    <x v="287"/>
    <x v="263"/>
    <x v="292"/>
    <x v="477"/>
    <x v="407"/>
    <x v="0"/>
    <x v="2"/>
    <x v="0"/>
    <x v="7"/>
    <x v="7"/>
    <x v="2"/>
    <x v="2"/>
    <x v="5"/>
    <x v="32"/>
    <x v="1"/>
    <x v="128"/>
    <x v="5"/>
    <x v="3"/>
    <x v="204"/>
    <x v="90"/>
    <x v="13"/>
    <x v="24"/>
    <x v="346"/>
    <x v="91"/>
  </r>
  <r>
    <x v="11"/>
    <x v="12"/>
    <x v="0"/>
    <x v="0"/>
    <x v="894"/>
    <x v="38"/>
    <x v="3"/>
    <x v="636"/>
    <x v="652"/>
    <x v="0"/>
    <x v="8"/>
    <x v="1"/>
    <x v="0"/>
    <x v="0"/>
    <x v="846"/>
    <x v="873"/>
    <x v="837"/>
    <x v="773"/>
    <x v="659"/>
    <x v="1"/>
    <x v="0"/>
    <x v="0"/>
    <x v="0"/>
    <x v="0"/>
    <x v="0"/>
    <x v="0"/>
    <x v="4"/>
    <x v="2"/>
    <x v="0"/>
    <x v="327"/>
    <x v="12"/>
    <x v="0"/>
    <x v="8"/>
    <x v="90"/>
    <x v="38"/>
    <x v="8"/>
    <x v="652"/>
    <x v="103"/>
  </r>
  <r>
    <x v="73"/>
    <x v="42"/>
    <x v="0"/>
    <x v="2"/>
    <x v="334"/>
    <x v="30"/>
    <x v="3"/>
    <x v="223"/>
    <x v="200"/>
    <x v="1"/>
    <x v="14"/>
    <x v="1"/>
    <x v="1"/>
    <x v="10"/>
    <x v="397"/>
    <x v="402"/>
    <x v="410"/>
    <x v="483"/>
    <x v="500"/>
    <x v="0"/>
    <x v="1"/>
    <x v="2"/>
    <x v="1"/>
    <x v="1"/>
    <x v="0"/>
    <x v="6"/>
    <x v="2"/>
    <x v="7"/>
    <x v="0"/>
    <x v="297"/>
    <x v="11"/>
    <x v="0"/>
    <x v="655"/>
    <x v="90"/>
    <x v="30"/>
    <x v="14"/>
    <x v="200"/>
    <x v="665"/>
  </r>
  <r>
    <x v="95"/>
    <x v="143"/>
    <x v="1"/>
    <x v="2"/>
    <x v="908"/>
    <x v="13"/>
    <x v="3"/>
    <x v="446"/>
    <x v="485"/>
    <x v="1"/>
    <x v="21"/>
    <x v="2"/>
    <x v="0"/>
    <x v="11"/>
    <x v="378"/>
    <x v="360"/>
    <x v="381"/>
    <x v="427"/>
    <x v="399"/>
    <x v="0"/>
    <x v="2"/>
    <x v="0"/>
    <x v="5"/>
    <x v="5"/>
    <x v="1"/>
    <x v="3"/>
    <x v="6"/>
    <x v="22"/>
    <x v="1"/>
    <x v="196"/>
    <x v="7"/>
    <x v="1"/>
    <x v="583"/>
    <x v="66"/>
    <x v="13"/>
    <x v="21"/>
    <x v="485"/>
    <x v="89"/>
  </r>
  <r>
    <x v="15"/>
    <x v="104"/>
    <x v="3"/>
    <x v="2"/>
    <x v="993"/>
    <x v="5"/>
    <x v="3"/>
    <x v="914"/>
    <x v="938"/>
    <x v="0"/>
    <x v="13"/>
    <x v="2"/>
    <x v="0"/>
    <x v="13"/>
    <x v="305"/>
    <x v="311"/>
    <x v="329"/>
    <x v="482"/>
    <x v="462"/>
    <x v="0"/>
    <x v="1"/>
    <x v="0"/>
    <x v="3"/>
    <x v="3"/>
    <x v="1"/>
    <x v="3"/>
    <x v="6"/>
    <x v="16"/>
    <x v="1"/>
    <x v="235"/>
    <x v="9"/>
    <x v="3"/>
    <x v="564"/>
    <x v="67"/>
    <x v="5"/>
    <x v="13"/>
    <x v="938"/>
    <x v="4"/>
  </r>
  <r>
    <x v="71"/>
    <x v="219"/>
    <x v="0"/>
    <x v="3"/>
    <x v="834"/>
    <x v="11"/>
    <x v="0"/>
    <x v="145"/>
    <x v="126"/>
    <x v="1"/>
    <x v="3"/>
    <x v="2"/>
    <x v="0"/>
    <x v="15"/>
    <x v="118"/>
    <x v="138"/>
    <x v="140"/>
    <x v="739"/>
    <x v="866"/>
    <x v="1"/>
    <x v="0"/>
    <x v="0"/>
    <x v="7"/>
    <x v="7"/>
    <x v="2"/>
    <x v="1"/>
    <x v="0"/>
    <x v="34"/>
    <x v="0"/>
    <x v="120"/>
    <x v="5"/>
    <x v="0"/>
    <x v="836"/>
    <x v="90"/>
    <x v="11"/>
    <x v="3"/>
    <x v="126"/>
    <x v="163"/>
  </r>
  <r>
    <x v="75"/>
    <x v="16"/>
    <x v="2"/>
    <x v="2"/>
    <x v="853"/>
    <x v="15"/>
    <x v="0"/>
    <x v="386"/>
    <x v="392"/>
    <x v="1"/>
    <x v="21"/>
    <x v="0"/>
    <x v="0"/>
    <x v="12"/>
    <x v="365"/>
    <x v="342"/>
    <x v="380"/>
    <x v="392"/>
    <x v="317"/>
    <x v="0"/>
    <x v="2"/>
    <x v="0"/>
    <x v="0"/>
    <x v="0"/>
    <x v="0"/>
    <x v="5"/>
    <x v="1"/>
    <x v="3"/>
    <x v="0"/>
    <x v="323"/>
    <x v="12"/>
    <x v="2"/>
    <x v="539"/>
    <x v="90"/>
    <x v="15"/>
    <x v="21"/>
    <x v="392"/>
    <x v="144"/>
  </r>
  <r>
    <x v="23"/>
    <x v="333"/>
    <x v="3"/>
    <x v="1"/>
    <x v="253"/>
    <x v="16"/>
    <x v="3"/>
    <x v="827"/>
    <x v="807"/>
    <x v="1"/>
    <x v="27"/>
    <x v="0"/>
    <x v="1"/>
    <x v="8"/>
    <x v="611"/>
    <x v="549"/>
    <x v="639"/>
    <x v="108"/>
    <x v="34"/>
    <x v="0"/>
    <x v="2"/>
    <x v="2"/>
    <x v="11"/>
    <x v="11"/>
    <x v="3"/>
    <x v="5"/>
    <x v="1"/>
    <x v="52"/>
    <x v="0"/>
    <x v="6"/>
    <x v="0"/>
    <x v="3"/>
    <x v="527"/>
    <x v="90"/>
    <x v="16"/>
    <x v="27"/>
    <x v="807"/>
    <x v="746"/>
  </r>
  <r>
    <x v="27"/>
    <x v="210"/>
    <x v="2"/>
    <x v="3"/>
    <x v="570"/>
    <x v="44"/>
    <x v="0"/>
    <x v="971"/>
    <x v="953"/>
    <x v="1"/>
    <x v="20"/>
    <x v="0"/>
    <x v="0"/>
    <x v="17"/>
    <x v="988"/>
    <x v="975"/>
    <x v="993"/>
    <x v="17"/>
    <x v="161"/>
    <x v="0"/>
    <x v="2"/>
    <x v="2"/>
    <x v="7"/>
    <x v="7"/>
    <x v="2"/>
    <x v="0"/>
    <x v="4"/>
    <x v="32"/>
    <x v="0"/>
    <x v="129"/>
    <x v="5"/>
    <x v="2"/>
    <x v="828"/>
    <x v="90"/>
    <x v="44"/>
    <x v="20"/>
    <x v="953"/>
    <x v="429"/>
  </r>
  <r>
    <x v="7"/>
    <x v="328"/>
    <x v="2"/>
    <x v="3"/>
    <x v="69"/>
    <x v="22"/>
    <x v="0"/>
    <x v="462"/>
    <x v="414"/>
    <x v="1"/>
    <x v="23"/>
    <x v="0"/>
    <x v="1"/>
    <x v="17"/>
    <x v="488"/>
    <x v="463"/>
    <x v="527"/>
    <x v="171"/>
    <x v="62"/>
    <x v="0"/>
    <x v="2"/>
    <x v="1"/>
    <x v="11"/>
    <x v="11"/>
    <x v="3"/>
    <x v="6"/>
    <x v="2"/>
    <x v="51"/>
    <x v="0"/>
    <x v="11"/>
    <x v="1"/>
    <x v="2"/>
    <x v="995"/>
    <x v="90"/>
    <x v="22"/>
    <x v="23"/>
    <x v="414"/>
    <x v="930"/>
  </r>
  <r>
    <x v="91"/>
    <x v="175"/>
    <x v="0"/>
    <x v="2"/>
    <x v="100"/>
    <x v="13"/>
    <x v="3"/>
    <x v="520"/>
    <x v="503"/>
    <x v="1"/>
    <x v="11"/>
    <x v="2"/>
    <x v="1"/>
    <x v="10"/>
    <x v="387"/>
    <x v="403"/>
    <x v="414"/>
    <x v="459"/>
    <x v="457"/>
    <x v="0"/>
    <x v="1"/>
    <x v="1"/>
    <x v="6"/>
    <x v="6"/>
    <x v="2"/>
    <x v="0"/>
    <x v="4"/>
    <x v="27"/>
    <x v="0"/>
    <x v="164"/>
    <x v="6"/>
    <x v="0"/>
    <x v="695"/>
    <x v="90"/>
    <x v="13"/>
    <x v="11"/>
    <x v="503"/>
    <x v="899"/>
  </r>
  <r>
    <x v="35"/>
    <x v="319"/>
    <x v="3"/>
    <x v="1"/>
    <x v="997"/>
    <x v="6"/>
    <x v="2"/>
    <x v="588"/>
    <x v="589"/>
    <x v="1"/>
    <x v="5"/>
    <x v="1"/>
    <x v="1"/>
    <x v="8"/>
    <x v="236"/>
    <x v="264"/>
    <x v="265"/>
    <x v="684"/>
    <x v="702"/>
    <x v="1"/>
    <x v="0"/>
    <x v="0"/>
    <x v="11"/>
    <x v="11"/>
    <x v="3"/>
    <x v="3"/>
    <x v="6"/>
    <x v="49"/>
    <x v="1"/>
    <x v="20"/>
    <x v="1"/>
    <x v="3"/>
    <x v="521"/>
    <x v="68"/>
    <x v="6"/>
    <x v="5"/>
    <x v="589"/>
    <x v="0"/>
  </r>
  <r>
    <x v="89"/>
    <x v="338"/>
    <x v="4"/>
    <x v="3"/>
    <x v="337"/>
    <x v="45"/>
    <x v="0"/>
    <x v="937"/>
    <x v="899"/>
    <x v="0"/>
    <x v="19"/>
    <x v="1"/>
    <x v="1"/>
    <x v="19"/>
    <x v="981"/>
    <x v="969"/>
    <x v="990"/>
    <x v="12"/>
    <x v="136"/>
    <x v="0"/>
    <x v="1"/>
    <x v="2"/>
    <x v="11"/>
    <x v="11"/>
    <x v="3"/>
    <x v="3"/>
    <x v="6"/>
    <x v="52"/>
    <x v="1"/>
    <x v="1"/>
    <x v="0"/>
    <x v="4"/>
    <x v="999"/>
    <x v="90"/>
    <x v="45"/>
    <x v="19"/>
    <x v="899"/>
    <x v="662"/>
  </r>
  <r>
    <x v="7"/>
    <x v="151"/>
    <x v="0"/>
    <x v="0"/>
    <x v="748"/>
    <x v="31"/>
    <x v="2"/>
    <x v="874"/>
    <x v="856"/>
    <x v="0"/>
    <x v="10"/>
    <x v="0"/>
    <x v="0"/>
    <x v="0"/>
    <x v="860"/>
    <x v="879"/>
    <x v="870"/>
    <x v="216"/>
    <x v="423"/>
    <x v="0"/>
    <x v="1"/>
    <x v="2"/>
    <x v="5"/>
    <x v="5"/>
    <x v="1"/>
    <x v="1"/>
    <x v="0"/>
    <x v="24"/>
    <x v="0"/>
    <x v="188"/>
    <x v="7"/>
    <x v="0"/>
    <x v="68"/>
    <x v="90"/>
    <x v="31"/>
    <x v="10"/>
    <x v="856"/>
    <x v="250"/>
  </r>
  <r>
    <x v="57"/>
    <x v="302"/>
    <x v="0"/>
    <x v="3"/>
    <x v="815"/>
    <x v="14"/>
    <x v="0"/>
    <x v="168"/>
    <x v="216"/>
    <x v="1"/>
    <x v="26"/>
    <x v="1"/>
    <x v="1"/>
    <x v="15"/>
    <x v="213"/>
    <x v="187"/>
    <x v="195"/>
    <x v="724"/>
    <x v="802"/>
    <x v="1"/>
    <x v="2"/>
    <x v="0"/>
    <x v="10"/>
    <x v="10"/>
    <x v="3"/>
    <x v="6"/>
    <x v="2"/>
    <x v="47"/>
    <x v="0"/>
    <x v="37"/>
    <x v="2"/>
    <x v="0"/>
    <x v="983"/>
    <x v="90"/>
    <x v="14"/>
    <x v="26"/>
    <x v="216"/>
    <x v="182"/>
  </r>
  <r>
    <x v="59"/>
    <x v="67"/>
    <x v="3"/>
    <x v="2"/>
    <x v="865"/>
    <x v="43"/>
    <x v="0"/>
    <x v="436"/>
    <x v="454"/>
    <x v="1"/>
    <x v="4"/>
    <x v="1"/>
    <x v="0"/>
    <x v="13"/>
    <x v="768"/>
    <x v="821"/>
    <x v="747"/>
    <x v="939"/>
    <x v="777"/>
    <x v="1"/>
    <x v="0"/>
    <x v="0"/>
    <x v="2"/>
    <x v="2"/>
    <x v="0"/>
    <x v="6"/>
    <x v="2"/>
    <x v="11"/>
    <x v="0"/>
    <x v="272"/>
    <x v="10"/>
    <x v="3"/>
    <x v="550"/>
    <x v="90"/>
    <x v="43"/>
    <x v="4"/>
    <x v="454"/>
    <x v="132"/>
  </r>
  <r>
    <x v="49"/>
    <x v="219"/>
    <x v="3"/>
    <x v="1"/>
    <x v="996"/>
    <x v="16"/>
    <x v="3"/>
    <x v="472"/>
    <x v="491"/>
    <x v="0"/>
    <x v="13"/>
    <x v="1"/>
    <x v="1"/>
    <x v="8"/>
    <x v="441"/>
    <x v="446"/>
    <x v="439"/>
    <x v="539"/>
    <x v="570"/>
    <x v="0"/>
    <x v="1"/>
    <x v="0"/>
    <x v="7"/>
    <x v="7"/>
    <x v="2"/>
    <x v="1"/>
    <x v="0"/>
    <x v="34"/>
    <x v="0"/>
    <x v="120"/>
    <x v="5"/>
    <x v="3"/>
    <x v="475"/>
    <x v="69"/>
    <x v="16"/>
    <x v="13"/>
    <x v="491"/>
    <x v="1"/>
  </r>
  <r>
    <x v="27"/>
    <x v="211"/>
    <x v="2"/>
    <x v="2"/>
    <x v="240"/>
    <x v="40"/>
    <x v="0"/>
    <x v="794"/>
    <x v="785"/>
    <x v="0"/>
    <x v="12"/>
    <x v="0"/>
    <x v="1"/>
    <x v="12"/>
    <x v="921"/>
    <x v="931"/>
    <x v="920"/>
    <x v="166"/>
    <x v="409"/>
    <x v="0"/>
    <x v="1"/>
    <x v="1"/>
    <x v="7"/>
    <x v="7"/>
    <x v="2"/>
    <x v="2"/>
    <x v="5"/>
    <x v="32"/>
    <x v="1"/>
    <x v="128"/>
    <x v="5"/>
    <x v="2"/>
    <x v="703"/>
    <x v="90"/>
    <x v="40"/>
    <x v="12"/>
    <x v="785"/>
    <x v="759"/>
  </r>
  <r>
    <x v="91"/>
    <x v="296"/>
    <x v="3"/>
    <x v="0"/>
    <x v="42"/>
    <x v="46"/>
    <x v="1"/>
    <x v="617"/>
    <x v="633"/>
    <x v="0"/>
    <x v="28"/>
    <x v="2"/>
    <x v="0"/>
    <x v="3"/>
    <x v="903"/>
    <x v="841"/>
    <x v="887"/>
    <x v="55"/>
    <x v="110"/>
    <x v="0"/>
    <x v="2"/>
    <x v="1"/>
    <x v="10"/>
    <x v="10"/>
    <x v="3"/>
    <x v="6"/>
    <x v="2"/>
    <x v="46"/>
    <x v="0"/>
    <x v="43"/>
    <x v="2"/>
    <x v="3"/>
    <x v="110"/>
    <x v="90"/>
    <x v="46"/>
    <x v="28"/>
    <x v="633"/>
    <x v="957"/>
  </r>
  <r>
    <x v="40"/>
    <x v="55"/>
    <x v="2"/>
    <x v="0"/>
    <x v="418"/>
    <x v="43"/>
    <x v="1"/>
    <x v="662"/>
    <x v="641"/>
    <x v="0"/>
    <x v="5"/>
    <x v="2"/>
    <x v="1"/>
    <x v="2"/>
    <x v="880"/>
    <x v="913"/>
    <x v="894"/>
    <x v="413"/>
    <x v="558"/>
    <x v="0"/>
    <x v="0"/>
    <x v="2"/>
    <x v="2"/>
    <x v="2"/>
    <x v="0"/>
    <x v="6"/>
    <x v="2"/>
    <x v="9"/>
    <x v="0"/>
    <x v="284"/>
    <x v="10"/>
    <x v="2"/>
    <x v="146"/>
    <x v="90"/>
    <x v="43"/>
    <x v="5"/>
    <x v="641"/>
    <x v="581"/>
  </r>
  <r>
    <x v="99"/>
    <x v="311"/>
    <x v="0"/>
    <x v="0"/>
    <x v="124"/>
    <x v="33"/>
    <x v="3"/>
    <x v="995"/>
    <x v="998"/>
    <x v="1"/>
    <x v="0"/>
    <x v="1"/>
    <x v="1"/>
    <x v="0"/>
    <x v="940"/>
    <x v="980"/>
    <x v="937"/>
    <x v="986"/>
    <x v="768"/>
    <x v="1"/>
    <x v="0"/>
    <x v="1"/>
    <x v="11"/>
    <x v="11"/>
    <x v="3"/>
    <x v="0"/>
    <x v="4"/>
    <x v="48"/>
    <x v="0"/>
    <x v="28"/>
    <x v="1"/>
    <x v="0"/>
    <x v="249"/>
    <x v="90"/>
    <x v="33"/>
    <x v="0"/>
    <x v="998"/>
    <x v="875"/>
  </r>
  <r>
    <x v="63"/>
    <x v="209"/>
    <x v="1"/>
    <x v="2"/>
    <x v="28"/>
    <x v="4"/>
    <x v="2"/>
    <x v="76"/>
    <x v="37"/>
    <x v="1"/>
    <x v="7"/>
    <x v="2"/>
    <x v="1"/>
    <x v="11"/>
    <x v="20"/>
    <x v="22"/>
    <x v="29"/>
    <x v="627"/>
    <x v="765"/>
    <x v="1"/>
    <x v="0"/>
    <x v="1"/>
    <x v="7"/>
    <x v="7"/>
    <x v="2"/>
    <x v="4"/>
    <x v="3"/>
    <x v="32"/>
    <x v="0"/>
    <x v="130"/>
    <x v="5"/>
    <x v="1"/>
    <x v="702"/>
    <x v="90"/>
    <x v="4"/>
    <x v="7"/>
    <x v="37"/>
    <x v="971"/>
  </r>
  <r>
    <x v="26"/>
    <x v="34"/>
    <x v="4"/>
    <x v="3"/>
    <x v="368"/>
    <x v="44"/>
    <x v="2"/>
    <x v="230"/>
    <x v="245"/>
    <x v="0"/>
    <x v="25"/>
    <x v="2"/>
    <x v="1"/>
    <x v="19"/>
    <x v="572"/>
    <x v="530"/>
    <x v="520"/>
    <x v="473"/>
    <x v="522"/>
    <x v="0"/>
    <x v="2"/>
    <x v="2"/>
    <x v="1"/>
    <x v="1"/>
    <x v="0"/>
    <x v="1"/>
    <x v="0"/>
    <x v="6"/>
    <x v="0"/>
    <x v="305"/>
    <x v="11"/>
    <x v="4"/>
    <x v="892"/>
    <x v="90"/>
    <x v="44"/>
    <x v="25"/>
    <x v="245"/>
    <x v="631"/>
  </r>
  <r>
    <x v="62"/>
    <x v="259"/>
    <x v="0"/>
    <x v="2"/>
    <x v="789"/>
    <x v="26"/>
    <x v="2"/>
    <x v="412"/>
    <x v="398"/>
    <x v="0"/>
    <x v="6"/>
    <x v="0"/>
    <x v="1"/>
    <x v="10"/>
    <x v="533"/>
    <x v="586"/>
    <x v="544"/>
    <x v="704"/>
    <x v="663"/>
    <x v="1"/>
    <x v="0"/>
    <x v="0"/>
    <x v="9"/>
    <x v="9"/>
    <x v="3"/>
    <x v="4"/>
    <x v="3"/>
    <x v="40"/>
    <x v="0"/>
    <x v="80"/>
    <x v="3"/>
    <x v="0"/>
    <x v="725"/>
    <x v="90"/>
    <x v="26"/>
    <x v="6"/>
    <x v="398"/>
    <x v="209"/>
  </r>
  <r>
    <x v="16"/>
    <x v="183"/>
    <x v="3"/>
    <x v="1"/>
    <x v="562"/>
    <x v="22"/>
    <x v="1"/>
    <x v="363"/>
    <x v="378"/>
    <x v="0"/>
    <x v="7"/>
    <x v="0"/>
    <x v="0"/>
    <x v="8"/>
    <x v="468"/>
    <x v="502"/>
    <x v="449"/>
    <x v="862"/>
    <x v="826"/>
    <x v="1"/>
    <x v="0"/>
    <x v="2"/>
    <x v="6"/>
    <x v="6"/>
    <x v="2"/>
    <x v="2"/>
    <x v="5"/>
    <x v="28"/>
    <x v="1"/>
    <x v="156"/>
    <x v="6"/>
    <x v="3"/>
    <x v="332"/>
    <x v="90"/>
    <x v="22"/>
    <x v="7"/>
    <x v="378"/>
    <x v="437"/>
  </r>
  <r>
    <x v="72"/>
    <x v="326"/>
    <x v="4"/>
    <x v="3"/>
    <x v="325"/>
    <x v="39"/>
    <x v="2"/>
    <x v="25"/>
    <x v="25"/>
    <x v="0"/>
    <x v="4"/>
    <x v="1"/>
    <x v="1"/>
    <x v="19"/>
    <x v="189"/>
    <x v="207"/>
    <x v="109"/>
    <x v="956"/>
    <x v="979"/>
    <x v="1"/>
    <x v="0"/>
    <x v="2"/>
    <x v="11"/>
    <x v="11"/>
    <x v="3"/>
    <x v="1"/>
    <x v="0"/>
    <x v="51"/>
    <x v="0"/>
    <x v="13"/>
    <x v="1"/>
    <x v="4"/>
    <x v="993"/>
    <x v="90"/>
    <x v="39"/>
    <x v="4"/>
    <x v="25"/>
    <x v="674"/>
  </r>
  <r>
    <x v="32"/>
    <x v="227"/>
    <x v="1"/>
    <x v="0"/>
    <x v="646"/>
    <x v="13"/>
    <x v="2"/>
    <x v="94"/>
    <x v="87"/>
    <x v="1"/>
    <x v="21"/>
    <x v="1"/>
    <x v="1"/>
    <x v="1"/>
    <x v="115"/>
    <x v="106"/>
    <x v="122"/>
    <x v="701"/>
    <x v="841"/>
    <x v="1"/>
    <x v="2"/>
    <x v="2"/>
    <x v="7"/>
    <x v="7"/>
    <x v="2"/>
    <x v="6"/>
    <x v="2"/>
    <x v="35"/>
    <x v="0"/>
    <x v="112"/>
    <x v="4"/>
    <x v="1"/>
    <x v="209"/>
    <x v="90"/>
    <x v="13"/>
    <x v="21"/>
    <x v="87"/>
    <x v="352"/>
  </r>
  <r>
    <x v="83"/>
    <x v="301"/>
    <x v="1"/>
    <x v="2"/>
    <x v="234"/>
    <x v="14"/>
    <x v="3"/>
    <x v="687"/>
    <x v="659"/>
    <x v="0"/>
    <x v="2"/>
    <x v="1"/>
    <x v="0"/>
    <x v="11"/>
    <x v="486"/>
    <x v="539"/>
    <x v="516"/>
    <x v="644"/>
    <x v="623"/>
    <x v="1"/>
    <x v="0"/>
    <x v="1"/>
    <x v="10"/>
    <x v="10"/>
    <x v="3"/>
    <x v="1"/>
    <x v="0"/>
    <x v="47"/>
    <x v="0"/>
    <x v="38"/>
    <x v="2"/>
    <x v="1"/>
    <x v="631"/>
    <x v="90"/>
    <x v="14"/>
    <x v="2"/>
    <x v="659"/>
    <x v="765"/>
  </r>
  <r>
    <x v="76"/>
    <x v="206"/>
    <x v="2"/>
    <x v="0"/>
    <x v="17"/>
    <x v="42"/>
    <x v="2"/>
    <x v="901"/>
    <x v="910"/>
    <x v="0"/>
    <x v="10"/>
    <x v="0"/>
    <x v="1"/>
    <x v="2"/>
    <x v="969"/>
    <x v="978"/>
    <x v="961"/>
    <x v="294"/>
    <x v="524"/>
    <x v="0"/>
    <x v="1"/>
    <x v="1"/>
    <x v="7"/>
    <x v="7"/>
    <x v="2"/>
    <x v="1"/>
    <x v="0"/>
    <x v="32"/>
    <x v="0"/>
    <x v="133"/>
    <x v="5"/>
    <x v="2"/>
    <x v="202"/>
    <x v="90"/>
    <x v="42"/>
    <x v="10"/>
    <x v="910"/>
    <x v="982"/>
  </r>
  <r>
    <x v="91"/>
    <x v="179"/>
    <x v="4"/>
    <x v="0"/>
    <x v="768"/>
    <x v="32"/>
    <x v="1"/>
    <x v="535"/>
    <x v="579"/>
    <x v="0"/>
    <x v="8"/>
    <x v="2"/>
    <x v="0"/>
    <x v="4"/>
    <x v="726"/>
    <x v="761"/>
    <x v="701"/>
    <x v="920"/>
    <x v="782"/>
    <x v="1"/>
    <x v="0"/>
    <x v="0"/>
    <x v="6"/>
    <x v="6"/>
    <x v="2"/>
    <x v="5"/>
    <x v="1"/>
    <x v="28"/>
    <x v="0"/>
    <x v="160"/>
    <x v="6"/>
    <x v="4"/>
    <x v="73"/>
    <x v="90"/>
    <x v="32"/>
    <x v="8"/>
    <x v="579"/>
    <x v="230"/>
  </r>
  <r>
    <x v="28"/>
    <x v="16"/>
    <x v="2"/>
    <x v="1"/>
    <x v="618"/>
    <x v="30"/>
    <x v="1"/>
    <x v="562"/>
    <x v="584"/>
    <x v="1"/>
    <x v="17"/>
    <x v="0"/>
    <x v="1"/>
    <x v="7"/>
    <x v="705"/>
    <x v="703"/>
    <x v="695"/>
    <x v="380"/>
    <x v="498"/>
    <x v="0"/>
    <x v="1"/>
    <x v="2"/>
    <x v="0"/>
    <x v="0"/>
    <x v="0"/>
    <x v="5"/>
    <x v="1"/>
    <x v="3"/>
    <x v="0"/>
    <x v="323"/>
    <x v="12"/>
    <x v="2"/>
    <x v="402"/>
    <x v="90"/>
    <x v="30"/>
    <x v="17"/>
    <x v="584"/>
    <x v="380"/>
  </r>
  <r>
    <x v="12"/>
    <x v="11"/>
    <x v="0"/>
    <x v="3"/>
    <x v="766"/>
    <x v="34"/>
    <x v="1"/>
    <x v="264"/>
    <x v="217"/>
    <x v="1"/>
    <x v="22"/>
    <x v="0"/>
    <x v="1"/>
    <x v="15"/>
    <x v="456"/>
    <x v="430"/>
    <x v="479"/>
    <x v="227"/>
    <x v="117"/>
    <x v="0"/>
    <x v="2"/>
    <x v="0"/>
    <x v="0"/>
    <x v="0"/>
    <x v="0"/>
    <x v="4"/>
    <x v="3"/>
    <x v="2"/>
    <x v="0"/>
    <x v="328"/>
    <x v="12"/>
    <x v="0"/>
    <x v="883"/>
    <x v="90"/>
    <x v="34"/>
    <x v="22"/>
    <x v="217"/>
    <x v="232"/>
  </r>
  <r>
    <x v="45"/>
    <x v="180"/>
    <x v="4"/>
    <x v="1"/>
    <x v="39"/>
    <x v="16"/>
    <x v="3"/>
    <x v="779"/>
    <x v="761"/>
    <x v="1"/>
    <x v="16"/>
    <x v="2"/>
    <x v="0"/>
    <x v="9"/>
    <x v="586"/>
    <x v="595"/>
    <x v="616"/>
    <x v="263"/>
    <x v="300"/>
    <x v="0"/>
    <x v="1"/>
    <x v="1"/>
    <x v="6"/>
    <x v="6"/>
    <x v="2"/>
    <x v="6"/>
    <x v="2"/>
    <x v="28"/>
    <x v="0"/>
    <x v="159"/>
    <x v="6"/>
    <x v="4"/>
    <x v="330"/>
    <x v="90"/>
    <x v="16"/>
    <x v="16"/>
    <x v="761"/>
    <x v="960"/>
  </r>
  <r>
    <x v="34"/>
    <x v="21"/>
    <x v="0"/>
    <x v="1"/>
    <x v="842"/>
    <x v="27"/>
    <x v="3"/>
    <x v="767"/>
    <x v="800"/>
    <x v="0"/>
    <x v="28"/>
    <x v="2"/>
    <x v="1"/>
    <x v="5"/>
    <x v="793"/>
    <x v="723"/>
    <x v="781"/>
    <x v="86"/>
    <x v="132"/>
    <x v="0"/>
    <x v="2"/>
    <x v="0"/>
    <x v="0"/>
    <x v="0"/>
    <x v="0"/>
    <x v="3"/>
    <x v="6"/>
    <x v="3"/>
    <x v="1"/>
    <x v="318"/>
    <x v="12"/>
    <x v="0"/>
    <x v="404"/>
    <x v="90"/>
    <x v="27"/>
    <x v="28"/>
    <x v="800"/>
    <x v="155"/>
  </r>
  <r>
    <x v="5"/>
    <x v="111"/>
    <x v="2"/>
    <x v="1"/>
    <x v="611"/>
    <x v="18"/>
    <x v="0"/>
    <x v="608"/>
    <x v="609"/>
    <x v="0"/>
    <x v="29"/>
    <x v="1"/>
    <x v="1"/>
    <x v="7"/>
    <x v="541"/>
    <x v="483"/>
    <x v="548"/>
    <x v="151"/>
    <x v="52"/>
    <x v="0"/>
    <x v="2"/>
    <x v="2"/>
    <x v="3"/>
    <x v="3"/>
    <x v="1"/>
    <x v="3"/>
    <x v="6"/>
    <x v="17"/>
    <x v="1"/>
    <x v="228"/>
    <x v="8"/>
    <x v="2"/>
    <x v="430"/>
    <x v="90"/>
    <x v="18"/>
    <x v="29"/>
    <x v="609"/>
    <x v="387"/>
  </r>
  <r>
    <x v="81"/>
    <x v="197"/>
    <x v="4"/>
    <x v="0"/>
    <x v="558"/>
    <x v="45"/>
    <x v="2"/>
    <x v="215"/>
    <x v="232"/>
    <x v="0"/>
    <x v="11"/>
    <x v="2"/>
    <x v="0"/>
    <x v="4"/>
    <x v="570"/>
    <x v="601"/>
    <x v="513"/>
    <x v="922"/>
    <x v="847"/>
    <x v="1"/>
    <x v="1"/>
    <x v="2"/>
    <x v="6"/>
    <x v="6"/>
    <x v="2"/>
    <x v="2"/>
    <x v="5"/>
    <x v="30"/>
    <x v="1"/>
    <x v="142"/>
    <x v="5"/>
    <x v="4"/>
    <x v="77"/>
    <x v="90"/>
    <x v="45"/>
    <x v="11"/>
    <x v="232"/>
    <x v="441"/>
  </r>
  <r>
    <x v="68"/>
    <x v="284"/>
    <x v="2"/>
    <x v="1"/>
    <x v="620"/>
    <x v="22"/>
    <x v="3"/>
    <x v="99"/>
    <x v="143"/>
    <x v="1"/>
    <x v="23"/>
    <x v="2"/>
    <x v="0"/>
    <x v="7"/>
    <x v="239"/>
    <x v="216"/>
    <x v="175"/>
    <x v="864"/>
    <x v="931"/>
    <x v="1"/>
    <x v="2"/>
    <x v="2"/>
    <x v="10"/>
    <x v="10"/>
    <x v="3"/>
    <x v="4"/>
    <x v="3"/>
    <x v="44"/>
    <x v="0"/>
    <x v="55"/>
    <x v="2"/>
    <x v="2"/>
    <x v="371"/>
    <x v="90"/>
    <x v="22"/>
    <x v="23"/>
    <x v="143"/>
    <x v="378"/>
  </r>
  <r>
    <x v="46"/>
    <x v="252"/>
    <x v="4"/>
    <x v="1"/>
    <x v="873"/>
    <x v="31"/>
    <x v="1"/>
    <x v="69"/>
    <x v="106"/>
    <x v="1"/>
    <x v="22"/>
    <x v="2"/>
    <x v="1"/>
    <x v="9"/>
    <x v="277"/>
    <x v="257"/>
    <x v="169"/>
    <x v="929"/>
    <x v="949"/>
    <x v="1"/>
    <x v="2"/>
    <x v="0"/>
    <x v="8"/>
    <x v="8"/>
    <x v="2"/>
    <x v="6"/>
    <x v="2"/>
    <x v="39"/>
    <x v="0"/>
    <x v="87"/>
    <x v="3"/>
    <x v="4"/>
    <x v="489"/>
    <x v="90"/>
    <x v="31"/>
    <x v="22"/>
    <x v="106"/>
    <x v="124"/>
  </r>
  <r>
    <x v="24"/>
    <x v="179"/>
    <x v="2"/>
    <x v="3"/>
    <x v="584"/>
    <x v="39"/>
    <x v="1"/>
    <x v="610"/>
    <x v="615"/>
    <x v="0"/>
    <x v="27"/>
    <x v="2"/>
    <x v="0"/>
    <x v="17"/>
    <x v="831"/>
    <x v="769"/>
    <x v="831"/>
    <x v="67"/>
    <x v="86"/>
    <x v="0"/>
    <x v="2"/>
    <x v="2"/>
    <x v="6"/>
    <x v="6"/>
    <x v="2"/>
    <x v="5"/>
    <x v="1"/>
    <x v="28"/>
    <x v="0"/>
    <x v="160"/>
    <x v="6"/>
    <x v="2"/>
    <x v="817"/>
    <x v="90"/>
    <x v="39"/>
    <x v="27"/>
    <x v="615"/>
    <x v="415"/>
  </r>
  <r>
    <x v="65"/>
    <x v="162"/>
    <x v="1"/>
    <x v="3"/>
    <x v="577"/>
    <x v="12"/>
    <x v="3"/>
    <x v="834"/>
    <x v="833"/>
    <x v="0"/>
    <x v="13"/>
    <x v="1"/>
    <x v="1"/>
    <x v="16"/>
    <x v="509"/>
    <x v="519"/>
    <x v="535"/>
    <x v="353"/>
    <x v="383"/>
    <x v="0"/>
    <x v="1"/>
    <x v="2"/>
    <x v="5"/>
    <x v="5"/>
    <x v="1"/>
    <x v="2"/>
    <x v="5"/>
    <x v="25"/>
    <x v="1"/>
    <x v="177"/>
    <x v="7"/>
    <x v="1"/>
    <x v="934"/>
    <x v="90"/>
    <x v="12"/>
    <x v="13"/>
    <x v="833"/>
    <x v="422"/>
  </r>
  <r>
    <x v="9"/>
    <x v="265"/>
    <x v="2"/>
    <x v="1"/>
    <x v="988"/>
    <x v="19"/>
    <x v="3"/>
    <x v="875"/>
    <x v="865"/>
    <x v="1"/>
    <x v="16"/>
    <x v="1"/>
    <x v="0"/>
    <x v="7"/>
    <x v="686"/>
    <x v="682"/>
    <x v="703"/>
    <x v="189"/>
    <x v="282"/>
    <x v="0"/>
    <x v="1"/>
    <x v="0"/>
    <x v="9"/>
    <x v="9"/>
    <x v="3"/>
    <x v="4"/>
    <x v="3"/>
    <x v="41"/>
    <x v="0"/>
    <x v="74"/>
    <x v="3"/>
    <x v="2"/>
    <x v="361"/>
    <x v="70"/>
    <x v="19"/>
    <x v="16"/>
    <x v="865"/>
    <x v="9"/>
  </r>
  <r>
    <x v="55"/>
    <x v="191"/>
    <x v="1"/>
    <x v="3"/>
    <x v="757"/>
    <x v="34"/>
    <x v="3"/>
    <x v="471"/>
    <x v="502"/>
    <x v="0"/>
    <x v="12"/>
    <x v="2"/>
    <x v="1"/>
    <x v="16"/>
    <x v="699"/>
    <x v="710"/>
    <x v="688"/>
    <x v="717"/>
    <x v="645"/>
    <x v="1"/>
    <x v="1"/>
    <x v="0"/>
    <x v="6"/>
    <x v="6"/>
    <x v="2"/>
    <x v="3"/>
    <x v="6"/>
    <x v="29"/>
    <x v="1"/>
    <x v="148"/>
    <x v="6"/>
    <x v="1"/>
    <x v="942"/>
    <x v="90"/>
    <x v="34"/>
    <x v="12"/>
    <x v="502"/>
    <x v="241"/>
  </r>
  <r>
    <x v="29"/>
    <x v="152"/>
    <x v="2"/>
    <x v="3"/>
    <x v="450"/>
    <x v="4"/>
    <x v="0"/>
    <x v="788"/>
    <x v="771"/>
    <x v="0"/>
    <x v="26"/>
    <x v="2"/>
    <x v="0"/>
    <x v="17"/>
    <x v="220"/>
    <x v="193"/>
    <x v="260"/>
    <x v="348"/>
    <x v="47"/>
    <x v="0"/>
    <x v="2"/>
    <x v="2"/>
    <x v="5"/>
    <x v="5"/>
    <x v="1"/>
    <x v="5"/>
    <x v="1"/>
    <x v="24"/>
    <x v="0"/>
    <x v="187"/>
    <x v="7"/>
    <x v="2"/>
    <x v="810"/>
    <x v="90"/>
    <x v="4"/>
    <x v="26"/>
    <x v="771"/>
    <x v="549"/>
  </r>
  <r>
    <x v="4"/>
    <x v="235"/>
    <x v="4"/>
    <x v="1"/>
    <x v="710"/>
    <x v="8"/>
    <x v="1"/>
    <x v="953"/>
    <x v="936"/>
    <x v="0"/>
    <x v="7"/>
    <x v="1"/>
    <x v="0"/>
    <x v="9"/>
    <x v="433"/>
    <x v="462"/>
    <x v="460"/>
    <x v="470"/>
    <x v="496"/>
    <x v="0"/>
    <x v="0"/>
    <x v="2"/>
    <x v="8"/>
    <x v="8"/>
    <x v="2"/>
    <x v="0"/>
    <x v="4"/>
    <x v="36"/>
    <x v="0"/>
    <x v="104"/>
    <x v="4"/>
    <x v="4"/>
    <x v="355"/>
    <x v="90"/>
    <x v="8"/>
    <x v="7"/>
    <x v="936"/>
    <x v="288"/>
  </r>
  <r>
    <x v="32"/>
    <x v="214"/>
    <x v="4"/>
    <x v="0"/>
    <x v="397"/>
    <x v="28"/>
    <x v="0"/>
    <x v="290"/>
    <x v="277"/>
    <x v="1"/>
    <x v="7"/>
    <x v="1"/>
    <x v="0"/>
    <x v="4"/>
    <x v="449"/>
    <x v="481"/>
    <x v="451"/>
    <x v="762"/>
    <x v="720"/>
    <x v="1"/>
    <x v="0"/>
    <x v="2"/>
    <x v="7"/>
    <x v="7"/>
    <x v="2"/>
    <x v="5"/>
    <x v="1"/>
    <x v="33"/>
    <x v="0"/>
    <x v="125"/>
    <x v="5"/>
    <x v="4"/>
    <x v="82"/>
    <x v="90"/>
    <x v="28"/>
    <x v="7"/>
    <x v="277"/>
    <x v="602"/>
  </r>
  <r>
    <x v="64"/>
    <x v="6"/>
    <x v="4"/>
    <x v="1"/>
    <x v="229"/>
    <x v="5"/>
    <x v="0"/>
    <x v="400"/>
    <x v="375"/>
    <x v="0"/>
    <x v="11"/>
    <x v="2"/>
    <x v="0"/>
    <x v="9"/>
    <x v="140"/>
    <x v="148"/>
    <x v="173"/>
    <x v="526"/>
    <x v="428"/>
    <x v="0"/>
    <x v="1"/>
    <x v="1"/>
    <x v="0"/>
    <x v="0"/>
    <x v="0"/>
    <x v="2"/>
    <x v="5"/>
    <x v="1"/>
    <x v="1"/>
    <x v="333"/>
    <x v="12"/>
    <x v="4"/>
    <x v="267"/>
    <x v="90"/>
    <x v="5"/>
    <x v="11"/>
    <x v="375"/>
    <x v="770"/>
  </r>
  <r>
    <x v="17"/>
    <x v="27"/>
    <x v="3"/>
    <x v="3"/>
    <x v="594"/>
    <x v="24"/>
    <x v="2"/>
    <x v="936"/>
    <x v="957"/>
    <x v="0"/>
    <x v="7"/>
    <x v="0"/>
    <x v="0"/>
    <x v="18"/>
    <x v="814"/>
    <x v="848"/>
    <x v="819"/>
    <x v="602"/>
    <x v="603"/>
    <x v="0"/>
    <x v="0"/>
    <x v="2"/>
    <x v="0"/>
    <x v="0"/>
    <x v="0"/>
    <x v="3"/>
    <x v="6"/>
    <x v="4"/>
    <x v="1"/>
    <x v="312"/>
    <x v="11"/>
    <x v="3"/>
    <x v="763"/>
    <x v="90"/>
    <x v="24"/>
    <x v="7"/>
    <x v="957"/>
    <x v="405"/>
  </r>
  <r>
    <x v="95"/>
    <x v="30"/>
    <x v="0"/>
    <x v="0"/>
    <x v="929"/>
    <x v="30"/>
    <x v="1"/>
    <x v="350"/>
    <x v="358"/>
    <x v="0"/>
    <x v="17"/>
    <x v="1"/>
    <x v="0"/>
    <x v="0"/>
    <x v="552"/>
    <x v="546"/>
    <x v="533"/>
    <x v="514"/>
    <x v="559"/>
    <x v="0"/>
    <x v="1"/>
    <x v="0"/>
    <x v="1"/>
    <x v="1"/>
    <x v="0"/>
    <x v="4"/>
    <x v="3"/>
    <x v="5"/>
    <x v="0"/>
    <x v="309"/>
    <x v="11"/>
    <x v="0"/>
    <x v="16"/>
    <x v="71"/>
    <x v="30"/>
    <x v="17"/>
    <x v="358"/>
    <x v="68"/>
  </r>
  <r>
    <x v="48"/>
    <x v="123"/>
    <x v="4"/>
    <x v="2"/>
    <x v="930"/>
    <x v="21"/>
    <x v="1"/>
    <x v="923"/>
    <x v="928"/>
    <x v="0"/>
    <x v="4"/>
    <x v="1"/>
    <x v="0"/>
    <x v="14"/>
    <x v="751"/>
    <x v="802"/>
    <x v="764"/>
    <x v="708"/>
    <x v="638"/>
    <x v="1"/>
    <x v="0"/>
    <x v="0"/>
    <x v="4"/>
    <x v="4"/>
    <x v="1"/>
    <x v="3"/>
    <x v="6"/>
    <x v="19"/>
    <x v="1"/>
    <x v="216"/>
    <x v="8"/>
    <x v="4"/>
    <x v="574"/>
    <x v="72"/>
    <x v="21"/>
    <x v="4"/>
    <x v="928"/>
    <x v="67"/>
  </r>
  <r>
    <x v="10"/>
    <x v="72"/>
    <x v="1"/>
    <x v="0"/>
    <x v="349"/>
    <x v="1"/>
    <x v="3"/>
    <x v="979"/>
    <x v="978"/>
    <x v="1"/>
    <x v="10"/>
    <x v="1"/>
    <x v="0"/>
    <x v="1"/>
    <x v="114"/>
    <x v="124"/>
    <x v="149"/>
    <x v="541"/>
    <x v="437"/>
    <x v="0"/>
    <x v="1"/>
    <x v="2"/>
    <x v="2"/>
    <x v="2"/>
    <x v="0"/>
    <x v="1"/>
    <x v="0"/>
    <x v="12"/>
    <x v="0"/>
    <x v="267"/>
    <x v="10"/>
    <x v="1"/>
    <x v="30"/>
    <x v="90"/>
    <x v="1"/>
    <x v="10"/>
    <x v="978"/>
    <x v="650"/>
  </r>
  <r>
    <x v="84"/>
    <x v="53"/>
    <x v="4"/>
    <x v="3"/>
    <x v="530"/>
    <x v="44"/>
    <x v="3"/>
    <x v="669"/>
    <x v="715"/>
    <x v="1"/>
    <x v="27"/>
    <x v="2"/>
    <x v="0"/>
    <x v="19"/>
    <x v="920"/>
    <x v="872"/>
    <x v="900"/>
    <x v="65"/>
    <x v="183"/>
    <x v="0"/>
    <x v="2"/>
    <x v="2"/>
    <x v="1"/>
    <x v="1"/>
    <x v="0"/>
    <x v="1"/>
    <x v="0"/>
    <x v="9"/>
    <x v="0"/>
    <x v="286"/>
    <x v="10"/>
    <x v="4"/>
    <x v="776"/>
    <x v="90"/>
    <x v="44"/>
    <x v="27"/>
    <x v="715"/>
    <x v="469"/>
  </r>
  <r>
    <x v="25"/>
    <x v="25"/>
    <x v="3"/>
    <x v="0"/>
    <x v="209"/>
    <x v="4"/>
    <x v="2"/>
    <x v="820"/>
    <x v="778"/>
    <x v="1"/>
    <x v="12"/>
    <x v="2"/>
    <x v="1"/>
    <x v="3"/>
    <x v="224"/>
    <x v="229"/>
    <x v="268"/>
    <x v="440"/>
    <x v="310"/>
    <x v="0"/>
    <x v="1"/>
    <x v="1"/>
    <x v="0"/>
    <x v="0"/>
    <x v="0"/>
    <x v="4"/>
    <x v="3"/>
    <x v="4"/>
    <x v="0"/>
    <x v="314"/>
    <x v="11"/>
    <x v="3"/>
    <x v="133"/>
    <x v="90"/>
    <x v="4"/>
    <x v="12"/>
    <x v="778"/>
    <x v="790"/>
  </r>
  <r>
    <x v="62"/>
    <x v="213"/>
    <x v="1"/>
    <x v="1"/>
    <x v="992"/>
    <x v="26"/>
    <x v="0"/>
    <x v="761"/>
    <x v="783"/>
    <x v="0"/>
    <x v="22"/>
    <x v="1"/>
    <x v="0"/>
    <x v="6"/>
    <x v="774"/>
    <x v="732"/>
    <x v="767"/>
    <x v="132"/>
    <x v="255"/>
    <x v="0"/>
    <x v="2"/>
    <x v="0"/>
    <x v="7"/>
    <x v="7"/>
    <x v="2"/>
    <x v="1"/>
    <x v="0"/>
    <x v="33"/>
    <x v="0"/>
    <x v="126"/>
    <x v="5"/>
    <x v="1"/>
    <x v="348"/>
    <x v="73"/>
    <x v="26"/>
    <x v="22"/>
    <x v="783"/>
    <x v="5"/>
  </r>
  <r>
    <x v="88"/>
    <x v="265"/>
    <x v="3"/>
    <x v="2"/>
    <x v="982"/>
    <x v="24"/>
    <x v="3"/>
    <x v="705"/>
    <x v="750"/>
    <x v="1"/>
    <x v="3"/>
    <x v="2"/>
    <x v="1"/>
    <x v="13"/>
    <x v="714"/>
    <x v="776"/>
    <x v="710"/>
    <x v="927"/>
    <x v="785"/>
    <x v="1"/>
    <x v="0"/>
    <x v="0"/>
    <x v="9"/>
    <x v="9"/>
    <x v="3"/>
    <x v="4"/>
    <x v="3"/>
    <x v="41"/>
    <x v="0"/>
    <x v="74"/>
    <x v="3"/>
    <x v="3"/>
    <x v="726"/>
    <x v="74"/>
    <x v="24"/>
    <x v="3"/>
    <x v="750"/>
    <x v="15"/>
  </r>
  <r>
    <x v="85"/>
    <x v="3"/>
    <x v="1"/>
    <x v="2"/>
    <x v="643"/>
    <x v="7"/>
    <x v="3"/>
    <x v="322"/>
    <x v="314"/>
    <x v="0"/>
    <x v="7"/>
    <x v="2"/>
    <x v="0"/>
    <x v="11"/>
    <x v="158"/>
    <x v="172"/>
    <x v="181"/>
    <x v="682"/>
    <x v="745"/>
    <x v="1"/>
    <x v="0"/>
    <x v="2"/>
    <x v="0"/>
    <x v="0"/>
    <x v="0"/>
    <x v="6"/>
    <x v="2"/>
    <x v="1"/>
    <x v="0"/>
    <x v="336"/>
    <x v="12"/>
    <x v="1"/>
    <x v="531"/>
    <x v="90"/>
    <x v="7"/>
    <x v="7"/>
    <x v="314"/>
    <x v="355"/>
  </r>
  <r>
    <x v="58"/>
    <x v="91"/>
    <x v="2"/>
    <x v="2"/>
    <x v="812"/>
    <x v="0"/>
    <x v="1"/>
    <x v="58"/>
    <x v="57"/>
    <x v="1"/>
    <x v="24"/>
    <x v="1"/>
    <x v="1"/>
    <x v="12"/>
    <x v="3"/>
    <x v="3"/>
    <x v="3"/>
    <x v="621"/>
    <x v="924"/>
    <x v="1"/>
    <x v="2"/>
    <x v="0"/>
    <x v="3"/>
    <x v="3"/>
    <x v="1"/>
    <x v="3"/>
    <x v="6"/>
    <x v="14"/>
    <x v="1"/>
    <x v="248"/>
    <x v="9"/>
    <x v="2"/>
    <x v="674"/>
    <x v="90"/>
    <x v="0"/>
    <x v="24"/>
    <x v="57"/>
    <x v="185"/>
  </r>
  <r>
    <x v="26"/>
    <x v="36"/>
    <x v="0"/>
    <x v="3"/>
    <x v="720"/>
    <x v="19"/>
    <x v="1"/>
    <x v="357"/>
    <x v="395"/>
    <x v="0"/>
    <x v="23"/>
    <x v="2"/>
    <x v="1"/>
    <x v="15"/>
    <x v="436"/>
    <x v="410"/>
    <x v="409"/>
    <x v="530"/>
    <x v="553"/>
    <x v="0"/>
    <x v="2"/>
    <x v="2"/>
    <x v="1"/>
    <x v="1"/>
    <x v="0"/>
    <x v="6"/>
    <x v="2"/>
    <x v="6"/>
    <x v="0"/>
    <x v="303"/>
    <x v="11"/>
    <x v="0"/>
    <x v="895"/>
    <x v="90"/>
    <x v="19"/>
    <x v="23"/>
    <x v="395"/>
    <x v="278"/>
  </r>
  <r>
    <x v="48"/>
    <x v="253"/>
    <x v="0"/>
    <x v="3"/>
    <x v="590"/>
    <x v="43"/>
    <x v="3"/>
    <x v="673"/>
    <x v="651"/>
    <x v="1"/>
    <x v="12"/>
    <x v="0"/>
    <x v="0"/>
    <x v="15"/>
    <x v="886"/>
    <x v="898"/>
    <x v="896"/>
    <x v="140"/>
    <x v="365"/>
    <x v="0"/>
    <x v="1"/>
    <x v="2"/>
    <x v="8"/>
    <x v="8"/>
    <x v="2"/>
    <x v="4"/>
    <x v="3"/>
    <x v="39"/>
    <x v="0"/>
    <x v="86"/>
    <x v="3"/>
    <x v="0"/>
    <x v="848"/>
    <x v="90"/>
    <x v="43"/>
    <x v="12"/>
    <x v="651"/>
    <x v="409"/>
  </r>
  <r>
    <x v="76"/>
    <x v="265"/>
    <x v="3"/>
    <x v="2"/>
    <x v="51"/>
    <x v="22"/>
    <x v="1"/>
    <x v="105"/>
    <x v="113"/>
    <x v="1"/>
    <x v="29"/>
    <x v="2"/>
    <x v="0"/>
    <x v="13"/>
    <x v="200"/>
    <x v="173"/>
    <x v="183"/>
    <x v="666"/>
    <x v="715"/>
    <x v="1"/>
    <x v="2"/>
    <x v="1"/>
    <x v="9"/>
    <x v="9"/>
    <x v="3"/>
    <x v="4"/>
    <x v="3"/>
    <x v="41"/>
    <x v="0"/>
    <x v="74"/>
    <x v="3"/>
    <x v="3"/>
    <x v="619"/>
    <x v="90"/>
    <x v="22"/>
    <x v="29"/>
    <x v="113"/>
    <x v="948"/>
  </r>
  <r>
    <x v="32"/>
    <x v="145"/>
    <x v="0"/>
    <x v="0"/>
    <x v="459"/>
    <x v="31"/>
    <x v="2"/>
    <x v="14"/>
    <x v="16"/>
    <x v="1"/>
    <x v="27"/>
    <x v="2"/>
    <x v="1"/>
    <x v="0"/>
    <x v="126"/>
    <x v="107"/>
    <x v="60"/>
    <x v="847"/>
    <x v="973"/>
    <x v="1"/>
    <x v="2"/>
    <x v="2"/>
    <x v="5"/>
    <x v="5"/>
    <x v="1"/>
    <x v="5"/>
    <x v="1"/>
    <x v="23"/>
    <x v="0"/>
    <x v="194"/>
    <x v="7"/>
    <x v="0"/>
    <x v="178"/>
    <x v="90"/>
    <x v="31"/>
    <x v="27"/>
    <x v="16"/>
    <x v="540"/>
  </r>
  <r>
    <x v="97"/>
    <x v="68"/>
    <x v="3"/>
    <x v="2"/>
    <x v="677"/>
    <x v="10"/>
    <x v="3"/>
    <x v="154"/>
    <x v="127"/>
    <x v="0"/>
    <x v="29"/>
    <x v="1"/>
    <x v="1"/>
    <x v="13"/>
    <x v="109"/>
    <x v="93"/>
    <x v="136"/>
    <x v="494"/>
    <x v="205"/>
    <x v="0"/>
    <x v="2"/>
    <x v="2"/>
    <x v="2"/>
    <x v="2"/>
    <x v="0"/>
    <x v="4"/>
    <x v="3"/>
    <x v="11"/>
    <x v="0"/>
    <x v="271"/>
    <x v="10"/>
    <x v="3"/>
    <x v="663"/>
    <x v="90"/>
    <x v="10"/>
    <x v="29"/>
    <x v="127"/>
    <x v="321"/>
  </r>
  <r>
    <x v="98"/>
    <x v="268"/>
    <x v="3"/>
    <x v="0"/>
    <x v="680"/>
    <x v="38"/>
    <x v="1"/>
    <x v="725"/>
    <x v="758"/>
    <x v="0"/>
    <x v="13"/>
    <x v="1"/>
    <x v="0"/>
    <x v="3"/>
    <x v="894"/>
    <x v="902"/>
    <x v="881"/>
    <x v="365"/>
    <x v="532"/>
    <x v="0"/>
    <x v="1"/>
    <x v="2"/>
    <x v="9"/>
    <x v="9"/>
    <x v="3"/>
    <x v="3"/>
    <x v="6"/>
    <x v="41"/>
    <x v="1"/>
    <x v="71"/>
    <x v="3"/>
    <x v="3"/>
    <x v="96"/>
    <x v="90"/>
    <x v="38"/>
    <x v="13"/>
    <x v="758"/>
    <x v="318"/>
  </r>
  <r>
    <x v="0"/>
    <x v="119"/>
    <x v="3"/>
    <x v="0"/>
    <x v="386"/>
    <x v="46"/>
    <x v="2"/>
    <x v="973"/>
    <x v="997"/>
    <x v="0"/>
    <x v="6"/>
    <x v="0"/>
    <x v="0"/>
    <x v="3"/>
    <x v="998"/>
    <x v="998"/>
    <x v="997"/>
    <x v="881"/>
    <x v="671"/>
    <x v="1"/>
    <x v="0"/>
    <x v="2"/>
    <x v="4"/>
    <x v="4"/>
    <x v="1"/>
    <x v="6"/>
    <x v="2"/>
    <x v="19"/>
    <x v="0"/>
    <x v="220"/>
    <x v="8"/>
    <x v="3"/>
    <x v="50"/>
    <x v="90"/>
    <x v="46"/>
    <x v="6"/>
    <x v="997"/>
    <x v="613"/>
  </r>
  <r>
    <x v="20"/>
    <x v="162"/>
    <x v="0"/>
    <x v="3"/>
    <x v="938"/>
    <x v="23"/>
    <x v="1"/>
    <x v="981"/>
    <x v="996"/>
    <x v="1"/>
    <x v="19"/>
    <x v="2"/>
    <x v="0"/>
    <x v="15"/>
    <x v="819"/>
    <x v="810"/>
    <x v="826"/>
    <x v="129"/>
    <x v="283"/>
    <x v="0"/>
    <x v="1"/>
    <x v="0"/>
    <x v="5"/>
    <x v="5"/>
    <x v="1"/>
    <x v="2"/>
    <x v="5"/>
    <x v="25"/>
    <x v="1"/>
    <x v="177"/>
    <x v="7"/>
    <x v="0"/>
    <x v="813"/>
    <x v="75"/>
    <x v="23"/>
    <x v="19"/>
    <x v="996"/>
    <x v="59"/>
  </r>
  <r>
    <x v="54"/>
    <x v="77"/>
    <x v="3"/>
    <x v="0"/>
    <x v="159"/>
    <x v="10"/>
    <x v="1"/>
    <x v="505"/>
    <x v="476"/>
    <x v="0"/>
    <x v="21"/>
    <x v="0"/>
    <x v="1"/>
    <x v="3"/>
    <x v="295"/>
    <x v="281"/>
    <x v="336"/>
    <x v="339"/>
    <x v="164"/>
    <x v="0"/>
    <x v="2"/>
    <x v="1"/>
    <x v="2"/>
    <x v="2"/>
    <x v="0"/>
    <x v="2"/>
    <x v="5"/>
    <x v="12"/>
    <x v="1"/>
    <x v="262"/>
    <x v="9"/>
    <x v="3"/>
    <x v="156"/>
    <x v="90"/>
    <x v="10"/>
    <x v="21"/>
    <x v="476"/>
    <x v="840"/>
  </r>
  <r>
    <x v="5"/>
    <x v="21"/>
    <x v="0"/>
    <x v="2"/>
    <x v="503"/>
    <x v="28"/>
    <x v="1"/>
    <x v="889"/>
    <x v="847"/>
    <x v="0"/>
    <x v="4"/>
    <x v="0"/>
    <x v="0"/>
    <x v="10"/>
    <x v="822"/>
    <x v="869"/>
    <x v="844"/>
    <x v="385"/>
    <x v="537"/>
    <x v="0"/>
    <x v="0"/>
    <x v="2"/>
    <x v="0"/>
    <x v="0"/>
    <x v="0"/>
    <x v="3"/>
    <x v="6"/>
    <x v="3"/>
    <x v="1"/>
    <x v="318"/>
    <x v="12"/>
    <x v="0"/>
    <x v="540"/>
    <x v="90"/>
    <x v="28"/>
    <x v="4"/>
    <x v="847"/>
    <x v="496"/>
  </r>
  <r>
    <x v="91"/>
    <x v="26"/>
    <x v="3"/>
    <x v="3"/>
    <x v="688"/>
    <x v="25"/>
    <x v="3"/>
    <x v="746"/>
    <x v="757"/>
    <x v="0"/>
    <x v="24"/>
    <x v="1"/>
    <x v="0"/>
    <x v="18"/>
    <x v="740"/>
    <x v="700"/>
    <x v="744"/>
    <x v="107"/>
    <x v="163"/>
    <x v="0"/>
    <x v="2"/>
    <x v="2"/>
    <x v="0"/>
    <x v="0"/>
    <x v="0"/>
    <x v="0"/>
    <x v="4"/>
    <x v="4"/>
    <x v="0"/>
    <x v="313"/>
    <x v="11"/>
    <x v="3"/>
    <x v="762"/>
    <x v="90"/>
    <x v="25"/>
    <x v="24"/>
    <x v="757"/>
    <x v="310"/>
  </r>
  <r>
    <x v="80"/>
    <x v="182"/>
    <x v="4"/>
    <x v="1"/>
    <x v="697"/>
    <x v="15"/>
    <x v="0"/>
    <x v="512"/>
    <x v="467"/>
    <x v="0"/>
    <x v="1"/>
    <x v="2"/>
    <x v="0"/>
    <x v="9"/>
    <x v="408"/>
    <x v="458"/>
    <x v="446"/>
    <x v="631"/>
    <x v="617"/>
    <x v="1"/>
    <x v="0"/>
    <x v="2"/>
    <x v="6"/>
    <x v="6"/>
    <x v="2"/>
    <x v="0"/>
    <x v="4"/>
    <x v="28"/>
    <x v="0"/>
    <x v="157"/>
    <x v="6"/>
    <x v="4"/>
    <x v="331"/>
    <x v="90"/>
    <x v="15"/>
    <x v="1"/>
    <x v="467"/>
    <x v="301"/>
  </r>
  <r>
    <x v="68"/>
    <x v="313"/>
    <x v="3"/>
    <x v="1"/>
    <x v="641"/>
    <x v="34"/>
    <x v="1"/>
    <x v="589"/>
    <x v="612"/>
    <x v="0"/>
    <x v="14"/>
    <x v="1"/>
    <x v="0"/>
    <x v="8"/>
    <x v="778"/>
    <x v="780"/>
    <x v="766"/>
    <x v="375"/>
    <x v="513"/>
    <x v="0"/>
    <x v="1"/>
    <x v="2"/>
    <x v="11"/>
    <x v="11"/>
    <x v="3"/>
    <x v="3"/>
    <x v="6"/>
    <x v="48"/>
    <x v="1"/>
    <x v="26"/>
    <x v="1"/>
    <x v="3"/>
    <x v="381"/>
    <x v="90"/>
    <x v="34"/>
    <x v="14"/>
    <x v="612"/>
    <x v="357"/>
  </r>
  <r>
    <x v="94"/>
    <x v="222"/>
    <x v="1"/>
    <x v="3"/>
    <x v="286"/>
    <x v="19"/>
    <x v="2"/>
    <x v="149"/>
    <x v="146"/>
    <x v="0"/>
    <x v="10"/>
    <x v="0"/>
    <x v="0"/>
    <x v="16"/>
    <x v="210"/>
    <x v="227"/>
    <x v="203"/>
    <x v="802"/>
    <x v="884"/>
    <x v="1"/>
    <x v="1"/>
    <x v="2"/>
    <x v="7"/>
    <x v="7"/>
    <x v="2"/>
    <x v="4"/>
    <x v="3"/>
    <x v="34"/>
    <x v="0"/>
    <x v="117"/>
    <x v="5"/>
    <x v="1"/>
    <x v="838"/>
    <x v="90"/>
    <x v="19"/>
    <x v="10"/>
    <x v="146"/>
    <x v="713"/>
  </r>
  <r>
    <x v="4"/>
    <x v="84"/>
    <x v="3"/>
    <x v="2"/>
    <x v="145"/>
    <x v="45"/>
    <x v="3"/>
    <x v="944"/>
    <x v="959"/>
    <x v="1"/>
    <x v="22"/>
    <x v="0"/>
    <x v="1"/>
    <x v="13"/>
    <x v="993"/>
    <x v="976"/>
    <x v="991"/>
    <x v="27"/>
    <x v="196"/>
    <x v="0"/>
    <x v="2"/>
    <x v="1"/>
    <x v="3"/>
    <x v="3"/>
    <x v="1"/>
    <x v="3"/>
    <x v="6"/>
    <x v="13"/>
    <x v="1"/>
    <x v="255"/>
    <x v="9"/>
    <x v="3"/>
    <x v="671"/>
    <x v="90"/>
    <x v="45"/>
    <x v="22"/>
    <x v="959"/>
    <x v="854"/>
  </r>
  <r>
    <x v="2"/>
    <x v="20"/>
    <x v="2"/>
    <x v="1"/>
    <x v="630"/>
    <x v="2"/>
    <x v="3"/>
    <x v="368"/>
    <x v="374"/>
    <x v="1"/>
    <x v="9"/>
    <x v="1"/>
    <x v="1"/>
    <x v="7"/>
    <x v="70"/>
    <x v="77"/>
    <x v="100"/>
    <x v="643"/>
    <x v="735"/>
    <x v="1"/>
    <x v="0"/>
    <x v="2"/>
    <x v="0"/>
    <x v="0"/>
    <x v="0"/>
    <x v="2"/>
    <x v="5"/>
    <x v="3"/>
    <x v="1"/>
    <x v="319"/>
    <x v="12"/>
    <x v="2"/>
    <x v="403"/>
    <x v="90"/>
    <x v="2"/>
    <x v="9"/>
    <x v="374"/>
    <x v="368"/>
  </r>
  <r>
    <x v="52"/>
    <x v="281"/>
    <x v="3"/>
    <x v="1"/>
    <x v="598"/>
    <x v="0"/>
    <x v="2"/>
    <x v="450"/>
    <x v="443"/>
    <x v="0"/>
    <x v="25"/>
    <x v="1"/>
    <x v="0"/>
    <x v="8"/>
    <x v="22"/>
    <x v="18"/>
    <x v="34"/>
    <x v="560"/>
    <x v="160"/>
    <x v="0"/>
    <x v="2"/>
    <x v="2"/>
    <x v="9"/>
    <x v="9"/>
    <x v="3"/>
    <x v="1"/>
    <x v="0"/>
    <x v="44"/>
    <x v="0"/>
    <x v="58"/>
    <x v="2"/>
    <x v="3"/>
    <x v="370"/>
    <x v="90"/>
    <x v="0"/>
    <x v="25"/>
    <x v="443"/>
    <x v="401"/>
  </r>
  <r>
    <x v="22"/>
    <x v="331"/>
    <x v="1"/>
    <x v="0"/>
    <x v="169"/>
    <x v="46"/>
    <x v="1"/>
    <x v="677"/>
    <x v="656"/>
    <x v="1"/>
    <x v="18"/>
    <x v="1"/>
    <x v="0"/>
    <x v="1"/>
    <x v="909"/>
    <x v="899"/>
    <x v="915"/>
    <x v="69"/>
    <x v="215"/>
    <x v="0"/>
    <x v="1"/>
    <x v="1"/>
    <x v="11"/>
    <x v="11"/>
    <x v="3"/>
    <x v="2"/>
    <x v="5"/>
    <x v="51"/>
    <x v="1"/>
    <x v="8"/>
    <x v="1"/>
    <x v="1"/>
    <x v="120"/>
    <x v="90"/>
    <x v="46"/>
    <x v="18"/>
    <x v="656"/>
    <x v="830"/>
  </r>
  <r>
    <x v="52"/>
    <x v="77"/>
    <x v="1"/>
    <x v="0"/>
    <x v="707"/>
    <x v="0"/>
    <x v="0"/>
    <x v="345"/>
    <x v="327"/>
    <x v="1"/>
    <x v="24"/>
    <x v="1"/>
    <x v="1"/>
    <x v="1"/>
    <x v="12"/>
    <x v="10"/>
    <x v="24"/>
    <x v="571"/>
    <x v="188"/>
    <x v="0"/>
    <x v="2"/>
    <x v="2"/>
    <x v="2"/>
    <x v="2"/>
    <x v="0"/>
    <x v="2"/>
    <x v="5"/>
    <x v="12"/>
    <x v="1"/>
    <x v="262"/>
    <x v="9"/>
    <x v="1"/>
    <x v="157"/>
    <x v="90"/>
    <x v="0"/>
    <x v="24"/>
    <x v="327"/>
    <x v="291"/>
  </r>
  <r>
    <x v="36"/>
    <x v="244"/>
    <x v="0"/>
    <x v="2"/>
    <x v="460"/>
    <x v="16"/>
    <x v="1"/>
    <x v="262"/>
    <x v="272"/>
    <x v="0"/>
    <x v="30"/>
    <x v="1"/>
    <x v="0"/>
    <x v="10"/>
    <x v="285"/>
    <x v="239"/>
    <x v="282"/>
    <x v="390"/>
    <x v="210"/>
    <x v="0"/>
    <x v="2"/>
    <x v="2"/>
    <x v="8"/>
    <x v="8"/>
    <x v="2"/>
    <x v="5"/>
    <x v="1"/>
    <x v="38"/>
    <x v="0"/>
    <x v="95"/>
    <x v="4"/>
    <x v="0"/>
    <x v="613"/>
    <x v="90"/>
    <x v="16"/>
    <x v="30"/>
    <x v="272"/>
    <x v="539"/>
  </r>
  <r>
    <x v="73"/>
    <x v="135"/>
    <x v="4"/>
    <x v="3"/>
    <x v="666"/>
    <x v="1"/>
    <x v="2"/>
    <x v="648"/>
    <x v="657"/>
    <x v="0"/>
    <x v="20"/>
    <x v="0"/>
    <x v="1"/>
    <x v="19"/>
    <x v="81"/>
    <x v="75"/>
    <x v="113"/>
    <x v="532"/>
    <x v="302"/>
    <x v="0"/>
    <x v="2"/>
    <x v="2"/>
    <x v="4"/>
    <x v="4"/>
    <x v="1"/>
    <x v="2"/>
    <x v="5"/>
    <x v="21"/>
    <x v="1"/>
    <x v="204"/>
    <x v="7"/>
    <x v="4"/>
    <x v="926"/>
    <x v="90"/>
    <x v="1"/>
    <x v="20"/>
    <x v="657"/>
    <x v="332"/>
  </r>
  <r>
    <x v="73"/>
    <x v="239"/>
    <x v="3"/>
    <x v="2"/>
    <x v="843"/>
    <x v="28"/>
    <x v="3"/>
    <x v="29"/>
    <x v="51"/>
    <x v="1"/>
    <x v="30"/>
    <x v="1"/>
    <x v="0"/>
    <x v="13"/>
    <x v="171"/>
    <x v="151"/>
    <x v="90"/>
    <x v="887"/>
    <x v="970"/>
    <x v="1"/>
    <x v="2"/>
    <x v="0"/>
    <x v="8"/>
    <x v="8"/>
    <x v="2"/>
    <x v="4"/>
    <x v="3"/>
    <x v="37"/>
    <x v="0"/>
    <x v="100"/>
    <x v="4"/>
    <x v="3"/>
    <x v="611"/>
    <x v="90"/>
    <x v="28"/>
    <x v="30"/>
    <x v="51"/>
    <x v="154"/>
  </r>
  <r>
    <x v="82"/>
    <x v="53"/>
    <x v="0"/>
    <x v="3"/>
    <x v="161"/>
    <x v="19"/>
    <x v="0"/>
    <x v="731"/>
    <x v="756"/>
    <x v="0"/>
    <x v="1"/>
    <x v="2"/>
    <x v="1"/>
    <x v="15"/>
    <x v="654"/>
    <x v="701"/>
    <x v="652"/>
    <x v="894"/>
    <x v="787"/>
    <x v="1"/>
    <x v="0"/>
    <x v="1"/>
    <x v="1"/>
    <x v="1"/>
    <x v="0"/>
    <x v="1"/>
    <x v="0"/>
    <x v="9"/>
    <x v="0"/>
    <x v="286"/>
    <x v="10"/>
    <x v="0"/>
    <x v="903"/>
    <x v="90"/>
    <x v="19"/>
    <x v="1"/>
    <x v="756"/>
    <x v="838"/>
  </r>
  <r>
    <x v="16"/>
    <x v="14"/>
    <x v="4"/>
    <x v="1"/>
    <x v="25"/>
    <x v="5"/>
    <x v="3"/>
    <x v="533"/>
    <x v="577"/>
    <x v="1"/>
    <x v="10"/>
    <x v="0"/>
    <x v="1"/>
    <x v="9"/>
    <x v="193"/>
    <x v="202"/>
    <x v="217"/>
    <x v="700"/>
    <x v="753"/>
    <x v="1"/>
    <x v="1"/>
    <x v="1"/>
    <x v="0"/>
    <x v="0"/>
    <x v="0"/>
    <x v="3"/>
    <x v="6"/>
    <x v="2"/>
    <x v="1"/>
    <x v="325"/>
    <x v="12"/>
    <x v="4"/>
    <x v="399"/>
    <x v="90"/>
    <x v="5"/>
    <x v="10"/>
    <x v="577"/>
    <x v="974"/>
  </r>
  <r>
    <x v="84"/>
    <x v="150"/>
    <x v="3"/>
    <x v="0"/>
    <x v="782"/>
    <x v="7"/>
    <x v="2"/>
    <x v="618"/>
    <x v="601"/>
    <x v="1"/>
    <x v="3"/>
    <x v="0"/>
    <x v="0"/>
    <x v="3"/>
    <x v="271"/>
    <x v="304"/>
    <x v="311"/>
    <x v="656"/>
    <x v="648"/>
    <x v="1"/>
    <x v="0"/>
    <x v="0"/>
    <x v="5"/>
    <x v="5"/>
    <x v="1"/>
    <x v="3"/>
    <x v="6"/>
    <x v="23"/>
    <x v="1"/>
    <x v="189"/>
    <x v="7"/>
    <x v="3"/>
    <x v="67"/>
    <x v="90"/>
    <x v="7"/>
    <x v="3"/>
    <x v="601"/>
    <x v="216"/>
  </r>
  <r>
    <x v="77"/>
    <x v="151"/>
    <x v="2"/>
    <x v="2"/>
    <x v="605"/>
    <x v="28"/>
    <x v="1"/>
    <x v="649"/>
    <x v="611"/>
    <x v="1"/>
    <x v="8"/>
    <x v="2"/>
    <x v="1"/>
    <x v="12"/>
    <x v="694"/>
    <x v="728"/>
    <x v="727"/>
    <x v="302"/>
    <x v="429"/>
    <x v="0"/>
    <x v="0"/>
    <x v="2"/>
    <x v="5"/>
    <x v="5"/>
    <x v="1"/>
    <x v="1"/>
    <x v="0"/>
    <x v="24"/>
    <x v="0"/>
    <x v="188"/>
    <x v="7"/>
    <x v="2"/>
    <x v="691"/>
    <x v="90"/>
    <x v="28"/>
    <x v="8"/>
    <x v="611"/>
    <x v="393"/>
  </r>
  <r>
    <x v="72"/>
    <x v="297"/>
    <x v="3"/>
    <x v="2"/>
    <x v="700"/>
    <x v="47"/>
    <x v="0"/>
    <x v="552"/>
    <x v="525"/>
    <x v="0"/>
    <x v="25"/>
    <x v="2"/>
    <x v="0"/>
    <x v="13"/>
    <x v="848"/>
    <x v="803"/>
    <x v="851"/>
    <x v="64"/>
    <x v="108"/>
    <x v="0"/>
    <x v="2"/>
    <x v="2"/>
    <x v="10"/>
    <x v="10"/>
    <x v="3"/>
    <x v="4"/>
    <x v="3"/>
    <x v="46"/>
    <x v="0"/>
    <x v="42"/>
    <x v="2"/>
    <x v="3"/>
    <x v="630"/>
    <x v="90"/>
    <x v="47"/>
    <x v="25"/>
    <x v="525"/>
    <x v="298"/>
  </r>
  <r>
    <x v="0"/>
    <x v="261"/>
    <x v="1"/>
    <x v="3"/>
    <x v="845"/>
    <x v="32"/>
    <x v="3"/>
    <x v="599"/>
    <x v="627"/>
    <x v="1"/>
    <x v="1"/>
    <x v="0"/>
    <x v="1"/>
    <x v="16"/>
    <x v="764"/>
    <x v="826"/>
    <x v="746"/>
    <x v="961"/>
    <x v="811"/>
    <x v="1"/>
    <x v="0"/>
    <x v="0"/>
    <x v="9"/>
    <x v="9"/>
    <x v="3"/>
    <x v="3"/>
    <x v="6"/>
    <x v="40"/>
    <x v="1"/>
    <x v="78"/>
    <x v="3"/>
    <x v="1"/>
    <x v="962"/>
    <x v="90"/>
    <x v="32"/>
    <x v="1"/>
    <x v="627"/>
    <x v="152"/>
  </r>
  <r>
    <x v="50"/>
    <x v="260"/>
    <x v="1"/>
    <x v="3"/>
    <x v="807"/>
    <x v="2"/>
    <x v="3"/>
    <x v="688"/>
    <x v="686"/>
    <x v="0"/>
    <x v="16"/>
    <x v="1"/>
    <x v="0"/>
    <x v="16"/>
    <x v="121"/>
    <x v="126"/>
    <x v="156"/>
    <x v="513"/>
    <x v="332"/>
    <x v="0"/>
    <x v="1"/>
    <x v="0"/>
    <x v="9"/>
    <x v="9"/>
    <x v="3"/>
    <x v="2"/>
    <x v="5"/>
    <x v="40"/>
    <x v="1"/>
    <x v="79"/>
    <x v="3"/>
    <x v="1"/>
    <x v="850"/>
    <x v="90"/>
    <x v="2"/>
    <x v="16"/>
    <x v="686"/>
    <x v="190"/>
  </r>
  <r>
    <x v="44"/>
    <x v="11"/>
    <x v="2"/>
    <x v="2"/>
    <x v="960"/>
    <x v="34"/>
    <x v="3"/>
    <x v="768"/>
    <x v="790"/>
    <x v="0"/>
    <x v="17"/>
    <x v="0"/>
    <x v="0"/>
    <x v="12"/>
    <x v="875"/>
    <x v="863"/>
    <x v="861"/>
    <x v="195"/>
    <x v="394"/>
    <x v="0"/>
    <x v="1"/>
    <x v="0"/>
    <x v="0"/>
    <x v="0"/>
    <x v="0"/>
    <x v="4"/>
    <x v="3"/>
    <x v="2"/>
    <x v="0"/>
    <x v="328"/>
    <x v="12"/>
    <x v="2"/>
    <x v="537"/>
    <x v="76"/>
    <x v="34"/>
    <x v="17"/>
    <x v="790"/>
    <x v="37"/>
  </r>
  <r>
    <x v="76"/>
    <x v="256"/>
    <x v="0"/>
    <x v="3"/>
    <x v="536"/>
    <x v="4"/>
    <x v="1"/>
    <x v="739"/>
    <x v="744"/>
    <x v="0"/>
    <x v="17"/>
    <x v="0"/>
    <x v="0"/>
    <x v="15"/>
    <x v="206"/>
    <x v="199"/>
    <x v="243"/>
    <x v="467"/>
    <x v="328"/>
    <x v="0"/>
    <x v="1"/>
    <x v="2"/>
    <x v="9"/>
    <x v="9"/>
    <x v="3"/>
    <x v="3"/>
    <x v="6"/>
    <x v="39"/>
    <x v="1"/>
    <x v="83"/>
    <x v="3"/>
    <x v="0"/>
    <x v="849"/>
    <x v="90"/>
    <x v="4"/>
    <x v="17"/>
    <x v="744"/>
    <x v="463"/>
  </r>
  <r>
    <x v="3"/>
    <x v="253"/>
    <x v="4"/>
    <x v="2"/>
    <x v="493"/>
    <x v="26"/>
    <x v="0"/>
    <x v="890"/>
    <x v="927"/>
    <x v="0"/>
    <x v="14"/>
    <x v="2"/>
    <x v="1"/>
    <x v="14"/>
    <x v="832"/>
    <x v="835"/>
    <x v="824"/>
    <x v="314"/>
    <x v="484"/>
    <x v="0"/>
    <x v="1"/>
    <x v="2"/>
    <x v="8"/>
    <x v="8"/>
    <x v="2"/>
    <x v="4"/>
    <x v="3"/>
    <x v="39"/>
    <x v="0"/>
    <x v="86"/>
    <x v="3"/>
    <x v="4"/>
    <x v="724"/>
    <x v="90"/>
    <x v="26"/>
    <x v="14"/>
    <x v="927"/>
    <x v="506"/>
  </r>
  <r>
    <x v="61"/>
    <x v="195"/>
    <x v="3"/>
    <x v="2"/>
    <x v="410"/>
    <x v="43"/>
    <x v="1"/>
    <x v="190"/>
    <x v="239"/>
    <x v="0"/>
    <x v="24"/>
    <x v="0"/>
    <x v="0"/>
    <x v="13"/>
    <x v="559"/>
    <x v="517"/>
    <x v="464"/>
    <x v="873"/>
    <x v="823"/>
    <x v="1"/>
    <x v="2"/>
    <x v="2"/>
    <x v="6"/>
    <x v="6"/>
    <x v="2"/>
    <x v="4"/>
    <x v="3"/>
    <x v="30"/>
    <x v="0"/>
    <x v="144"/>
    <x v="5"/>
    <x v="3"/>
    <x v="601"/>
    <x v="90"/>
    <x v="43"/>
    <x v="24"/>
    <x v="239"/>
    <x v="589"/>
  </r>
  <r>
    <x v="64"/>
    <x v="26"/>
    <x v="1"/>
    <x v="2"/>
    <x v="141"/>
    <x v="11"/>
    <x v="1"/>
    <x v="402"/>
    <x v="370"/>
    <x v="1"/>
    <x v="4"/>
    <x v="1"/>
    <x v="0"/>
    <x v="11"/>
    <x v="266"/>
    <x v="296"/>
    <x v="312"/>
    <x v="554"/>
    <x v="562"/>
    <x v="0"/>
    <x v="0"/>
    <x v="1"/>
    <x v="0"/>
    <x v="0"/>
    <x v="0"/>
    <x v="0"/>
    <x v="4"/>
    <x v="4"/>
    <x v="0"/>
    <x v="313"/>
    <x v="11"/>
    <x v="1"/>
    <x v="542"/>
    <x v="90"/>
    <x v="11"/>
    <x v="4"/>
    <x v="370"/>
    <x v="858"/>
  </r>
  <r>
    <x v="31"/>
    <x v="65"/>
    <x v="0"/>
    <x v="1"/>
    <x v="568"/>
    <x v="19"/>
    <x v="1"/>
    <x v="955"/>
    <x v="950"/>
    <x v="0"/>
    <x v="9"/>
    <x v="2"/>
    <x v="0"/>
    <x v="5"/>
    <x v="717"/>
    <x v="743"/>
    <x v="739"/>
    <x v="364"/>
    <x v="491"/>
    <x v="0"/>
    <x v="0"/>
    <x v="2"/>
    <x v="2"/>
    <x v="2"/>
    <x v="0"/>
    <x v="1"/>
    <x v="0"/>
    <x v="11"/>
    <x v="0"/>
    <x v="274"/>
    <x v="10"/>
    <x v="0"/>
    <x v="292"/>
    <x v="90"/>
    <x v="19"/>
    <x v="9"/>
    <x v="950"/>
    <x v="431"/>
  </r>
  <r>
    <x v="33"/>
    <x v="55"/>
    <x v="2"/>
    <x v="3"/>
    <x v="288"/>
    <x v="44"/>
    <x v="2"/>
    <x v="397"/>
    <x v="415"/>
    <x v="0"/>
    <x v="18"/>
    <x v="0"/>
    <x v="1"/>
    <x v="17"/>
    <x v="741"/>
    <x v="726"/>
    <x v="717"/>
    <x v="335"/>
    <x v="466"/>
    <x v="0"/>
    <x v="1"/>
    <x v="2"/>
    <x v="2"/>
    <x v="2"/>
    <x v="0"/>
    <x v="6"/>
    <x v="2"/>
    <x v="9"/>
    <x v="0"/>
    <x v="284"/>
    <x v="10"/>
    <x v="2"/>
    <x v="905"/>
    <x v="90"/>
    <x v="44"/>
    <x v="18"/>
    <x v="415"/>
    <x v="711"/>
  </r>
  <r>
    <x v="91"/>
    <x v="133"/>
    <x v="1"/>
    <x v="0"/>
    <x v="925"/>
    <x v="19"/>
    <x v="2"/>
    <x v="137"/>
    <x v="103"/>
    <x v="0"/>
    <x v="21"/>
    <x v="0"/>
    <x v="0"/>
    <x v="1"/>
    <x v="169"/>
    <x v="162"/>
    <x v="194"/>
    <x v="537"/>
    <x v="475"/>
    <x v="0"/>
    <x v="2"/>
    <x v="0"/>
    <x v="4"/>
    <x v="4"/>
    <x v="1"/>
    <x v="4"/>
    <x v="3"/>
    <x v="21"/>
    <x v="0"/>
    <x v="206"/>
    <x v="7"/>
    <x v="1"/>
    <x v="54"/>
    <x v="77"/>
    <x v="19"/>
    <x v="21"/>
    <x v="103"/>
    <x v="72"/>
  </r>
  <r>
    <x v="94"/>
    <x v="85"/>
    <x v="2"/>
    <x v="0"/>
    <x v="580"/>
    <x v="8"/>
    <x v="2"/>
    <x v="550"/>
    <x v="532"/>
    <x v="0"/>
    <x v="12"/>
    <x v="1"/>
    <x v="1"/>
    <x v="2"/>
    <x v="275"/>
    <x v="282"/>
    <x v="303"/>
    <x v="501"/>
    <x v="474"/>
    <x v="0"/>
    <x v="1"/>
    <x v="2"/>
    <x v="3"/>
    <x v="3"/>
    <x v="1"/>
    <x v="1"/>
    <x v="0"/>
    <x v="14"/>
    <x v="0"/>
    <x v="254"/>
    <x v="9"/>
    <x v="2"/>
    <x v="161"/>
    <x v="90"/>
    <x v="8"/>
    <x v="12"/>
    <x v="532"/>
    <x v="419"/>
  </r>
  <r>
    <x v="71"/>
    <x v="286"/>
    <x v="3"/>
    <x v="3"/>
    <x v="589"/>
    <x v="38"/>
    <x v="0"/>
    <x v="114"/>
    <x v="136"/>
    <x v="0"/>
    <x v="26"/>
    <x v="0"/>
    <x v="1"/>
    <x v="18"/>
    <x v="375"/>
    <x v="326"/>
    <x v="298"/>
    <x v="823"/>
    <x v="849"/>
    <x v="1"/>
    <x v="2"/>
    <x v="2"/>
    <x v="10"/>
    <x v="10"/>
    <x v="3"/>
    <x v="3"/>
    <x v="6"/>
    <x v="44"/>
    <x v="1"/>
    <x v="53"/>
    <x v="2"/>
    <x v="3"/>
    <x v="974"/>
    <x v="90"/>
    <x v="38"/>
    <x v="26"/>
    <x v="136"/>
    <x v="410"/>
  </r>
  <r>
    <x v="38"/>
    <x v="7"/>
    <x v="4"/>
    <x v="2"/>
    <x v="362"/>
    <x v="3"/>
    <x v="1"/>
    <x v="204"/>
    <x v="183"/>
    <x v="1"/>
    <x v="12"/>
    <x v="0"/>
    <x v="1"/>
    <x v="14"/>
    <x v="50"/>
    <x v="56"/>
    <x v="81"/>
    <x v="592"/>
    <x v="564"/>
    <x v="0"/>
    <x v="1"/>
    <x v="2"/>
    <x v="0"/>
    <x v="0"/>
    <x v="0"/>
    <x v="3"/>
    <x v="6"/>
    <x v="1"/>
    <x v="1"/>
    <x v="332"/>
    <x v="12"/>
    <x v="4"/>
    <x v="644"/>
    <x v="90"/>
    <x v="3"/>
    <x v="12"/>
    <x v="183"/>
    <x v="637"/>
  </r>
  <r>
    <x v="25"/>
    <x v="72"/>
    <x v="1"/>
    <x v="0"/>
    <x v="49"/>
    <x v="18"/>
    <x v="1"/>
    <x v="996"/>
    <x v="995"/>
    <x v="0"/>
    <x v="12"/>
    <x v="0"/>
    <x v="0"/>
    <x v="1"/>
    <x v="720"/>
    <x v="736"/>
    <x v="740"/>
    <x v="298"/>
    <x v="430"/>
    <x v="0"/>
    <x v="1"/>
    <x v="1"/>
    <x v="2"/>
    <x v="2"/>
    <x v="0"/>
    <x v="1"/>
    <x v="0"/>
    <x v="12"/>
    <x v="0"/>
    <x v="267"/>
    <x v="10"/>
    <x v="1"/>
    <x v="31"/>
    <x v="90"/>
    <x v="18"/>
    <x v="12"/>
    <x v="995"/>
    <x v="950"/>
  </r>
  <r>
    <x v="33"/>
    <x v="26"/>
    <x v="1"/>
    <x v="0"/>
    <x v="34"/>
    <x v="37"/>
    <x v="2"/>
    <x v="563"/>
    <x v="578"/>
    <x v="0"/>
    <x v="1"/>
    <x v="0"/>
    <x v="0"/>
    <x v="1"/>
    <x v="786"/>
    <x v="846"/>
    <x v="776"/>
    <x v="968"/>
    <x v="814"/>
    <x v="1"/>
    <x v="0"/>
    <x v="1"/>
    <x v="0"/>
    <x v="0"/>
    <x v="0"/>
    <x v="0"/>
    <x v="4"/>
    <x v="4"/>
    <x v="0"/>
    <x v="313"/>
    <x v="11"/>
    <x v="1"/>
    <x v="15"/>
    <x v="90"/>
    <x v="37"/>
    <x v="1"/>
    <x v="578"/>
    <x v="965"/>
  </r>
  <r>
    <x v="53"/>
    <x v="161"/>
    <x v="3"/>
    <x v="3"/>
    <x v="430"/>
    <x v="26"/>
    <x v="1"/>
    <x v="297"/>
    <x v="251"/>
    <x v="1"/>
    <x v="17"/>
    <x v="1"/>
    <x v="1"/>
    <x v="18"/>
    <x v="403"/>
    <x v="404"/>
    <x v="433"/>
    <x v="322"/>
    <x v="258"/>
    <x v="0"/>
    <x v="1"/>
    <x v="2"/>
    <x v="5"/>
    <x v="5"/>
    <x v="1"/>
    <x v="0"/>
    <x v="4"/>
    <x v="25"/>
    <x v="0"/>
    <x v="178"/>
    <x v="7"/>
    <x v="3"/>
    <x v="933"/>
    <x v="90"/>
    <x v="26"/>
    <x v="17"/>
    <x v="251"/>
    <x v="569"/>
  </r>
  <r>
    <x v="2"/>
    <x v="45"/>
    <x v="0"/>
    <x v="0"/>
    <x v="92"/>
    <x v="44"/>
    <x v="1"/>
    <x v="991"/>
    <x v="990"/>
    <x v="0"/>
    <x v="21"/>
    <x v="0"/>
    <x v="0"/>
    <x v="0"/>
    <x v="996"/>
    <x v="982"/>
    <x v="996"/>
    <x v="22"/>
    <x v="184"/>
    <x v="0"/>
    <x v="2"/>
    <x v="1"/>
    <x v="1"/>
    <x v="1"/>
    <x v="0"/>
    <x v="3"/>
    <x v="6"/>
    <x v="7"/>
    <x v="1"/>
    <x v="294"/>
    <x v="11"/>
    <x v="0"/>
    <x v="21"/>
    <x v="90"/>
    <x v="44"/>
    <x v="21"/>
    <x v="990"/>
    <x v="907"/>
  </r>
  <r>
    <x v="49"/>
    <x v="186"/>
    <x v="4"/>
    <x v="2"/>
    <x v="603"/>
    <x v="42"/>
    <x v="3"/>
    <x v="969"/>
    <x v="949"/>
    <x v="1"/>
    <x v="3"/>
    <x v="0"/>
    <x v="0"/>
    <x v="14"/>
    <x v="979"/>
    <x v="995"/>
    <x v="982"/>
    <x v="556"/>
    <x v="598"/>
    <x v="0"/>
    <x v="0"/>
    <x v="2"/>
    <x v="6"/>
    <x v="6"/>
    <x v="2"/>
    <x v="5"/>
    <x v="1"/>
    <x v="29"/>
    <x v="0"/>
    <x v="153"/>
    <x v="6"/>
    <x v="4"/>
    <x v="599"/>
    <x v="90"/>
    <x v="42"/>
    <x v="3"/>
    <x v="949"/>
    <x v="396"/>
  </r>
  <r>
    <x v="11"/>
    <x v="324"/>
    <x v="1"/>
    <x v="3"/>
    <x v="888"/>
    <x v="12"/>
    <x v="1"/>
    <x v="439"/>
    <x v="472"/>
    <x v="1"/>
    <x v="9"/>
    <x v="0"/>
    <x v="1"/>
    <x v="16"/>
    <x v="349"/>
    <x v="376"/>
    <x v="353"/>
    <x v="742"/>
    <x v="732"/>
    <x v="1"/>
    <x v="0"/>
    <x v="0"/>
    <x v="11"/>
    <x v="11"/>
    <x v="3"/>
    <x v="0"/>
    <x v="4"/>
    <x v="50"/>
    <x v="0"/>
    <x v="15"/>
    <x v="1"/>
    <x v="1"/>
    <x v="992"/>
    <x v="90"/>
    <x v="12"/>
    <x v="9"/>
    <x v="472"/>
    <x v="109"/>
  </r>
  <r>
    <x v="64"/>
    <x v="168"/>
    <x v="4"/>
    <x v="2"/>
    <x v="891"/>
    <x v="12"/>
    <x v="3"/>
    <x v="270"/>
    <x v="234"/>
    <x v="1"/>
    <x v="23"/>
    <x v="2"/>
    <x v="1"/>
    <x v="14"/>
    <x v="198"/>
    <x v="186"/>
    <x v="236"/>
    <x v="412"/>
    <x v="179"/>
    <x v="0"/>
    <x v="2"/>
    <x v="0"/>
    <x v="5"/>
    <x v="5"/>
    <x v="1"/>
    <x v="0"/>
    <x v="4"/>
    <x v="26"/>
    <x v="0"/>
    <x v="171"/>
    <x v="6"/>
    <x v="4"/>
    <x v="694"/>
    <x v="90"/>
    <x v="12"/>
    <x v="23"/>
    <x v="234"/>
    <x v="106"/>
  </r>
  <r>
    <x v="53"/>
    <x v="23"/>
    <x v="1"/>
    <x v="0"/>
    <x v="653"/>
    <x v="21"/>
    <x v="1"/>
    <x v="848"/>
    <x v="894"/>
    <x v="1"/>
    <x v="11"/>
    <x v="1"/>
    <x v="0"/>
    <x v="1"/>
    <x v="729"/>
    <x v="747"/>
    <x v="728"/>
    <x v="490"/>
    <x v="571"/>
    <x v="0"/>
    <x v="1"/>
    <x v="2"/>
    <x v="0"/>
    <x v="0"/>
    <x v="0"/>
    <x v="5"/>
    <x v="1"/>
    <x v="4"/>
    <x v="0"/>
    <x v="316"/>
    <x v="12"/>
    <x v="1"/>
    <x v="11"/>
    <x v="90"/>
    <x v="21"/>
    <x v="11"/>
    <x v="894"/>
    <x v="345"/>
  </r>
  <r>
    <x v="4"/>
    <x v="293"/>
    <x v="4"/>
    <x v="0"/>
    <x v="208"/>
    <x v="27"/>
    <x v="0"/>
    <x v="724"/>
    <x v="719"/>
    <x v="0"/>
    <x v="7"/>
    <x v="2"/>
    <x v="1"/>
    <x v="4"/>
    <x v="753"/>
    <x v="788"/>
    <x v="763"/>
    <x v="495"/>
    <x v="574"/>
    <x v="0"/>
    <x v="0"/>
    <x v="1"/>
    <x v="10"/>
    <x v="10"/>
    <x v="3"/>
    <x v="3"/>
    <x v="6"/>
    <x v="45"/>
    <x v="1"/>
    <x v="46"/>
    <x v="2"/>
    <x v="4"/>
    <x v="237"/>
    <x v="90"/>
    <x v="27"/>
    <x v="7"/>
    <x v="719"/>
    <x v="791"/>
  </r>
  <r>
    <x v="93"/>
    <x v="42"/>
    <x v="2"/>
    <x v="2"/>
    <x v="872"/>
    <x v="46"/>
    <x v="2"/>
    <x v="692"/>
    <x v="664"/>
    <x v="0"/>
    <x v="20"/>
    <x v="2"/>
    <x v="0"/>
    <x v="12"/>
    <x v="913"/>
    <x v="895"/>
    <x v="919"/>
    <x v="54"/>
    <x v="168"/>
    <x v="0"/>
    <x v="2"/>
    <x v="0"/>
    <x v="1"/>
    <x v="1"/>
    <x v="0"/>
    <x v="6"/>
    <x v="2"/>
    <x v="7"/>
    <x v="0"/>
    <x v="297"/>
    <x v="11"/>
    <x v="2"/>
    <x v="546"/>
    <x v="90"/>
    <x v="46"/>
    <x v="20"/>
    <x v="664"/>
    <x v="125"/>
  </r>
  <r>
    <x v="93"/>
    <x v="14"/>
    <x v="1"/>
    <x v="1"/>
    <x v="893"/>
    <x v="44"/>
    <x v="3"/>
    <x v="908"/>
    <x v="902"/>
    <x v="1"/>
    <x v="6"/>
    <x v="1"/>
    <x v="1"/>
    <x v="6"/>
    <x v="976"/>
    <x v="991"/>
    <x v="974"/>
    <x v="423"/>
    <x v="573"/>
    <x v="0"/>
    <x v="0"/>
    <x v="0"/>
    <x v="0"/>
    <x v="0"/>
    <x v="0"/>
    <x v="3"/>
    <x v="6"/>
    <x v="2"/>
    <x v="1"/>
    <x v="325"/>
    <x v="12"/>
    <x v="1"/>
    <x v="400"/>
    <x v="90"/>
    <x v="44"/>
    <x v="6"/>
    <x v="902"/>
    <x v="104"/>
  </r>
  <r>
    <x v="56"/>
    <x v="141"/>
    <x v="4"/>
    <x v="0"/>
    <x v="189"/>
    <x v="21"/>
    <x v="2"/>
    <x v="697"/>
    <x v="687"/>
    <x v="1"/>
    <x v="27"/>
    <x v="2"/>
    <x v="0"/>
    <x v="4"/>
    <x v="657"/>
    <x v="604"/>
    <x v="668"/>
    <x v="105"/>
    <x v="56"/>
    <x v="0"/>
    <x v="2"/>
    <x v="1"/>
    <x v="5"/>
    <x v="5"/>
    <x v="1"/>
    <x v="0"/>
    <x v="4"/>
    <x v="22"/>
    <x v="0"/>
    <x v="198"/>
    <x v="7"/>
    <x v="4"/>
    <x v="61"/>
    <x v="90"/>
    <x v="21"/>
    <x v="27"/>
    <x v="687"/>
    <x v="810"/>
  </r>
  <r>
    <x v="16"/>
    <x v="209"/>
    <x v="0"/>
    <x v="1"/>
    <x v="738"/>
    <x v="42"/>
    <x v="3"/>
    <x v="296"/>
    <x v="290"/>
    <x v="0"/>
    <x v="3"/>
    <x v="2"/>
    <x v="0"/>
    <x v="5"/>
    <x v="609"/>
    <x v="661"/>
    <x v="596"/>
    <x v="909"/>
    <x v="812"/>
    <x v="1"/>
    <x v="0"/>
    <x v="2"/>
    <x v="7"/>
    <x v="7"/>
    <x v="2"/>
    <x v="4"/>
    <x v="3"/>
    <x v="32"/>
    <x v="0"/>
    <x v="130"/>
    <x v="5"/>
    <x v="0"/>
    <x v="345"/>
    <x v="90"/>
    <x v="42"/>
    <x v="3"/>
    <x v="290"/>
    <x v="260"/>
  </r>
  <r>
    <x v="46"/>
    <x v="193"/>
    <x v="2"/>
    <x v="0"/>
    <x v="297"/>
    <x v="18"/>
    <x v="3"/>
    <x v="700"/>
    <x v="716"/>
    <x v="1"/>
    <x v="21"/>
    <x v="2"/>
    <x v="1"/>
    <x v="2"/>
    <x v="608"/>
    <x v="584"/>
    <x v="619"/>
    <x v="217"/>
    <x v="245"/>
    <x v="0"/>
    <x v="2"/>
    <x v="2"/>
    <x v="6"/>
    <x v="6"/>
    <x v="2"/>
    <x v="5"/>
    <x v="1"/>
    <x v="30"/>
    <x v="0"/>
    <x v="146"/>
    <x v="5"/>
    <x v="2"/>
    <x v="196"/>
    <x v="90"/>
    <x v="18"/>
    <x v="21"/>
    <x v="716"/>
    <x v="702"/>
  </r>
  <r>
    <x v="22"/>
    <x v="255"/>
    <x v="2"/>
    <x v="1"/>
    <x v="806"/>
    <x v="7"/>
    <x v="3"/>
    <x v="320"/>
    <x v="317"/>
    <x v="1"/>
    <x v="15"/>
    <x v="1"/>
    <x v="0"/>
    <x v="7"/>
    <x v="161"/>
    <x v="158"/>
    <x v="179"/>
    <x v="594"/>
    <x v="594"/>
    <x v="0"/>
    <x v="1"/>
    <x v="0"/>
    <x v="8"/>
    <x v="8"/>
    <x v="2"/>
    <x v="2"/>
    <x v="5"/>
    <x v="39"/>
    <x v="1"/>
    <x v="84"/>
    <x v="3"/>
    <x v="2"/>
    <x v="359"/>
    <x v="90"/>
    <x v="7"/>
    <x v="15"/>
    <x v="317"/>
    <x v="191"/>
  </r>
  <r>
    <x v="78"/>
    <x v="222"/>
    <x v="0"/>
    <x v="1"/>
    <x v="995"/>
    <x v="7"/>
    <x v="0"/>
    <x v="772"/>
    <x v="737"/>
    <x v="1"/>
    <x v="26"/>
    <x v="0"/>
    <x v="0"/>
    <x v="5"/>
    <x v="322"/>
    <x v="286"/>
    <x v="373"/>
    <x v="269"/>
    <x v="32"/>
    <x v="0"/>
    <x v="2"/>
    <x v="0"/>
    <x v="7"/>
    <x v="7"/>
    <x v="2"/>
    <x v="4"/>
    <x v="3"/>
    <x v="34"/>
    <x v="0"/>
    <x v="117"/>
    <x v="5"/>
    <x v="0"/>
    <x v="349"/>
    <x v="78"/>
    <x v="7"/>
    <x v="26"/>
    <x v="737"/>
    <x v="2"/>
  </r>
  <r>
    <x v="84"/>
    <x v="316"/>
    <x v="4"/>
    <x v="1"/>
    <x v="32"/>
    <x v="41"/>
    <x v="1"/>
    <x v="631"/>
    <x v="588"/>
    <x v="0"/>
    <x v="4"/>
    <x v="1"/>
    <x v="1"/>
    <x v="9"/>
    <x v="842"/>
    <x v="878"/>
    <x v="858"/>
    <x v="386"/>
    <x v="541"/>
    <x v="0"/>
    <x v="0"/>
    <x v="1"/>
    <x v="11"/>
    <x v="11"/>
    <x v="3"/>
    <x v="6"/>
    <x v="2"/>
    <x v="49"/>
    <x v="0"/>
    <x v="23"/>
    <x v="1"/>
    <x v="4"/>
    <x v="519"/>
    <x v="90"/>
    <x v="41"/>
    <x v="4"/>
    <x v="588"/>
    <x v="967"/>
  </r>
  <r>
    <x v="13"/>
    <x v="215"/>
    <x v="3"/>
    <x v="2"/>
    <x v="905"/>
    <x v="25"/>
    <x v="3"/>
    <x v="79"/>
    <x v="101"/>
    <x v="1"/>
    <x v="20"/>
    <x v="1"/>
    <x v="0"/>
    <x v="13"/>
    <x v="227"/>
    <x v="204"/>
    <x v="163"/>
    <x v="870"/>
    <x v="936"/>
    <x v="1"/>
    <x v="2"/>
    <x v="0"/>
    <x v="7"/>
    <x v="7"/>
    <x v="2"/>
    <x v="6"/>
    <x v="2"/>
    <x v="33"/>
    <x v="0"/>
    <x v="124"/>
    <x v="5"/>
    <x v="3"/>
    <x v="605"/>
    <x v="90"/>
    <x v="25"/>
    <x v="20"/>
    <x v="101"/>
    <x v="92"/>
  </r>
  <r>
    <x v="65"/>
    <x v="8"/>
    <x v="0"/>
    <x v="1"/>
    <x v="616"/>
    <x v="47"/>
    <x v="0"/>
    <x v="527"/>
    <x v="536"/>
    <x v="0"/>
    <x v="17"/>
    <x v="1"/>
    <x v="0"/>
    <x v="5"/>
    <x v="852"/>
    <x v="842"/>
    <x v="840"/>
    <x v="212"/>
    <x v="397"/>
    <x v="0"/>
    <x v="1"/>
    <x v="2"/>
    <x v="0"/>
    <x v="0"/>
    <x v="0"/>
    <x v="1"/>
    <x v="0"/>
    <x v="2"/>
    <x v="0"/>
    <x v="331"/>
    <x v="12"/>
    <x v="0"/>
    <x v="270"/>
    <x v="90"/>
    <x v="47"/>
    <x v="17"/>
    <x v="536"/>
    <x v="382"/>
  </r>
  <r>
    <x v="74"/>
    <x v="154"/>
    <x v="4"/>
    <x v="1"/>
    <x v="974"/>
    <x v="25"/>
    <x v="3"/>
    <x v="358"/>
    <x v="339"/>
    <x v="0"/>
    <x v="14"/>
    <x v="2"/>
    <x v="0"/>
    <x v="9"/>
    <x v="472"/>
    <x v="482"/>
    <x v="475"/>
    <x v="451"/>
    <x v="480"/>
    <x v="0"/>
    <x v="1"/>
    <x v="0"/>
    <x v="5"/>
    <x v="5"/>
    <x v="1"/>
    <x v="4"/>
    <x v="3"/>
    <x v="24"/>
    <x v="0"/>
    <x v="185"/>
    <x v="7"/>
    <x v="4"/>
    <x v="318"/>
    <x v="79"/>
    <x v="25"/>
    <x v="14"/>
    <x v="339"/>
    <x v="23"/>
  </r>
  <r>
    <x v="50"/>
    <x v="296"/>
    <x v="0"/>
    <x v="1"/>
    <x v="471"/>
    <x v="22"/>
    <x v="1"/>
    <x v="342"/>
    <x v="372"/>
    <x v="0"/>
    <x v="15"/>
    <x v="0"/>
    <x v="1"/>
    <x v="5"/>
    <x v="461"/>
    <x v="461"/>
    <x v="428"/>
    <x v="763"/>
    <x v="728"/>
    <x v="1"/>
    <x v="1"/>
    <x v="2"/>
    <x v="10"/>
    <x v="10"/>
    <x v="3"/>
    <x v="6"/>
    <x v="2"/>
    <x v="46"/>
    <x v="0"/>
    <x v="43"/>
    <x v="2"/>
    <x v="0"/>
    <x v="512"/>
    <x v="90"/>
    <x v="22"/>
    <x v="15"/>
    <x v="372"/>
    <x v="528"/>
  </r>
  <r>
    <x v="37"/>
    <x v="201"/>
    <x v="0"/>
    <x v="0"/>
    <x v="856"/>
    <x v="42"/>
    <x v="3"/>
    <x v="616"/>
    <x v="614"/>
    <x v="1"/>
    <x v="22"/>
    <x v="1"/>
    <x v="1"/>
    <x v="0"/>
    <x v="853"/>
    <x v="827"/>
    <x v="856"/>
    <x v="78"/>
    <x v="189"/>
    <x v="0"/>
    <x v="2"/>
    <x v="0"/>
    <x v="7"/>
    <x v="7"/>
    <x v="2"/>
    <x v="6"/>
    <x v="2"/>
    <x v="31"/>
    <x v="0"/>
    <x v="138"/>
    <x v="5"/>
    <x v="0"/>
    <x v="200"/>
    <x v="90"/>
    <x v="42"/>
    <x v="22"/>
    <x v="614"/>
    <x v="141"/>
  </r>
  <r>
    <x v="63"/>
    <x v="108"/>
    <x v="1"/>
    <x v="1"/>
    <x v="60"/>
    <x v="12"/>
    <x v="0"/>
    <x v="336"/>
    <x v="361"/>
    <x v="1"/>
    <x v="28"/>
    <x v="1"/>
    <x v="1"/>
    <x v="6"/>
    <x v="284"/>
    <x v="243"/>
    <x v="273"/>
    <x v="448"/>
    <x v="333"/>
    <x v="0"/>
    <x v="2"/>
    <x v="1"/>
    <x v="3"/>
    <x v="3"/>
    <x v="1"/>
    <x v="4"/>
    <x v="3"/>
    <x v="17"/>
    <x v="0"/>
    <x v="231"/>
    <x v="8"/>
    <x v="1"/>
    <x v="428"/>
    <x v="90"/>
    <x v="12"/>
    <x v="28"/>
    <x v="361"/>
    <x v="939"/>
  </r>
  <r>
    <x v="97"/>
    <x v="319"/>
    <x v="4"/>
    <x v="0"/>
    <x v="345"/>
    <x v="27"/>
    <x v="1"/>
    <x v="784"/>
    <x v="762"/>
    <x v="0"/>
    <x v="3"/>
    <x v="0"/>
    <x v="1"/>
    <x v="4"/>
    <x v="780"/>
    <x v="830"/>
    <x v="795"/>
    <x v="699"/>
    <x v="632"/>
    <x v="1"/>
    <x v="0"/>
    <x v="2"/>
    <x v="11"/>
    <x v="11"/>
    <x v="3"/>
    <x v="3"/>
    <x v="6"/>
    <x v="49"/>
    <x v="1"/>
    <x v="20"/>
    <x v="1"/>
    <x v="4"/>
    <x v="254"/>
    <x v="90"/>
    <x v="27"/>
    <x v="3"/>
    <x v="762"/>
    <x v="654"/>
  </r>
  <r>
    <x v="37"/>
    <x v="65"/>
    <x v="3"/>
    <x v="1"/>
    <x v="68"/>
    <x v="8"/>
    <x v="0"/>
    <x v="72"/>
    <x v="28"/>
    <x v="0"/>
    <x v="1"/>
    <x v="0"/>
    <x v="1"/>
    <x v="8"/>
    <x v="36"/>
    <x v="53"/>
    <x v="63"/>
    <x v="646"/>
    <x v="800"/>
    <x v="1"/>
    <x v="0"/>
    <x v="1"/>
    <x v="2"/>
    <x v="2"/>
    <x v="0"/>
    <x v="1"/>
    <x v="0"/>
    <x v="11"/>
    <x v="0"/>
    <x v="274"/>
    <x v="10"/>
    <x v="3"/>
    <x v="414"/>
    <x v="90"/>
    <x v="8"/>
    <x v="1"/>
    <x v="28"/>
    <x v="931"/>
  </r>
  <r>
    <x v="49"/>
    <x v="59"/>
    <x v="1"/>
    <x v="1"/>
    <x v="976"/>
    <x v="19"/>
    <x v="1"/>
    <x v="667"/>
    <x v="717"/>
    <x v="0"/>
    <x v="24"/>
    <x v="0"/>
    <x v="0"/>
    <x v="6"/>
    <x v="631"/>
    <x v="590"/>
    <x v="620"/>
    <x v="233"/>
    <x v="272"/>
    <x v="0"/>
    <x v="2"/>
    <x v="0"/>
    <x v="2"/>
    <x v="2"/>
    <x v="0"/>
    <x v="3"/>
    <x v="6"/>
    <x v="9"/>
    <x v="1"/>
    <x v="280"/>
    <x v="10"/>
    <x v="1"/>
    <x v="290"/>
    <x v="80"/>
    <x v="19"/>
    <x v="24"/>
    <x v="717"/>
    <x v="21"/>
  </r>
  <r>
    <x v="97"/>
    <x v="192"/>
    <x v="0"/>
    <x v="2"/>
    <x v="826"/>
    <x v="18"/>
    <x v="1"/>
    <x v="813"/>
    <x v="804"/>
    <x v="1"/>
    <x v="3"/>
    <x v="2"/>
    <x v="0"/>
    <x v="10"/>
    <x v="658"/>
    <x v="696"/>
    <x v="671"/>
    <x v="725"/>
    <x v="654"/>
    <x v="1"/>
    <x v="0"/>
    <x v="0"/>
    <x v="6"/>
    <x v="6"/>
    <x v="2"/>
    <x v="1"/>
    <x v="0"/>
    <x v="30"/>
    <x v="0"/>
    <x v="147"/>
    <x v="6"/>
    <x v="0"/>
    <x v="600"/>
    <x v="90"/>
    <x v="18"/>
    <x v="3"/>
    <x v="804"/>
    <x v="171"/>
  </r>
  <r>
    <x v="81"/>
    <x v="196"/>
    <x v="0"/>
    <x v="0"/>
    <x v="860"/>
    <x v="47"/>
    <x v="2"/>
    <x v="679"/>
    <x v="713"/>
    <x v="1"/>
    <x v="30"/>
    <x v="0"/>
    <x v="0"/>
    <x v="0"/>
    <x v="937"/>
    <x v="877"/>
    <x v="921"/>
    <x v="29"/>
    <x v="74"/>
    <x v="0"/>
    <x v="2"/>
    <x v="0"/>
    <x v="6"/>
    <x v="6"/>
    <x v="2"/>
    <x v="0"/>
    <x v="4"/>
    <x v="30"/>
    <x v="0"/>
    <x v="143"/>
    <x v="5"/>
    <x v="0"/>
    <x v="76"/>
    <x v="90"/>
    <x v="47"/>
    <x v="30"/>
    <x v="713"/>
    <x v="137"/>
  </r>
  <r>
    <x v="29"/>
    <x v="65"/>
    <x v="0"/>
    <x v="1"/>
    <x v="934"/>
    <x v="38"/>
    <x v="2"/>
    <x v="507"/>
    <x v="492"/>
    <x v="0"/>
    <x v="19"/>
    <x v="2"/>
    <x v="1"/>
    <x v="5"/>
    <x v="736"/>
    <x v="712"/>
    <x v="751"/>
    <x v="135"/>
    <x v="246"/>
    <x v="0"/>
    <x v="1"/>
    <x v="0"/>
    <x v="2"/>
    <x v="2"/>
    <x v="0"/>
    <x v="1"/>
    <x v="0"/>
    <x v="11"/>
    <x v="0"/>
    <x v="274"/>
    <x v="10"/>
    <x v="0"/>
    <x v="415"/>
    <x v="81"/>
    <x v="38"/>
    <x v="19"/>
    <x v="492"/>
    <x v="63"/>
  </r>
  <r>
    <x v="78"/>
    <x v="258"/>
    <x v="4"/>
    <x v="0"/>
    <x v="93"/>
    <x v="11"/>
    <x v="2"/>
    <x v="957"/>
    <x v="973"/>
    <x v="0"/>
    <x v="20"/>
    <x v="1"/>
    <x v="0"/>
    <x v="4"/>
    <x v="538"/>
    <x v="516"/>
    <x v="554"/>
    <x v="246"/>
    <x v="238"/>
    <x v="0"/>
    <x v="2"/>
    <x v="1"/>
    <x v="9"/>
    <x v="9"/>
    <x v="3"/>
    <x v="6"/>
    <x v="2"/>
    <x v="40"/>
    <x v="0"/>
    <x v="81"/>
    <x v="3"/>
    <x v="4"/>
    <x v="93"/>
    <x v="90"/>
    <x v="11"/>
    <x v="20"/>
    <x v="973"/>
    <x v="906"/>
  </r>
  <r>
    <x v="90"/>
    <x v="256"/>
    <x v="4"/>
    <x v="0"/>
    <x v="394"/>
    <x v="14"/>
    <x v="1"/>
    <x v="314"/>
    <x v="347"/>
    <x v="1"/>
    <x v="6"/>
    <x v="2"/>
    <x v="1"/>
    <x v="4"/>
    <x v="306"/>
    <x v="339"/>
    <x v="297"/>
    <x v="851"/>
    <x v="875"/>
    <x v="1"/>
    <x v="0"/>
    <x v="2"/>
    <x v="9"/>
    <x v="9"/>
    <x v="3"/>
    <x v="3"/>
    <x v="6"/>
    <x v="39"/>
    <x v="1"/>
    <x v="83"/>
    <x v="3"/>
    <x v="4"/>
    <x v="221"/>
    <x v="90"/>
    <x v="14"/>
    <x v="6"/>
    <x v="347"/>
    <x v="605"/>
  </r>
  <r>
    <x v="50"/>
    <x v="297"/>
    <x v="1"/>
    <x v="3"/>
    <x v="77"/>
    <x v="30"/>
    <x v="3"/>
    <x v="21"/>
    <x v="1"/>
    <x v="0"/>
    <x v="7"/>
    <x v="0"/>
    <x v="0"/>
    <x v="16"/>
    <x v="60"/>
    <x v="69"/>
    <x v="83"/>
    <x v="663"/>
    <x v="824"/>
    <x v="1"/>
    <x v="0"/>
    <x v="1"/>
    <x v="10"/>
    <x v="10"/>
    <x v="3"/>
    <x v="4"/>
    <x v="3"/>
    <x v="46"/>
    <x v="0"/>
    <x v="42"/>
    <x v="2"/>
    <x v="1"/>
    <x v="862"/>
    <x v="90"/>
    <x v="30"/>
    <x v="7"/>
    <x v="1"/>
    <x v="922"/>
  </r>
  <r>
    <x v="62"/>
    <x v="314"/>
    <x v="3"/>
    <x v="2"/>
    <x v="207"/>
    <x v="13"/>
    <x v="0"/>
    <x v="432"/>
    <x v="478"/>
    <x v="1"/>
    <x v="20"/>
    <x v="2"/>
    <x v="1"/>
    <x v="13"/>
    <x v="376"/>
    <x v="361"/>
    <x v="374"/>
    <x v="485"/>
    <x v="485"/>
    <x v="0"/>
    <x v="2"/>
    <x v="1"/>
    <x v="11"/>
    <x v="11"/>
    <x v="3"/>
    <x v="1"/>
    <x v="0"/>
    <x v="49"/>
    <x v="0"/>
    <x v="25"/>
    <x v="1"/>
    <x v="3"/>
    <x v="745"/>
    <x v="90"/>
    <x v="13"/>
    <x v="20"/>
    <x v="478"/>
    <x v="792"/>
  </r>
  <r>
    <x v="97"/>
    <x v="339"/>
    <x v="1"/>
    <x v="2"/>
    <x v="230"/>
    <x v="10"/>
    <x v="0"/>
    <x v="36"/>
    <x v="41"/>
    <x v="1"/>
    <x v="27"/>
    <x v="0"/>
    <x v="0"/>
    <x v="11"/>
    <x v="62"/>
    <x v="55"/>
    <x v="38"/>
    <x v="741"/>
    <x v="950"/>
    <x v="1"/>
    <x v="2"/>
    <x v="1"/>
    <x v="12"/>
    <x v="12"/>
    <x v="4"/>
    <x v="1"/>
    <x v="0"/>
    <x v="0"/>
    <x v="0"/>
    <x v="0"/>
    <x v="0"/>
    <x v="1"/>
    <x v="641"/>
    <x v="90"/>
    <x v="10"/>
    <x v="27"/>
    <x v="41"/>
    <x v="769"/>
  </r>
  <r>
    <x v="51"/>
    <x v="87"/>
    <x v="2"/>
    <x v="2"/>
    <x v="475"/>
    <x v="25"/>
    <x v="0"/>
    <x v="963"/>
    <x v="971"/>
    <x v="0"/>
    <x v="29"/>
    <x v="2"/>
    <x v="0"/>
    <x v="12"/>
    <x v="841"/>
    <x v="764"/>
    <x v="839"/>
    <x v="50"/>
    <x v="31"/>
    <x v="0"/>
    <x v="2"/>
    <x v="2"/>
    <x v="3"/>
    <x v="3"/>
    <x v="1"/>
    <x v="6"/>
    <x v="2"/>
    <x v="14"/>
    <x v="0"/>
    <x v="252"/>
    <x v="9"/>
    <x v="2"/>
    <x v="557"/>
    <x v="90"/>
    <x v="25"/>
    <x v="29"/>
    <x v="971"/>
    <x v="524"/>
  </r>
  <r>
    <x v="37"/>
    <x v="154"/>
    <x v="0"/>
    <x v="3"/>
    <x v="276"/>
    <x v="41"/>
    <x v="2"/>
    <x v="213"/>
    <x v="218"/>
    <x v="0"/>
    <x v="6"/>
    <x v="1"/>
    <x v="1"/>
    <x v="15"/>
    <x v="511"/>
    <x v="559"/>
    <x v="477"/>
    <x v="916"/>
    <x v="850"/>
    <x v="1"/>
    <x v="0"/>
    <x v="2"/>
    <x v="5"/>
    <x v="5"/>
    <x v="1"/>
    <x v="4"/>
    <x v="3"/>
    <x v="24"/>
    <x v="0"/>
    <x v="185"/>
    <x v="7"/>
    <x v="0"/>
    <x v="930"/>
    <x v="90"/>
    <x v="41"/>
    <x v="6"/>
    <x v="218"/>
    <x v="723"/>
  </r>
  <r>
    <x v="96"/>
    <x v="29"/>
    <x v="0"/>
    <x v="3"/>
    <x v="102"/>
    <x v="26"/>
    <x v="1"/>
    <x v="792"/>
    <x v="846"/>
    <x v="1"/>
    <x v="4"/>
    <x v="2"/>
    <x v="0"/>
    <x v="15"/>
    <x v="794"/>
    <x v="839"/>
    <x v="787"/>
    <x v="902"/>
    <x v="747"/>
    <x v="1"/>
    <x v="0"/>
    <x v="1"/>
    <x v="1"/>
    <x v="1"/>
    <x v="0"/>
    <x v="6"/>
    <x v="2"/>
    <x v="5"/>
    <x v="0"/>
    <x v="310"/>
    <x v="11"/>
    <x v="0"/>
    <x v="764"/>
    <x v="90"/>
    <x v="26"/>
    <x v="4"/>
    <x v="846"/>
    <x v="897"/>
  </r>
  <r>
    <x v="87"/>
    <x v="10"/>
    <x v="0"/>
    <x v="2"/>
    <x v="160"/>
    <x v="10"/>
    <x v="2"/>
    <x v="783"/>
    <x v="742"/>
    <x v="1"/>
    <x v="2"/>
    <x v="1"/>
    <x v="0"/>
    <x v="10"/>
    <x v="429"/>
    <x v="476"/>
    <x v="461"/>
    <x v="552"/>
    <x v="577"/>
    <x v="0"/>
    <x v="0"/>
    <x v="1"/>
    <x v="0"/>
    <x v="0"/>
    <x v="0"/>
    <x v="6"/>
    <x v="2"/>
    <x v="2"/>
    <x v="0"/>
    <x v="329"/>
    <x v="12"/>
    <x v="0"/>
    <x v="536"/>
    <x v="90"/>
    <x v="10"/>
    <x v="2"/>
    <x v="742"/>
    <x v="839"/>
  </r>
  <r>
    <x v="78"/>
    <x v="279"/>
    <x v="1"/>
    <x v="3"/>
    <x v="137"/>
    <x v="37"/>
    <x v="3"/>
    <x v="219"/>
    <x v="199"/>
    <x v="1"/>
    <x v="26"/>
    <x v="0"/>
    <x v="1"/>
    <x v="16"/>
    <x v="462"/>
    <x v="421"/>
    <x v="462"/>
    <x v="275"/>
    <x v="186"/>
    <x v="0"/>
    <x v="2"/>
    <x v="1"/>
    <x v="9"/>
    <x v="9"/>
    <x v="3"/>
    <x v="2"/>
    <x v="5"/>
    <x v="43"/>
    <x v="1"/>
    <x v="60"/>
    <x v="2"/>
    <x v="1"/>
    <x v="970"/>
    <x v="90"/>
    <x v="37"/>
    <x v="26"/>
    <x v="199"/>
    <x v="862"/>
  </r>
  <r>
    <x v="29"/>
    <x v="204"/>
    <x v="1"/>
    <x v="3"/>
    <x v="972"/>
    <x v="33"/>
    <x v="1"/>
    <x v="635"/>
    <x v="666"/>
    <x v="1"/>
    <x v="9"/>
    <x v="1"/>
    <x v="0"/>
    <x v="16"/>
    <x v="807"/>
    <x v="831"/>
    <x v="785"/>
    <x v="826"/>
    <x v="693"/>
    <x v="1"/>
    <x v="0"/>
    <x v="0"/>
    <x v="7"/>
    <x v="7"/>
    <x v="2"/>
    <x v="2"/>
    <x v="5"/>
    <x v="31"/>
    <x v="1"/>
    <x v="135"/>
    <x v="5"/>
    <x v="1"/>
    <x v="827"/>
    <x v="82"/>
    <x v="33"/>
    <x v="9"/>
    <x v="666"/>
    <x v="25"/>
  </r>
  <r>
    <x v="50"/>
    <x v="269"/>
    <x v="0"/>
    <x v="3"/>
    <x v="762"/>
    <x v="42"/>
    <x v="0"/>
    <x v="47"/>
    <x v="67"/>
    <x v="1"/>
    <x v="0"/>
    <x v="0"/>
    <x v="0"/>
    <x v="15"/>
    <x v="296"/>
    <x v="355"/>
    <x v="178"/>
    <x v="993"/>
    <x v="972"/>
    <x v="1"/>
    <x v="0"/>
    <x v="0"/>
    <x v="9"/>
    <x v="9"/>
    <x v="3"/>
    <x v="1"/>
    <x v="0"/>
    <x v="42"/>
    <x v="0"/>
    <x v="70"/>
    <x v="3"/>
    <x v="0"/>
    <x v="855"/>
    <x v="90"/>
    <x v="42"/>
    <x v="0"/>
    <x v="67"/>
    <x v="236"/>
  </r>
  <r>
    <x v="80"/>
    <x v="93"/>
    <x v="1"/>
    <x v="2"/>
    <x v="966"/>
    <x v="18"/>
    <x v="2"/>
    <x v="493"/>
    <x v="439"/>
    <x v="0"/>
    <x v="7"/>
    <x v="0"/>
    <x v="1"/>
    <x v="11"/>
    <x v="453"/>
    <x v="485"/>
    <x v="482"/>
    <x v="414"/>
    <x v="438"/>
    <x v="0"/>
    <x v="0"/>
    <x v="0"/>
    <x v="3"/>
    <x v="3"/>
    <x v="1"/>
    <x v="6"/>
    <x v="2"/>
    <x v="15"/>
    <x v="0"/>
    <x v="246"/>
    <x v="9"/>
    <x v="1"/>
    <x v="675"/>
    <x v="83"/>
    <x v="18"/>
    <x v="7"/>
    <x v="439"/>
    <x v="31"/>
  </r>
  <r>
    <x v="4"/>
    <x v="249"/>
    <x v="4"/>
    <x v="2"/>
    <x v="449"/>
    <x v="5"/>
    <x v="2"/>
    <x v="18"/>
    <x v="20"/>
    <x v="1"/>
    <x v="10"/>
    <x v="1"/>
    <x v="1"/>
    <x v="14"/>
    <x v="17"/>
    <x v="20"/>
    <x v="7"/>
    <x v="721"/>
    <x v="982"/>
    <x v="1"/>
    <x v="1"/>
    <x v="2"/>
    <x v="8"/>
    <x v="8"/>
    <x v="2"/>
    <x v="3"/>
    <x v="6"/>
    <x v="38"/>
    <x v="1"/>
    <x v="90"/>
    <x v="4"/>
    <x v="4"/>
    <x v="723"/>
    <x v="90"/>
    <x v="5"/>
    <x v="10"/>
    <x v="20"/>
    <x v="550"/>
  </r>
  <r>
    <x v="28"/>
    <x v="201"/>
    <x v="4"/>
    <x v="2"/>
    <x v="290"/>
    <x v="45"/>
    <x v="3"/>
    <x v="926"/>
    <x v="937"/>
    <x v="1"/>
    <x v="30"/>
    <x v="1"/>
    <x v="1"/>
    <x v="14"/>
    <x v="989"/>
    <x v="943"/>
    <x v="987"/>
    <x v="0"/>
    <x v="15"/>
    <x v="0"/>
    <x v="2"/>
    <x v="2"/>
    <x v="7"/>
    <x v="7"/>
    <x v="2"/>
    <x v="6"/>
    <x v="2"/>
    <x v="31"/>
    <x v="0"/>
    <x v="138"/>
    <x v="5"/>
    <x v="4"/>
    <x v="700"/>
    <x v="90"/>
    <x v="45"/>
    <x v="30"/>
    <x v="937"/>
    <x v="709"/>
  </r>
  <r>
    <x v="3"/>
    <x v="166"/>
    <x v="1"/>
    <x v="3"/>
    <x v="804"/>
    <x v="37"/>
    <x v="3"/>
    <x v="975"/>
    <x v="976"/>
    <x v="1"/>
    <x v="16"/>
    <x v="2"/>
    <x v="1"/>
    <x v="16"/>
    <x v="956"/>
    <x v="952"/>
    <x v="959"/>
    <x v="73"/>
    <x v="286"/>
    <x v="0"/>
    <x v="1"/>
    <x v="0"/>
    <x v="5"/>
    <x v="5"/>
    <x v="1"/>
    <x v="6"/>
    <x v="2"/>
    <x v="26"/>
    <x v="0"/>
    <x v="173"/>
    <x v="6"/>
    <x v="1"/>
    <x v="938"/>
    <x v="90"/>
    <x v="37"/>
    <x v="16"/>
    <x v="976"/>
    <x v="193"/>
  </r>
  <r>
    <x v="9"/>
    <x v="81"/>
    <x v="0"/>
    <x v="2"/>
    <x v="336"/>
    <x v="48"/>
    <x v="2"/>
    <x v="229"/>
    <x v="209"/>
    <x v="0"/>
    <x v="6"/>
    <x v="2"/>
    <x v="1"/>
    <x v="10"/>
    <x v="558"/>
    <x v="615"/>
    <x v="549"/>
    <x v="820"/>
    <x v="749"/>
    <x v="1"/>
    <x v="0"/>
    <x v="2"/>
    <x v="2"/>
    <x v="2"/>
    <x v="0"/>
    <x v="6"/>
    <x v="2"/>
    <x v="13"/>
    <x v="0"/>
    <x v="258"/>
    <x v="9"/>
    <x v="0"/>
    <x v="670"/>
    <x v="90"/>
    <x v="48"/>
    <x v="6"/>
    <x v="209"/>
    <x v="663"/>
  </r>
  <r>
    <x v="55"/>
    <x v="38"/>
    <x v="1"/>
    <x v="3"/>
    <x v="311"/>
    <x v="41"/>
    <x v="3"/>
    <x v="210"/>
    <x v="228"/>
    <x v="0"/>
    <x v="10"/>
    <x v="1"/>
    <x v="0"/>
    <x v="16"/>
    <x v="526"/>
    <x v="561"/>
    <x v="474"/>
    <x v="932"/>
    <x v="862"/>
    <x v="1"/>
    <x v="1"/>
    <x v="2"/>
    <x v="1"/>
    <x v="1"/>
    <x v="0"/>
    <x v="0"/>
    <x v="4"/>
    <x v="6"/>
    <x v="0"/>
    <x v="301"/>
    <x v="11"/>
    <x v="1"/>
    <x v="769"/>
    <x v="90"/>
    <x v="41"/>
    <x v="10"/>
    <x v="228"/>
    <x v="688"/>
  </r>
  <r>
    <x v="16"/>
    <x v="69"/>
    <x v="1"/>
    <x v="1"/>
    <x v="235"/>
    <x v="27"/>
    <x v="0"/>
    <x v="769"/>
    <x v="738"/>
    <x v="1"/>
    <x v="10"/>
    <x v="1"/>
    <x v="1"/>
    <x v="6"/>
    <x v="763"/>
    <x v="783"/>
    <x v="782"/>
    <x v="261"/>
    <x v="411"/>
    <x v="0"/>
    <x v="1"/>
    <x v="1"/>
    <x v="2"/>
    <x v="2"/>
    <x v="0"/>
    <x v="0"/>
    <x v="4"/>
    <x v="11"/>
    <x v="0"/>
    <x v="270"/>
    <x v="10"/>
    <x v="1"/>
    <x v="417"/>
    <x v="90"/>
    <x v="27"/>
    <x v="10"/>
    <x v="738"/>
    <x v="764"/>
  </r>
  <r>
    <x v="73"/>
    <x v="42"/>
    <x v="1"/>
    <x v="3"/>
    <x v="123"/>
    <x v="0"/>
    <x v="3"/>
    <x v="260"/>
    <x v="297"/>
    <x v="1"/>
    <x v="1"/>
    <x v="1"/>
    <x v="1"/>
    <x v="16"/>
    <x v="9"/>
    <x v="13"/>
    <x v="13"/>
    <x v="650"/>
    <x v="907"/>
    <x v="1"/>
    <x v="0"/>
    <x v="1"/>
    <x v="1"/>
    <x v="1"/>
    <x v="0"/>
    <x v="6"/>
    <x v="2"/>
    <x v="7"/>
    <x v="0"/>
    <x v="297"/>
    <x v="11"/>
    <x v="1"/>
    <x v="896"/>
    <x v="90"/>
    <x v="0"/>
    <x v="1"/>
    <x v="297"/>
    <x v="876"/>
  </r>
  <r>
    <x v="16"/>
    <x v="148"/>
    <x v="2"/>
    <x v="0"/>
    <x v="261"/>
    <x v="34"/>
    <x v="3"/>
    <x v="910"/>
    <x v="941"/>
    <x v="0"/>
    <x v="4"/>
    <x v="1"/>
    <x v="0"/>
    <x v="2"/>
    <x v="922"/>
    <x v="955"/>
    <x v="913"/>
    <x v="908"/>
    <x v="711"/>
    <x v="1"/>
    <x v="0"/>
    <x v="2"/>
    <x v="5"/>
    <x v="5"/>
    <x v="1"/>
    <x v="0"/>
    <x v="4"/>
    <x v="23"/>
    <x v="0"/>
    <x v="191"/>
    <x v="7"/>
    <x v="2"/>
    <x v="65"/>
    <x v="90"/>
    <x v="34"/>
    <x v="4"/>
    <x v="941"/>
    <x v="738"/>
  </r>
  <r>
    <x v="83"/>
    <x v="73"/>
    <x v="4"/>
    <x v="2"/>
    <x v="363"/>
    <x v="39"/>
    <x v="2"/>
    <x v="591"/>
    <x v="581"/>
    <x v="0"/>
    <x v="21"/>
    <x v="0"/>
    <x v="0"/>
    <x v="14"/>
    <x v="813"/>
    <x v="784"/>
    <x v="816"/>
    <x v="103"/>
    <x v="221"/>
    <x v="0"/>
    <x v="2"/>
    <x v="2"/>
    <x v="2"/>
    <x v="2"/>
    <x v="0"/>
    <x v="5"/>
    <x v="1"/>
    <x v="12"/>
    <x v="0"/>
    <x v="266"/>
    <x v="10"/>
    <x v="4"/>
    <x v="552"/>
    <x v="90"/>
    <x v="39"/>
    <x v="21"/>
    <x v="581"/>
    <x v="636"/>
  </r>
  <r>
    <x v="87"/>
    <x v="287"/>
    <x v="3"/>
    <x v="2"/>
    <x v="674"/>
    <x v="7"/>
    <x v="2"/>
    <x v="366"/>
    <x v="340"/>
    <x v="0"/>
    <x v="4"/>
    <x v="1"/>
    <x v="0"/>
    <x v="13"/>
    <x v="165"/>
    <x v="188"/>
    <x v="200"/>
    <x v="664"/>
    <x v="697"/>
    <x v="1"/>
    <x v="0"/>
    <x v="2"/>
    <x v="10"/>
    <x v="10"/>
    <x v="3"/>
    <x v="1"/>
    <x v="0"/>
    <x v="45"/>
    <x v="0"/>
    <x v="52"/>
    <x v="2"/>
    <x v="3"/>
    <x v="627"/>
    <x v="90"/>
    <x v="7"/>
    <x v="4"/>
    <x v="340"/>
    <x v="324"/>
  </r>
  <r>
    <x v="68"/>
    <x v="79"/>
    <x v="3"/>
    <x v="0"/>
    <x v="62"/>
    <x v="46"/>
    <x v="1"/>
    <x v="841"/>
    <x v="823"/>
    <x v="0"/>
    <x v="7"/>
    <x v="1"/>
    <x v="0"/>
    <x v="3"/>
    <x v="968"/>
    <x v="985"/>
    <x v="969"/>
    <x v="276"/>
    <x v="518"/>
    <x v="0"/>
    <x v="0"/>
    <x v="1"/>
    <x v="2"/>
    <x v="2"/>
    <x v="0"/>
    <x v="1"/>
    <x v="0"/>
    <x v="13"/>
    <x v="0"/>
    <x v="260"/>
    <x v="9"/>
    <x v="3"/>
    <x v="37"/>
    <x v="90"/>
    <x v="46"/>
    <x v="7"/>
    <x v="823"/>
    <x v="937"/>
  </r>
  <r>
    <x v="33"/>
    <x v="84"/>
    <x v="2"/>
    <x v="3"/>
    <x v="206"/>
    <x v="6"/>
    <x v="1"/>
    <x v="504"/>
    <x v="508"/>
    <x v="1"/>
    <x v="11"/>
    <x v="1"/>
    <x v="0"/>
    <x v="17"/>
    <x v="202"/>
    <x v="210"/>
    <x v="238"/>
    <x v="562"/>
    <x v="552"/>
    <x v="0"/>
    <x v="1"/>
    <x v="1"/>
    <x v="3"/>
    <x v="3"/>
    <x v="1"/>
    <x v="3"/>
    <x v="6"/>
    <x v="13"/>
    <x v="1"/>
    <x v="255"/>
    <x v="9"/>
    <x v="2"/>
    <x v="786"/>
    <x v="90"/>
    <x v="6"/>
    <x v="11"/>
    <x v="508"/>
    <x v="793"/>
  </r>
  <r>
    <x v="5"/>
    <x v="136"/>
    <x v="1"/>
    <x v="1"/>
    <x v="820"/>
    <x v="10"/>
    <x v="2"/>
    <x v="921"/>
    <x v="944"/>
    <x v="0"/>
    <x v="23"/>
    <x v="1"/>
    <x v="1"/>
    <x v="6"/>
    <x v="494"/>
    <x v="471"/>
    <x v="510"/>
    <x v="241"/>
    <x v="187"/>
    <x v="0"/>
    <x v="2"/>
    <x v="0"/>
    <x v="4"/>
    <x v="4"/>
    <x v="1"/>
    <x v="3"/>
    <x v="6"/>
    <x v="21"/>
    <x v="1"/>
    <x v="203"/>
    <x v="7"/>
    <x v="1"/>
    <x v="441"/>
    <x v="90"/>
    <x v="10"/>
    <x v="23"/>
    <x v="944"/>
    <x v="177"/>
  </r>
  <r>
    <x v="52"/>
    <x v="149"/>
    <x v="2"/>
    <x v="0"/>
    <x v="135"/>
    <x v="38"/>
    <x v="3"/>
    <x v="932"/>
    <x v="931"/>
    <x v="1"/>
    <x v="17"/>
    <x v="0"/>
    <x v="0"/>
    <x v="2"/>
    <x v="951"/>
    <x v="941"/>
    <x v="954"/>
    <x v="66"/>
    <x v="265"/>
    <x v="0"/>
    <x v="1"/>
    <x v="1"/>
    <x v="5"/>
    <x v="5"/>
    <x v="1"/>
    <x v="2"/>
    <x v="5"/>
    <x v="23"/>
    <x v="1"/>
    <x v="190"/>
    <x v="7"/>
    <x v="2"/>
    <x v="66"/>
    <x v="90"/>
    <x v="38"/>
    <x v="17"/>
    <x v="931"/>
    <x v="864"/>
  </r>
  <r>
    <x v="65"/>
    <x v="189"/>
    <x v="2"/>
    <x v="0"/>
    <x v="350"/>
    <x v="3"/>
    <x v="3"/>
    <x v="166"/>
    <x v="185"/>
    <x v="1"/>
    <x v="21"/>
    <x v="2"/>
    <x v="1"/>
    <x v="2"/>
    <x v="51"/>
    <x v="50"/>
    <x v="59"/>
    <x v="639"/>
    <x v="755"/>
    <x v="1"/>
    <x v="2"/>
    <x v="2"/>
    <x v="6"/>
    <x v="6"/>
    <x v="2"/>
    <x v="0"/>
    <x v="4"/>
    <x v="29"/>
    <x v="0"/>
    <x v="150"/>
    <x v="6"/>
    <x v="2"/>
    <x v="194"/>
    <x v="90"/>
    <x v="3"/>
    <x v="21"/>
    <x v="185"/>
    <x v="649"/>
  </r>
  <r>
    <x v="76"/>
    <x v="227"/>
    <x v="0"/>
    <x v="3"/>
    <x v="874"/>
    <x v="24"/>
    <x v="1"/>
    <x v="1"/>
    <x v="6"/>
    <x v="0"/>
    <x v="17"/>
    <x v="2"/>
    <x v="0"/>
    <x v="15"/>
    <x v="74"/>
    <x v="74"/>
    <x v="20"/>
    <x v="822"/>
    <x v="990"/>
    <x v="1"/>
    <x v="1"/>
    <x v="0"/>
    <x v="7"/>
    <x v="7"/>
    <x v="2"/>
    <x v="6"/>
    <x v="2"/>
    <x v="35"/>
    <x v="0"/>
    <x v="112"/>
    <x v="4"/>
    <x v="0"/>
    <x v="839"/>
    <x v="90"/>
    <x v="24"/>
    <x v="17"/>
    <x v="6"/>
    <x v="123"/>
  </r>
  <r>
    <x v="42"/>
    <x v="327"/>
    <x v="4"/>
    <x v="2"/>
    <x v="144"/>
    <x v="11"/>
    <x v="1"/>
    <x v="983"/>
    <x v="972"/>
    <x v="0"/>
    <x v="21"/>
    <x v="2"/>
    <x v="1"/>
    <x v="14"/>
    <x v="537"/>
    <x v="513"/>
    <x v="571"/>
    <x v="188"/>
    <x v="147"/>
    <x v="0"/>
    <x v="2"/>
    <x v="1"/>
    <x v="11"/>
    <x v="11"/>
    <x v="3"/>
    <x v="5"/>
    <x v="1"/>
    <x v="51"/>
    <x v="0"/>
    <x v="12"/>
    <x v="1"/>
    <x v="4"/>
    <x v="748"/>
    <x v="90"/>
    <x v="11"/>
    <x v="21"/>
    <x v="972"/>
    <x v="855"/>
  </r>
  <r>
    <x v="74"/>
    <x v="1"/>
    <x v="3"/>
    <x v="3"/>
    <x v="90"/>
    <x v="25"/>
    <x v="1"/>
    <x v="916"/>
    <x v="878"/>
    <x v="0"/>
    <x v="0"/>
    <x v="2"/>
    <x v="0"/>
    <x v="18"/>
    <x v="792"/>
    <x v="855"/>
    <x v="825"/>
    <x v="665"/>
    <x v="618"/>
    <x v="1"/>
    <x v="0"/>
    <x v="1"/>
    <x v="0"/>
    <x v="0"/>
    <x v="0"/>
    <x v="1"/>
    <x v="0"/>
    <x v="1"/>
    <x v="0"/>
    <x v="338"/>
    <x v="12"/>
    <x v="3"/>
    <x v="756"/>
    <x v="90"/>
    <x v="25"/>
    <x v="0"/>
    <x v="878"/>
    <x v="909"/>
  </r>
  <r>
    <x v="22"/>
    <x v="212"/>
    <x v="1"/>
    <x v="0"/>
    <x v="488"/>
    <x v="37"/>
    <x v="0"/>
    <x v="56"/>
    <x v="13"/>
    <x v="0"/>
    <x v="28"/>
    <x v="2"/>
    <x v="1"/>
    <x v="1"/>
    <x v="141"/>
    <x v="125"/>
    <x v="176"/>
    <x v="407"/>
    <x v="22"/>
    <x v="0"/>
    <x v="2"/>
    <x v="2"/>
    <x v="7"/>
    <x v="7"/>
    <x v="2"/>
    <x v="3"/>
    <x v="6"/>
    <x v="32"/>
    <x v="1"/>
    <x v="127"/>
    <x v="5"/>
    <x v="1"/>
    <x v="205"/>
    <x v="90"/>
    <x v="37"/>
    <x v="28"/>
    <x v="13"/>
    <x v="511"/>
  </r>
  <r>
    <x v="54"/>
    <x v="269"/>
    <x v="3"/>
    <x v="0"/>
    <x v="314"/>
    <x v="45"/>
    <x v="0"/>
    <x v="843"/>
    <x v="818"/>
    <x v="1"/>
    <x v="3"/>
    <x v="0"/>
    <x v="1"/>
    <x v="3"/>
    <x v="962"/>
    <x v="986"/>
    <x v="964"/>
    <x v="565"/>
    <x v="599"/>
    <x v="0"/>
    <x v="0"/>
    <x v="2"/>
    <x v="9"/>
    <x v="9"/>
    <x v="3"/>
    <x v="1"/>
    <x v="0"/>
    <x v="42"/>
    <x v="0"/>
    <x v="70"/>
    <x v="3"/>
    <x v="3"/>
    <x v="224"/>
    <x v="90"/>
    <x v="45"/>
    <x v="3"/>
    <x v="818"/>
    <x v="685"/>
  </r>
  <r>
    <x v="79"/>
    <x v="219"/>
    <x v="3"/>
    <x v="2"/>
    <x v="559"/>
    <x v="11"/>
    <x v="1"/>
    <x v="469"/>
    <x v="459"/>
    <x v="1"/>
    <x v="12"/>
    <x v="2"/>
    <x v="1"/>
    <x v="13"/>
    <x v="313"/>
    <x v="323"/>
    <x v="338"/>
    <x v="509"/>
    <x v="504"/>
    <x v="0"/>
    <x v="1"/>
    <x v="2"/>
    <x v="7"/>
    <x v="7"/>
    <x v="2"/>
    <x v="1"/>
    <x v="0"/>
    <x v="34"/>
    <x v="0"/>
    <x v="120"/>
    <x v="5"/>
    <x v="3"/>
    <x v="708"/>
    <x v="90"/>
    <x v="11"/>
    <x v="12"/>
    <x v="459"/>
    <x v="440"/>
  </r>
  <r>
    <x v="94"/>
    <x v="70"/>
    <x v="4"/>
    <x v="2"/>
    <x v="810"/>
    <x v="42"/>
    <x v="3"/>
    <x v="269"/>
    <x v="310"/>
    <x v="1"/>
    <x v="23"/>
    <x v="0"/>
    <x v="1"/>
    <x v="14"/>
    <x v="628"/>
    <x v="599"/>
    <x v="556"/>
    <x v="695"/>
    <x v="647"/>
    <x v="1"/>
    <x v="2"/>
    <x v="0"/>
    <x v="2"/>
    <x v="2"/>
    <x v="0"/>
    <x v="2"/>
    <x v="5"/>
    <x v="11"/>
    <x v="1"/>
    <x v="269"/>
    <x v="10"/>
    <x v="4"/>
    <x v="666"/>
    <x v="90"/>
    <x v="42"/>
    <x v="23"/>
    <x v="310"/>
    <x v="187"/>
  </r>
  <r>
    <x v="74"/>
    <x v="107"/>
    <x v="3"/>
    <x v="2"/>
    <x v="128"/>
    <x v="36"/>
    <x v="1"/>
    <x v="900"/>
    <x v="924"/>
    <x v="0"/>
    <x v="13"/>
    <x v="0"/>
    <x v="1"/>
    <x v="13"/>
    <x v="931"/>
    <x v="939"/>
    <x v="922"/>
    <x v="247"/>
    <x v="473"/>
    <x v="0"/>
    <x v="1"/>
    <x v="1"/>
    <x v="3"/>
    <x v="3"/>
    <x v="1"/>
    <x v="6"/>
    <x v="2"/>
    <x v="17"/>
    <x v="0"/>
    <x v="232"/>
    <x v="8"/>
    <x v="3"/>
    <x v="679"/>
    <x v="90"/>
    <x v="36"/>
    <x v="13"/>
    <x v="924"/>
    <x v="871"/>
  </r>
  <r>
    <x v="15"/>
    <x v="142"/>
    <x v="3"/>
    <x v="3"/>
    <x v="576"/>
    <x v="45"/>
    <x v="0"/>
    <x v="198"/>
    <x v="179"/>
    <x v="1"/>
    <x v="28"/>
    <x v="2"/>
    <x v="1"/>
    <x v="18"/>
    <x v="490"/>
    <x v="441"/>
    <x v="488"/>
    <x v="240"/>
    <x v="154"/>
    <x v="0"/>
    <x v="2"/>
    <x v="2"/>
    <x v="5"/>
    <x v="5"/>
    <x v="1"/>
    <x v="2"/>
    <x v="5"/>
    <x v="22"/>
    <x v="1"/>
    <x v="197"/>
    <x v="7"/>
    <x v="3"/>
    <x v="929"/>
    <x v="90"/>
    <x v="45"/>
    <x v="28"/>
    <x v="179"/>
    <x v="423"/>
  </r>
  <r>
    <x v="7"/>
    <x v="94"/>
    <x v="2"/>
    <x v="2"/>
    <x v="509"/>
    <x v="23"/>
    <x v="3"/>
    <x v="954"/>
    <x v="935"/>
    <x v="0"/>
    <x v="14"/>
    <x v="2"/>
    <x v="1"/>
    <x v="12"/>
    <x v="785"/>
    <x v="795"/>
    <x v="811"/>
    <x v="141"/>
    <x v="304"/>
    <x v="0"/>
    <x v="1"/>
    <x v="2"/>
    <x v="3"/>
    <x v="3"/>
    <x v="1"/>
    <x v="4"/>
    <x v="3"/>
    <x v="15"/>
    <x v="0"/>
    <x v="245"/>
    <x v="9"/>
    <x v="2"/>
    <x v="676"/>
    <x v="90"/>
    <x v="23"/>
    <x v="14"/>
    <x v="935"/>
    <x v="490"/>
  </r>
  <r>
    <x v="3"/>
    <x v="181"/>
    <x v="4"/>
    <x v="0"/>
    <x v="134"/>
    <x v="15"/>
    <x v="0"/>
    <x v="206"/>
    <x v="188"/>
    <x v="1"/>
    <x v="26"/>
    <x v="2"/>
    <x v="1"/>
    <x v="4"/>
    <x v="201"/>
    <x v="183"/>
    <x v="233"/>
    <x v="410"/>
    <x v="167"/>
    <x v="0"/>
    <x v="2"/>
    <x v="1"/>
    <x v="6"/>
    <x v="6"/>
    <x v="2"/>
    <x v="4"/>
    <x v="3"/>
    <x v="28"/>
    <x v="0"/>
    <x v="158"/>
    <x v="6"/>
    <x v="4"/>
    <x v="190"/>
    <x v="90"/>
    <x v="15"/>
    <x v="26"/>
    <x v="188"/>
    <x v="865"/>
  </r>
  <r>
    <x v="3"/>
    <x v="154"/>
    <x v="0"/>
    <x v="0"/>
    <x v="619"/>
    <x v="12"/>
    <x v="3"/>
    <x v="623"/>
    <x v="623"/>
    <x v="0"/>
    <x v="24"/>
    <x v="1"/>
    <x v="1"/>
    <x v="0"/>
    <x v="421"/>
    <x v="388"/>
    <x v="443"/>
    <x v="255"/>
    <x v="116"/>
    <x v="0"/>
    <x v="2"/>
    <x v="2"/>
    <x v="5"/>
    <x v="5"/>
    <x v="1"/>
    <x v="4"/>
    <x v="3"/>
    <x v="24"/>
    <x v="0"/>
    <x v="185"/>
    <x v="7"/>
    <x v="0"/>
    <x v="183"/>
    <x v="90"/>
    <x v="12"/>
    <x v="24"/>
    <x v="623"/>
    <x v="379"/>
  </r>
  <r>
    <x v="55"/>
    <x v="332"/>
    <x v="1"/>
    <x v="1"/>
    <x v="283"/>
    <x v="24"/>
    <x v="0"/>
    <x v="231"/>
    <x v="225"/>
    <x v="1"/>
    <x v="29"/>
    <x v="0"/>
    <x v="1"/>
    <x v="6"/>
    <x v="362"/>
    <x v="307"/>
    <x v="350"/>
    <x v="376"/>
    <x v="269"/>
    <x v="0"/>
    <x v="2"/>
    <x v="2"/>
    <x v="11"/>
    <x v="11"/>
    <x v="3"/>
    <x v="1"/>
    <x v="0"/>
    <x v="52"/>
    <x v="0"/>
    <x v="7"/>
    <x v="0"/>
    <x v="1"/>
    <x v="526"/>
    <x v="90"/>
    <x v="24"/>
    <x v="29"/>
    <x v="225"/>
    <x v="716"/>
  </r>
  <r>
    <x v="24"/>
    <x v="83"/>
    <x v="3"/>
    <x v="3"/>
    <x v="492"/>
    <x v="3"/>
    <x v="3"/>
    <x v="569"/>
    <x v="555"/>
    <x v="1"/>
    <x v="28"/>
    <x v="2"/>
    <x v="0"/>
    <x v="18"/>
    <x v="133"/>
    <x v="114"/>
    <x v="161"/>
    <x v="431"/>
    <x v="65"/>
    <x v="0"/>
    <x v="2"/>
    <x v="2"/>
    <x v="2"/>
    <x v="2"/>
    <x v="0"/>
    <x v="0"/>
    <x v="4"/>
    <x v="13"/>
    <x v="0"/>
    <x v="256"/>
    <x v="9"/>
    <x v="3"/>
    <x v="785"/>
    <x v="90"/>
    <x v="3"/>
    <x v="28"/>
    <x v="555"/>
    <x v="507"/>
  </r>
  <r>
    <x v="66"/>
    <x v="161"/>
    <x v="1"/>
    <x v="1"/>
    <x v="89"/>
    <x v="10"/>
    <x v="3"/>
    <x v="689"/>
    <x v="661"/>
    <x v="0"/>
    <x v="27"/>
    <x v="1"/>
    <x v="1"/>
    <x v="6"/>
    <x v="393"/>
    <x v="354"/>
    <x v="421"/>
    <x v="220"/>
    <x v="30"/>
    <x v="0"/>
    <x v="2"/>
    <x v="1"/>
    <x v="5"/>
    <x v="5"/>
    <x v="1"/>
    <x v="0"/>
    <x v="4"/>
    <x v="25"/>
    <x v="0"/>
    <x v="178"/>
    <x v="7"/>
    <x v="1"/>
    <x v="452"/>
    <x v="90"/>
    <x v="10"/>
    <x v="27"/>
    <x v="661"/>
    <x v="910"/>
  </r>
  <r>
    <x v="95"/>
    <x v="112"/>
    <x v="0"/>
    <x v="0"/>
    <x v="466"/>
    <x v="31"/>
    <x v="3"/>
    <x v="191"/>
    <x v="157"/>
    <x v="1"/>
    <x v="22"/>
    <x v="0"/>
    <x v="1"/>
    <x v="0"/>
    <x v="354"/>
    <x v="322"/>
    <x v="385"/>
    <x v="328"/>
    <x v="203"/>
    <x v="0"/>
    <x v="2"/>
    <x v="2"/>
    <x v="4"/>
    <x v="4"/>
    <x v="1"/>
    <x v="5"/>
    <x v="1"/>
    <x v="18"/>
    <x v="0"/>
    <x v="227"/>
    <x v="8"/>
    <x v="0"/>
    <x v="169"/>
    <x v="90"/>
    <x v="31"/>
    <x v="22"/>
    <x v="157"/>
    <x v="533"/>
  </r>
  <r>
    <x v="66"/>
    <x v="131"/>
    <x v="1"/>
    <x v="1"/>
    <x v="319"/>
    <x v="48"/>
    <x v="3"/>
    <x v="545"/>
    <x v="489"/>
    <x v="1"/>
    <x v="11"/>
    <x v="1"/>
    <x v="0"/>
    <x v="6"/>
    <x v="830"/>
    <x v="843"/>
    <x v="853"/>
    <x v="139"/>
    <x v="335"/>
    <x v="0"/>
    <x v="1"/>
    <x v="2"/>
    <x v="4"/>
    <x v="4"/>
    <x v="1"/>
    <x v="5"/>
    <x v="1"/>
    <x v="21"/>
    <x v="0"/>
    <x v="208"/>
    <x v="8"/>
    <x v="1"/>
    <x v="311"/>
    <x v="90"/>
    <x v="48"/>
    <x v="11"/>
    <x v="489"/>
    <x v="680"/>
  </r>
  <r>
    <x v="26"/>
    <x v="97"/>
    <x v="0"/>
    <x v="0"/>
    <x v="831"/>
    <x v="6"/>
    <x v="2"/>
    <x v="477"/>
    <x v="438"/>
    <x v="0"/>
    <x v="3"/>
    <x v="1"/>
    <x v="1"/>
    <x v="0"/>
    <x v="185"/>
    <x v="205"/>
    <x v="227"/>
    <x v="614"/>
    <x v="619"/>
    <x v="1"/>
    <x v="0"/>
    <x v="0"/>
    <x v="3"/>
    <x v="3"/>
    <x v="1"/>
    <x v="3"/>
    <x v="6"/>
    <x v="15"/>
    <x v="1"/>
    <x v="242"/>
    <x v="9"/>
    <x v="0"/>
    <x v="165"/>
    <x v="90"/>
    <x v="6"/>
    <x v="3"/>
    <x v="438"/>
    <x v="166"/>
  </r>
  <r>
    <x v="92"/>
    <x v="283"/>
    <x v="2"/>
    <x v="1"/>
    <x v="55"/>
    <x v="45"/>
    <x v="0"/>
    <x v="73"/>
    <x v="93"/>
    <x v="0"/>
    <x v="21"/>
    <x v="2"/>
    <x v="1"/>
    <x v="7"/>
    <x v="360"/>
    <x v="334"/>
    <x v="247"/>
    <x v="941"/>
    <x v="937"/>
    <x v="1"/>
    <x v="2"/>
    <x v="1"/>
    <x v="10"/>
    <x v="10"/>
    <x v="3"/>
    <x v="6"/>
    <x v="2"/>
    <x v="44"/>
    <x v="0"/>
    <x v="56"/>
    <x v="2"/>
    <x v="2"/>
    <x v="505"/>
    <x v="90"/>
    <x v="45"/>
    <x v="21"/>
    <x v="93"/>
    <x v="944"/>
  </r>
  <r>
    <x v="31"/>
    <x v="333"/>
    <x v="3"/>
    <x v="2"/>
    <x v="425"/>
    <x v="10"/>
    <x v="0"/>
    <x v="823"/>
    <x v="799"/>
    <x v="0"/>
    <x v="29"/>
    <x v="0"/>
    <x v="0"/>
    <x v="13"/>
    <x v="450"/>
    <x v="395"/>
    <x v="472"/>
    <x v="165"/>
    <x v="11"/>
    <x v="0"/>
    <x v="2"/>
    <x v="2"/>
    <x v="11"/>
    <x v="11"/>
    <x v="3"/>
    <x v="5"/>
    <x v="1"/>
    <x v="52"/>
    <x v="0"/>
    <x v="6"/>
    <x v="0"/>
    <x v="3"/>
    <x v="637"/>
    <x v="90"/>
    <x v="10"/>
    <x v="29"/>
    <x v="799"/>
    <x v="574"/>
  </r>
  <r>
    <x v="49"/>
    <x v="294"/>
    <x v="0"/>
    <x v="1"/>
    <x v="464"/>
    <x v="27"/>
    <x v="2"/>
    <x v="346"/>
    <x v="344"/>
    <x v="0"/>
    <x v="22"/>
    <x v="1"/>
    <x v="0"/>
    <x v="5"/>
    <x v="501"/>
    <x v="478"/>
    <x v="495"/>
    <x v="325"/>
    <x v="315"/>
    <x v="0"/>
    <x v="2"/>
    <x v="2"/>
    <x v="10"/>
    <x v="10"/>
    <x v="3"/>
    <x v="1"/>
    <x v="0"/>
    <x v="46"/>
    <x v="0"/>
    <x v="45"/>
    <x v="2"/>
    <x v="0"/>
    <x v="374"/>
    <x v="90"/>
    <x v="27"/>
    <x v="22"/>
    <x v="344"/>
    <x v="535"/>
  </r>
  <r>
    <x v="60"/>
    <x v="113"/>
    <x v="1"/>
    <x v="2"/>
    <x v="728"/>
    <x v="40"/>
    <x v="3"/>
    <x v="592"/>
    <x v="599"/>
    <x v="0"/>
    <x v="28"/>
    <x v="0"/>
    <x v="1"/>
    <x v="11"/>
    <x v="837"/>
    <x v="766"/>
    <x v="829"/>
    <x v="68"/>
    <x v="92"/>
    <x v="0"/>
    <x v="2"/>
    <x v="2"/>
    <x v="4"/>
    <x v="4"/>
    <x v="1"/>
    <x v="6"/>
    <x v="2"/>
    <x v="18"/>
    <x v="0"/>
    <x v="226"/>
    <x v="8"/>
    <x v="1"/>
    <x v="680"/>
    <x v="90"/>
    <x v="40"/>
    <x v="28"/>
    <x v="599"/>
    <x v="270"/>
  </r>
  <r>
    <x v="50"/>
    <x v="8"/>
    <x v="3"/>
    <x v="2"/>
    <x v="569"/>
    <x v="22"/>
    <x v="3"/>
    <x v="537"/>
    <x v="569"/>
    <x v="1"/>
    <x v="24"/>
    <x v="2"/>
    <x v="0"/>
    <x v="13"/>
    <x v="592"/>
    <x v="552"/>
    <x v="574"/>
    <x v="288"/>
    <x v="320"/>
    <x v="0"/>
    <x v="2"/>
    <x v="2"/>
    <x v="0"/>
    <x v="0"/>
    <x v="0"/>
    <x v="1"/>
    <x v="0"/>
    <x v="2"/>
    <x v="0"/>
    <x v="331"/>
    <x v="12"/>
    <x v="3"/>
    <x v="534"/>
    <x v="90"/>
    <x v="22"/>
    <x v="24"/>
    <x v="569"/>
    <x v="430"/>
  </r>
  <r>
    <x v="18"/>
    <x v="244"/>
    <x v="2"/>
    <x v="3"/>
    <x v="665"/>
    <x v="44"/>
    <x v="0"/>
    <x v="530"/>
    <x v="567"/>
    <x v="0"/>
    <x v="5"/>
    <x v="0"/>
    <x v="1"/>
    <x v="17"/>
    <x v="850"/>
    <x v="885"/>
    <x v="820"/>
    <x v="981"/>
    <x v="807"/>
    <x v="1"/>
    <x v="0"/>
    <x v="2"/>
    <x v="8"/>
    <x v="8"/>
    <x v="2"/>
    <x v="5"/>
    <x v="1"/>
    <x v="38"/>
    <x v="0"/>
    <x v="95"/>
    <x v="4"/>
    <x v="2"/>
    <x v="958"/>
    <x v="90"/>
    <x v="44"/>
    <x v="5"/>
    <x v="567"/>
    <x v="333"/>
  </r>
  <r>
    <x v="20"/>
    <x v="66"/>
    <x v="3"/>
    <x v="2"/>
    <x v="780"/>
    <x v="22"/>
    <x v="2"/>
    <x v="112"/>
    <x v="139"/>
    <x v="1"/>
    <x v="7"/>
    <x v="1"/>
    <x v="1"/>
    <x v="13"/>
    <x v="235"/>
    <x v="260"/>
    <x v="193"/>
    <x v="903"/>
    <x v="939"/>
    <x v="1"/>
    <x v="0"/>
    <x v="0"/>
    <x v="2"/>
    <x v="2"/>
    <x v="0"/>
    <x v="5"/>
    <x v="1"/>
    <x v="11"/>
    <x v="0"/>
    <x v="273"/>
    <x v="10"/>
    <x v="3"/>
    <x v="662"/>
    <x v="90"/>
    <x v="22"/>
    <x v="7"/>
    <x v="139"/>
    <x v="218"/>
  </r>
  <r>
    <x v="4"/>
    <x v="332"/>
    <x v="0"/>
    <x v="2"/>
    <x v="870"/>
    <x v="27"/>
    <x v="3"/>
    <x v="422"/>
    <x v="382"/>
    <x v="1"/>
    <x v="10"/>
    <x v="1"/>
    <x v="1"/>
    <x v="10"/>
    <x v="536"/>
    <x v="567"/>
    <x v="578"/>
    <x v="324"/>
    <x v="367"/>
    <x v="0"/>
    <x v="1"/>
    <x v="0"/>
    <x v="11"/>
    <x v="11"/>
    <x v="3"/>
    <x v="1"/>
    <x v="0"/>
    <x v="52"/>
    <x v="0"/>
    <x v="7"/>
    <x v="0"/>
    <x v="0"/>
    <x v="752"/>
    <x v="90"/>
    <x v="27"/>
    <x v="10"/>
    <x v="382"/>
    <x v="127"/>
  </r>
  <r>
    <x v="81"/>
    <x v="210"/>
    <x v="2"/>
    <x v="1"/>
    <x v="328"/>
    <x v="42"/>
    <x v="3"/>
    <x v="461"/>
    <x v="470"/>
    <x v="0"/>
    <x v="5"/>
    <x v="0"/>
    <x v="0"/>
    <x v="7"/>
    <x v="770"/>
    <x v="819"/>
    <x v="755"/>
    <x v="897"/>
    <x v="756"/>
    <x v="1"/>
    <x v="0"/>
    <x v="2"/>
    <x v="7"/>
    <x v="7"/>
    <x v="2"/>
    <x v="0"/>
    <x v="4"/>
    <x v="32"/>
    <x v="0"/>
    <x v="129"/>
    <x v="5"/>
    <x v="2"/>
    <x v="346"/>
    <x v="90"/>
    <x v="42"/>
    <x v="5"/>
    <x v="470"/>
    <x v="671"/>
  </r>
  <r>
    <x v="91"/>
    <x v="38"/>
    <x v="1"/>
    <x v="0"/>
    <x v="537"/>
    <x v="46"/>
    <x v="3"/>
    <x v="743"/>
    <x v="768"/>
    <x v="1"/>
    <x v="17"/>
    <x v="1"/>
    <x v="1"/>
    <x v="1"/>
    <x v="953"/>
    <x v="946"/>
    <x v="944"/>
    <x v="134"/>
    <x v="391"/>
    <x v="0"/>
    <x v="1"/>
    <x v="2"/>
    <x v="1"/>
    <x v="1"/>
    <x v="0"/>
    <x v="0"/>
    <x v="4"/>
    <x v="6"/>
    <x v="0"/>
    <x v="301"/>
    <x v="11"/>
    <x v="1"/>
    <x v="141"/>
    <x v="90"/>
    <x v="46"/>
    <x v="17"/>
    <x v="768"/>
    <x v="462"/>
  </r>
  <r>
    <x v="41"/>
    <x v="191"/>
    <x v="2"/>
    <x v="3"/>
    <x v="850"/>
    <x v="25"/>
    <x v="1"/>
    <x v="851"/>
    <x v="797"/>
    <x v="1"/>
    <x v="29"/>
    <x v="1"/>
    <x v="1"/>
    <x v="17"/>
    <x v="767"/>
    <x v="694"/>
    <x v="797"/>
    <x v="41"/>
    <x v="0"/>
    <x v="0"/>
    <x v="2"/>
    <x v="0"/>
    <x v="6"/>
    <x v="6"/>
    <x v="2"/>
    <x v="3"/>
    <x v="6"/>
    <x v="29"/>
    <x v="1"/>
    <x v="148"/>
    <x v="6"/>
    <x v="2"/>
    <x v="943"/>
    <x v="90"/>
    <x v="25"/>
    <x v="29"/>
    <x v="797"/>
    <x v="147"/>
  </r>
  <r>
    <x v="60"/>
    <x v="246"/>
    <x v="2"/>
    <x v="2"/>
    <x v="987"/>
    <x v="24"/>
    <x v="2"/>
    <x v="567"/>
    <x v="564"/>
    <x v="0"/>
    <x v="23"/>
    <x v="1"/>
    <x v="0"/>
    <x v="12"/>
    <x v="629"/>
    <x v="600"/>
    <x v="632"/>
    <x v="198"/>
    <x v="220"/>
    <x v="0"/>
    <x v="2"/>
    <x v="0"/>
    <x v="8"/>
    <x v="8"/>
    <x v="2"/>
    <x v="4"/>
    <x v="3"/>
    <x v="38"/>
    <x v="0"/>
    <x v="93"/>
    <x v="4"/>
    <x v="2"/>
    <x v="615"/>
    <x v="84"/>
    <x v="24"/>
    <x v="23"/>
    <x v="564"/>
    <x v="10"/>
  </r>
  <r>
    <x v="21"/>
    <x v="304"/>
    <x v="4"/>
    <x v="3"/>
    <x v="896"/>
    <x v="28"/>
    <x v="3"/>
    <x v="88"/>
    <x v="133"/>
    <x v="1"/>
    <x v="13"/>
    <x v="2"/>
    <x v="1"/>
    <x v="19"/>
    <x v="282"/>
    <x v="285"/>
    <x v="198"/>
    <x v="942"/>
    <x v="945"/>
    <x v="1"/>
    <x v="1"/>
    <x v="0"/>
    <x v="10"/>
    <x v="10"/>
    <x v="3"/>
    <x v="0"/>
    <x v="4"/>
    <x v="47"/>
    <x v="0"/>
    <x v="35"/>
    <x v="2"/>
    <x v="4"/>
    <x v="985"/>
    <x v="90"/>
    <x v="28"/>
    <x v="13"/>
    <x v="133"/>
    <x v="101"/>
  </r>
  <r>
    <x v="20"/>
    <x v="165"/>
    <x v="2"/>
    <x v="1"/>
    <x v="381"/>
    <x v="18"/>
    <x v="1"/>
    <x v="245"/>
    <x v="240"/>
    <x v="0"/>
    <x v="0"/>
    <x v="2"/>
    <x v="1"/>
    <x v="7"/>
    <x v="290"/>
    <x v="340"/>
    <x v="299"/>
    <x v="843"/>
    <x v="868"/>
    <x v="1"/>
    <x v="0"/>
    <x v="2"/>
    <x v="5"/>
    <x v="5"/>
    <x v="1"/>
    <x v="5"/>
    <x v="1"/>
    <x v="26"/>
    <x v="0"/>
    <x v="174"/>
    <x v="6"/>
    <x v="2"/>
    <x v="455"/>
    <x v="90"/>
    <x v="18"/>
    <x v="0"/>
    <x v="240"/>
    <x v="618"/>
  </r>
  <r>
    <x v="69"/>
    <x v="323"/>
    <x v="2"/>
    <x v="2"/>
    <x v="185"/>
    <x v="32"/>
    <x v="2"/>
    <x v="165"/>
    <x v="128"/>
    <x v="0"/>
    <x v="9"/>
    <x v="1"/>
    <x v="1"/>
    <x v="12"/>
    <x v="299"/>
    <x v="320"/>
    <x v="346"/>
    <x v="450"/>
    <x v="403"/>
    <x v="0"/>
    <x v="0"/>
    <x v="1"/>
    <x v="11"/>
    <x v="11"/>
    <x v="3"/>
    <x v="4"/>
    <x v="3"/>
    <x v="50"/>
    <x v="0"/>
    <x v="16"/>
    <x v="1"/>
    <x v="2"/>
    <x v="747"/>
    <x v="90"/>
    <x v="32"/>
    <x v="9"/>
    <x v="128"/>
    <x v="814"/>
  </r>
  <r>
    <x v="0"/>
    <x v="295"/>
    <x v="3"/>
    <x v="1"/>
    <x v="494"/>
    <x v="35"/>
    <x v="3"/>
    <x v="135"/>
    <x v="73"/>
    <x v="0"/>
    <x v="16"/>
    <x v="0"/>
    <x v="1"/>
    <x v="8"/>
    <x v="263"/>
    <x v="261"/>
    <x v="306"/>
    <x v="395"/>
    <x v="253"/>
    <x v="0"/>
    <x v="1"/>
    <x v="2"/>
    <x v="10"/>
    <x v="10"/>
    <x v="3"/>
    <x v="5"/>
    <x v="1"/>
    <x v="46"/>
    <x v="0"/>
    <x v="44"/>
    <x v="2"/>
    <x v="3"/>
    <x v="510"/>
    <x v="90"/>
    <x v="35"/>
    <x v="16"/>
    <x v="73"/>
    <x v="505"/>
  </r>
  <r>
    <x v="4"/>
    <x v="77"/>
    <x v="1"/>
    <x v="3"/>
    <x v="743"/>
    <x v="13"/>
    <x v="0"/>
    <x v="375"/>
    <x v="369"/>
    <x v="1"/>
    <x v="10"/>
    <x v="2"/>
    <x v="1"/>
    <x v="16"/>
    <x v="300"/>
    <x v="316"/>
    <x v="322"/>
    <x v="616"/>
    <x v="610"/>
    <x v="1"/>
    <x v="1"/>
    <x v="2"/>
    <x v="2"/>
    <x v="2"/>
    <x v="0"/>
    <x v="2"/>
    <x v="5"/>
    <x v="12"/>
    <x v="1"/>
    <x v="262"/>
    <x v="9"/>
    <x v="1"/>
    <x v="910"/>
    <x v="90"/>
    <x v="13"/>
    <x v="10"/>
    <x v="369"/>
    <x v="255"/>
  </r>
  <r>
    <x v="11"/>
    <x v="295"/>
    <x v="3"/>
    <x v="1"/>
    <x v="497"/>
    <x v="13"/>
    <x v="1"/>
    <x v="235"/>
    <x v="201"/>
    <x v="1"/>
    <x v="3"/>
    <x v="0"/>
    <x v="1"/>
    <x v="8"/>
    <x v="190"/>
    <x v="213"/>
    <x v="226"/>
    <x v="669"/>
    <x v="699"/>
    <x v="1"/>
    <x v="0"/>
    <x v="2"/>
    <x v="10"/>
    <x v="10"/>
    <x v="3"/>
    <x v="5"/>
    <x v="1"/>
    <x v="46"/>
    <x v="0"/>
    <x v="44"/>
    <x v="2"/>
    <x v="3"/>
    <x v="511"/>
    <x v="90"/>
    <x v="13"/>
    <x v="3"/>
    <x v="201"/>
    <x v="502"/>
  </r>
  <r>
    <x v="89"/>
    <x v="102"/>
    <x v="3"/>
    <x v="3"/>
    <x v="485"/>
    <x v="34"/>
    <x v="1"/>
    <x v="221"/>
    <x v="241"/>
    <x v="1"/>
    <x v="13"/>
    <x v="1"/>
    <x v="0"/>
    <x v="18"/>
    <x v="478"/>
    <x v="491"/>
    <x v="434"/>
    <x v="858"/>
    <x v="827"/>
    <x v="1"/>
    <x v="1"/>
    <x v="2"/>
    <x v="3"/>
    <x v="3"/>
    <x v="1"/>
    <x v="0"/>
    <x v="4"/>
    <x v="16"/>
    <x v="0"/>
    <x v="237"/>
    <x v="9"/>
    <x v="3"/>
    <x v="793"/>
    <x v="90"/>
    <x v="34"/>
    <x v="13"/>
    <x v="241"/>
    <x v="514"/>
  </r>
  <r>
    <x v="45"/>
    <x v="235"/>
    <x v="0"/>
    <x v="1"/>
    <x v="846"/>
    <x v="29"/>
    <x v="3"/>
    <x v="55"/>
    <x v="72"/>
    <x v="1"/>
    <x v="8"/>
    <x v="1"/>
    <x v="1"/>
    <x v="5"/>
    <x v="218"/>
    <x v="238"/>
    <x v="146"/>
    <x v="944"/>
    <x v="958"/>
    <x v="1"/>
    <x v="0"/>
    <x v="0"/>
    <x v="8"/>
    <x v="8"/>
    <x v="2"/>
    <x v="0"/>
    <x v="4"/>
    <x v="36"/>
    <x v="0"/>
    <x v="104"/>
    <x v="4"/>
    <x v="0"/>
    <x v="481"/>
    <x v="90"/>
    <x v="29"/>
    <x v="8"/>
    <x v="72"/>
    <x v="151"/>
  </r>
  <r>
    <x v="33"/>
    <x v="6"/>
    <x v="3"/>
    <x v="3"/>
    <x v="369"/>
    <x v="27"/>
    <x v="3"/>
    <x v="20"/>
    <x v="5"/>
    <x v="0"/>
    <x v="27"/>
    <x v="0"/>
    <x v="1"/>
    <x v="18"/>
    <x v="78"/>
    <x v="63"/>
    <x v="71"/>
    <x v="691"/>
    <x v="890"/>
    <x v="1"/>
    <x v="2"/>
    <x v="2"/>
    <x v="0"/>
    <x v="0"/>
    <x v="0"/>
    <x v="2"/>
    <x v="5"/>
    <x v="1"/>
    <x v="1"/>
    <x v="333"/>
    <x v="12"/>
    <x v="3"/>
    <x v="882"/>
    <x v="90"/>
    <x v="27"/>
    <x v="27"/>
    <x v="5"/>
    <x v="630"/>
  </r>
  <r>
    <x v="48"/>
    <x v="77"/>
    <x v="4"/>
    <x v="0"/>
    <x v="868"/>
    <x v="16"/>
    <x v="1"/>
    <x v="106"/>
    <x v="148"/>
    <x v="1"/>
    <x v="3"/>
    <x v="2"/>
    <x v="0"/>
    <x v="4"/>
    <x v="182"/>
    <x v="200"/>
    <x v="145"/>
    <x v="898"/>
    <x v="951"/>
    <x v="1"/>
    <x v="0"/>
    <x v="0"/>
    <x v="2"/>
    <x v="2"/>
    <x v="0"/>
    <x v="2"/>
    <x v="5"/>
    <x v="12"/>
    <x v="1"/>
    <x v="262"/>
    <x v="9"/>
    <x v="4"/>
    <x v="35"/>
    <x v="90"/>
    <x v="16"/>
    <x v="3"/>
    <x v="148"/>
    <x v="129"/>
  </r>
  <r>
    <x v="77"/>
    <x v="195"/>
    <x v="4"/>
    <x v="1"/>
    <x v="414"/>
    <x v="2"/>
    <x v="0"/>
    <x v="171"/>
    <x v="173"/>
    <x v="0"/>
    <x v="1"/>
    <x v="0"/>
    <x v="1"/>
    <x v="9"/>
    <x v="31"/>
    <x v="38"/>
    <x v="43"/>
    <x v="668"/>
    <x v="887"/>
    <x v="1"/>
    <x v="0"/>
    <x v="2"/>
    <x v="6"/>
    <x v="6"/>
    <x v="2"/>
    <x v="4"/>
    <x v="3"/>
    <x v="30"/>
    <x v="0"/>
    <x v="144"/>
    <x v="5"/>
    <x v="4"/>
    <x v="466"/>
    <x v="90"/>
    <x v="2"/>
    <x v="1"/>
    <x v="173"/>
    <x v="585"/>
  </r>
  <r>
    <x v="89"/>
    <x v="291"/>
    <x v="0"/>
    <x v="1"/>
    <x v="339"/>
    <x v="15"/>
    <x v="0"/>
    <x v="430"/>
    <x v="404"/>
    <x v="1"/>
    <x v="0"/>
    <x v="0"/>
    <x v="1"/>
    <x v="5"/>
    <x v="373"/>
    <x v="427"/>
    <x v="408"/>
    <x v="716"/>
    <x v="691"/>
    <x v="1"/>
    <x v="0"/>
    <x v="2"/>
    <x v="10"/>
    <x v="10"/>
    <x v="3"/>
    <x v="0"/>
    <x v="4"/>
    <x v="45"/>
    <x v="0"/>
    <x v="48"/>
    <x v="2"/>
    <x v="0"/>
    <x v="507"/>
    <x v="90"/>
    <x v="15"/>
    <x v="0"/>
    <x v="404"/>
    <x v="660"/>
  </r>
  <r>
    <x v="44"/>
    <x v="21"/>
    <x v="1"/>
    <x v="0"/>
    <x v="457"/>
    <x v="45"/>
    <x v="2"/>
    <x v="525"/>
    <x v="553"/>
    <x v="1"/>
    <x v="10"/>
    <x v="1"/>
    <x v="0"/>
    <x v="1"/>
    <x v="847"/>
    <x v="868"/>
    <x v="828"/>
    <x v="827"/>
    <x v="683"/>
    <x v="1"/>
    <x v="1"/>
    <x v="2"/>
    <x v="0"/>
    <x v="0"/>
    <x v="0"/>
    <x v="3"/>
    <x v="6"/>
    <x v="3"/>
    <x v="1"/>
    <x v="318"/>
    <x v="12"/>
    <x v="1"/>
    <x v="10"/>
    <x v="90"/>
    <x v="45"/>
    <x v="10"/>
    <x v="553"/>
    <x v="542"/>
  </r>
  <r>
    <x v="26"/>
    <x v="2"/>
    <x v="1"/>
    <x v="0"/>
    <x v="767"/>
    <x v="29"/>
    <x v="3"/>
    <x v="156"/>
    <x v="176"/>
    <x v="1"/>
    <x v="20"/>
    <x v="2"/>
    <x v="0"/>
    <x v="1"/>
    <x v="355"/>
    <x v="332"/>
    <x v="286"/>
    <x v="857"/>
    <x v="882"/>
    <x v="1"/>
    <x v="2"/>
    <x v="0"/>
    <x v="0"/>
    <x v="0"/>
    <x v="0"/>
    <x v="5"/>
    <x v="1"/>
    <x v="1"/>
    <x v="0"/>
    <x v="337"/>
    <x v="12"/>
    <x v="1"/>
    <x v="1"/>
    <x v="90"/>
    <x v="29"/>
    <x v="20"/>
    <x v="176"/>
    <x v="231"/>
  </r>
  <r>
    <x v="72"/>
    <x v="116"/>
    <x v="3"/>
    <x v="1"/>
    <x v="121"/>
    <x v="28"/>
    <x v="0"/>
    <x v="423"/>
    <x v="444"/>
    <x v="1"/>
    <x v="22"/>
    <x v="0"/>
    <x v="0"/>
    <x v="8"/>
    <x v="607"/>
    <x v="578"/>
    <x v="595"/>
    <x v="295"/>
    <x v="336"/>
    <x v="0"/>
    <x v="2"/>
    <x v="1"/>
    <x v="4"/>
    <x v="4"/>
    <x v="1"/>
    <x v="3"/>
    <x v="6"/>
    <x v="18"/>
    <x v="1"/>
    <x v="223"/>
    <x v="8"/>
    <x v="3"/>
    <x v="306"/>
    <x v="90"/>
    <x v="28"/>
    <x v="22"/>
    <x v="444"/>
    <x v="878"/>
  </r>
  <r>
    <x v="25"/>
    <x v="276"/>
    <x v="3"/>
    <x v="0"/>
    <x v="188"/>
    <x v="44"/>
    <x v="2"/>
    <x v="354"/>
    <x v="381"/>
    <x v="1"/>
    <x v="14"/>
    <x v="2"/>
    <x v="0"/>
    <x v="3"/>
    <x v="709"/>
    <x v="713"/>
    <x v="676"/>
    <x v="876"/>
    <x v="757"/>
    <x v="1"/>
    <x v="1"/>
    <x v="1"/>
    <x v="9"/>
    <x v="9"/>
    <x v="3"/>
    <x v="5"/>
    <x v="1"/>
    <x v="43"/>
    <x v="0"/>
    <x v="63"/>
    <x v="3"/>
    <x v="3"/>
    <x v="98"/>
    <x v="90"/>
    <x v="44"/>
    <x v="14"/>
    <x v="381"/>
    <x v="811"/>
  </r>
  <r>
    <x v="46"/>
    <x v="175"/>
    <x v="3"/>
    <x v="2"/>
    <x v="950"/>
    <x v="14"/>
    <x v="0"/>
    <x v="183"/>
    <x v="214"/>
    <x v="0"/>
    <x v="21"/>
    <x v="1"/>
    <x v="0"/>
    <x v="13"/>
    <x v="209"/>
    <x v="197"/>
    <x v="202"/>
    <x v="723"/>
    <x v="788"/>
    <x v="1"/>
    <x v="2"/>
    <x v="0"/>
    <x v="6"/>
    <x v="6"/>
    <x v="2"/>
    <x v="0"/>
    <x v="4"/>
    <x v="27"/>
    <x v="0"/>
    <x v="164"/>
    <x v="6"/>
    <x v="3"/>
    <x v="595"/>
    <x v="85"/>
    <x v="14"/>
    <x v="21"/>
    <x v="214"/>
    <x v="47"/>
  </r>
  <r>
    <x v="85"/>
    <x v="335"/>
    <x v="1"/>
    <x v="3"/>
    <x v="166"/>
    <x v="45"/>
    <x v="3"/>
    <x v="6"/>
    <x v="43"/>
    <x v="1"/>
    <x v="11"/>
    <x v="2"/>
    <x v="0"/>
    <x v="16"/>
    <x v="258"/>
    <x v="266"/>
    <x v="72"/>
    <x v="995"/>
    <x v="999"/>
    <x v="1"/>
    <x v="1"/>
    <x v="1"/>
    <x v="11"/>
    <x v="11"/>
    <x v="3"/>
    <x v="4"/>
    <x v="3"/>
    <x v="52"/>
    <x v="0"/>
    <x v="4"/>
    <x v="0"/>
    <x v="1"/>
    <x v="878"/>
    <x v="90"/>
    <x v="45"/>
    <x v="11"/>
    <x v="43"/>
    <x v="833"/>
  </r>
  <r>
    <x v="55"/>
    <x v="13"/>
    <x v="2"/>
    <x v="3"/>
    <x v="563"/>
    <x v="24"/>
    <x v="2"/>
    <x v="476"/>
    <x v="471"/>
    <x v="1"/>
    <x v="20"/>
    <x v="1"/>
    <x v="0"/>
    <x v="17"/>
    <x v="560"/>
    <x v="541"/>
    <x v="570"/>
    <x v="273"/>
    <x v="285"/>
    <x v="0"/>
    <x v="2"/>
    <x v="2"/>
    <x v="0"/>
    <x v="0"/>
    <x v="0"/>
    <x v="2"/>
    <x v="5"/>
    <x v="2"/>
    <x v="1"/>
    <x v="326"/>
    <x v="12"/>
    <x v="2"/>
    <x v="759"/>
    <x v="90"/>
    <x v="24"/>
    <x v="20"/>
    <x v="471"/>
    <x v="436"/>
  </r>
  <r>
    <x v="93"/>
    <x v="11"/>
    <x v="4"/>
    <x v="3"/>
    <x v="574"/>
    <x v="37"/>
    <x v="2"/>
    <x v="691"/>
    <x v="721"/>
    <x v="1"/>
    <x v="1"/>
    <x v="2"/>
    <x v="1"/>
    <x v="19"/>
    <x v="868"/>
    <x v="919"/>
    <x v="857"/>
    <x v="977"/>
    <x v="796"/>
    <x v="1"/>
    <x v="0"/>
    <x v="2"/>
    <x v="0"/>
    <x v="0"/>
    <x v="0"/>
    <x v="4"/>
    <x v="3"/>
    <x v="2"/>
    <x v="0"/>
    <x v="328"/>
    <x v="12"/>
    <x v="4"/>
    <x v="884"/>
    <x v="90"/>
    <x v="37"/>
    <x v="1"/>
    <x v="721"/>
    <x v="425"/>
  </r>
  <r>
    <x v="62"/>
    <x v="80"/>
    <x v="2"/>
    <x v="2"/>
    <x v="495"/>
    <x v="41"/>
    <x v="2"/>
    <x v="234"/>
    <x v="288"/>
    <x v="1"/>
    <x v="12"/>
    <x v="0"/>
    <x v="1"/>
    <x v="12"/>
    <x v="596"/>
    <x v="627"/>
    <x v="504"/>
    <x v="972"/>
    <x v="893"/>
    <x v="1"/>
    <x v="1"/>
    <x v="2"/>
    <x v="2"/>
    <x v="2"/>
    <x v="0"/>
    <x v="5"/>
    <x v="1"/>
    <x v="13"/>
    <x v="0"/>
    <x v="259"/>
    <x v="9"/>
    <x v="2"/>
    <x v="669"/>
    <x v="90"/>
    <x v="41"/>
    <x v="12"/>
    <x v="288"/>
    <x v="504"/>
  </r>
  <r>
    <x v="47"/>
    <x v="11"/>
    <x v="2"/>
    <x v="0"/>
    <x v="636"/>
    <x v="46"/>
    <x v="0"/>
    <x v="142"/>
    <x v="159"/>
    <x v="0"/>
    <x v="24"/>
    <x v="1"/>
    <x v="1"/>
    <x v="2"/>
    <x v="470"/>
    <x v="440"/>
    <x v="393"/>
    <x v="859"/>
    <x v="843"/>
    <x v="1"/>
    <x v="2"/>
    <x v="2"/>
    <x v="0"/>
    <x v="0"/>
    <x v="0"/>
    <x v="4"/>
    <x v="3"/>
    <x v="2"/>
    <x v="0"/>
    <x v="328"/>
    <x v="12"/>
    <x v="2"/>
    <x v="125"/>
    <x v="90"/>
    <x v="46"/>
    <x v="24"/>
    <x v="159"/>
    <x v="362"/>
  </r>
  <r>
    <x v="60"/>
    <x v="24"/>
    <x v="1"/>
    <x v="0"/>
    <x v="232"/>
    <x v="37"/>
    <x v="3"/>
    <x v="904"/>
    <x v="869"/>
    <x v="1"/>
    <x v="24"/>
    <x v="0"/>
    <x v="0"/>
    <x v="1"/>
    <x v="924"/>
    <x v="886"/>
    <x v="933"/>
    <x v="18"/>
    <x v="50"/>
    <x v="0"/>
    <x v="2"/>
    <x v="1"/>
    <x v="0"/>
    <x v="0"/>
    <x v="0"/>
    <x v="6"/>
    <x v="2"/>
    <x v="4"/>
    <x v="0"/>
    <x v="315"/>
    <x v="11"/>
    <x v="1"/>
    <x v="13"/>
    <x v="90"/>
    <x v="37"/>
    <x v="24"/>
    <x v="869"/>
    <x v="767"/>
  </r>
  <r>
    <x v="80"/>
    <x v="279"/>
    <x v="2"/>
    <x v="1"/>
    <x v="549"/>
    <x v="22"/>
    <x v="2"/>
    <x v="289"/>
    <x v="291"/>
    <x v="0"/>
    <x v="21"/>
    <x v="1"/>
    <x v="1"/>
    <x v="7"/>
    <x v="391"/>
    <x v="373"/>
    <x v="388"/>
    <x v="462"/>
    <x v="442"/>
    <x v="0"/>
    <x v="2"/>
    <x v="2"/>
    <x v="9"/>
    <x v="9"/>
    <x v="3"/>
    <x v="2"/>
    <x v="5"/>
    <x v="43"/>
    <x v="1"/>
    <x v="60"/>
    <x v="2"/>
    <x v="2"/>
    <x v="503"/>
    <x v="90"/>
    <x v="22"/>
    <x v="21"/>
    <x v="291"/>
    <x v="450"/>
  </r>
  <r>
    <x v="25"/>
    <x v="228"/>
    <x v="0"/>
    <x v="0"/>
    <x v="384"/>
    <x v="24"/>
    <x v="1"/>
    <x v="232"/>
    <x v="238"/>
    <x v="1"/>
    <x v="6"/>
    <x v="2"/>
    <x v="0"/>
    <x v="0"/>
    <x v="374"/>
    <x v="409"/>
    <x v="352"/>
    <x v="863"/>
    <x v="856"/>
    <x v="1"/>
    <x v="0"/>
    <x v="2"/>
    <x v="7"/>
    <x v="7"/>
    <x v="2"/>
    <x v="4"/>
    <x v="3"/>
    <x v="35"/>
    <x v="0"/>
    <x v="111"/>
    <x v="4"/>
    <x v="0"/>
    <x v="87"/>
    <x v="90"/>
    <x v="24"/>
    <x v="6"/>
    <x v="238"/>
    <x v="615"/>
  </r>
  <r>
    <x v="35"/>
    <x v="112"/>
    <x v="3"/>
    <x v="1"/>
    <x v="656"/>
    <x v="41"/>
    <x v="3"/>
    <x v="873"/>
    <x v="844"/>
    <x v="0"/>
    <x v="7"/>
    <x v="2"/>
    <x v="1"/>
    <x v="8"/>
    <x v="944"/>
    <x v="967"/>
    <x v="952"/>
    <x v="231"/>
    <x v="478"/>
    <x v="0"/>
    <x v="0"/>
    <x v="2"/>
    <x v="4"/>
    <x v="4"/>
    <x v="1"/>
    <x v="5"/>
    <x v="1"/>
    <x v="18"/>
    <x v="0"/>
    <x v="227"/>
    <x v="8"/>
    <x v="3"/>
    <x v="432"/>
    <x v="90"/>
    <x v="41"/>
    <x v="7"/>
    <x v="844"/>
    <x v="342"/>
  </r>
  <r>
    <x v="0"/>
    <x v="135"/>
    <x v="0"/>
    <x v="2"/>
    <x v="131"/>
    <x v="6"/>
    <x v="1"/>
    <x v="821"/>
    <x v="880"/>
    <x v="0"/>
    <x v="30"/>
    <x v="1"/>
    <x v="1"/>
    <x v="10"/>
    <x v="328"/>
    <x v="276"/>
    <x v="347"/>
    <x v="300"/>
    <x v="72"/>
    <x v="0"/>
    <x v="2"/>
    <x v="1"/>
    <x v="4"/>
    <x v="4"/>
    <x v="1"/>
    <x v="2"/>
    <x v="5"/>
    <x v="21"/>
    <x v="1"/>
    <x v="204"/>
    <x v="7"/>
    <x v="0"/>
    <x v="685"/>
    <x v="90"/>
    <x v="6"/>
    <x v="30"/>
    <x v="880"/>
    <x v="868"/>
  </r>
  <r>
    <x v="7"/>
    <x v="50"/>
    <x v="4"/>
    <x v="3"/>
    <x v="565"/>
    <x v="21"/>
    <x v="1"/>
    <x v="454"/>
    <x v="421"/>
    <x v="0"/>
    <x v="3"/>
    <x v="1"/>
    <x v="1"/>
    <x v="19"/>
    <x v="480"/>
    <x v="533"/>
    <x v="508"/>
    <x v="662"/>
    <x v="636"/>
    <x v="1"/>
    <x v="0"/>
    <x v="2"/>
    <x v="1"/>
    <x v="1"/>
    <x v="0"/>
    <x v="0"/>
    <x v="4"/>
    <x v="8"/>
    <x v="0"/>
    <x v="289"/>
    <x v="11"/>
    <x v="4"/>
    <x v="902"/>
    <x v="90"/>
    <x v="21"/>
    <x v="3"/>
    <x v="421"/>
    <x v="434"/>
  </r>
  <r>
    <x v="98"/>
    <x v="224"/>
    <x v="3"/>
    <x v="3"/>
    <x v="174"/>
    <x v="16"/>
    <x v="2"/>
    <x v="501"/>
    <x v="468"/>
    <x v="0"/>
    <x v="5"/>
    <x v="1"/>
    <x v="1"/>
    <x v="18"/>
    <x v="432"/>
    <x v="469"/>
    <x v="457"/>
    <x v="551"/>
    <x v="575"/>
    <x v="0"/>
    <x v="0"/>
    <x v="1"/>
    <x v="7"/>
    <x v="7"/>
    <x v="2"/>
    <x v="2"/>
    <x v="5"/>
    <x v="34"/>
    <x v="1"/>
    <x v="115"/>
    <x v="4"/>
    <x v="3"/>
    <x v="952"/>
    <x v="90"/>
    <x v="16"/>
    <x v="5"/>
    <x v="468"/>
    <x v="825"/>
  </r>
  <r>
    <x v="51"/>
    <x v="330"/>
    <x v="2"/>
    <x v="3"/>
    <x v="291"/>
    <x v="17"/>
    <x v="2"/>
    <x v="220"/>
    <x v="276"/>
    <x v="0"/>
    <x v="4"/>
    <x v="2"/>
    <x v="0"/>
    <x v="17"/>
    <x v="294"/>
    <x v="331"/>
    <x v="266"/>
    <x v="904"/>
    <x v="917"/>
    <x v="1"/>
    <x v="0"/>
    <x v="2"/>
    <x v="11"/>
    <x v="11"/>
    <x v="3"/>
    <x v="0"/>
    <x v="4"/>
    <x v="51"/>
    <x v="0"/>
    <x v="9"/>
    <x v="1"/>
    <x v="2"/>
    <x v="876"/>
    <x v="90"/>
    <x v="17"/>
    <x v="4"/>
    <x v="276"/>
    <x v="708"/>
  </r>
  <r>
    <x v="78"/>
    <x v="160"/>
    <x v="4"/>
    <x v="0"/>
    <x v="216"/>
    <x v="48"/>
    <x v="0"/>
    <x v="81"/>
    <x v="68"/>
    <x v="1"/>
    <x v="10"/>
    <x v="1"/>
    <x v="0"/>
    <x v="4"/>
    <x v="342"/>
    <x v="366"/>
    <x v="274"/>
    <x v="930"/>
    <x v="923"/>
    <x v="1"/>
    <x v="1"/>
    <x v="1"/>
    <x v="5"/>
    <x v="5"/>
    <x v="1"/>
    <x v="4"/>
    <x v="3"/>
    <x v="25"/>
    <x v="0"/>
    <x v="179"/>
    <x v="7"/>
    <x v="4"/>
    <x v="70"/>
    <x v="90"/>
    <x v="48"/>
    <x v="10"/>
    <x v="68"/>
    <x v="783"/>
  </r>
  <r>
    <x v="46"/>
    <x v="208"/>
    <x v="3"/>
    <x v="1"/>
    <x v="172"/>
    <x v="40"/>
    <x v="0"/>
    <x v="590"/>
    <x v="547"/>
    <x v="0"/>
    <x v="6"/>
    <x v="1"/>
    <x v="1"/>
    <x v="8"/>
    <x v="800"/>
    <x v="836"/>
    <x v="827"/>
    <x v="319"/>
    <x v="488"/>
    <x v="0"/>
    <x v="0"/>
    <x v="1"/>
    <x v="7"/>
    <x v="7"/>
    <x v="2"/>
    <x v="6"/>
    <x v="2"/>
    <x v="32"/>
    <x v="0"/>
    <x v="131"/>
    <x v="5"/>
    <x v="3"/>
    <x v="469"/>
    <x v="90"/>
    <x v="40"/>
    <x v="6"/>
    <x v="547"/>
    <x v="827"/>
  </r>
  <r>
    <x v="55"/>
    <x v="110"/>
    <x v="2"/>
    <x v="1"/>
    <x v="835"/>
    <x v="9"/>
    <x v="0"/>
    <x v="100"/>
    <x v="117"/>
    <x v="1"/>
    <x v="15"/>
    <x v="0"/>
    <x v="0"/>
    <x v="7"/>
    <x v="95"/>
    <x v="95"/>
    <x v="99"/>
    <x v="746"/>
    <x v="914"/>
    <x v="1"/>
    <x v="1"/>
    <x v="0"/>
    <x v="3"/>
    <x v="3"/>
    <x v="1"/>
    <x v="2"/>
    <x v="5"/>
    <x v="17"/>
    <x v="1"/>
    <x v="229"/>
    <x v="8"/>
    <x v="2"/>
    <x v="305"/>
    <x v="90"/>
    <x v="9"/>
    <x v="15"/>
    <x v="117"/>
    <x v="162"/>
  </r>
  <r>
    <x v="85"/>
    <x v="286"/>
    <x v="0"/>
    <x v="2"/>
    <x v="295"/>
    <x v="9"/>
    <x v="3"/>
    <x v="456"/>
    <x v="469"/>
    <x v="0"/>
    <x v="14"/>
    <x v="1"/>
    <x v="0"/>
    <x v="10"/>
    <x v="276"/>
    <x v="272"/>
    <x v="294"/>
    <x v="549"/>
    <x v="547"/>
    <x v="0"/>
    <x v="1"/>
    <x v="2"/>
    <x v="10"/>
    <x v="10"/>
    <x v="3"/>
    <x v="3"/>
    <x v="6"/>
    <x v="44"/>
    <x v="1"/>
    <x v="53"/>
    <x v="2"/>
    <x v="0"/>
    <x v="625"/>
    <x v="90"/>
    <x v="9"/>
    <x v="14"/>
    <x v="469"/>
    <x v="704"/>
  </r>
  <r>
    <x v="13"/>
    <x v="170"/>
    <x v="3"/>
    <x v="0"/>
    <x v="928"/>
    <x v="6"/>
    <x v="0"/>
    <x v="948"/>
    <x v="914"/>
    <x v="0"/>
    <x v="27"/>
    <x v="0"/>
    <x v="1"/>
    <x v="3"/>
    <x v="344"/>
    <x v="299"/>
    <x v="392"/>
    <x v="236"/>
    <x v="13"/>
    <x v="0"/>
    <x v="2"/>
    <x v="0"/>
    <x v="6"/>
    <x v="6"/>
    <x v="2"/>
    <x v="3"/>
    <x v="6"/>
    <x v="26"/>
    <x v="1"/>
    <x v="169"/>
    <x v="6"/>
    <x v="3"/>
    <x v="188"/>
    <x v="86"/>
    <x v="6"/>
    <x v="27"/>
    <x v="914"/>
    <x v="69"/>
  </r>
  <r>
    <x v="89"/>
    <x v="268"/>
    <x v="2"/>
    <x v="2"/>
    <x v="969"/>
    <x v="47"/>
    <x v="1"/>
    <x v="962"/>
    <x v="993"/>
    <x v="1"/>
    <x v="1"/>
    <x v="0"/>
    <x v="0"/>
    <x v="12"/>
    <x v="999"/>
    <x v="999"/>
    <x v="998"/>
    <x v="999"/>
    <x v="779"/>
    <x v="1"/>
    <x v="0"/>
    <x v="0"/>
    <x v="9"/>
    <x v="9"/>
    <x v="3"/>
    <x v="3"/>
    <x v="6"/>
    <x v="41"/>
    <x v="1"/>
    <x v="71"/>
    <x v="3"/>
    <x v="2"/>
    <x v="622"/>
    <x v="87"/>
    <x v="47"/>
    <x v="1"/>
    <x v="993"/>
    <x v="28"/>
  </r>
  <r>
    <x v="27"/>
    <x v="285"/>
    <x v="0"/>
    <x v="1"/>
    <x v="566"/>
    <x v="37"/>
    <x v="0"/>
    <x v="247"/>
    <x v="252"/>
    <x v="0"/>
    <x v="10"/>
    <x v="0"/>
    <x v="0"/>
    <x v="5"/>
    <x v="514"/>
    <x v="540"/>
    <x v="487"/>
    <x v="850"/>
    <x v="799"/>
    <x v="1"/>
    <x v="1"/>
    <x v="2"/>
    <x v="10"/>
    <x v="10"/>
    <x v="3"/>
    <x v="0"/>
    <x v="4"/>
    <x v="44"/>
    <x v="0"/>
    <x v="54"/>
    <x v="2"/>
    <x v="0"/>
    <x v="372"/>
    <x v="90"/>
    <x v="37"/>
    <x v="10"/>
    <x v="252"/>
    <x v="433"/>
  </r>
  <r>
    <x v="86"/>
    <x v="278"/>
    <x v="4"/>
    <x v="1"/>
    <x v="133"/>
    <x v="26"/>
    <x v="2"/>
    <x v="638"/>
    <x v="646"/>
    <x v="0"/>
    <x v="18"/>
    <x v="2"/>
    <x v="0"/>
    <x v="9"/>
    <x v="691"/>
    <x v="686"/>
    <x v="698"/>
    <x v="229"/>
    <x v="330"/>
    <x v="0"/>
    <x v="1"/>
    <x v="1"/>
    <x v="9"/>
    <x v="9"/>
    <x v="3"/>
    <x v="0"/>
    <x v="4"/>
    <x v="43"/>
    <x v="0"/>
    <x v="61"/>
    <x v="2"/>
    <x v="4"/>
    <x v="367"/>
    <x v="90"/>
    <x v="26"/>
    <x v="18"/>
    <x v="646"/>
    <x v="866"/>
  </r>
  <r>
    <x v="77"/>
    <x v="75"/>
    <x v="4"/>
    <x v="3"/>
    <x v="388"/>
    <x v="32"/>
    <x v="0"/>
    <x v="482"/>
    <x v="493"/>
    <x v="0"/>
    <x v="18"/>
    <x v="0"/>
    <x v="0"/>
    <x v="19"/>
    <x v="685"/>
    <x v="670"/>
    <x v="677"/>
    <x v="280"/>
    <x v="366"/>
    <x v="0"/>
    <x v="1"/>
    <x v="2"/>
    <x v="2"/>
    <x v="2"/>
    <x v="0"/>
    <x v="4"/>
    <x v="3"/>
    <x v="12"/>
    <x v="0"/>
    <x v="264"/>
    <x v="10"/>
    <x v="4"/>
    <x v="782"/>
    <x v="90"/>
    <x v="32"/>
    <x v="18"/>
    <x v="493"/>
    <x v="611"/>
  </r>
  <r>
    <x v="87"/>
    <x v="198"/>
    <x v="4"/>
    <x v="0"/>
    <x v="803"/>
    <x v="0"/>
    <x v="3"/>
    <x v="896"/>
    <x v="900"/>
    <x v="0"/>
    <x v="14"/>
    <x v="1"/>
    <x v="1"/>
    <x v="4"/>
    <x v="49"/>
    <x v="54"/>
    <x v="82"/>
    <x v="564"/>
    <x v="396"/>
    <x v="0"/>
    <x v="1"/>
    <x v="0"/>
    <x v="6"/>
    <x v="6"/>
    <x v="2"/>
    <x v="3"/>
    <x v="6"/>
    <x v="30"/>
    <x v="1"/>
    <x v="141"/>
    <x v="5"/>
    <x v="4"/>
    <x v="198"/>
    <x v="90"/>
    <x v="0"/>
    <x v="14"/>
    <x v="900"/>
    <x v="194"/>
  </r>
  <r>
    <x v="1"/>
    <x v="138"/>
    <x v="4"/>
    <x v="1"/>
    <x v="371"/>
    <x v="43"/>
    <x v="3"/>
    <x v="284"/>
    <x v="258"/>
    <x v="1"/>
    <x v="24"/>
    <x v="2"/>
    <x v="1"/>
    <x v="9"/>
    <x v="577"/>
    <x v="538"/>
    <x v="586"/>
    <x v="204"/>
    <x v="199"/>
    <x v="0"/>
    <x v="2"/>
    <x v="2"/>
    <x v="4"/>
    <x v="4"/>
    <x v="1"/>
    <x v="5"/>
    <x v="1"/>
    <x v="22"/>
    <x v="0"/>
    <x v="201"/>
    <x v="7"/>
    <x v="4"/>
    <x v="443"/>
    <x v="90"/>
    <x v="43"/>
    <x v="24"/>
    <x v="258"/>
    <x v="628"/>
  </r>
  <r>
    <x v="25"/>
    <x v="34"/>
    <x v="1"/>
    <x v="3"/>
    <x v="94"/>
    <x v="33"/>
    <x v="1"/>
    <x v="3"/>
    <x v="4"/>
    <x v="0"/>
    <x v="2"/>
    <x v="2"/>
    <x v="0"/>
    <x v="16"/>
    <x v="82"/>
    <x v="98"/>
    <x v="37"/>
    <x v="855"/>
    <x v="984"/>
    <x v="1"/>
    <x v="0"/>
    <x v="1"/>
    <x v="1"/>
    <x v="1"/>
    <x v="0"/>
    <x v="1"/>
    <x v="0"/>
    <x v="6"/>
    <x v="0"/>
    <x v="305"/>
    <x v="11"/>
    <x v="1"/>
    <x v="765"/>
    <x v="90"/>
    <x v="33"/>
    <x v="2"/>
    <x v="4"/>
    <x v="905"/>
  </r>
  <r>
    <x v="13"/>
    <x v="326"/>
    <x v="3"/>
    <x v="0"/>
    <x v="552"/>
    <x v="3"/>
    <x v="3"/>
    <x v="162"/>
    <x v="171"/>
    <x v="0"/>
    <x v="24"/>
    <x v="2"/>
    <x v="1"/>
    <x v="3"/>
    <x v="45"/>
    <x v="40"/>
    <x v="58"/>
    <x v="599"/>
    <x v="585"/>
    <x v="0"/>
    <x v="2"/>
    <x v="2"/>
    <x v="11"/>
    <x v="11"/>
    <x v="3"/>
    <x v="1"/>
    <x v="0"/>
    <x v="51"/>
    <x v="0"/>
    <x v="13"/>
    <x v="1"/>
    <x v="3"/>
    <x v="257"/>
    <x v="90"/>
    <x v="3"/>
    <x v="24"/>
    <x v="171"/>
    <x v="447"/>
  </r>
  <r>
    <x v="58"/>
    <x v="289"/>
    <x v="3"/>
    <x v="2"/>
    <x v="854"/>
    <x v="16"/>
    <x v="0"/>
    <x v="364"/>
    <x v="384"/>
    <x v="1"/>
    <x v="15"/>
    <x v="2"/>
    <x v="1"/>
    <x v="13"/>
    <x v="381"/>
    <x v="384"/>
    <x v="370"/>
    <x v="718"/>
    <x v="705"/>
    <x v="1"/>
    <x v="1"/>
    <x v="0"/>
    <x v="10"/>
    <x v="10"/>
    <x v="3"/>
    <x v="6"/>
    <x v="2"/>
    <x v="45"/>
    <x v="0"/>
    <x v="50"/>
    <x v="2"/>
    <x v="3"/>
    <x v="738"/>
    <x v="90"/>
    <x v="16"/>
    <x v="15"/>
    <x v="384"/>
    <x v="143"/>
  </r>
  <r>
    <x v="55"/>
    <x v="334"/>
    <x v="1"/>
    <x v="0"/>
    <x v="800"/>
    <x v="3"/>
    <x v="2"/>
    <x v="330"/>
    <x v="285"/>
    <x v="1"/>
    <x v="4"/>
    <x v="2"/>
    <x v="1"/>
    <x v="1"/>
    <x v="79"/>
    <x v="87"/>
    <x v="115"/>
    <x v="587"/>
    <x v="561"/>
    <x v="0"/>
    <x v="0"/>
    <x v="0"/>
    <x v="11"/>
    <x v="11"/>
    <x v="3"/>
    <x v="6"/>
    <x v="2"/>
    <x v="52"/>
    <x v="0"/>
    <x v="5"/>
    <x v="0"/>
    <x v="1"/>
    <x v="260"/>
    <x v="90"/>
    <x v="3"/>
    <x v="4"/>
    <x v="285"/>
    <x v="197"/>
  </r>
  <r>
    <x v="6"/>
    <x v="54"/>
    <x v="2"/>
    <x v="0"/>
    <x v="164"/>
    <x v="42"/>
    <x v="3"/>
    <x v="796"/>
    <x v="810"/>
    <x v="0"/>
    <x v="27"/>
    <x v="2"/>
    <x v="0"/>
    <x v="2"/>
    <x v="941"/>
    <x v="897"/>
    <x v="940"/>
    <x v="25"/>
    <x v="79"/>
    <x v="0"/>
    <x v="2"/>
    <x v="1"/>
    <x v="1"/>
    <x v="1"/>
    <x v="0"/>
    <x v="5"/>
    <x v="1"/>
    <x v="9"/>
    <x v="0"/>
    <x v="285"/>
    <x v="10"/>
    <x v="2"/>
    <x v="25"/>
    <x v="90"/>
    <x v="42"/>
    <x v="27"/>
    <x v="810"/>
    <x v="835"/>
  </r>
  <r>
    <x v="2"/>
    <x v="120"/>
    <x v="2"/>
    <x v="1"/>
    <x v="671"/>
    <x v="25"/>
    <x v="1"/>
    <x v="685"/>
    <x v="724"/>
    <x v="0"/>
    <x v="19"/>
    <x v="2"/>
    <x v="0"/>
    <x v="7"/>
    <x v="716"/>
    <x v="702"/>
    <x v="712"/>
    <x v="243"/>
    <x v="359"/>
    <x v="0"/>
    <x v="1"/>
    <x v="2"/>
    <x v="4"/>
    <x v="4"/>
    <x v="1"/>
    <x v="4"/>
    <x v="3"/>
    <x v="19"/>
    <x v="0"/>
    <x v="219"/>
    <x v="8"/>
    <x v="2"/>
    <x v="309"/>
    <x v="90"/>
    <x v="25"/>
    <x v="19"/>
    <x v="724"/>
    <x v="327"/>
  </r>
  <r>
    <x v="22"/>
    <x v="189"/>
    <x v="4"/>
    <x v="1"/>
    <x v="220"/>
    <x v="3"/>
    <x v="0"/>
    <x v="312"/>
    <x v="281"/>
    <x v="1"/>
    <x v="5"/>
    <x v="0"/>
    <x v="1"/>
    <x v="9"/>
    <x v="75"/>
    <x v="86"/>
    <x v="107"/>
    <x v="606"/>
    <x v="613"/>
    <x v="1"/>
    <x v="0"/>
    <x v="1"/>
    <x v="6"/>
    <x v="6"/>
    <x v="2"/>
    <x v="0"/>
    <x v="4"/>
    <x v="29"/>
    <x v="0"/>
    <x v="150"/>
    <x v="6"/>
    <x v="4"/>
    <x v="465"/>
    <x v="90"/>
    <x v="3"/>
    <x v="5"/>
    <x v="281"/>
    <x v="779"/>
  </r>
  <r>
    <x v="17"/>
    <x v="228"/>
    <x v="0"/>
    <x v="0"/>
    <x v="215"/>
    <x v="0"/>
    <x v="1"/>
    <x v="468"/>
    <x v="417"/>
    <x v="0"/>
    <x v="1"/>
    <x v="1"/>
    <x v="1"/>
    <x v="0"/>
    <x v="18"/>
    <x v="23"/>
    <x v="36"/>
    <x v="601"/>
    <x v="596"/>
    <x v="0"/>
    <x v="0"/>
    <x v="1"/>
    <x v="7"/>
    <x v="7"/>
    <x v="2"/>
    <x v="4"/>
    <x v="3"/>
    <x v="35"/>
    <x v="0"/>
    <x v="111"/>
    <x v="4"/>
    <x v="0"/>
    <x v="210"/>
    <x v="90"/>
    <x v="0"/>
    <x v="1"/>
    <x v="417"/>
    <x v="784"/>
  </r>
  <r>
    <x v="37"/>
    <x v="32"/>
    <x v="2"/>
    <x v="1"/>
    <x v="881"/>
    <x v="6"/>
    <x v="3"/>
    <x v="96"/>
    <x v="77"/>
    <x v="1"/>
    <x v="4"/>
    <x v="1"/>
    <x v="0"/>
    <x v="7"/>
    <x v="53"/>
    <x v="59"/>
    <x v="65"/>
    <x v="693"/>
    <x v="896"/>
    <x v="1"/>
    <x v="0"/>
    <x v="0"/>
    <x v="1"/>
    <x v="1"/>
    <x v="0"/>
    <x v="2"/>
    <x v="5"/>
    <x v="5"/>
    <x v="1"/>
    <x v="307"/>
    <x v="11"/>
    <x v="2"/>
    <x v="282"/>
    <x v="90"/>
    <x v="6"/>
    <x v="4"/>
    <x v="77"/>
    <x v="116"/>
  </r>
  <r>
    <x v="98"/>
    <x v="85"/>
    <x v="0"/>
    <x v="1"/>
    <x v="254"/>
    <x v="29"/>
    <x v="3"/>
    <x v="912"/>
    <x v="922"/>
    <x v="0"/>
    <x v="18"/>
    <x v="0"/>
    <x v="1"/>
    <x v="5"/>
    <x v="866"/>
    <x v="852"/>
    <x v="864"/>
    <x v="109"/>
    <x v="281"/>
    <x v="0"/>
    <x v="1"/>
    <x v="2"/>
    <x v="3"/>
    <x v="3"/>
    <x v="1"/>
    <x v="1"/>
    <x v="0"/>
    <x v="14"/>
    <x v="0"/>
    <x v="254"/>
    <x v="9"/>
    <x v="0"/>
    <x v="418"/>
    <x v="90"/>
    <x v="29"/>
    <x v="18"/>
    <x v="922"/>
    <x v="745"/>
  </r>
  <r>
    <x v="14"/>
    <x v="194"/>
    <x v="3"/>
    <x v="1"/>
    <x v="267"/>
    <x v="8"/>
    <x v="1"/>
    <x v="940"/>
    <x v="917"/>
    <x v="1"/>
    <x v="5"/>
    <x v="0"/>
    <x v="0"/>
    <x v="8"/>
    <x v="425"/>
    <x v="459"/>
    <x v="458"/>
    <x v="487"/>
    <x v="523"/>
    <x v="0"/>
    <x v="0"/>
    <x v="2"/>
    <x v="6"/>
    <x v="6"/>
    <x v="2"/>
    <x v="6"/>
    <x v="2"/>
    <x v="30"/>
    <x v="0"/>
    <x v="145"/>
    <x v="5"/>
    <x v="3"/>
    <x v="337"/>
    <x v="90"/>
    <x v="8"/>
    <x v="5"/>
    <x v="917"/>
    <x v="732"/>
  </r>
  <r>
    <x v="63"/>
    <x v="327"/>
    <x v="0"/>
    <x v="3"/>
    <x v="1"/>
    <x v="34"/>
    <x v="0"/>
    <x v="977"/>
    <x v="979"/>
    <x v="1"/>
    <x v="7"/>
    <x v="2"/>
    <x v="1"/>
    <x v="15"/>
    <x v="933"/>
    <x v="960"/>
    <x v="941"/>
    <x v="336"/>
    <x v="536"/>
    <x v="0"/>
    <x v="0"/>
    <x v="1"/>
    <x v="11"/>
    <x v="11"/>
    <x v="3"/>
    <x v="5"/>
    <x v="1"/>
    <x v="51"/>
    <x v="0"/>
    <x v="12"/>
    <x v="1"/>
    <x v="0"/>
    <x v="994"/>
    <x v="90"/>
    <x v="34"/>
    <x v="7"/>
    <x v="979"/>
    <x v="998"/>
  </r>
  <r>
    <x v="88"/>
    <x v="308"/>
    <x v="3"/>
    <x v="3"/>
    <x v="879"/>
    <x v="7"/>
    <x v="3"/>
    <x v="887"/>
    <x v="885"/>
    <x v="1"/>
    <x v="1"/>
    <x v="2"/>
    <x v="0"/>
    <x v="18"/>
    <x v="379"/>
    <x v="429"/>
    <x v="406"/>
    <x v="749"/>
    <x v="725"/>
    <x v="1"/>
    <x v="0"/>
    <x v="0"/>
    <x v="10"/>
    <x v="10"/>
    <x v="3"/>
    <x v="5"/>
    <x v="1"/>
    <x v="48"/>
    <x v="0"/>
    <x v="31"/>
    <x v="1"/>
    <x v="3"/>
    <x v="866"/>
    <x v="90"/>
    <x v="7"/>
    <x v="1"/>
    <x v="885"/>
    <x v="118"/>
  </r>
  <r>
    <x v="27"/>
    <x v="283"/>
    <x v="1"/>
    <x v="0"/>
    <x v="797"/>
    <x v="23"/>
    <x v="2"/>
    <x v="173"/>
    <x v="193"/>
    <x v="0"/>
    <x v="22"/>
    <x v="0"/>
    <x v="0"/>
    <x v="1"/>
    <x v="302"/>
    <x v="283"/>
    <x v="278"/>
    <x v="686"/>
    <x v="696"/>
    <x v="1"/>
    <x v="2"/>
    <x v="0"/>
    <x v="10"/>
    <x v="10"/>
    <x v="3"/>
    <x v="6"/>
    <x v="2"/>
    <x v="44"/>
    <x v="0"/>
    <x v="56"/>
    <x v="2"/>
    <x v="1"/>
    <x v="102"/>
    <x v="90"/>
    <x v="23"/>
    <x v="22"/>
    <x v="193"/>
    <x v="201"/>
  </r>
  <r>
    <x v="73"/>
    <x v="325"/>
    <x v="1"/>
    <x v="1"/>
    <x v="622"/>
    <x v="18"/>
    <x v="3"/>
    <x v="43"/>
    <x v="23"/>
    <x v="0"/>
    <x v="24"/>
    <x v="2"/>
    <x v="0"/>
    <x v="6"/>
    <x v="88"/>
    <x v="81"/>
    <x v="96"/>
    <x v="680"/>
    <x v="842"/>
    <x v="1"/>
    <x v="2"/>
    <x v="2"/>
    <x v="11"/>
    <x v="11"/>
    <x v="3"/>
    <x v="2"/>
    <x v="5"/>
    <x v="50"/>
    <x v="1"/>
    <x v="14"/>
    <x v="1"/>
    <x v="1"/>
    <x v="387"/>
    <x v="90"/>
    <x v="18"/>
    <x v="24"/>
    <x v="23"/>
    <x v="376"/>
  </r>
  <r>
    <x v="38"/>
    <x v="200"/>
    <x v="4"/>
    <x v="3"/>
    <x v="752"/>
    <x v="35"/>
    <x v="0"/>
    <x v="596"/>
    <x v="583"/>
    <x v="0"/>
    <x v="24"/>
    <x v="1"/>
    <x v="0"/>
    <x v="19"/>
    <x v="775"/>
    <x v="725"/>
    <x v="778"/>
    <x v="89"/>
    <x v="142"/>
    <x v="0"/>
    <x v="2"/>
    <x v="0"/>
    <x v="7"/>
    <x v="7"/>
    <x v="2"/>
    <x v="5"/>
    <x v="1"/>
    <x v="31"/>
    <x v="0"/>
    <x v="139"/>
    <x v="5"/>
    <x v="4"/>
    <x v="824"/>
    <x v="90"/>
    <x v="35"/>
    <x v="24"/>
    <x v="583"/>
    <x v="246"/>
  </r>
  <r>
    <x v="56"/>
    <x v="147"/>
    <x v="2"/>
    <x v="0"/>
    <x v="140"/>
    <x v="42"/>
    <x v="3"/>
    <x v="922"/>
    <x v="947"/>
    <x v="0"/>
    <x v="4"/>
    <x v="1"/>
    <x v="1"/>
    <x v="2"/>
    <x v="978"/>
    <x v="994"/>
    <x v="971"/>
    <x v="926"/>
    <x v="701"/>
    <x v="1"/>
    <x v="0"/>
    <x v="1"/>
    <x v="5"/>
    <x v="5"/>
    <x v="1"/>
    <x v="4"/>
    <x v="3"/>
    <x v="23"/>
    <x v="0"/>
    <x v="192"/>
    <x v="7"/>
    <x v="2"/>
    <x v="181"/>
    <x v="90"/>
    <x v="42"/>
    <x v="4"/>
    <x v="947"/>
    <x v="859"/>
  </r>
  <r>
    <x v="16"/>
    <x v="23"/>
    <x v="4"/>
    <x v="1"/>
    <x v="463"/>
    <x v="26"/>
    <x v="1"/>
    <x v="178"/>
    <x v="224"/>
    <x v="1"/>
    <x v="27"/>
    <x v="2"/>
    <x v="0"/>
    <x v="9"/>
    <x v="385"/>
    <x v="336"/>
    <x v="315"/>
    <x v="778"/>
    <x v="797"/>
    <x v="1"/>
    <x v="2"/>
    <x v="2"/>
    <x v="0"/>
    <x v="0"/>
    <x v="0"/>
    <x v="5"/>
    <x v="1"/>
    <x v="4"/>
    <x v="0"/>
    <x v="316"/>
    <x v="12"/>
    <x v="4"/>
    <x v="275"/>
    <x v="90"/>
    <x v="26"/>
    <x v="27"/>
    <x v="224"/>
    <x v="536"/>
  </r>
  <r>
    <x v="85"/>
    <x v="272"/>
    <x v="3"/>
    <x v="2"/>
    <x v="356"/>
    <x v="31"/>
    <x v="3"/>
    <x v="7"/>
    <x v="42"/>
    <x v="1"/>
    <x v="20"/>
    <x v="2"/>
    <x v="1"/>
    <x v="13"/>
    <x v="175"/>
    <x v="170"/>
    <x v="44"/>
    <x v="957"/>
    <x v="996"/>
    <x v="1"/>
    <x v="2"/>
    <x v="2"/>
    <x v="9"/>
    <x v="9"/>
    <x v="3"/>
    <x v="0"/>
    <x v="4"/>
    <x v="42"/>
    <x v="0"/>
    <x v="67"/>
    <x v="3"/>
    <x v="3"/>
    <x v="731"/>
    <x v="90"/>
    <x v="31"/>
    <x v="20"/>
    <x v="42"/>
    <x v="643"/>
  </r>
  <r>
    <x v="89"/>
    <x v="3"/>
    <x v="4"/>
    <x v="1"/>
    <x v="99"/>
    <x v="13"/>
    <x v="3"/>
    <x v="809"/>
    <x v="826"/>
    <x v="1"/>
    <x v="27"/>
    <x v="2"/>
    <x v="0"/>
    <x v="9"/>
    <x v="532"/>
    <x v="488"/>
    <x v="551"/>
    <x v="159"/>
    <x v="69"/>
    <x v="0"/>
    <x v="2"/>
    <x v="1"/>
    <x v="0"/>
    <x v="0"/>
    <x v="0"/>
    <x v="6"/>
    <x v="2"/>
    <x v="1"/>
    <x v="0"/>
    <x v="336"/>
    <x v="12"/>
    <x v="4"/>
    <x v="265"/>
    <x v="90"/>
    <x v="13"/>
    <x v="27"/>
    <x v="826"/>
    <x v="900"/>
  </r>
  <r>
    <x v="43"/>
    <x v="207"/>
    <x v="0"/>
    <x v="1"/>
    <x v="490"/>
    <x v="17"/>
    <x v="0"/>
    <x v="78"/>
    <x v="63"/>
    <x v="0"/>
    <x v="13"/>
    <x v="1"/>
    <x v="0"/>
    <x v="5"/>
    <x v="129"/>
    <x v="134"/>
    <x v="132"/>
    <x v="767"/>
    <x v="908"/>
    <x v="1"/>
    <x v="1"/>
    <x v="2"/>
    <x v="7"/>
    <x v="7"/>
    <x v="2"/>
    <x v="5"/>
    <x v="1"/>
    <x v="32"/>
    <x v="0"/>
    <x v="132"/>
    <x v="5"/>
    <x v="0"/>
    <x v="344"/>
    <x v="90"/>
    <x v="17"/>
    <x v="13"/>
    <x v="63"/>
    <x v="509"/>
  </r>
  <r>
    <x v="24"/>
    <x v="337"/>
    <x v="3"/>
    <x v="3"/>
    <x v="922"/>
    <x v="27"/>
    <x v="1"/>
    <x v="416"/>
    <x v="405"/>
    <x v="0"/>
    <x v="13"/>
    <x v="2"/>
    <x v="1"/>
    <x v="18"/>
    <x v="554"/>
    <x v="571"/>
    <x v="567"/>
    <x v="393"/>
    <x v="455"/>
    <x v="0"/>
    <x v="1"/>
    <x v="0"/>
    <x v="11"/>
    <x v="11"/>
    <x v="3"/>
    <x v="2"/>
    <x v="5"/>
    <x v="52"/>
    <x v="1"/>
    <x v="2"/>
    <x v="0"/>
    <x v="3"/>
    <x v="998"/>
    <x v="88"/>
    <x v="27"/>
    <x v="13"/>
    <x v="405"/>
    <x v="75"/>
  </r>
  <r>
    <x v="16"/>
    <x v="19"/>
    <x v="1"/>
    <x v="0"/>
    <x v="41"/>
    <x v="28"/>
    <x v="0"/>
    <x v="682"/>
    <x v="655"/>
    <x v="0"/>
    <x v="24"/>
    <x v="0"/>
    <x v="1"/>
    <x v="1"/>
    <x v="723"/>
    <x v="691"/>
    <x v="758"/>
    <x v="77"/>
    <x v="58"/>
    <x v="0"/>
    <x v="2"/>
    <x v="1"/>
    <x v="0"/>
    <x v="0"/>
    <x v="0"/>
    <x v="0"/>
    <x v="4"/>
    <x v="3"/>
    <x v="0"/>
    <x v="320"/>
    <x v="12"/>
    <x v="1"/>
    <x v="131"/>
    <x v="90"/>
    <x v="28"/>
    <x v="24"/>
    <x v="655"/>
    <x v="958"/>
  </r>
  <r>
    <x v="12"/>
    <x v="140"/>
    <x v="2"/>
    <x v="0"/>
    <x v="305"/>
    <x v="15"/>
    <x v="3"/>
    <x v="244"/>
    <x v="205"/>
    <x v="1"/>
    <x v="3"/>
    <x v="2"/>
    <x v="1"/>
    <x v="2"/>
    <x v="223"/>
    <x v="253"/>
    <x v="259"/>
    <x v="647"/>
    <x v="657"/>
    <x v="1"/>
    <x v="0"/>
    <x v="2"/>
    <x v="5"/>
    <x v="5"/>
    <x v="1"/>
    <x v="4"/>
    <x v="3"/>
    <x v="22"/>
    <x v="0"/>
    <x v="199"/>
    <x v="7"/>
    <x v="2"/>
    <x v="176"/>
    <x v="90"/>
    <x v="15"/>
    <x v="3"/>
    <x v="205"/>
    <x v="694"/>
  </r>
  <r>
    <x v="83"/>
    <x v="45"/>
    <x v="3"/>
    <x v="3"/>
    <x v="203"/>
    <x v="34"/>
    <x v="2"/>
    <x v="85"/>
    <x v="108"/>
    <x v="0"/>
    <x v="16"/>
    <x v="0"/>
    <x v="0"/>
    <x v="18"/>
    <x v="293"/>
    <x v="294"/>
    <x v="223"/>
    <x v="914"/>
    <x v="934"/>
    <x v="1"/>
    <x v="1"/>
    <x v="1"/>
    <x v="1"/>
    <x v="1"/>
    <x v="0"/>
    <x v="3"/>
    <x v="6"/>
    <x v="7"/>
    <x v="1"/>
    <x v="294"/>
    <x v="11"/>
    <x v="3"/>
    <x v="774"/>
    <x v="90"/>
    <x v="34"/>
    <x v="16"/>
    <x v="108"/>
    <x v="796"/>
  </r>
  <r>
    <x v="24"/>
    <x v="164"/>
    <x v="3"/>
    <x v="1"/>
    <x v="238"/>
    <x v="46"/>
    <x v="3"/>
    <x v="781"/>
    <x v="754"/>
    <x v="0"/>
    <x v="25"/>
    <x v="2"/>
    <x v="0"/>
    <x v="8"/>
    <x v="949"/>
    <x v="909"/>
    <x v="955"/>
    <x v="11"/>
    <x v="60"/>
    <x v="0"/>
    <x v="2"/>
    <x v="1"/>
    <x v="5"/>
    <x v="5"/>
    <x v="1"/>
    <x v="1"/>
    <x v="0"/>
    <x v="26"/>
    <x v="0"/>
    <x v="175"/>
    <x v="6"/>
    <x v="3"/>
    <x v="323"/>
    <x v="90"/>
    <x v="46"/>
    <x v="25"/>
    <x v="754"/>
    <x v="761"/>
  </r>
  <r>
    <x v="67"/>
    <x v="88"/>
    <x v="0"/>
    <x v="2"/>
    <x v="915"/>
    <x v="30"/>
    <x v="0"/>
    <x v="647"/>
    <x v="626"/>
    <x v="1"/>
    <x v="25"/>
    <x v="2"/>
    <x v="1"/>
    <x v="10"/>
    <x v="730"/>
    <x v="692"/>
    <x v="754"/>
    <x v="81"/>
    <x v="70"/>
    <x v="0"/>
    <x v="2"/>
    <x v="0"/>
    <x v="3"/>
    <x v="3"/>
    <x v="1"/>
    <x v="4"/>
    <x v="3"/>
    <x v="14"/>
    <x v="0"/>
    <x v="251"/>
    <x v="9"/>
    <x v="0"/>
    <x v="672"/>
    <x v="89"/>
    <x v="30"/>
    <x v="25"/>
    <x v="626"/>
    <x v="82"/>
  </r>
  <r>
    <x v="9"/>
    <x v="96"/>
    <x v="2"/>
    <x v="1"/>
    <x v="474"/>
    <x v="3"/>
    <x v="2"/>
    <x v="988"/>
    <x v="999"/>
    <x v="1"/>
    <x v="29"/>
    <x v="1"/>
    <x v="0"/>
    <x v="7"/>
    <x v="233"/>
    <x v="195"/>
    <x v="261"/>
    <x v="361"/>
    <x v="68"/>
    <x v="0"/>
    <x v="2"/>
    <x v="2"/>
    <x v="3"/>
    <x v="3"/>
    <x v="1"/>
    <x v="2"/>
    <x v="5"/>
    <x v="15"/>
    <x v="1"/>
    <x v="243"/>
    <x v="9"/>
    <x v="2"/>
    <x v="300"/>
    <x v="90"/>
    <x v="3"/>
    <x v="29"/>
    <x v="999"/>
    <x v="525"/>
  </r>
  <r>
    <x v="66"/>
    <x v="234"/>
    <x v="1"/>
    <x v="1"/>
    <x v="472"/>
    <x v="36"/>
    <x v="0"/>
    <x v="359"/>
    <x v="326"/>
    <x v="0"/>
    <x v="21"/>
    <x v="0"/>
    <x v="1"/>
    <x v="6"/>
    <x v="585"/>
    <x v="564"/>
    <x v="612"/>
    <x v="192"/>
    <x v="198"/>
    <x v="0"/>
    <x v="2"/>
    <x v="2"/>
    <x v="8"/>
    <x v="8"/>
    <x v="2"/>
    <x v="4"/>
    <x v="3"/>
    <x v="36"/>
    <x v="0"/>
    <x v="105"/>
    <x v="4"/>
    <x v="1"/>
    <x v="479"/>
    <x v="90"/>
    <x v="36"/>
    <x v="21"/>
    <x v="326"/>
    <x v="527"/>
  </r>
  <r>
    <x v="17"/>
    <x v="108"/>
    <x v="3"/>
    <x v="2"/>
    <x v="763"/>
    <x v="16"/>
    <x v="0"/>
    <x v="63"/>
    <x v="26"/>
    <x v="1"/>
    <x v="6"/>
    <x v="0"/>
    <x v="0"/>
    <x v="13"/>
    <x v="83"/>
    <x v="94"/>
    <x v="106"/>
    <x v="694"/>
    <x v="846"/>
    <x v="1"/>
    <x v="0"/>
    <x v="0"/>
    <x v="3"/>
    <x v="3"/>
    <x v="1"/>
    <x v="4"/>
    <x v="3"/>
    <x v="17"/>
    <x v="0"/>
    <x v="231"/>
    <x v="8"/>
    <x v="3"/>
    <x v="567"/>
    <x v="90"/>
    <x v="16"/>
    <x v="6"/>
    <x v="26"/>
    <x v="235"/>
  </r>
  <r>
    <x v="99"/>
    <x v="328"/>
    <x v="3"/>
    <x v="3"/>
    <x v="142"/>
    <x v="38"/>
    <x v="1"/>
    <x v="744"/>
    <x v="704"/>
    <x v="0"/>
    <x v="1"/>
    <x v="0"/>
    <x v="0"/>
    <x v="18"/>
    <x v="871"/>
    <x v="921"/>
    <x v="891"/>
    <x v="681"/>
    <x v="622"/>
    <x v="1"/>
    <x v="0"/>
    <x v="1"/>
    <x v="11"/>
    <x v="11"/>
    <x v="3"/>
    <x v="6"/>
    <x v="2"/>
    <x v="51"/>
    <x v="0"/>
    <x v="11"/>
    <x v="1"/>
    <x v="3"/>
    <x v="873"/>
    <x v="90"/>
    <x v="38"/>
    <x v="1"/>
    <x v="704"/>
    <x v="857"/>
  </r>
  <r>
    <x v="85"/>
    <x v="215"/>
    <x v="0"/>
    <x v="0"/>
    <x v="491"/>
    <x v="47"/>
    <x v="2"/>
    <x v="547"/>
    <x v="545"/>
    <x v="1"/>
    <x v="14"/>
    <x v="1"/>
    <x v="0"/>
    <x v="0"/>
    <x v="856"/>
    <x v="859"/>
    <x v="845"/>
    <x v="318"/>
    <x v="497"/>
    <x v="0"/>
    <x v="1"/>
    <x v="2"/>
    <x v="7"/>
    <x v="7"/>
    <x v="2"/>
    <x v="6"/>
    <x v="2"/>
    <x v="33"/>
    <x v="0"/>
    <x v="124"/>
    <x v="5"/>
    <x v="0"/>
    <x v="83"/>
    <x v="90"/>
    <x v="47"/>
    <x v="14"/>
    <x v="545"/>
    <x v="5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D4_Payment" cacheId="3" applyNumberFormats="0" applyBorderFormats="0" applyFontFormats="0" applyPatternFormats="0" applyAlignmentFormats="0" applyWidthHeightFormats="0" dataCaption="Values" showDrill="0" itemPrintTitles="1" indent="0" outline="1" outlineData="1">
  <location ref="N68:O72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pageFields count="2">
    <pageField fld="3" hier="-1"/>
    <pageField fld="6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D1_Region" cacheId="3" applyNumberFormats="0" applyBorderFormats="0" applyFontFormats="0" applyPatternFormats="0" applyAlignmentFormats="0" applyWidthHeightFormats="0" dataCaption="Values" showDrill="0" itemPrintTitles="1" indent="0" outline="1" outlineData="1">
  <location ref="B68:C73" firstHeaderRow="1" firstDataRow="1" firstDataCol="1" rowPageCount="2" colPageCount="1"/>
  <pivotFields count="38"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pageFields count="2">
    <pageField fld="6" hier="-1"/>
    <pageField fld="12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D3_Category" cacheId="3" applyNumberFormats="0" applyBorderFormats="0" applyFontFormats="0" applyPatternFormats="0" applyAlignmentFormats="0" applyWidthHeightFormats="0" dataCaption="Values" showDrill="0" itemPrintTitles="1" indent="0" outline="1" outlineData="1">
  <location ref="E68:F73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pageFields count="2">
    <pageField fld="3" hier="-1"/>
    <pageField fld="12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D5_SalesRep" cacheId="3" applyNumberFormats="0" applyBorderFormats="0" applyFontFormats="0" applyPatternFormats="0" applyAlignmentFormats="0" applyWidthHeightFormats="0" dataCaption="Values" showDrill="0" itemPrintTitles="1" indent="0" outline="1" outlineData="1">
  <location ref="H68:I74" firstHeaderRow="1" firstDataRow="1" firstDataCol="1" rowPageCount="2" colPageCount="1"/>
  <pivotFields count="38"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pageFields count="2">
    <pageField fld="3" hier="-1"/>
    <pageField fld="6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2_Monthly" cacheId="3" applyNumberFormats="0" applyBorderFormats="0" applyFontFormats="0" applyPatternFormats="0" applyAlignmentFormats="0" applyWidthHeightFormats="0" dataCaption="Values" showDrill="0" itemPrintTitles="1" indent="0" outline="1" outlineData="1">
  <location ref="K68:L82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2"/>
  </rowFields>
  <pageFields count="2">
    <pageField fld="3" hier="-1"/>
    <pageField fld="6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D000000}" name="P2_Monthly" cacheId="3" applyNumberFormats="0" applyBorderFormats="0" applyFontFormats="0" applyPatternFormats="0" applyAlignmentFormats="0" applyWidthHeightFormats="0" dataCaption="Values" showDrill="0" itemPrintTitles="1" indent="0" outline="1" outlineData="1">
  <location ref="E10:F24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2"/>
  </rowFields>
  <pageFields count="2">
    <pageField fld="3" hier="-1"/>
    <pageField fld="6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C000000}" name="P7_Region_x_Rep" cacheId="3" applyNumberFormats="0" applyBorderFormats="0" applyFontFormats="0" applyPatternFormats="0" applyAlignmentFormats="0" applyWidthHeightFormats="0" dataCaption="Values" showDrill="0" itemPrintTitles="1" indent="0" outline="1" outlineData="1">
  <location ref="AB9:AH15" firstHeaderRow="1" firstDataRow="2" firstDataCol="1" rowPageCount="1" colPageCount="1"/>
  <pivotFields count="38">
    <pivotField compact="0" showAll="0"/>
    <pivotField compact="0" showAll="0"/>
    <pivotField axis="axisCol" compact="0" showAll="0" defaultSubtotal="0">
      <items count="5">
        <item x="0"/>
        <item x="1"/>
        <item x="2"/>
        <item x="3"/>
        <item x="4"/>
      </items>
    </pivotField>
    <pivotField axis="axisRow" compact="0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colFields count="1">
    <field x="2"/>
  </colFields>
  <pageFields count="1">
    <pageField fld="6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B000000}" name="P3_Category" cacheId="3" applyNumberFormats="0" applyBorderFormats="0" applyFontFormats="0" applyPatternFormats="0" applyAlignmentFormats="0" applyWidthHeightFormats="0" dataCaption="Values" showDrill="0" itemPrintTitles="1" indent="0" outline="1" outlineData="1">
  <location ref="I10:J15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pageFields count="2">
    <pageField fld="3" hier="-1"/>
    <pageField fld="12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A000000}" name="P8_DiscountBand" cacheId="3" applyNumberFormats="0" applyBorderFormats="0" applyFontFormats="0" applyPatternFormats="0" applyAlignmentFormats="0" applyWidthHeightFormats="0" dataCaption="Values" showDrill="0" itemPrintTitles="1" indent="0" outline="1" outlineData="1">
  <location ref="AJ10:AK14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0"/>
  </rowFields>
  <pageFields count="2">
    <pageField fld="3" hier="-1"/>
    <pageField fld="6" hier="-1"/>
  </pageFields>
  <dataFields count="1">
    <dataField name="Avg Sale ($)" fld="4" subtotal="average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9000000}" name="P9_Channel_x_CustType" cacheId="3" applyNumberFormats="0" applyBorderFormats="0" applyFontFormats="0" applyPatternFormats="0" applyAlignmentFormats="0" applyWidthHeightFormats="0" dataCaption="Values" showDrill="0" itemPrintTitles="1" indent="0" outline="1" outlineData="1">
  <location ref="AN9:AQ13" firstHeaderRow="1" firstDataRow="2" firstDataCol="1" rowPageCount="1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colFields count="1">
    <field x="9"/>
  </colFields>
  <pageFields count="1">
    <pageField fld="3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P4_SalesRep" cacheId="3" applyNumberFormats="0" applyBorderFormats="0" applyFontFormats="0" applyPatternFormats="0" applyAlignmentFormats="0" applyWidthHeightFormats="0" dataCaption="Values" showDrill="0" itemPrintTitles="1" indent="0" outline="1" outlineData="1">
  <location ref="M10:N16" firstHeaderRow="1" firstDataRow="1" firstDataCol="1" rowPageCount="2" colPageCount="1"/>
  <pivotFields count="38"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pageFields count="2">
    <pageField fld="3" hier="-1"/>
    <pageField fld="6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5_Payment" cacheId="3" applyNumberFormats="0" applyBorderFormats="0" applyFontFormats="0" applyPatternFormats="0" applyAlignmentFormats="0" applyWidthHeightFormats="0" dataCaption="Values" showDrill="0" itemPrintTitles="1" indent="0" outline="1" outlineData="1">
  <location ref="Q10:R14" firstHeaderRow="1" firstDataRow="1" firstDataCol="1" rowPageCount="2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pageFields count="2">
    <pageField fld="3" hier="-1"/>
    <pageField fld="6" hier="-1"/>
  </pageFields>
  <dataFields count="1">
    <dataField name="Transactions" fld="32" subtotal="count" baseField="0" baseItem="0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6_Quarter_x_Category" cacheId="3" applyNumberFormats="0" applyBorderFormats="0" applyFontFormats="0" applyPatternFormats="0" applyAlignmentFormats="0" applyWidthHeightFormats="0" dataCaption="Values" showDrill="0" itemPrintTitles="1" indent="0" outline="1" outlineData="1">
  <location ref="U9:Z16" firstHeaderRow="1" firstDataRow="2" firstDataCol="1" rowPageCount="1" colPageCount="1"/>
  <pivotFields count="38">
    <pivotField compact="0" showAll="0"/>
    <pivotField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4"/>
  </rowFields>
  <colFields count="1">
    <field x="6"/>
  </colFields>
  <pageFields count="1">
    <pageField fld="3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P1_Region" cacheId="3" applyNumberFormats="0" applyBorderFormats="0" applyFontFormats="0" applyPatternFormats="0" applyAlignmentFormats="0" applyWidthHeightFormats="0" dataCaption="Values" showDrill="0" itemPrintTitles="1" indent="0" outline="1" outlineData="1">
  <location ref="A10:B15" firstHeaderRow="1" firstDataRow="1" firstDataCol="1" rowPageCount="2" colPageCount="1"/>
  <pivotFields count="38"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dataField="1" compact="0" showAll="0"/>
    <pivotField compact="0" showAll="0"/>
    <pivotField axis="axisPage" compact="0" multipleItemSelectionAllowed="1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pageFields count="2">
    <pageField fld="6" hier="-1"/>
    <pageField fld="12" hier="-1"/>
  </pageFields>
  <dataFields count="1">
    <dataField name="Sales ($)" fld="4" baseField="0" baseItem="0" numFmtId="171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AL1001" totalsRowShown="0">
  <autoFilter ref="A1:AL1001" xr:uid="{00000000-0009-0000-0100-000001000000}"/>
  <tableColumns count="38">
    <tableColumn id="1" xr3:uid="{00000000-0010-0000-0000-000001000000}" name="Product_ID"/>
    <tableColumn id="2" xr3:uid="{00000000-0010-0000-0000-000002000000}" name="Sale_Date"/>
    <tableColumn id="3" xr3:uid="{00000000-0010-0000-0000-000003000000}" name="Sales_Rep"/>
    <tableColumn id="4" xr3:uid="{00000000-0010-0000-0000-000004000000}" name="Region"/>
    <tableColumn id="5" xr3:uid="{00000000-0010-0000-0000-000005000000}" name="Sales_Amount"/>
    <tableColumn id="6" xr3:uid="{00000000-0010-0000-0000-000006000000}" name="Quantity_Sold"/>
    <tableColumn id="7" xr3:uid="{00000000-0010-0000-0000-000007000000}" name="Product_Category"/>
    <tableColumn id="8" xr3:uid="{00000000-0010-0000-0000-000008000000}" name="Unit_Cost"/>
    <tableColumn id="9" xr3:uid="{00000000-0010-0000-0000-000009000000}" name="Unit_Price"/>
    <tableColumn id="10" xr3:uid="{00000000-0010-0000-0000-00000A000000}" name="Customer_Type"/>
    <tableColumn id="11" xr3:uid="{00000000-0010-0000-0000-00000B000000}" name="Discount"/>
    <tableColumn id="12" xr3:uid="{00000000-0010-0000-0000-00000C000000}" name="Payment_Method"/>
    <tableColumn id="13" xr3:uid="{00000000-0010-0000-0000-00000D000000}" name="Sales_Channel"/>
    <tableColumn id="14" xr3:uid="{00000000-0010-0000-0000-00000E000000}" name="Region_and_Sales_Rep"/>
    <tableColumn id="15" xr3:uid="{00000000-0010-0000-0000-00000F000000}" name="List_Value"/>
    <tableColumn id="16" xr3:uid="{00000000-0010-0000-0000-000010000000}" name="Net_List_Value"/>
    <tableColumn id="17" xr3:uid="{00000000-0010-0000-0000-000011000000}" name="COGS"/>
    <tableColumn id="18" xr3:uid="{00000000-0010-0000-0000-000012000000}" name="Net_Margin"/>
    <tableColumn id="19" xr3:uid="{00000000-0010-0000-0000-000013000000}" name="Net_Margin_Pct"/>
    <tableColumn id="20" xr3:uid="{00000000-0010-0000-0000-000014000000}" name="Loss_Flag"/>
    <tableColumn id="21" xr3:uid="{00000000-0010-0000-0000-000015000000}" name="Discount_Band"/>
    <tableColumn id="22" xr3:uid="{00000000-0010-0000-0000-000016000000}" name="Sales_Size"/>
    <tableColumn id="23" xr3:uid="{00000000-0010-0000-0000-000017000000}" name="Year_Month"/>
    <tableColumn id="24" xr3:uid="{00000000-0010-0000-0000-000018000000}" name="Month_End"/>
    <tableColumn id="25" xr3:uid="{00000000-0010-0000-0000-000019000000}" name="Year_Quarter"/>
    <tableColumn id="26" xr3:uid="{00000000-0010-0000-0000-00001A000000}" name="Weekday"/>
    <tableColumn id="27" xr3:uid="{00000000-0010-0000-0000-00001B000000}" name="Weekday_No"/>
    <tableColumn id="28" xr3:uid="{00000000-0010-0000-0000-00001C000000}" name="Week_No"/>
    <tableColumn id="29" xr3:uid="{00000000-0010-0000-0000-00001D000000}" name="Day_Type"/>
    <tableColumn id="30" xr3:uid="{00000000-0010-0000-0000-00001E000000}" name="Days_Since_Sale"/>
    <tableColumn id="31" xr3:uid="{00000000-0010-0000-0000-00001F000000}" name="Age_Months"/>
    <tableColumn id="32" xr3:uid="{00000000-0010-0000-0000-000020000000}" name="Rep_Code"/>
    <tableColumn id="33" xr3:uid="{00000000-0010-0000-0000-000021000000}" name="Order_Code"/>
    <tableColumn id="34" xr3:uid="{00000000-0010-0000-0000-000022000000}" name="Filter_Seq"/>
    <tableColumn id="35" xr3:uid="{00000000-0010-0000-0000-000023000000}" name="X1_Quantity"/>
    <tableColumn id="36" xr3:uid="{00000000-0010-0000-0000-000024000000}" name="X2_Discount"/>
    <tableColumn id="37" xr3:uid="{00000000-0010-0000-0000-000025000000}" name="X3_Unit_Price"/>
    <tableColumn id="38" xr3:uid="{00000000-0010-0000-0000-000026000000}" name="Sales_Ra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B1:S100"/>
  <sheetViews>
    <sheetView showGridLines="0" topLeftCell="A19" zoomScale="90" zoomScaleNormal="90" workbookViewId="0"/>
  </sheetViews>
  <sheetFormatPr baseColWidth="10" defaultColWidth="8.6640625" defaultRowHeight="15" x14ac:dyDescent="0.2"/>
  <cols>
    <col min="1" max="1" width="2" customWidth="1"/>
    <col min="2" max="19" width="12.5" customWidth="1"/>
    <col min="20" max="20" width="2" customWidth="1"/>
  </cols>
  <sheetData>
    <row r="1" spans="2:19" ht="48" customHeight="1" x14ac:dyDescent="0.2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2:19" ht="19.5" customHeight="1" x14ac:dyDescent="0.2">
      <c r="B2" s="13" t="str">
        <f ca="1">"Sales transactions  |  "&amp;TEXT(Analysis!$B$12,"dd mmm yyyy")&amp;" to "&amp;TEXT(Analysis!$B$13,"dd mmm yyyy")&amp;"  |  "&amp;Analysis!$B$36&amp;" transactions  |  Last refreshed "&amp;TEXT(NOW(),"dd mmm yyyy hh:mm:ss")</f>
        <v>Sales transactions  |  01 Jan 2023 to 01 Jan 2024  |  1000 transactions  |  Last refreshed 24 Oct 2026 15:53:40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4" spans="2:19" ht="21.75" customHeight="1" x14ac:dyDescent="0.2">
      <c r="B4" s="12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2:19" ht="18" customHeight="1" x14ac:dyDescent="0.2">
      <c r="B5" s="11" t="s">
        <v>2</v>
      </c>
      <c r="C5" s="11"/>
      <c r="D5" s="11"/>
      <c r="E5" s="10" t="s">
        <v>3</v>
      </c>
      <c r="F5" s="10"/>
      <c r="G5" s="10"/>
      <c r="H5" s="9" t="s">
        <v>4</v>
      </c>
      <c r="I5" s="9"/>
      <c r="J5" s="9"/>
      <c r="K5" s="8" t="s">
        <v>5</v>
      </c>
      <c r="L5" s="8"/>
      <c r="M5" s="8"/>
      <c r="N5" s="7" t="s">
        <v>6</v>
      </c>
      <c r="O5" s="7"/>
      <c r="P5" s="7"/>
      <c r="Q5" s="6" t="s">
        <v>7</v>
      </c>
      <c r="R5" s="6"/>
      <c r="S5" s="6"/>
    </row>
    <row r="6" spans="2:19" ht="39.75" customHeight="1" x14ac:dyDescent="0.2">
      <c r="B6" s="5">
        <f>Analysis!$B$35</f>
        <v>5019265.2300000023</v>
      </c>
      <c r="C6" s="5"/>
      <c r="D6" s="5"/>
      <c r="E6" s="4">
        <f>Analysis!$B$36</f>
        <v>1000</v>
      </c>
      <c r="F6" s="4"/>
      <c r="G6" s="4"/>
      <c r="H6" s="4">
        <f>Analysis!$B$37</f>
        <v>25355</v>
      </c>
      <c r="I6" s="4"/>
      <c r="J6" s="4"/>
      <c r="K6" s="5">
        <f>Analysis!$B$38</f>
        <v>5019.2652300000027</v>
      </c>
      <c r="L6" s="5"/>
      <c r="M6" s="5"/>
      <c r="N6" s="3">
        <f>Analysis!$B$40</f>
        <v>0.15239000000000005</v>
      </c>
      <c r="O6" s="3"/>
      <c r="P6" s="3"/>
      <c r="Q6" s="2">
        <f>Analysis!$B$46</f>
        <v>-6.9629528317998082E-2</v>
      </c>
      <c r="R6" s="2"/>
      <c r="S6" s="2"/>
    </row>
    <row r="7" spans="2:19" ht="19.5" customHeight="1" x14ac:dyDescent="0.2">
      <c r="B7" s="1" t="str">
        <f>IF(H51&gt;=0,"▲ ","▼ ")&amp;TEXT(ABS(H51),"0.0%")&amp;" vs target"</f>
        <v>▼ 8.7% vs target</v>
      </c>
      <c r="C7" s="1"/>
      <c r="D7" s="1"/>
      <c r="E7" s="1" t="str">
        <f>IF(H52&gt;=0,"▲ ","▼ ")&amp;TEXT(ABS(H52),"0.0%")&amp;" vs target"</f>
        <v>▼ 9.1% vs target</v>
      </c>
      <c r="F7" s="1"/>
      <c r="G7" s="1"/>
      <c r="H7" s="1" t="str">
        <f>TEXT(Analysis!$B$37/Analysis!$B$36,"0.0")&amp;" units per sale"</f>
        <v>25.4 units per sale</v>
      </c>
      <c r="I7" s="1"/>
      <c r="J7" s="1"/>
      <c r="K7" s="1" t="str">
        <f>IF(H53&gt;=0,"▲ ","▼ ")&amp;TEXT(ABS(H53),"0.0%")&amp;" vs target"</f>
        <v>▲ 0.4% vs target</v>
      </c>
      <c r="L7" s="1"/>
      <c r="M7" s="1"/>
      <c r="N7" s="1" t="str">
        <f>"Break-even: "&amp;TEXT(Analysis!$B$49,"0.0%")</f>
        <v>Break-even: 9.2%</v>
      </c>
      <c r="O7" s="1"/>
      <c r="P7" s="1"/>
      <c r="Q7" s="1" t="str">
        <f>IF(H54&gt;=0,"▲ ","▼ ")&amp;TEXT(ABS(H54)*100,"0.0")&amp;" pts vs target"</f>
        <v>▼ 12.0 pts vs target</v>
      </c>
      <c r="R7" s="1"/>
      <c r="S7" s="1"/>
    </row>
    <row r="9" spans="2:19" ht="21.75" customHeight="1" x14ac:dyDescent="0.2">
      <c r="B9" s="12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2:19" x14ac:dyDescent="0.2">
      <c r="B10" s="126" t="s">
        <v>9</v>
      </c>
      <c r="C10" s="126"/>
      <c r="D10" s="126"/>
      <c r="E10" s="126" t="s">
        <v>10</v>
      </c>
      <c r="F10" s="126"/>
      <c r="G10" s="126"/>
      <c r="H10" s="126" t="s">
        <v>11</v>
      </c>
      <c r="I10" s="126"/>
      <c r="J10" s="126"/>
      <c r="K10" s="126" t="s">
        <v>12</v>
      </c>
      <c r="L10" s="126"/>
      <c r="M10" s="126"/>
      <c r="N10" s="126" t="s">
        <v>13</v>
      </c>
      <c r="O10" s="126"/>
      <c r="P10" s="126"/>
      <c r="Q10" s="126" t="s">
        <v>14</v>
      </c>
      <c r="R10" s="126"/>
      <c r="S10" s="126"/>
    </row>
    <row r="11" spans="2:19" ht="24" customHeight="1" x14ac:dyDescent="0.2">
      <c r="B11" s="127" t="s">
        <v>15</v>
      </c>
      <c r="C11" s="127"/>
      <c r="D11" s="127"/>
      <c r="E11" s="127" t="s">
        <v>15</v>
      </c>
      <c r="F11" s="127"/>
      <c r="G11" s="127"/>
      <c r="H11" s="127" t="s">
        <v>15</v>
      </c>
      <c r="I11" s="127"/>
      <c r="J11" s="127"/>
      <c r="K11" s="127" t="s">
        <v>15</v>
      </c>
      <c r="L11" s="127"/>
      <c r="M11" s="127"/>
      <c r="N11" s="128">
        <v>44927</v>
      </c>
      <c r="O11" s="128"/>
      <c r="P11" s="128"/>
      <c r="Q11" s="128">
        <v>45322</v>
      </c>
      <c r="R11" s="128"/>
      <c r="S11" s="128"/>
    </row>
    <row r="13" spans="2:19" x14ac:dyDescent="0.2">
      <c r="B13" s="129" t="s">
        <v>16</v>
      </c>
      <c r="C13" s="129"/>
      <c r="D13" s="129"/>
      <c r="E13" s="129" t="s">
        <v>3</v>
      </c>
      <c r="F13" s="129"/>
      <c r="G13" s="129"/>
      <c r="H13" s="129" t="s">
        <v>17</v>
      </c>
      <c r="I13" s="129"/>
      <c r="J13" s="129"/>
      <c r="K13" s="129" t="s">
        <v>6</v>
      </c>
      <c r="L13" s="129"/>
      <c r="M13" s="129"/>
      <c r="N13" s="129" t="s">
        <v>7</v>
      </c>
      <c r="O13" s="129"/>
      <c r="P13" s="129"/>
      <c r="Q13" s="129" t="s">
        <v>18</v>
      </c>
      <c r="R13" s="129"/>
      <c r="S13" s="129"/>
    </row>
    <row r="14" spans="2:19" ht="25.5" customHeight="1" x14ac:dyDescent="0.2">
      <c r="B14" s="130">
        <f>Calc!B66</f>
        <v>5019265.2300000023</v>
      </c>
      <c r="C14" s="130"/>
      <c r="D14" s="130"/>
      <c r="E14" s="131">
        <f>Calc!B67</f>
        <v>1000</v>
      </c>
      <c r="F14" s="131"/>
      <c r="G14" s="131"/>
      <c r="H14" s="131">
        <f>Calc!B68</f>
        <v>25355</v>
      </c>
      <c r="I14" s="131"/>
      <c r="J14" s="131"/>
      <c r="K14" s="132">
        <f>Calc!B69</f>
        <v>0.15239000000000005</v>
      </c>
      <c r="L14" s="132"/>
      <c r="M14" s="132"/>
      <c r="N14" s="133">
        <f>Calc!B70</f>
        <v>-6.9629528317996681E-2</v>
      </c>
      <c r="O14" s="133"/>
      <c r="P14" s="133"/>
      <c r="Q14" s="134" t="str">
        <f>Calc!B72</f>
        <v>Full dataset (no filters)</v>
      </c>
      <c r="R14" s="134"/>
      <c r="S14" s="134"/>
    </row>
    <row r="16" spans="2:19" ht="21.75" customHeight="1" x14ac:dyDescent="0.2">
      <c r="B16" s="12" t="s">
        <v>19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2:19" x14ac:dyDescent="0.2">
      <c r="B17" s="135" t="s">
        <v>20</v>
      </c>
      <c r="C17" s="135"/>
      <c r="D17" s="135"/>
      <c r="E17" s="135"/>
      <c r="F17" s="135"/>
      <c r="G17" s="135"/>
      <c r="H17" s="135"/>
      <c r="I17" s="135"/>
      <c r="J17" s="135"/>
      <c r="K17" s="135" t="s">
        <v>21</v>
      </c>
      <c r="L17" s="135"/>
      <c r="M17" s="135"/>
      <c r="N17" s="135"/>
      <c r="O17" s="135"/>
      <c r="P17" s="135"/>
      <c r="Q17" s="135"/>
      <c r="R17" s="135"/>
      <c r="S17" s="135"/>
    </row>
    <row r="33" spans="2:19" x14ac:dyDescent="0.2">
      <c r="B33" s="135" t="s">
        <v>22</v>
      </c>
      <c r="C33" s="135"/>
      <c r="D33" s="135"/>
      <c r="E33" s="135"/>
      <c r="F33" s="135"/>
      <c r="G33" s="135"/>
      <c r="H33" s="135" t="s">
        <v>23</v>
      </c>
      <c r="I33" s="135"/>
      <c r="J33" s="135"/>
      <c r="K33" s="135"/>
      <c r="L33" s="135"/>
      <c r="M33" s="135"/>
      <c r="N33" s="135" t="s">
        <v>24</v>
      </c>
      <c r="O33" s="135"/>
      <c r="P33" s="135"/>
      <c r="Q33" s="135"/>
      <c r="R33" s="135"/>
      <c r="S33" s="135"/>
    </row>
    <row r="49" spans="2:19" ht="21.75" customHeight="1" x14ac:dyDescent="0.2">
      <c r="B49" s="12" t="s">
        <v>25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2:19" x14ac:dyDescent="0.2">
      <c r="B50" s="136" t="s">
        <v>26</v>
      </c>
      <c r="C50" s="136"/>
      <c r="D50" s="136" t="s">
        <v>27</v>
      </c>
      <c r="E50" s="136"/>
      <c r="F50" s="136" t="s">
        <v>28</v>
      </c>
      <c r="G50" s="136"/>
      <c r="H50" s="20" t="s">
        <v>29</v>
      </c>
      <c r="I50" s="136" t="s">
        <v>30</v>
      </c>
      <c r="J50" s="136"/>
      <c r="K50" s="20" t="s">
        <v>31</v>
      </c>
      <c r="L50" s="136" t="s">
        <v>32</v>
      </c>
      <c r="M50" s="136"/>
      <c r="N50" s="136"/>
      <c r="O50" s="136" t="s">
        <v>33</v>
      </c>
      <c r="P50" s="136"/>
      <c r="Q50" s="136" t="s">
        <v>34</v>
      </c>
      <c r="R50" s="136"/>
      <c r="S50" s="136"/>
    </row>
    <row r="51" spans="2:19" ht="24" customHeight="1" x14ac:dyDescent="0.2">
      <c r="B51" s="137" t="s">
        <v>35</v>
      </c>
      <c r="C51" s="137"/>
      <c r="D51" s="138">
        <f>Analysis!$B$35</f>
        <v>5019265.2300000023</v>
      </c>
      <c r="E51" s="138"/>
      <c r="F51" s="139">
        <v>5500000</v>
      </c>
      <c r="G51" s="139"/>
      <c r="H51" s="21">
        <f>D51/F51-1</f>
        <v>-8.7406321818181421E-2</v>
      </c>
      <c r="I51" s="140" t="str">
        <f>IF(H51&gt;=0,"On target",IF(H51&gt;=-0.1,"Watch","Behind"))</f>
        <v>Watch</v>
      </c>
      <c r="J51" s="140"/>
      <c r="K51" s="22">
        <f>Performance!L4</f>
        <v>1</v>
      </c>
      <c r="L51" s="141" t="str">
        <f>Performance!M4</f>
        <v>South-David</v>
      </c>
      <c r="M51" s="141"/>
      <c r="N51" s="141"/>
      <c r="O51" s="142">
        <f>Performance!N4</f>
        <v>311416.99000000005</v>
      </c>
      <c r="P51" s="142"/>
      <c r="Q51" s="143">
        <f>Performance!O4</f>
        <v>6.2044338310450274E-2</v>
      </c>
      <c r="R51" s="143"/>
      <c r="S51" s="143"/>
    </row>
    <row r="52" spans="2:19" ht="24" customHeight="1" x14ac:dyDescent="0.2">
      <c r="B52" s="144" t="s">
        <v>36</v>
      </c>
      <c r="C52" s="144"/>
      <c r="D52" s="145">
        <f>Analysis!$B$36</f>
        <v>1000</v>
      </c>
      <c r="E52" s="145"/>
      <c r="F52" s="146">
        <v>1100</v>
      </c>
      <c r="G52" s="146"/>
      <c r="H52" s="23">
        <f>D52/F52-1</f>
        <v>-9.0909090909090939E-2</v>
      </c>
      <c r="I52" s="147" t="str">
        <f>IF(H52&gt;=0,"On target",IF(H52&gt;=-0.1,"Watch","Behind"))</f>
        <v>Watch</v>
      </c>
      <c r="J52" s="147"/>
      <c r="K52" s="24">
        <f>Performance!L5</f>
        <v>2</v>
      </c>
      <c r="L52" s="148" t="str">
        <f>Performance!M5</f>
        <v>East-Bob</v>
      </c>
      <c r="M52" s="148"/>
      <c r="N52" s="148"/>
      <c r="O52" s="149">
        <f>Performance!N5</f>
        <v>309876.11</v>
      </c>
      <c r="P52" s="149"/>
      <c r="Q52" s="150">
        <f>Performance!O5</f>
        <v>6.1737345169145398E-2</v>
      </c>
      <c r="R52" s="150"/>
      <c r="S52" s="150"/>
    </row>
    <row r="53" spans="2:19" ht="24" customHeight="1" x14ac:dyDescent="0.2">
      <c r="B53" s="137" t="s">
        <v>37</v>
      </c>
      <c r="C53" s="137"/>
      <c r="D53" s="138">
        <f>Analysis!$B$38</f>
        <v>5019.2652300000027</v>
      </c>
      <c r="E53" s="138"/>
      <c r="F53" s="139">
        <v>5000</v>
      </c>
      <c r="G53" s="139"/>
      <c r="H53" s="21">
        <f>D53/F53-1</f>
        <v>3.8530460000005817E-3</v>
      </c>
      <c r="I53" s="140" t="str">
        <f>IF(H53&gt;=0,"On target",IF(H53&gt;=-0.1,"Watch","Behind"))</f>
        <v>On target</v>
      </c>
      <c r="J53" s="140"/>
      <c r="K53" s="22">
        <f>Performance!L6</f>
        <v>3</v>
      </c>
      <c r="L53" s="141" t="str">
        <f>Performance!M6</f>
        <v>North-Eve</v>
      </c>
      <c r="M53" s="141"/>
      <c r="N53" s="141"/>
      <c r="O53" s="142">
        <f>Performance!N6</f>
        <v>304172.2</v>
      </c>
      <c r="P53" s="142"/>
      <c r="Q53" s="143">
        <f>Performance!O6</f>
        <v>6.0600941783664215E-2</v>
      </c>
      <c r="R53" s="143"/>
      <c r="S53" s="143"/>
    </row>
    <row r="54" spans="2:19" ht="24" customHeight="1" x14ac:dyDescent="0.2">
      <c r="B54" s="144" t="s">
        <v>38</v>
      </c>
      <c r="C54" s="144"/>
      <c r="D54" s="151">
        <f>Analysis!$B$46</f>
        <v>-6.9629528317998082E-2</v>
      </c>
      <c r="E54" s="151"/>
      <c r="F54" s="152">
        <v>0.05</v>
      </c>
      <c r="G54" s="152"/>
      <c r="H54" s="23">
        <f>D54-F54</f>
        <v>-0.11962952831799809</v>
      </c>
      <c r="I54" s="147" t="str">
        <f>IF(H54&gt;=0,"On target",IF(H54&gt;=-0.1,"Watch","Behind"))</f>
        <v>Behind</v>
      </c>
      <c r="J54" s="147"/>
      <c r="K54" s="24">
        <f>Performance!L7</f>
        <v>4</v>
      </c>
      <c r="L54" s="148" t="str">
        <f>Performance!M7</f>
        <v>North-Charlie</v>
      </c>
      <c r="M54" s="148"/>
      <c r="N54" s="148"/>
      <c r="O54" s="149">
        <f>Performance!N7</f>
        <v>299789.01</v>
      </c>
      <c r="P54" s="149"/>
      <c r="Q54" s="150">
        <f>Performance!O7</f>
        <v>5.9727668545620963E-2</v>
      </c>
      <c r="R54" s="150"/>
      <c r="S54" s="150"/>
    </row>
    <row r="55" spans="2:19" ht="24" customHeight="1" x14ac:dyDescent="0.2">
      <c r="B55" s="137" t="s">
        <v>39</v>
      </c>
      <c r="C55" s="137"/>
      <c r="D55" s="143">
        <f>Analysis!$B$51</f>
        <v>0.60399999999999998</v>
      </c>
      <c r="E55" s="143"/>
      <c r="F55" s="153">
        <v>0.25</v>
      </c>
      <c r="G55" s="153"/>
      <c r="H55" s="21">
        <f>F55-D55</f>
        <v>-0.35399999999999998</v>
      </c>
      <c r="I55" s="140" t="str">
        <f>IF(H55&gt;=0,"On target",IF(H55&gt;=-0.1,"Watch","Behind"))</f>
        <v>Behind</v>
      </c>
      <c r="J55" s="140"/>
      <c r="K55" s="22">
        <f>Performance!L8</f>
        <v>5</v>
      </c>
      <c r="L55" s="141" t="str">
        <f>Performance!M8</f>
        <v>West-Bob</v>
      </c>
      <c r="M55" s="141"/>
      <c r="N55" s="141"/>
      <c r="O55" s="142">
        <f>Performance!N8</f>
        <v>286449.27999999997</v>
      </c>
      <c r="P55" s="142"/>
      <c r="Q55" s="143">
        <f>Performance!O8</f>
        <v>5.7069962808082159E-2</v>
      </c>
      <c r="R55" s="143"/>
      <c r="S55" s="143"/>
    </row>
    <row r="56" spans="2:19" x14ac:dyDescent="0.2">
      <c r="B56" s="16" t="s">
        <v>40</v>
      </c>
      <c r="K56" s="24">
        <f>Performance!L9</f>
        <v>6</v>
      </c>
      <c r="L56" s="148" t="str">
        <f>Performance!M9</f>
        <v>East-David</v>
      </c>
      <c r="M56" s="148"/>
      <c r="N56" s="148"/>
      <c r="O56" s="149">
        <f>Performance!N9</f>
        <v>284613.51</v>
      </c>
      <c r="P56" s="149"/>
      <c r="Q56" s="150">
        <f>Performance!O9</f>
        <v>5.6704218039499772E-2</v>
      </c>
      <c r="R56" s="150"/>
      <c r="S56" s="150"/>
    </row>
    <row r="57" spans="2:19" x14ac:dyDescent="0.2">
      <c r="B57" s="25" t="s">
        <v>41</v>
      </c>
      <c r="K57" s="22">
        <f>Performance!L10</f>
        <v>7</v>
      </c>
      <c r="L57" s="141" t="str">
        <f>Performance!M10</f>
        <v>North-David</v>
      </c>
      <c r="M57" s="141"/>
      <c r="N57" s="141"/>
      <c r="O57" s="142">
        <f>Performance!N10</f>
        <v>282539.27</v>
      </c>
      <c r="P57" s="142"/>
      <c r="Q57" s="143">
        <f>Performance!O10</f>
        <v>5.6290962332747656E-2</v>
      </c>
      <c r="R57" s="143"/>
      <c r="S57" s="143"/>
    </row>
    <row r="58" spans="2:19" x14ac:dyDescent="0.2">
      <c r="B58" s="154" t="s">
        <v>42</v>
      </c>
      <c r="C58" s="154"/>
      <c r="D58" s="155">
        <f>COUNTIF(Performance!$I$4:$I$23,"High-Value")</f>
        <v>4</v>
      </c>
      <c r="E58" s="155"/>
      <c r="F58" s="156">
        <f>SUMIF(Performance!$I$4:$I$23,"High-Value",Performance!$D$4:$D$23)</f>
        <v>1225254.31</v>
      </c>
      <c r="G58" s="156"/>
      <c r="H58" s="157">
        <f>F58/Analysis!$B$35</f>
        <v>0.24411029380888077</v>
      </c>
      <c r="I58" s="157"/>
      <c r="J58" s="157"/>
      <c r="K58" s="24">
        <f>Performance!L11</f>
        <v>8</v>
      </c>
      <c r="L58" s="148" t="str">
        <f>Performance!M11</f>
        <v>West-David</v>
      </c>
      <c r="M58" s="148"/>
      <c r="N58" s="148"/>
      <c r="O58" s="149">
        <f>Performance!N11</f>
        <v>263167.58999999997</v>
      </c>
      <c r="P58" s="149"/>
      <c r="Q58" s="150">
        <f>Performance!O11</f>
        <v>5.2431497030094171E-2</v>
      </c>
      <c r="R58" s="150"/>
      <c r="S58" s="150"/>
    </row>
    <row r="59" spans="2:19" x14ac:dyDescent="0.2">
      <c r="B59" s="154" t="s">
        <v>43</v>
      </c>
      <c r="C59" s="154"/>
      <c r="D59" s="155">
        <f>COUNTIF(Performance!$I$4:$I$23,"Mid")</f>
        <v>6</v>
      </c>
      <c r="E59" s="155"/>
      <c r="F59" s="156">
        <f>SUMIF(Performance!$I$4:$I$23,"Mid",Performance!$D$4:$D$23)</f>
        <v>1628759.5500000003</v>
      </c>
      <c r="G59" s="156"/>
      <c r="H59" s="157">
        <f>F59/Analysis!$B$35</f>
        <v>0.32450159044494237</v>
      </c>
      <c r="I59" s="157"/>
      <c r="J59" s="157"/>
      <c r="K59" s="22">
        <f>Performance!L12</f>
        <v>9</v>
      </c>
      <c r="L59" s="141" t="str">
        <f>Performance!M12</f>
        <v>East-Alice</v>
      </c>
      <c r="M59" s="141"/>
      <c r="N59" s="141"/>
      <c r="O59" s="142">
        <f>Performance!N12</f>
        <v>260789.46999999994</v>
      </c>
      <c r="P59" s="142"/>
      <c r="Q59" s="143">
        <f>Performance!O12</f>
        <v>5.1957698597250641E-2</v>
      </c>
      <c r="R59" s="143"/>
      <c r="S59" s="143"/>
    </row>
    <row r="60" spans="2:19" x14ac:dyDescent="0.2">
      <c r="B60" s="154" t="s">
        <v>44</v>
      </c>
      <c r="C60" s="154"/>
      <c r="D60" s="155">
        <f>COUNTIF(Performance!$I$4:$I$23,"Low")</f>
        <v>10</v>
      </c>
      <c r="E60" s="155"/>
      <c r="F60" s="156">
        <f>SUMIF(Performance!$I$4:$I$23,"Low",Performance!$D$4:$D$23)</f>
        <v>2165251.37</v>
      </c>
      <c r="G60" s="156"/>
      <c r="H60" s="157">
        <f>F60/Analysis!$B$35</f>
        <v>0.43138811574617647</v>
      </c>
      <c r="I60" s="157"/>
      <c r="J60" s="157"/>
      <c r="K60" s="24">
        <f>Performance!L13</f>
        <v>10</v>
      </c>
      <c r="L60" s="148" t="str">
        <f>Performance!M13</f>
        <v>South-Bob</v>
      </c>
      <c r="M60" s="148"/>
      <c r="N60" s="148"/>
      <c r="O60" s="149">
        <f>Performance!N13</f>
        <v>251200.43000000008</v>
      </c>
      <c r="P60" s="149"/>
      <c r="Q60" s="150">
        <f>Performance!O13</f>
        <v>5.0047251637268045E-2</v>
      </c>
      <c r="R60" s="150"/>
      <c r="S60" s="150"/>
    </row>
    <row r="62" spans="2:19" ht="21.75" customHeight="1" x14ac:dyDescent="0.2">
      <c r="B62" s="12" t="s">
        <v>45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2:19" x14ac:dyDescent="0.2">
      <c r="B63" s="158" t="s">
        <v>21</v>
      </c>
      <c r="C63" s="158"/>
      <c r="E63" s="158" t="s">
        <v>46</v>
      </c>
      <c r="F63" s="158"/>
      <c r="H63" s="158" t="s">
        <v>47</v>
      </c>
      <c r="I63" s="158"/>
      <c r="K63" s="158" t="s">
        <v>48</v>
      </c>
      <c r="L63" s="158"/>
      <c r="N63" s="158" t="s">
        <v>49</v>
      </c>
      <c r="O63" s="158"/>
    </row>
    <row r="64" spans="2:19" x14ac:dyDescent="0.2">
      <c r="B64" t="s">
        <v>50</v>
      </c>
      <c r="E64" t="s">
        <v>50</v>
      </c>
      <c r="H64" t="s">
        <v>50</v>
      </c>
      <c r="K64" t="s">
        <v>50</v>
      </c>
      <c r="N64" t="s">
        <v>50</v>
      </c>
    </row>
    <row r="65" spans="2:15" x14ac:dyDescent="0.2">
      <c r="B65" s="26" t="s">
        <v>51</v>
      </c>
      <c r="C65" s="27" t="s">
        <v>52</v>
      </c>
      <c r="E65" s="26" t="s">
        <v>53</v>
      </c>
      <c r="F65" s="27" t="s">
        <v>52</v>
      </c>
      <c r="H65" s="26" t="s">
        <v>53</v>
      </c>
      <c r="I65" s="27" t="s">
        <v>52</v>
      </c>
      <c r="K65" s="26" t="s">
        <v>53</v>
      </c>
      <c r="L65" s="27" t="s">
        <v>52</v>
      </c>
      <c r="N65" s="26" t="s">
        <v>53</v>
      </c>
      <c r="O65" s="27" t="s">
        <v>52</v>
      </c>
    </row>
    <row r="66" spans="2:15" x14ac:dyDescent="0.2">
      <c r="B66" s="26" t="s">
        <v>54</v>
      </c>
      <c r="C66" s="27" t="s">
        <v>52</v>
      </c>
      <c r="E66" s="26" t="s">
        <v>54</v>
      </c>
      <c r="F66" s="27" t="s">
        <v>52</v>
      </c>
      <c r="H66" s="26" t="s">
        <v>51</v>
      </c>
      <c r="I66" s="27" t="s">
        <v>52</v>
      </c>
      <c r="K66" s="26" t="s">
        <v>51</v>
      </c>
      <c r="L66" s="27" t="s">
        <v>52</v>
      </c>
      <c r="N66" s="26" t="s">
        <v>51</v>
      </c>
      <c r="O66" s="27" t="s">
        <v>52</v>
      </c>
    </row>
    <row r="68" spans="2:15" x14ac:dyDescent="0.2">
      <c r="B68" s="28" t="s">
        <v>53</v>
      </c>
      <c r="C68" s="29" t="s">
        <v>55</v>
      </c>
      <c r="E68" s="28" t="s">
        <v>51</v>
      </c>
      <c r="F68" s="29" t="s">
        <v>55</v>
      </c>
      <c r="H68" s="28" t="s">
        <v>56</v>
      </c>
      <c r="I68" s="29" t="s">
        <v>55</v>
      </c>
      <c r="K68" s="28" t="s">
        <v>57</v>
      </c>
      <c r="L68" s="29" t="s">
        <v>55</v>
      </c>
      <c r="N68" s="28" t="s">
        <v>58</v>
      </c>
      <c r="O68" s="29" t="s">
        <v>55</v>
      </c>
    </row>
    <row r="69" spans="2:15" x14ac:dyDescent="0.2">
      <c r="B69" s="30" t="s">
        <v>59</v>
      </c>
      <c r="C69" s="31">
        <v>1259792.93</v>
      </c>
      <c r="E69" s="30" t="s">
        <v>60</v>
      </c>
      <c r="F69" s="31">
        <v>1313474.3600000001</v>
      </c>
      <c r="H69" s="30" t="s">
        <v>61</v>
      </c>
      <c r="I69" s="31">
        <v>965541.77000000095</v>
      </c>
      <c r="K69" s="30" t="s">
        <v>62</v>
      </c>
      <c r="L69" s="31">
        <v>476092.36</v>
      </c>
      <c r="N69" s="30" t="s">
        <v>63</v>
      </c>
      <c r="O69" s="31">
        <v>1717363.17</v>
      </c>
    </row>
    <row r="70" spans="2:15" x14ac:dyDescent="0.2">
      <c r="B70" s="32" t="s">
        <v>64</v>
      </c>
      <c r="C70" s="33">
        <v>1369612.51</v>
      </c>
      <c r="E70" s="32" t="s">
        <v>65</v>
      </c>
      <c r="F70" s="33">
        <v>1243499.6399999999</v>
      </c>
      <c r="H70" s="32" t="s">
        <v>66</v>
      </c>
      <c r="I70" s="33">
        <v>1080990.6299999999</v>
      </c>
      <c r="K70" s="32" t="s">
        <v>67</v>
      </c>
      <c r="L70" s="33">
        <v>368919.36</v>
      </c>
      <c r="N70" s="32" t="s">
        <v>68</v>
      </c>
      <c r="O70" s="33">
        <v>1544338.54</v>
      </c>
    </row>
    <row r="71" spans="2:15" x14ac:dyDescent="0.2">
      <c r="B71" s="32" t="s">
        <v>69</v>
      </c>
      <c r="C71" s="33">
        <v>1154250.8600000001</v>
      </c>
      <c r="E71" s="32" t="s">
        <v>70</v>
      </c>
      <c r="F71" s="33">
        <v>1201773.54</v>
      </c>
      <c r="H71" s="32" t="s">
        <v>71</v>
      </c>
      <c r="I71" s="33">
        <v>860811.48</v>
      </c>
      <c r="K71" s="32" t="s">
        <v>72</v>
      </c>
      <c r="L71" s="33">
        <v>402638.77</v>
      </c>
      <c r="N71" s="32" t="s">
        <v>73</v>
      </c>
      <c r="O71" s="34">
        <v>1757563.52</v>
      </c>
    </row>
    <row r="72" spans="2:15" x14ac:dyDescent="0.2">
      <c r="B72" s="32" t="s">
        <v>74</v>
      </c>
      <c r="C72" s="34">
        <v>1235608.93</v>
      </c>
      <c r="E72" s="32" t="s">
        <v>75</v>
      </c>
      <c r="F72" s="34">
        <v>1260517.69</v>
      </c>
      <c r="H72" s="32" t="s">
        <v>76</v>
      </c>
      <c r="I72" s="33">
        <v>1141737.3600000001</v>
      </c>
      <c r="K72" s="32" t="s">
        <v>77</v>
      </c>
      <c r="L72" s="33">
        <v>438992.61</v>
      </c>
      <c r="N72" s="35" t="s">
        <v>78</v>
      </c>
      <c r="O72" s="36">
        <v>5019265.2300000004</v>
      </c>
    </row>
    <row r="73" spans="2:15" x14ac:dyDescent="0.2">
      <c r="B73" s="35" t="s">
        <v>78</v>
      </c>
      <c r="C73" s="36">
        <v>5019265.2300000004</v>
      </c>
      <c r="E73" s="35" t="s">
        <v>78</v>
      </c>
      <c r="F73" s="36">
        <v>5019265.2300000004</v>
      </c>
      <c r="H73" s="32" t="s">
        <v>79</v>
      </c>
      <c r="I73" s="34">
        <v>970183.99</v>
      </c>
      <c r="K73" s="32" t="s">
        <v>80</v>
      </c>
      <c r="L73" s="33">
        <v>389078.76</v>
      </c>
    </row>
    <row r="74" spans="2:15" x14ac:dyDescent="0.2">
      <c r="H74" s="35" t="s">
        <v>78</v>
      </c>
      <c r="I74" s="36">
        <v>5019265.2300000004</v>
      </c>
      <c r="K74" s="32" t="s">
        <v>81</v>
      </c>
      <c r="L74" s="33">
        <v>418458.34</v>
      </c>
    </row>
    <row r="75" spans="2:15" x14ac:dyDescent="0.2">
      <c r="K75" s="32" t="s">
        <v>82</v>
      </c>
      <c r="L75" s="33">
        <v>374242.88</v>
      </c>
    </row>
    <row r="76" spans="2:15" x14ac:dyDescent="0.2">
      <c r="K76" s="32" t="s">
        <v>83</v>
      </c>
      <c r="L76" s="33">
        <v>443171.28</v>
      </c>
    </row>
    <row r="77" spans="2:15" x14ac:dyDescent="0.2">
      <c r="K77" s="32" t="s">
        <v>84</v>
      </c>
      <c r="L77" s="33">
        <v>367837.6</v>
      </c>
    </row>
    <row r="78" spans="2:15" x14ac:dyDescent="0.2">
      <c r="K78" s="32" t="s">
        <v>85</v>
      </c>
      <c r="L78" s="33">
        <v>460378.78</v>
      </c>
    </row>
    <row r="79" spans="2:15" x14ac:dyDescent="0.2">
      <c r="K79" s="32" t="s">
        <v>86</v>
      </c>
      <c r="L79" s="33">
        <v>467482.9</v>
      </c>
    </row>
    <row r="80" spans="2:15" x14ac:dyDescent="0.2">
      <c r="K80" s="32" t="s">
        <v>87</v>
      </c>
      <c r="L80" s="33">
        <v>392643.58</v>
      </c>
    </row>
    <row r="81" spans="2:19" x14ac:dyDescent="0.2">
      <c r="K81" s="32" t="s">
        <v>88</v>
      </c>
      <c r="L81" s="34">
        <v>19328.009999999998</v>
      </c>
    </row>
    <row r="82" spans="2:19" x14ac:dyDescent="0.2">
      <c r="K82" s="35" t="s">
        <v>78</v>
      </c>
      <c r="L82" s="36">
        <v>5019265.2300000004</v>
      </c>
    </row>
    <row r="83" spans="2:19" x14ac:dyDescent="0.2">
      <c r="B83" s="135" t="s">
        <v>89</v>
      </c>
      <c r="C83" s="135"/>
      <c r="D83" s="135"/>
      <c r="E83" s="135"/>
      <c r="F83" s="135"/>
      <c r="G83" s="135"/>
      <c r="H83" s="135" t="s">
        <v>90</v>
      </c>
      <c r="I83" s="135"/>
      <c r="J83" s="135"/>
      <c r="K83" s="135"/>
      <c r="L83" s="135"/>
      <c r="M83" s="135"/>
      <c r="N83" s="135" t="s">
        <v>91</v>
      </c>
      <c r="O83" s="135"/>
      <c r="P83" s="135"/>
      <c r="Q83" s="135"/>
      <c r="R83" s="135"/>
      <c r="S83" s="135"/>
    </row>
    <row r="100" spans="2:2" x14ac:dyDescent="0.2">
      <c r="B100" s="16" t="s">
        <v>92</v>
      </c>
    </row>
  </sheetData>
  <mergeCells count="131">
    <mergeCell ref="B62:S62"/>
    <mergeCell ref="B63:C63"/>
    <mergeCell ref="E63:F63"/>
    <mergeCell ref="H63:I63"/>
    <mergeCell ref="K63:L63"/>
    <mergeCell ref="N63:O63"/>
    <mergeCell ref="B83:G83"/>
    <mergeCell ref="H83:M83"/>
    <mergeCell ref="N83:S83"/>
    <mergeCell ref="B59:C59"/>
    <mergeCell ref="D59:E59"/>
    <mergeCell ref="F59:G59"/>
    <mergeCell ref="H59:J59"/>
    <mergeCell ref="L59:N59"/>
    <mergeCell ref="O59:P59"/>
    <mergeCell ref="Q59:S59"/>
    <mergeCell ref="B60:C60"/>
    <mergeCell ref="D60:E60"/>
    <mergeCell ref="F60:G60"/>
    <mergeCell ref="H60:J60"/>
    <mergeCell ref="L60:N60"/>
    <mergeCell ref="O60:P60"/>
    <mergeCell ref="Q60:S60"/>
    <mergeCell ref="L57:N57"/>
    <mergeCell ref="O57:P57"/>
    <mergeCell ref="Q57:S57"/>
    <mergeCell ref="B58:C58"/>
    <mergeCell ref="D58:E58"/>
    <mergeCell ref="F58:G58"/>
    <mergeCell ref="H58:J58"/>
    <mergeCell ref="L58:N58"/>
    <mergeCell ref="O58:P58"/>
    <mergeCell ref="Q58:S58"/>
    <mergeCell ref="B55:C55"/>
    <mergeCell ref="D55:E55"/>
    <mergeCell ref="F55:G55"/>
    <mergeCell ref="I55:J55"/>
    <mergeCell ref="L55:N55"/>
    <mergeCell ref="O55:P55"/>
    <mergeCell ref="Q55:S55"/>
    <mergeCell ref="L56:N56"/>
    <mergeCell ref="O56:P56"/>
    <mergeCell ref="Q56:S56"/>
    <mergeCell ref="B53:C53"/>
    <mergeCell ref="D53:E53"/>
    <mergeCell ref="F53:G53"/>
    <mergeCell ref="I53:J53"/>
    <mergeCell ref="L53:N53"/>
    <mergeCell ref="O53:P53"/>
    <mergeCell ref="Q53:S53"/>
    <mergeCell ref="B54:C54"/>
    <mergeCell ref="D54:E54"/>
    <mergeCell ref="F54:G54"/>
    <mergeCell ref="I54:J54"/>
    <mergeCell ref="L54:N54"/>
    <mergeCell ref="O54:P54"/>
    <mergeCell ref="Q54:S54"/>
    <mergeCell ref="B51:C51"/>
    <mergeCell ref="D51:E51"/>
    <mergeCell ref="F51:G51"/>
    <mergeCell ref="I51:J51"/>
    <mergeCell ref="L51:N51"/>
    <mergeCell ref="O51:P51"/>
    <mergeCell ref="Q51:S51"/>
    <mergeCell ref="B52:C52"/>
    <mergeCell ref="D52:E52"/>
    <mergeCell ref="F52:G52"/>
    <mergeCell ref="I52:J52"/>
    <mergeCell ref="L52:N52"/>
    <mergeCell ref="O52:P52"/>
    <mergeCell ref="Q52:S52"/>
    <mergeCell ref="B16:S16"/>
    <mergeCell ref="B17:J17"/>
    <mergeCell ref="K17:S17"/>
    <mergeCell ref="B33:G33"/>
    <mergeCell ref="H33:M33"/>
    <mergeCell ref="N33:S33"/>
    <mergeCell ref="B49:S49"/>
    <mergeCell ref="B50:C50"/>
    <mergeCell ref="D50:E50"/>
    <mergeCell ref="F50:G50"/>
    <mergeCell ref="I50:J50"/>
    <mergeCell ref="L50:N50"/>
    <mergeCell ref="O50:P50"/>
    <mergeCell ref="Q50:S50"/>
    <mergeCell ref="B13:D13"/>
    <mergeCell ref="E13:G13"/>
    <mergeCell ref="H13:J13"/>
    <mergeCell ref="K13:M13"/>
    <mergeCell ref="N13:P13"/>
    <mergeCell ref="Q13:S13"/>
    <mergeCell ref="B14:D14"/>
    <mergeCell ref="E14:G14"/>
    <mergeCell ref="H14:J14"/>
    <mergeCell ref="K14:M14"/>
    <mergeCell ref="N14:P14"/>
    <mergeCell ref="Q14:S14"/>
    <mergeCell ref="B9:S9"/>
    <mergeCell ref="B10:D10"/>
    <mergeCell ref="E10:G10"/>
    <mergeCell ref="H10:J10"/>
    <mergeCell ref="K10:M10"/>
    <mergeCell ref="N10:P10"/>
    <mergeCell ref="Q10:S10"/>
    <mergeCell ref="B11:D11"/>
    <mergeCell ref="E11:G11"/>
    <mergeCell ref="H11:J11"/>
    <mergeCell ref="K11:M11"/>
    <mergeCell ref="N11:P11"/>
    <mergeCell ref="Q11:S11"/>
    <mergeCell ref="B6:D6"/>
    <mergeCell ref="E6:G6"/>
    <mergeCell ref="H6:J6"/>
    <mergeCell ref="K6:M6"/>
    <mergeCell ref="N6:P6"/>
    <mergeCell ref="Q6:S6"/>
    <mergeCell ref="B7:D7"/>
    <mergeCell ref="E7:G7"/>
    <mergeCell ref="H7:J7"/>
    <mergeCell ref="K7:M7"/>
    <mergeCell ref="N7:P7"/>
    <mergeCell ref="Q7:S7"/>
    <mergeCell ref="B1:S1"/>
    <mergeCell ref="B2:S2"/>
    <mergeCell ref="B4:S4"/>
    <mergeCell ref="B5:D5"/>
    <mergeCell ref="E5:G5"/>
    <mergeCell ref="H5:J5"/>
    <mergeCell ref="K5:M5"/>
    <mergeCell ref="N5:P5"/>
    <mergeCell ref="Q5:S5"/>
  </mergeCells>
  <conditionalFormatting sqref="B7">
    <cfRule type="expression" dxfId="15" priority="2">
      <formula>$H$51&gt;=0</formula>
    </cfRule>
    <cfRule type="expression" dxfId="14" priority="3">
      <formula>$H$51&lt;0</formula>
    </cfRule>
  </conditionalFormatting>
  <conditionalFormatting sqref="E7">
    <cfRule type="expression" dxfId="13" priority="4">
      <formula>$H$52&gt;=0</formula>
    </cfRule>
    <cfRule type="expression" dxfId="12" priority="5">
      <formula>$H$52&lt;0</formula>
    </cfRule>
  </conditionalFormatting>
  <conditionalFormatting sqref="H51:H55">
    <cfRule type="iconSet" priority="12">
      <iconSet iconSet="3Arrows">
        <cfvo type="num" val="-100"/>
        <cfvo type="num" val="-0.1"/>
        <cfvo type="num" val="0"/>
      </iconSet>
    </cfRule>
  </conditionalFormatting>
  <conditionalFormatting sqref="I51:J55">
    <cfRule type="expression" dxfId="11" priority="13">
      <formula>$I51="On target"</formula>
    </cfRule>
    <cfRule type="expression" dxfId="10" priority="14">
      <formula>$I51="Watch"</formula>
    </cfRule>
    <cfRule type="expression" dxfId="9" priority="15">
      <formula>$I51="Behind"</formula>
    </cfRule>
  </conditionalFormatting>
  <conditionalFormatting sqref="K7">
    <cfRule type="expression" dxfId="8" priority="6">
      <formula>$H$53&gt;=0</formula>
    </cfRule>
    <cfRule type="expression" dxfId="7" priority="7">
      <formula>$H$53&lt;0</formula>
    </cfRule>
  </conditionalFormatting>
  <conditionalFormatting sqref="N6">
    <cfRule type="cellIs" dxfId="6" priority="10" operator="lessThan">
      <formula>0</formula>
    </cfRule>
  </conditionalFormatting>
  <conditionalFormatting sqref="N14">
    <cfRule type="cellIs" dxfId="5" priority="11" operator="lessThan">
      <formula>0</formula>
    </cfRule>
  </conditionalFormatting>
  <conditionalFormatting sqref="Q7">
    <cfRule type="expression" dxfId="4" priority="8">
      <formula>$H$54&gt;=0</formula>
    </cfRule>
    <cfRule type="expression" dxfId="3" priority="9">
      <formula>$H$54&lt;0</formula>
    </cfRule>
  </conditionalFormatting>
  <conditionalFormatting sqref="Q51:Q60">
    <cfRule type="dataBar" priority="16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{BDE5F6F8-EB80-4173-A21A-5893581B7E70}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E5F6F8-EB80-4173-A21A-5893581B7E70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Q51:Q60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Calc!$A$2:$A$6</xm:f>
          </x14:formula1>
          <x14:formula2>
            <xm:f>0</xm:f>
          </x14:formula2>
          <xm:sqref>B11</xm:sqref>
        </x14:dataValidation>
        <x14:dataValidation type="list" xr:uid="{00000000-0002-0000-0100-000001000000}">
          <x14:formula1>
            <xm:f>Calc!$B$2:$B$6</xm:f>
          </x14:formula1>
          <x14:formula2>
            <xm:f>0</xm:f>
          </x14:formula2>
          <xm:sqref>E11</xm:sqref>
        </x14:dataValidation>
        <x14:dataValidation type="list" xr:uid="{00000000-0002-0000-0100-000002000000}">
          <x14:formula1>
            <xm:f>Calc!$C$2:$C$7</xm:f>
          </x14:formula1>
          <x14:formula2>
            <xm:f>0</xm:f>
          </x14:formula2>
          <xm:sqref>H11</xm:sqref>
        </x14:dataValidation>
        <x14:dataValidation type="list" xr:uid="{00000000-0002-0000-0100-000003000000}">
          <x14:formula1>
            <xm:f>Calc!$D$2:$D$4</xm:f>
          </x14:formula1>
          <x14:formula2>
            <xm:f>0</xm:f>
          </x14:formula2>
          <xm:sqref>K11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B32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25" customWidth="1"/>
  </cols>
  <sheetData>
    <row r="1" spans="2:2" ht="20" x14ac:dyDescent="0.2">
      <c r="B1" s="15" t="s">
        <v>93</v>
      </c>
    </row>
    <row r="2" spans="2:2" x14ac:dyDescent="0.2">
      <c r="B2" s="16" t="s">
        <v>94</v>
      </c>
    </row>
    <row r="4" spans="2:2" x14ac:dyDescent="0.2">
      <c r="B4" s="37" t="s">
        <v>95</v>
      </c>
    </row>
    <row r="5" spans="2:2" ht="61.5" customHeight="1" x14ac:dyDescent="0.2">
      <c r="B5" s="18" t="str">
        <f>"Sales total "&amp;TEXT(Analysis!$B$35,"$#,##0")&amp;" from "&amp;TEXT(Analysis!$B$36,"#,##0")&amp;" transactions ("&amp;TEXT(Analysis!$B$37,"#,##0")&amp;" units) between "&amp;TEXT(Analysis!$B$12,"d mmm yyyy")&amp;" and "&amp;TEXT(Analysis!$B$13,"d mmm yyyy")&amp;". The average sale is "&amp;TEXT(Analysis!$B$38,"$#,##0")&amp;" and the median "&amp;TEXT(Analysis!$B$39,"$#,##0")&amp;"; individual sales range widely (coefficient of variation "&amp;TEXT(Analysis!$B$202,"0%")&amp;"), with "&amp;Analysis!$B$203&amp;" outliers beyond two standard deviations."</f>
        <v>Sales total $50,19,265 from 1,000 transactions (25,355 units) between 1 Jan 2023 and 1 Jan 2024. The average sale is $5,019 and the median $5,019; individual sales range widely (coefficient of variation 57%), with 0 outliers beyond two standard deviations.</v>
      </c>
    </row>
    <row r="7" spans="2:2" x14ac:dyDescent="0.2">
      <c r="B7" s="37" t="s">
        <v>96</v>
      </c>
    </row>
    <row r="8" spans="2:2" ht="61.5" customHeight="1" x14ac:dyDescent="0.2">
      <c r="B8" s="18" t="str">
        <f>"Region: "&amp;Analysis!$B$61&amp;" leads with "&amp;TEXT(MAX(Analysis!$C$56:$C$59),"$#,##0")&amp;" and "&amp;Analysis!$B$62&amp;" trails with "&amp;TEXT(MIN(Analysis!$C$56:$C$59),"$#,##0")&amp;" (a "&amp;TEXT(MAX(Analysis!$C$56:$C$59)/MIN(Analysis!$C$56:$C$59)-1,"0%")&amp;" gap). Category: "&amp;Analysis!$B$71&amp;" leads ("&amp;TEXT(MAX(Analysis!$C$66:$C$69),"$#,##0")&amp;") and "&amp;Analysis!$B$72&amp;" is lowest ("&amp;TEXT(MIN(Analysis!$C$66:$C$69),"$#,##0")&amp;"). Sales are spread fairly evenly, so no single region or category carries the business."</f>
        <v>Region: North leads with $13,69,613 and South trails with $11,54,251 (a 19% gap). Category: Clothing leads ($13,13,474) and Food is lowest ($12,01,774). Sales are spread fairly evenly, so no single region or category carries the business.</v>
      </c>
    </row>
    <row r="10" spans="2:2" x14ac:dyDescent="0.2">
      <c r="B10" s="37" t="s">
        <v>97</v>
      </c>
    </row>
    <row r="11" spans="2:2" ht="61.5" customHeight="1" x14ac:dyDescent="0.2">
      <c r="B11" s="18" t="str">
        <f>"Top sales rep: "&amp;Analysis!$B$82&amp;" ("&amp;TEXT(MAX(Analysis!$C$76:$C$80),"$#,##0")&amp;"); lowest: "&amp;Analysis!$B$83&amp;" ("&amp;TEXT(MIN(Analysis!$C$76:$C$80),"$#,##0")&amp;"). The best Region-Rep combination is "&amp;Performance!M4&amp;" at "&amp;TEXT(Performance!N4,"$#,##0")&amp;"; "&amp;COUNTIF(Performance!$Q$4:$Q$23,"A")&amp;" of 20 combinations produce the first 80% of sales (Pareto class A)."</f>
        <v>Top sales rep: David ($11,41,737); lowest: Charlie ($8,60,811). The best Region-Rep combination is South-David at $3,11,417; 14 of 20 combinations produce the first 80% of sales (Pareto class A).</v>
      </c>
    </row>
    <row r="13" spans="2:2" x14ac:dyDescent="0.2">
      <c r="B13" s="37" t="s">
        <v>98</v>
      </c>
    </row>
    <row r="14" spans="2:2" ht="61.5" customHeight="1" x14ac:dyDescent="0.2">
      <c r="B14" s="18" t="str">
        <f>"Retail sells "&amp;TEXT(Analysis!C88,"$#,##0")&amp;" versus Online "&amp;TEXT(Analysis!C87,"$#,##0")&amp;"; returning customers account for "&amp;TEXT(Analysis!D96,"0.0%")&amp;" of sales and new customers "&amp;TEXT(Analysis!D95,"0.0%")&amp;". The differences are small, so channel and customer type are not performance levers on their own. Most-used payment method: "&amp;Analysis!$B$107&amp;"."</f>
        <v>Retail sells $25,60,431 versus Online $24,58,834; returning customers account for 50.1% of sales and new customers 49.9%. The differences are small, so channel and customer type are not performance levers on their own. Most-used payment method: Credit Card.</v>
      </c>
    </row>
    <row r="16" spans="2:2" x14ac:dyDescent="0.2">
      <c r="B16" s="37" t="s">
        <v>99</v>
      </c>
    </row>
    <row r="17" spans="2:2" ht="61.5" customHeight="1" x14ac:dyDescent="0.2">
      <c r="B17" s="18" t="str">
        <f>"Best full month: "&amp;INDEX(Analysis!B167:B178,MATCH(MAX(Analysis!E167:E178),Analysis!E167:E178,0))&amp;"; weakest: "&amp;INDEX(Analysis!B167:B178,MATCH(MIN(Analysis!E167:E178),Analysis!E167:E178,0))&amp;". Best weekday: "&amp;Analysis!$B$138&amp;"; weakest: "&amp;Analysis!$B$139&amp;". Strongest quarter: "&amp;Analysis!$B$149&amp;". The monthly trend slope is "&amp;TEXT('Regression Output'!$B$21,"$#,##0")&amp;" per month with Significance F "&amp;TEXT('Regression Output'!$F$14,"0.000")&amp;": "&amp;IF('Regression Output'!$F$14&lt;0.05,"a significant trend.","no statistically significant trend, sales are flat with random swings.")</f>
        <v>Best full month: Jan-23; weakest: Sep-23. Best weekday: Thursday; weakest: Saturday. Strongest quarter: 2023-Q4. The monthly trend slope is $474 per month with Significance F 0.894: no statistically significant trend, sales are flat with random swings.</v>
      </c>
    </row>
    <row r="19" spans="2:2" x14ac:dyDescent="0.2">
      <c r="B19" s="37" t="s">
        <v>100</v>
      </c>
    </row>
    <row r="20" spans="2:2" ht="61.5" customHeight="1" x14ac:dyDescent="0.2">
      <c r="B20" s="18" t="str">
        <f>"The weighted average discount is "&amp;TEXT(Analysis!$B$48,"0.0%")&amp;" against a break-even level of "&amp;TEXT(Analysis!$B$49,"0.0%")&amp;" (the discount at which net margin on a list-price basis is zero). Net margin is "&amp;TEXT(Analysis!$B$46,"0.0%")&amp;" and "&amp;TEXT(Analysis!$B$51,"0%")&amp;" of sales ("&amp;Analysis!$B$50&amp;") lose money after discount. By band, net margin is "&amp;TEXT(Analysis!H112,"0.0%")&amp;" at 0-9% discount, "&amp;TEXT(Analysis!H113,"0.0%")&amp;" at 10-19% and "&amp;TEXT(Analysis!H114,"0.0%")&amp;" at 20%+. Discount is not buying larger sales: correlation of discount with Sales_Amount is only "&amp;TEXT(Analysis!$B$204,"0.00")&amp;"."</f>
        <v>The weighted average discount is 15.1% against a break-even level of 9.2% (the discount at which net margin on a list-price basis is zero). Net margin is -7.0% and 60% of sales (604) lose money after discount. By band, net margin is 4.5% at 0-9% discount, -5.8% at 10-19% and -20.8% at 20%+. Discount is not buying larger sales: correlation of discount with Sales_Amount is only 0.02.</v>
      </c>
    </row>
    <row r="22" spans="2:2" x14ac:dyDescent="0.2">
      <c r="B22" s="37" t="s">
        <v>101</v>
      </c>
    </row>
    <row r="23" spans="2:2" ht="61.5" customHeight="1" x14ac:dyDescent="0.2">
      <c r="B23" s="18" t="str">
        <f>'Regression Output'!A90&amp;"  "&amp;'Regression Output'!A91&amp;"  "&amp;'Regression Output'!A92</f>
        <v>A) Trend: sales move $474 per month (R² 0.002, Significance F 0.894): NOT significant, so monthly sales are flat apart from random swings.  B) Drivers: Quantity, Discount and Unit_Price together explain only 0.2% of Sales_Amount (Significance F 0.483): none of these fields predicts the size of a sale.  C) Discount vs margin: every +1 percentage point of discount changes net margin by -1.14% (R² 0.223, p-value 0.0000): statistically significant.</v>
      </c>
    </row>
    <row r="25" spans="2:2" x14ac:dyDescent="0.2">
      <c r="B25" s="37" t="s">
        <v>102</v>
      </c>
    </row>
    <row r="26" spans="2:2" ht="61.5" customHeight="1" x14ac:dyDescent="0.2">
      <c r="B26" s="18" t="str">
        <f>"Projected net margin: Base "&amp;TEXT(Analysis!C222,"0.0%")&amp;"; Discount discipline "&amp;TEXT(Analysis!D222,"0.0%")&amp;" (sales "&amp;TEXT(Analysis!D219/Analysis!C219-1,"+0.0%;-0.0%")&amp;"); Growth push "&amp;TEXT(Analysis!E222,"0.0%")&amp;"; Price rise "&amp;TEXT(Analysis!F222,"0.0%")&amp;". Goal Seek: to reach a "&amp;TEXT(Analysis!$B$224,"0%")&amp;" net margin the weighted discount must fall to "&amp;TEXT(Analysis!$B$225,"0.0%")&amp;", a change of "&amp;TEXT(Analysis!$B$226*100,"0.0")&amp;" percentage points."</f>
        <v>Projected net margin: Base -7.0%; Discount discipline -1.0% (sales +2.7%); Growth push -10.9%; Price rise -1.9%. Goal Seek: to reach a 5% net margin the weighted discount must fall to 4.4%, a change of -10.7 percentage points.</v>
      </c>
    </row>
    <row r="28" spans="2:2" x14ac:dyDescent="0.2">
      <c r="B28" s="37" t="s">
        <v>103</v>
      </c>
    </row>
    <row r="29" spans="2:2" ht="61.5" customHeight="1" x14ac:dyDescent="0.2">
      <c r="B29" s="18" t="str">
        <f>"(1) Sales_Amount does not reconcile to Quantity x Unit_Price (correlation "&amp;TEXT(CORREL('Raw Data'!$O$2:$O$1001,'Raw Data'!$E$2:$E$1001),"0.00")&amp;"), so margins use the list-price basis. (2) "&amp;'Product IDs'!$P$12&amp;" of "&amp;COUNT('Product IDs'!A4:A103)&amp;" Product_IDs appear under all four categories and only "&amp;'Product IDs'!$P$9&amp;" under one, so Product_ID is not a reliable product key. (3) There is no customer identifier, so customer-level analysis is not possible. (4) January 2024 contains a single day. (5) Floating-point noise in Unit_Price was rounded to 2 decimals."</f>
        <v>(1) Sales_Amount does not reconcile to Quantity x Unit_Price (correlation -0.03), so margins use the list-price basis. (2) 71 of 100 Product_IDs appear under all four categories and only 0 under one, so Product_ID is not a reliable product key. (3) There is no customer identifier, so customer-level analysis is not possible. (4) January 2024 contains a single day. (5) Floating-point noise in Unit_Price was rounded to 2 decimals.</v>
      </c>
    </row>
    <row r="31" spans="2:2" x14ac:dyDescent="0.2">
      <c r="B31" s="37" t="s">
        <v>104</v>
      </c>
    </row>
    <row r="32" spans="2:2" ht="61.5" customHeight="1" x14ac:dyDescent="0.2">
      <c r="B32" s="18" t="str">
        <f>"(1) Cap discounts: aim for a weighted discount near "&amp;TEXT(Analysis!$B$225,"0%")&amp;" and review every deal above 20% ("&amp;COUNTIF('Raw Data'!$U$2:$U$1001,"20%+")&amp;" sales). (2) Share the practices of "&amp;Analysis!$B$82&amp;" and coach "&amp;Analysis!$B$83&amp;". (3) Lift "&amp;Analysis!$B$62&amp;" with targeted campaigns. (4) Fix master data: unique product keys, a customer ID and reconciled sales amounts. (5) Track net margin by discount band monthly on the Dashboard."</f>
        <v>(1) Cap discounts: aim for a weighted discount near 4% and review every deal above 20% (380 sales). (2) Share the practices of David and coach Charlie. (3) Lift South with targeted campaigns. (4) Fix master data: unique product keys, a customer ID and reconciled sales amounts. (5) Track net margin by discount band monthly on the Dashboard.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</sheetPr>
  <dimension ref="A1:AL10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3" width="13" customWidth="1"/>
    <col min="14" max="14" width="18" customWidth="1"/>
    <col min="15" max="32" width="13" customWidth="1"/>
    <col min="33" max="33" width="18" customWidth="1"/>
    <col min="34" max="38" width="13" customWidth="1"/>
  </cols>
  <sheetData>
    <row r="1" spans="1:38" ht="29" x14ac:dyDescent="0.2">
      <c r="A1" s="38" t="s">
        <v>105</v>
      </c>
      <c r="B1" s="38" t="s">
        <v>106</v>
      </c>
      <c r="C1" s="38" t="s">
        <v>56</v>
      </c>
      <c r="D1" s="38" t="s">
        <v>53</v>
      </c>
      <c r="E1" s="38" t="s">
        <v>107</v>
      </c>
      <c r="F1" s="38" t="s">
        <v>108</v>
      </c>
      <c r="G1" s="38" t="s">
        <v>51</v>
      </c>
      <c r="H1" s="38" t="s">
        <v>109</v>
      </c>
      <c r="I1" s="38" t="s">
        <v>110</v>
      </c>
      <c r="J1" s="38" t="s">
        <v>111</v>
      </c>
      <c r="K1" s="38" t="s">
        <v>112</v>
      </c>
      <c r="L1" s="38" t="s">
        <v>58</v>
      </c>
      <c r="M1" s="38" t="s">
        <v>54</v>
      </c>
      <c r="N1" s="38" t="s">
        <v>113</v>
      </c>
      <c r="O1" s="38" t="s">
        <v>114</v>
      </c>
      <c r="P1" s="38" t="s">
        <v>115</v>
      </c>
      <c r="Q1" s="38" t="s">
        <v>116</v>
      </c>
      <c r="R1" s="38" t="s">
        <v>117</v>
      </c>
      <c r="S1" s="38" t="s">
        <v>118</v>
      </c>
      <c r="T1" s="38" t="s">
        <v>119</v>
      </c>
      <c r="U1" s="38" t="s">
        <v>120</v>
      </c>
      <c r="V1" s="38" t="s">
        <v>121</v>
      </c>
      <c r="W1" s="38" t="s">
        <v>57</v>
      </c>
      <c r="X1" s="38" t="s">
        <v>122</v>
      </c>
      <c r="Y1" s="38" t="s">
        <v>123</v>
      </c>
      <c r="Z1" s="38" t="s">
        <v>124</v>
      </c>
      <c r="AA1" s="38" t="s">
        <v>125</v>
      </c>
      <c r="AB1" s="38" t="s">
        <v>126</v>
      </c>
      <c r="AC1" s="38" t="s">
        <v>127</v>
      </c>
      <c r="AD1" s="38" t="s">
        <v>128</v>
      </c>
      <c r="AE1" s="38" t="s">
        <v>129</v>
      </c>
      <c r="AF1" s="38" t="s">
        <v>130</v>
      </c>
      <c r="AG1" s="38" t="s">
        <v>131</v>
      </c>
      <c r="AH1" s="38" t="s">
        <v>132</v>
      </c>
      <c r="AI1" s="38" t="s">
        <v>133</v>
      </c>
      <c r="AJ1" s="38" t="s">
        <v>134</v>
      </c>
      <c r="AK1" s="38" t="s">
        <v>135</v>
      </c>
      <c r="AL1" s="38" t="s">
        <v>136</v>
      </c>
    </row>
    <row r="2" spans="1:38" x14ac:dyDescent="0.2">
      <c r="A2" s="39">
        <v>1052</v>
      </c>
      <c r="B2" s="40">
        <v>44960</v>
      </c>
      <c r="C2" s="39" t="s">
        <v>66</v>
      </c>
      <c r="D2" s="39" t="s">
        <v>64</v>
      </c>
      <c r="E2" s="41">
        <v>5053.97</v>
      </c>
      <c r="F2" s="39">
        <v>18</v>
      </c>
      <c r="G2" s="39" t="s">
        <v>75</v>
      </c>
      <c r="H2" s="41">
        <v>152.75</v>
      </c>
      <c r="I2" s="41">
        <v>267.22000000000003</v>
      </c>
      <c r="J2" s="39" t="s">
        <v>137</v>
      </c>
      <c r="K2" s="42">
        <v>0.09</v>
      </c>
      <c r="L2" s="39" t="s">
        <v>68</v>
      </c>
      <c r="M2" s="39" t="s">
        <v>138</v>
      </c>
      <c r="N2" s="39" t="s">
        <v>139</v>
      </c>
      <c r="O2" s="43">
        <f t="shared" ref="O2:O65" si="0">ROUND(F2*I2,2)</f>
        <v>4809.96</v>
      </c>
      <c r="P2" s="43">
        <f t="shared" ref="P2:P65" si="1">ROUND(F2*I2*(1-K2),2)</f>
        <v>4377.0600000000004</v>
      </c>
      <c r="Q2" s="43">
        <f t="shared" ref="Q2:Q65" si="2">ROUND(F2*H2,2)</f>
        <v>2749.5</v>
      </c>
      <c r="R2" s="43">
        <f t="shared" ref="R2:R65" si="3">P2-Q2</f>
        <v>1627.5600000000004</v>
      </c>
      <c r="S2" s="44">
        <f t="shared" ref="S2:S65" si="4">IF(P2=0,0,R2/P2)</f>
        <v>0.37183863141012469</v>
      </c>
      <c r="T2" s="39" t="str">
        <f t="shared" ref="T2:T65" si="5">IF(R2&lt;0,"Loss","OK")</f>
        <v>OK</v>
      </c>
      <c r="U2" s="39" t="str">
        <f t="shared" ref="U2:U65" si="6">IF(K2&lt;0.1,"0-9%",IF(K2&lt;0.2,"10-19%","20%+"))</f>
        <v>0-9%</v>
      </c>
      <c r="V2" s="39" t="str">
        <f>IF(E2&gt;=Analysis!$B$4,"High",IF(E2&gt;=Analysis!$B$5,"Mid","Low"))</f>
        <v>Mid</v>
      </c>
      <c r="W2" s="39" t="str">
        <f t="shared" ref="W2:W65" si="7">TEXT(B2,"yyyy-mm")</f>
        <v>2023-02</v>
      </c>
      <c r="X2" s="40">
        <f t="shared" ref="X2:X65" si="8">EOMONTH(B2,0)</f>
        <v>44985</v>
      </c>
      <c r="Y2" s="39" t="str">
        <f t="shared" ref="Y2:Y65" si="9">YEAR(B2)&amp;"-Q"&amp;ROUNDUP(MONTH(B2)/3,0)</f>
        <v>2023-Q1</v>
      </c>
      <c r="Z2" s="39" t="str">
        <f t="shared" ref="Z2:Z65" si="10">TEXT(B2,"ddd")</f>
        <v>Fri</v>
      </c>
      <c r="AA2" s="39">
        <f t="shared" ref="AA2:AA65" si="11">WEEKDAY(B2,2)</f>
        <v>5</v>
      </c>
      <c r="AB2" s="39">
        <f t="shared" ref="AB2:AB65" si="12">WEEKNUM(B2,2)</f>
        <v>6</v>
      </c>
      <c r="AC2" s="39" t="str">
        <f t="shared" ref="AC2:AC65" si="13">IF(AA2&gt;5,"Weekend","Weekday")</f>
        <v>Weekday</v>
      </c>
      <c r="AD2" s="39">
        <f t="shared" ref="AD2:AD65" ca="1" si="14">TODAY()-B2</f>
        <v>1359</v>
      </c>
      <c r="AE2" s="39">
        <f t="shared" ref="AE2:AE65" ca="1" si="15">DATEDIF(B2,TODAY(),"M")</f>
        <v>44</v>
      </c>
      <c r="AF2" s="39" t="str">
        <f t="shared" ref="AF2:AF65" si="16">UPPER(LEFT(C2,3))</f>
        <v>BOB</v>
      </c>
      <c r="AG2" s="39" t="str">
        <f t="shared" ref="AG2:AG65" si="17">UPPER(LEFT(D2,1))&amp;UPPER(LEFT(M2,1))&amp;"-"&amp;TEXT(B2,"yymmdd")&amp;"-"&amp;TEXT(ROW()-1,"0000")</f>
        <v>NO-230203-0001</v>
      </c>
      <c r="AH2" s="39" t="str">
        <f>IF(AND(OR(Filter!$B$4="All",D2=Filter!$B$4),OR(Filter!$B$5="All",M2=Filter!$B$5),E2&gt;=Filter!$B$6),MAX(AH$1:AH1)+1,"")</f>
        <v/>
      </c>
      <c r="AI2" s="39">
        <f t="shared" ref="AI2:AI65" si="18">F2</f>
        <v>18</v>
      </c>
      <c r="AJ2" s="42">
        <f t="shared" ref="AJ2:AJ65" si="19">K2</f>
        <v>0.09</v>
      </c>
      <c r="AK2" s="41">
        <f t="shared" ref="AK2:AK65" si="20">I2</f>
        <v>267.22000000000003</v>
      </c>
      <c r="AL2" s="39">
        <f>RANK(E2,$E$2:$E$1001,0)+COUNTIF($E$2:E2,E2)-1</f>
        <v>496</v>
      </c>
    </row>
    <row r="3" spans="1:38" x14ac:dyDescent="0.2">
      <c r="A3" s="39">
        <v>1093</v>
      </c>
      <c r="B3" s="40">
        <v>45037</v>
      </c>
      <c r="C3" s="39" t="s">
        <v>66</v>
      </c>
      <c r="D3" s="39" t="s">
        <v>74</v>
      </c>
      <c r="E3" s="41">
        <v>4384.0200000000004</v>
      </c>
      <c r="F3" s="39">
        <v>17</v>
      </c>
      <c r="G3" s="39" t="s">
        <v>75</v>
      </c>
      <c r="H3" s="41">
        <v>3816.39</v>
      </c>
      <c r="I3" s="41">
        <v>4209.4399999999996</v>
      </c>
      <c r="J3" s="39" t="s">
        <v>137</v>
      </c>
      <c r="K3" s="42">
        <v>0.11</v>
      </c>
      <c r="L3" s="39" t="s">
        <v>68</v>
      </c>
      <c r="M3" s="39" t="s">
        <v>140</v>
      </c>
      <c r="N3" s="39" t="s">
        <v>141</v>
      </c>
      <c r="O3" s="43">
        <f t="shared" si="0"/>
        <v>71560.479999999996</v>
      </c>
      <c r="P3" s="43">
        <f t="shared" si="1"/>
        <v>63688.83</v>
      </c>
      <c r="Q3" s="43">
        <f t="shared" si="2"/>
        <v>64878.63</v>
      </c>
      <c r="R3" s="43">
        <f t="shared" si="3"/>
        <v>-1189.7999999999956</v>
      </c>
      <c r="S3" s="44">
        <f t="shared" si="4"/>
        <v>-1.8681454817116212E-2</v>
      </c>
      <c r="T3" s="39" t="str">
        <f t="shared" si="5"/>
        <v>Loss</v>
      </c>
      <c r="U3" s="39" t="str">
        <f t="shared" si="6"/>
        <v>10-19%</v>
      </c>
      <c r="V3" s="39" t="str">
        <f>IF(E3&gt;=Analysis!$B$4,"High",IF(E3&gt;=Analysis!$B$5,"Mid","Low"))</f>
        <v>Mid</v>
      </c>
      <c r="W3" s="39" t="str">
        <f t="shared" si="7"/>
        <v>2023-04</v>
      </c>
      <c r="X3" s="40">
        <f t="shared" si="8"/>
        <v>45046</v>
      </c>
      <c r="Y3" s="39" t="str">
        <f t="shared" si="9"/>
        <v>2023-Q2</v>
      </c>
      <c r="Z3" s="39" t="str">
        <f t="shared" si="10"/>
        <v>Fri</v>
      </c>
      <c r="AA3" s="39">
        <f t="shared" si="11"/>
        <v>5</v>
      </c>
      <c r="AB3" s="39">
        <f t="shared" si="12"/>
        <v>17</v>
      </c>
      <c r="AC3" s="39" t="str">
        <f t="shared" si="13"/>
        <v>Weekday</v>
      </c>
      <c r="AD3" s="39">
        <f t="shared" ca="1" si="14"/>
        <v>1282</v>
      </c>
      <c r="AE3" s="39">
        <f t="shared" ca="1" si="15"/>
        <v>42</v>
      </c>
      <c r="AF3" s="39" t="str">
        <f t="shared" si="16"/>
        <v>BOB</v>
      </c>
      <c r="AG3" s="39" t="str">
        <f t="shared" si="17"/>
        <v>WR-230421-0002</v>
      </c>
      <c r="AH3" s="39" t="str">
        <f>IF(AND(OR(Filter!$B$4="All",D3=Filter!$B$4),OR(Filter!$B$5="All",M3=Filter!$B$5),E3&gt;=Filter!$B$6),MAX(AH$1:AH2)+1,"")</f>
        <v/>
      </c>
      <c r="AI3" s="39">
        <f t="shared" si="18"/>
        <v>17</v>
      </c>
      <c r="AJ3" s="42">
        <f t="shared" si="19"/>
        <v>0.11</v>
      </c>
      <c r="AK3" s="41">
        <f t="shared" si="20"/>
        <v>4209.4399999999996</v>
      </c>
      <c r="AL3" s="39">
        <f>RANK(E3,$E$2:$E$1001,0)+COUNTIF($E$2:E3,E3)-1</f>
        <v>562</v>
      </c>
    </row>
    <row r="4" spans="1:38" x14ac:dyDescent="0.2">
      <c r="A4" s="39">
        <v>1015</v>
      </c>
      <c r="B4" s="40">
        <v>45190</v>
      </c>
      <c r="C4" s="39" t="s">
        <v>76</v>
      </c>
      <c r="D4" s="39" t="s">
        <v>69</v>
      </c>
      <c r="E4" s="41">
        <v>4631.2299999999996</v>
      </c>
      <c r="F4" s="39">
        <v>30</v>
      </c>
      <c r="G4" s="39" t="s">
        <v>70</v>
      </c>
      <c r="H4" s="41">
        <v>261.56</v>
      </c>
      <c r="I4" s="41">
        <v>371.4</v>
      </c>
      <c r="J4" s="39" t="s">
        <v>137</v>
      </c>
      <c r="K4" s="42">
        <v>0.2</v>
      </c>
      <c r="L4" s="39" t="s">
        <v>63</v>
      </c>
      <c r="M4" s="39" t="s">
        <v>140</v>
      </c>
      <c r="N4" s="39" t="s">
        <v>142</v>
      </c>
      <c r="O4" s="43">
        <f t="shared" si="0"/>
        <v>11142</v>
      </c>
      <c r="P4" s="43">
        <f t="shared" si="1"/>
        <v>8913.6</v>
      </c>
      <c r="Q4" s="43">
        <f t="shared" si="2"/>
        <v>7846.8</v>
      </c>
      <c r="R4" s="43">
        <f t="shared" si="3"/>
        <v>1066.8000000000002</v>
      </c>
      <c r="S4" s="44">
        <f t="shared" si="4"/>
        <v>0.11968228325255791</v>
      </c>
      <c r="T4" s="39" t="str">
        <f t="shared" si="5"/>
        <v>OK</v>
      </c>
      <c r="U4" s="39" t="str">
        <f t="shared" si="6"/>
        <v>20%+</v>
      </c>
      <c r="V4" s="39" t="str">
        <f>IF(E4&gt;=Analysis!$B$4,"High",IF(E4&gt;=Analysis!$B$5,"Mid","Low"))</f>
        <v>Mid</v>
      </c>
      <c r="W4" s="39" t="str">
        <f t="shared" si="7"/>
        <v>2023-09</v>
      </c>
      <c r="X4" s="40">
        <f t="shared" si="8"/>
        <v>45199</v>
      </c>
      <c r="Y4" s="39" t="str">
        <f t="shared" si="9"/>
        <v>2023-Q3</v>
      </c>
      <c r="Z4" s="39" t="str">
        <f t="shared" si="10"/>
        <v>Thu</v>
      </c>
      <c r="AA4" s="39">
        <f t="shared" si="11"/>
        <v>4</v>
      </c>
      <c r="AB4" s="39">
        <f t="shared" si="12"/>
        <v>39</v>
      </c>
      <c r="AC4" s="39" t="str">
        <f t="shared" si="13"/>
        <v>Weekday</v>
      </c>
      <c r="AD4" s="39">
        <f t="shared" ca="1" si="14"/>
        <v>1129</v>
      </c>
      <c r="AE4" s="39">
        <f t="shared" ca="1" si="15"/>
        <v>37</v>
      </c>
      <c r="AF4" s="39" t="str">
        <f t="shared" si="16"/>
        <v>DAV</v>
      </c>
      <c r="AG4" s="39" t="str">
        <f t="shared" si="17"/>
        <v>SR-230921-0003</v>
      </c>
      <c r="AH4" s="39" t="str">
        <f>IF(AND(OR(Filter!$B$4="All",D4=Filter!$B$4),OR(Filter!$B$5="All",M4=Filter!$B$5),E4&gt;=Filter!$B$6),MAX(AH$1:AH3)+1,"")</f>
        <v/>
      </c>
      <c r="AI4" s="39">
        <f t="shared" si="18"/>
        <v>30</v>
      </c>
      <c r="AJ4" s="42">
        <f t="shared" si="19"/>
        <v>0.2</v>
      </c>
      <c r="AK4" s="41">
        <f t="shared" si="20"/>
        <v>371.4</v>
      </c>
      <c r="AL4" s="39">
        <f>RANK(E4,$E$2:$E$1001,0)+COUNTIF($E$2:E4,E4)-1</f>
        <v>539</v>
      </c>
    </row>
    <row r="5" spans="1:38" x14ac:dyDescent="0.2">
      <c r="A5" s="39">
        <v>1072</v>
      </c>
      <c r="B5" s="40">
        <v>45162</v>
      </c>
      <c r="C5" s="39" t="s">
        <v>66</v>
      </c>
      <c r="D5" s="39" t="s">
        <v>69</v>
      </c>
      <c r="E5" s="41">
        <v>2167.94</v>
      </c>
      <c r="F5" s="39">
        <v>39</v>
      </c>
      <c r="G5" s="39" t="s">
        <v>60</v>
      </c>
      <c r="H5" s="41">
        <v>4330.03</v>
      </c>
      <c r="I5" s="41">
        <v>4467.75</v>
      </c>
      <c r="J5" s="39" t="s">
        <v>143</v>
      </c>
      <c r="K5" s="42">
        <v>0.02</v>
      </c>
      <c r="L5" s="39" t="s">
        <v>73</v>
      </c>
      <c r="M5" s="39" t="s">
        <v>140</v>
      </c>
      <c r="N5" s="39" t="s">
        <v>144</v>
      </c>
      <c r="O5" s="43">
        <f t="shared" si="0"/>
        <v>174242.25</v>
      </c>
      <c r="P5" s="43">
        <f t="shared" si="1"/>
        <v>170757.41</v>
      </c>
      <c r="Q5" s="43">
        <f t="shared" si="2"/>
        <v>168871.17</v>
      </c>
      <c r="R5" s="43">
        <f t="shared" si="3"/>
        <v>1886.2399999999907</v>
      </c>
      <c r="S5" s="44">
        <f t="shared" si="4"/>
        <v>1.1046314183378576E-2</v>
      </c>
      <c r="T5" s="39" t="str">
        <f t="shared" si="5"/>
        <v>OK</v>
      </c>
      <c r="U5" s="39" t="str">
        <f t="shared" si="6"/>
        <v>0-9%</v>
      </c>
      <c r="V5" s="39" t="str">
        <f>IF(E5&gt;=Analysis!$B$4,"High",IF(E5&gt;=Analysis!$B$5,"Mid","Low"))</f>
        <v>Low</v>
      </c>
      <c r="W5" s="39" t="str">
        <f t="shared" si="7"/>
        <v>2023-08</v>
      </c>
      <c r="X5" s="40">
        <f t="shared" si="8"/>
        <v>45169</v>
      </c>
      <c r="Y5" s="39" t="str">
        <f t="shared" si="9"/>
        <v>2023-Q3</v>
      </c>
      <c r="Z5" s="39" t="str">
        <f t="shared" si="10"/>
        <v>Thu</v>
      </c>
      <c r="AA5" s="39">
        <f t="shared" si="11"/>
        <v>4</v>
      </c>
      <c r="AB5" s="39">
        <f t="shared" si="12"/>
        <v>35</v>
      </c>
      <c r="AC5" s="39" t="str">
        <f t="shared" si="13"/>
        <v>Weekday</v>
      </c>
      <c r="AD5" s="39">
        <f t="shared" ca="1" si="14"/>
        <v>1157</v>
      </c>
      <c r="AE5" s="39">
        <f t="shared" ca="1" si="15"/>
        <v>38</v>
      </c>
      <c r="AF5" s="39" t="str">
        <f t="shared" si="16"/>
        <v>BOB</v>
      </c>
      <c r="AG5" s="39" t="str">
        <f t="shared" si="17"/>
        <v>SR-230824-0004</v>
      </c>
      <c r="AH5" s="39" t="str">
        <f>IF(AND(OR(Filter!$B$4="All",D5=Filter!$B$4),OR(Filter!$B$5="All",M5=Filter!$B$5),E5&gt;=Filter!$B$6),MAX(AH$1:AH4)+1,"")</f>
        <v/>
      </c>
      <c r="AI5" s="39">
        <f t="shared" si="18"/>
        <v>39</v>
      </c>
      <c r="AJ5" s="42">
        <f t="shared" si="19"/>
        <v>0.02</v>
      </c>
      <c r="AK5" s="41">
        <f t="shared" si="20"/>
        <v>4467.75</v>
      </c>
      <c r="AL5" s="39">
        <f>RANK(E5,$E$2:$E$1001,0)+COUNTIF($E$2:E5,E5)-1</f>
        <v>796</v>
      </c>
    </row>
    <row r="6" spans="1:38" x14ac:dyDescent="0.2">
      <c r="A6" s="39">
        <v>1061</v>
      </c>
      <c r="B6" s="40">
        <v>45009</v>
      </c>
      <c r="C6" s="39" t="s">
        <v>71</v>
      </c>
      <c r="D6" s="39" t="s">
        <v>59</v>
      </c>
      <c r="E6" s="41">
        <v>3750.2</v>
      </c>
      <c r="F6" s="39">
        <v>13</v>
      </c>
      <c r="G6" s="39" t="s">
        <v>65</v>
      </c>
      <c r="H6" s="41">
        <v>637.37</v>
      </c>
      <c r="I6" s="41">
        <v>692.71</v>
      </c>
      <c r="J6" s="39" t="s">
        <v>143</v>
      </c>
      <c r="K6" s="42">
        <v>0.08</v>
      </c>
      <c r="L6" s="39" t="s">
        <v>73</v>
      </c>
      <c r="M6" s="39" t="s">
        <v>138</v>
      </c>
      <c r="N6" s="39" t="s">
        <v>145</v>
      </c>
      <c r="O6" s="43">
        <f t="shared" si="0"/>
        <v>9005.23</v>
      </c>
      <c r="P6" s="43">
        <f t="shared" si="1"/>
        <v>8284.81</v>
      </c>
      <c r="Q6" s="43">
        <f t="shared" si="2"/>
        <v>8285.81</v>
      </c>
      <c r="R6" s="43">
        <f t="shared" si="3"/>
        <v>-1</v>
      </c>
      <c r="S6" s="44">
        <f t="shared" si="4"/>
        <v>-1.2070282842937859E-4</v>
      </c>
      <c r="T6" s="39" t="str">
        <f t="shared" si="5"/>
        <v>Loss</v>
      </c>
      <c r="U6" s="39" t="str">
        <f t="shared" si="6"/>
        <v>0-9%</v>
      </c>
      <c r="V6" s="39" t="str">
        <f>IF(E6&gt;=Analysis!$B$4,"High",IF(E6&gt;=Analysis!$B$5,"Mid","Low"))</f>
        <v>Mid</v>
      </c>
      <c r="W6" s="39" t="str">
        <f t="shared" si="7"/>
        <v>2023-03</v>
      </c>
      <c r="X6" s="40">
        <f t="shared" si="8"/>
        <v>45016</v>
      </c>
      <c r="Y6" s="39" t="str">
        <f t="shared" si="9"/>
        <v>2023-Q1</v>
      </c>
      <c r="Z6" s="39" t="str">
        <f t="shared" si="10"/>
        <v>Fri</v>
      </c>
      <c r="AA6" s="39">
        <f t="shared" si="11"/>
        <v>5</v>
      </c>
      <c r="AB6" s="39">
        <f t="shared" si="12"/>
        <v>13</v>
      </c>
      <c r="AC6" s="39" t="str">
        <f t="shared" si="13"/>
        <v>Weekday</v>
      </c>
      <c r="AD6" s="39">
        <f t="shared" ca="1" si="14"/>
        <v>1310</v>
      </c>
      <c r="AE6" s="39">
        <f t="shared" ca="1" si="15"/>
        <v>43</v>
      </c>
      <c r="AF6" s="39" t="str">
        <f t="shared" si="16"/>
        <v>CHA</v>
      </c>
      <c r="AG6" s="39" t="str">
        <f t="shared" si="17"/>
        <v>EO-230324-0005</v>
      </c>
      <c r="AH6" s="39" t="str">
        <f>IF(AND(OR(Filter!$B$4="All",D6=Filter!$B$4),OR(Filter!$B$5="All",M6=Filter!$B$5),E6&gt;=Filter!$B$6),MAX(AH$1:AH5)+1,"")</f>
        <v/>
      </c>
      <c r="AI6" s="39">
        <f t="shared" si="18"/>
        <v>13</v>
      </c>
      <c r="AJ6" s="42">
        <f t="shared" si="19"/>
        <v>0.08</v>
      </c>
      <c r="AK6" s="41">
        <f t="shared" si="20"/>
        <v>692.71</v>
      </c>
      <c r="AL6" s="39">
        <f>RANK(E6,$E$2:$E$1001,0)+COUNTIF($E$2:E6,E6)-1</f>
        <v>625</v>
      </c>
    </row>
    <row r="7" spans="1:38" x14ac:dyDescent="0.2">
      <c r="A7" s="39">
        <v>1021</v>
      </c>
      <c r="B7" s="40">
        <v>44968</v>
      </c>
      <c r="C7" s="39" t="s">
        <v>71</v>
      </c>
      <c r="D7" s="39" t="s">
        <v>74</v>
      </c>
      <c r="E7" s="41">
        <v>3761.15</v>
      </c>
      <c r="F7" s="39">
        <v>32</v>
      </c>
      <c r="G7" s="39" t="s">
        <v>70</v>
      </c>
      <c r="H7" s="41">
        <v>900.79</v>
      </c>
      <c r="I7" s="41">
        <v>1106.51</v>
      </c>
      <c r="J7" s="39" t="s">
        <v>143</v>
      </c>
      <c r="K7" s="42">
        <v>0.21</v>
      </c>
      <c r="L7" s="39" t="s">
        <v>68</v>
      </c>
      <c r="M7" s="39" t="s">
        <v>138</v>
      </c>
      <c r="N7" s="39" t="s">
        <v>146</v>
      </c>
      <c r="O7" s="43">
        <f t="shared" si="0"/>
        <v>35408.32</v>
      </c>
      <c r="P7" s="43">
        <f t="shared" si="1"/>
        <v>27972.57</v>
      </c>
      <c r="Q7" s="43">
        <f t="shared" si="2"/>
        <v>28825.279999999999</v>
      </c>
      <c r="R7" s="43">
        <f t="shared" si="3"/>
        <v>-852.70999999999913</v>
      </c>
      <c r="S7" s="44">
        <f t="shared" si="4"/>
        <v>-3.0483791800324359E-2</v>
      </c>
      <c r="T7" s="39" t="str">
        <f t="shared" si="5"/>
        <v>Loss</v>
      </c>
      <c r="U7" s="39" t="str">
        <f t="shared" si="6"/>
        <v>20%+</v>
      </c>
      <c r="V7" s="39" t="str">
        <f>IF(E7&gt;=Analysis!$B$4,"High",IF(E7&gt;=Analysis!$B$5,"Mid","Low"))</f>
        <v>Mid</v>
      </c>
      <c r="W7" s="39" t="str">
        <f t="shared" si="7"/>
        <v>2023-02</v>
      </c>
      <c r="X7" s="40">
        <f t="shared" si="8"/>
        <v>44985</v>
      </c>
      <c r="Y7" s="39" t="str">
        <f t="shared" si="9"/>
        <v>2023-Q1</v>
      </c>
      <c r="Z7" s="39" t="str">
        <f t="shared" si="10"/>
        <v>Sat</v>
      </c>
      <c r="AA7" s="39">
        <f t="shared" si="11"/>
        <v>6</v>
      </c>
      <c r="AB7" s="39">
        <f t="shared" si="12"/>
        <v>7</v>
      </c>
      <c r="AC7" s="39" t="str">
        <f t="shared" si="13"/>
        <v>Weekend</v>
      </c>
      <c r="AD7" s="39">
        <f t="shared" ca="1" si="14"/>
        <v>1351</v>
      </c>
      <c r="AE7" s="39">
        <f t="shared" ca="1" si="15"/>
        <v>44</v>
      </c>
      <c r="AF7" s="39" t="str">
        <f t="shared" si="16"/>
        <v>CHA</v>
      </c>
      <c r="AG7" s="39" t="str">
        <f t="shared" si="17"/>
        <v>WO-230211-0006</v>
      </c>
      <c r="AH7" s="39" t="str">
        <f>IF(AND(OR(Filter!$B$4="All",D7=Filter!$B$4),OR(Filter!$B$5="All",M7=Filter!$B$5),E7&gt;=Filter!$B$6),MAX(AH$1:AH6)+1,"")</f>
        <v/>
      </c>
      <c r="AI7" s="39">
        <f t="shared" si="18"/>
        <v>32</v>
      </c>
      <c r="AJ7" s="42">
        <f t="shared" si="19"/>
        <v>0.21</v>
      </c>
      <c r="AK7" s="41">
        <f t="shared" si="20"/>
        <v>1106.51</v>
      </c>
      <c r="AL7" s="39">
        <f>RANK(E7,$E$2:$E$1001,0)+COUNTIF($E$2:E7,E7)-1</f>
        <v>622</v>
      </c>
    </row>
    <row r="8" spans="1:38" x14ac:dyDescent="0.2">
      <c r="A8" s="39">
        <v>1083</v>
      </c>
      <c r="B8" s="40">
        <v>45027</v>
      </c>
      <c r="C8" s="39" t="s">
        <v>66</v>
      </c>
      <c r="D8" s="39" t="s">
        <v>74</v>
      </c>
      <c r="E8" s="41">
        <v>618.30999999999995</v>
      </c>
      <c r="F8" s="39">
        <v>29</v>
      </c>
      <c r="G8" s="39" t="s">
        <v>75</v>
      </c>
      <c r="H8" s="41">
        <v>2408.81</v>
      </c>
      <c r="I8" s="41">
        <v>2624.09</v>
      </c>
      <c r="J8" s="39" t="s">
        <v>137</v>
      </c>
      <c r="K8" s="42">
        <v>0.14000000000000001</v>
      </c>
      <c r="L8" s="39" t="s">
        <v>68</v>
      </c>
      <c r="M8" s="39" t="s">
        <v>138</v>
      </c>
      <c r="N8" s="39" t="s">
        <v>141</v>
      </c>
      <c r="O8" s="43">
        <f t="shared" si="0"/>
        <v>76098.61</v>
      </c>
      <c r="P8" s="43">
        <f t="shared" si="1"/>
        <v>65444.800000000003</v>
      </c>
      <c r="Q8" s="43">
        <f t="shared" si="2"/>
        <v>69855.490000000005</v>
      </c>
      <c r="R8" s="43">
        <f t="shared" si="3"/>
        <v>-4410.6900000000023</v>
      </c>
      <c r="S8" s="44">
        <f t="shared" si="4"/>
        <v>-6.7395576119111095E-2</v>
      </c>
      <c r="T8" s="39" t="str">
        <f t="shared" si="5"/>
        <v>Loss</v>
      </c>
      <c r="U8" s="39" t="str">
        <f t="shared" si="6"/>
        <v>10-19%</v>
      </c>
      <c r="V8" s="39" t="str">
        <f>IF(E8&gt;=Analysis!$B$4,"High",IF(E8&gt;=Analysis!$B$5,"Mid","Low"))</f>
        <v>Low</v>
      </c>
      <c r="W8" s="39" t="str">
        <f t="shared" si="7"/>
        <v>2023-04</v>
      </c>
      <c r="X8" s="40">
        <f t="shared" si="8"/>
        <v>45046</v>
      </c>
      <c r="Y8" s="39" t="str">
        <f t="shared" si="9"/>
        <v>2023-Q2</v>
      </c>
      <c r="Z8" s="39" t="str">
        <f t="shared" si="10"/>
        <v>Tue</v>
      </c>
      <c r="AA8" s="39">
        <f t="shared" si="11"/>
        <v>2</v>
      </c>
      <c r="AB8" s="39">
        <f t="shared" si="12"/>
        <v>16</v>
      </c>
      <c r="AC8" s="39" t="str">
        <f t="shared" si="13"/>
        <v>Weekday</v>
      </c>
      <c r="AD8" s="39">
        <f t="shared" ca="1" si="14"/>
        <v>1292</v>
      </c>
      <c r="AE8" s="39">
        <f t="shared" ca="1" si="15"/>
        <v>42</v>
      </c>
      <c r="AF8" s="39" t="str">
        <f t="shared" si="16"/>
        <v>BOB</v>
      </c>
      <c r="AG8" s="39" t="str">
        <f t="shared" si="17"/>
        <v>WO-230411-0007</v>
      </c>
      <c r="AH8" s="39" t="str">
        <f>IF(AND(OR(Filter!$B$4="All",D8=Filter!$B$4),OR(Filter!$B$5="All",M8=Filter!$B$5),E8&gt;=Filter!$B$6),MAX(AH$1:AH7)+1,"")</f>
        <v/>
      </c>
      <c r="AI8" s="39">
        <f t="shared" si="18"/>
        <v>29</v>
      </c>
      <c r="AJ8" s="42">
        <f t="shared" si="19"/>
        <v>0.14000000000000001</v>
      </c>
      <c r="AK8" s="41">
        <f t="shared" si="20"/>
        <v>2624.09</v>
      </c>
      <c r="AL8" s="39">
        <f>RANK(E8,$E$2:$E$1001,0)+COUNTIF($E$2:E8,E8)-1</f>
        <v>950</v>
      </c>
    </row>
    <row r="9" spans="1:38" x14ac:dyDescent="0.2">
      <c r="A9" s="39">
        <v>1087</v>
      </c>
      <c r="B9" s="40">
        <v>44932</v>
      </c>
      <c r="C9" s="39" t="s">
        <v>79</v>
      </c>
      <c r="D9" s="39" t="s">
        <v>69</v>
      </c>
      <c r="E9" s="41">
        <v>7698.92</v>
      </c>
      <c r="F9" s="39">
        <v>46</v>
      </c>
      <c r="G9" s="39" t="s">
        <v>75</v>
      </c>
      <c r="H9" s="41">
        <v>3702.51</v>
      </c>
      <c r="I9" s="41">
        <v>3964.65</v>
      </c>
      <c r="J9" s="39" t="s">
        <v>143</v>
      </c>
      <c r="K9" s="42">
        <v>0.12</v>
      </c>
      <c r="L9" s="39" t="s">
        <v>63</v>
      </c>
      <c r="M9" s="39" t="s">
        <v>138</v>
      </c>
      <c r="N9" s="39" t="s">
        <v>147</v>
      </c>
      <c r="O9" s="43">
        <f t="shared" si="0"/>
        <v>182373.9</v>
      </c>
      <c r="P9" s="43">
        <f t="shared" si="1"/>
        <v>160489.03</v>
      </c>
      <c r="Q9" s="43">
        <f t="shared" si="2"/>
        <v>170315.46</v>
      </c>
      <c r="R9" s="43">
        <f t="shared" si="3"/>
        <v>-9826.429999999993</v>
      </c>
      <c r="S9" s="44">
        <f t="shared" si="4"/>
        <v>-6.122804779865635E-2</v>
      </c>
      <c r="T9" s="39" t="str">
        <f t="shared" si="5"/>
        <v>Loss</v>
      </c>
      <c r="U9" s="39" t="str">
        <f t="shared" si="6"/>
        <v>10-19%</v>
      </c>
      <c r="V9" s="39" t="str">
        <f>IF(E9&gt;=Analysis!$B$4,"High",IF(E9&gt;=Analysis!$B$5,"Mid","Low"))</f>
        <v>High</v>
      </c>
      <c r="W9" s="39" t="str">
        <f t="shared" si="7"/>
        <v>2023-01</v>
      </c>
      <c r="X9" s="40">
        <f t="shared" si="8"/>
        <v>44957</v>
      </c>
      <c r="Y9" s="39" t="str">
        <f t="shared" si="9"/>
        <v>2023-Q1</v>
      </c>
      <c r="Z9" s="39" t="str">
        <f t="shared" si="10"/>
        <v>Fri</v>
      </c>
      <c r="AA9" s="39">
        <f t="shared" si="11"/>
        <v>5</v>
      </c>
      <c r="AB9" s="39">
        <f t="shared" si="12"/>
        <v>2</v>
      </c>
      <c r="AC9" s="39" t="str">
        <f t="shared" si="13"/>
        <v>Weekday</v>
      </c>
      <c r="AD9" s="39">
        <f t="shared" ca="1" si="14"/>
        <v>1387</v>
      </c>
      <c r="AE9" s="39">
        <f t="shared" ca="1" si="15"/>
        <v>45</v>
      </c>
      <c r="AF9" s="39" t="str">
        <f t="shared" si="16"/>
        <v>EVE</v>
      </c>
      <c r="AG9" s="39" t="str">
        <f t="shared" si="17"/>
        <v>SO-230106-0008</v>
      </c>
      <c r="AH9" s="39" t="str">
        <f>IF(AND(OR(Filter!$B$4="All",D9=Filter!$B$4),OR(Filter!$B$5="All",M9=Filter!$B$5),E9&gt;=Filter!$B$6),MAX(AH$1:AH8)+1,"")</f>
        <v/>
      </c>
      <c r="AI9" s="39">
        <f t="shared" si="18"/>
        <v>46</v>
      </c>
      <c r="AJ9" s="42">
        <f t="shared" si="19"/>
        <v>0.12</v>
      </c>
      <c r="AK9" s="41">
        <f t="shared" si="20"/>
        <v>3964.65</v>
      </c>
      <c r="AL9" s="39">
        <f>RANK(E9,$E$2:$E$1001,0)+COUNTIF($E$2:E9,E9)-1</f>
        <v>227</v>
      </c>
    </row>
    <row r="10" spans="1:38" x14ac:dyDescent="0.2">
      <c r="A10" s="39">
        <v>1075</v>
      </c>
      <c r="B10" s="40">
        <v>45106</v>
      </c>
      <c r="C10" s="39" t="s">
        <v>76</v>
      </c>
      <c r="D10" s="39" t="s">
        <v>69</v>
      </c>
      <c r="E10" s="41">
        <v>4223.3900000000003</v>
      </c>
      <c r="F10" s="39">
        <v>30</v>
      </c>
      <c r="G10" s="39" t="s">
        <v>75</v>
      </c>
      <c r="H10" s="41">
        <v>738.06</v>
      </c>
      <c r="I10" s="41">
        <v>1095.45</v>
      </c>
      <c r="J10" s="39" t="s">
        <v>143</v>
      </c>
      <c r="K10" s="42">
        <v>0.05</v>
      </c>
      <c r="L10" s="39" t="s">
        <v>63</v>
      </c>
      <c r="M10" s="39" t="s">
        <v>138</v>
      </c>
      <c r="N10" s="39" t="s">
        <v>142</v>
      </c>
      <c r="O10" s="43">
        <f t="shared" si="0"/>
        <v>32863.5</v>
      </c>
      <c r="P10" s="43">
        <f t="shared" si="1"/>
        <v>31220.33</v>
      </c>
      <c r="Q10" s="43">
        <f t="shared" si="2"/>
        <v>22141.8</v>
      </c>
      <c r="R10" s="43">
        <f t="shared" si="3"/>
        <v>9078.5300000000025</v>
      </c>
      <c r="S10" s="44">
        <f t="shared" si="4"/>
        <v>0.2907890467525488</v>
      </c>
      <c r="T10" s="39" t="str">
        <f t="shared" si="5"/>
        <v>OK</v>
      </c>
      <c r="U10" s="39" t="str">
        <f t="shared" si="6"/>
        <v>0-9%</v>
      </c>
      <c r="V10" s="39" t="str">
        <f>IF(E10&gt;=Analysis!$B$4,"High",IF(E10&gt;=Analysis!$B$5,"Mid","Low"))</f>
        <v>Mid</v>
      </c>
      <c r="W10" s="39" t="str">
        <f t="shared" si="7"/>
        <v>2023-06</v>
      </c>
      <c r="X10" s="40">
        <f t="shared" si="8"/>
        <v>45107</v>
      </c>
      <c r="Y10" s="39" t="str">
        <f t="shared" si="9"/>
        <v>2023-Q2</v>
      </c>
      <c r="Z10" s="39" t="str">
        <f t="shared" si="10"/>
        <v>Thu</v>
      </c>
      <c r="AA10" s="39">
        <f t="shared" si="11"/>
        <v>4</v>
      </c>
      <c r="AB10" s="39">
        <f t="shared" si="12"/>
        <v>27</v>
      </c>
      <c r="AC10" s="39" t="str">
        <f t="shared" si="13"/>
        <v>Weekday</v>
      </c>
      <c r="AD10" s="39">
        <f t="shared" ca="1" si="14"/>
        <v>1213</v>
      </c>
      <c r="AE10" s="39">
        <f t="shared" ca="1" si="15"/>
        <v>39</v>
      </c>
      <c r="AF10" s="39" t="str">
        <f t="shared" si="16"/>
        <v>DAV</v>
      </c>
      <c r="AG10" s="39" t="str">
        <f t="shared" si="17"/>
        <v>SO-230629-0009</v>
      </c>
      <c r="AH10" s="39" t="str">
        <f>IF(AND(OR(Filter!$B$4="All",D10=Filter!$B$4),OR(Filter!$B$5="All",M10=Filter!$B$5),E10&gt;=Filter!$B$6),MAX(AH$1:AH9)+1,"")</f>
        <v/>
      </c>
      <c r="AI10" s="39">
        <f t="shared" si="18"/>
        <v>30</v>
      </c>
      <c r="AJ10" s="42">
        <f t="shared" si="19"/>
        <v>0.05</v>
      </c>
      <c r="AK10" s="41">
        <f t="shared" si="20"/>
        <v>1095.45</v>
      </c>
      <c r="AL10" s="39">
        <f>RANK(E10,$E$2:$E$1001,0)+COUNTIF($E$2:E10,E10)-1</f>
        <v>578</v>
      </c>
    </row>
    <row r="11" spans="1:38" x14ac:dyDescent="0.2">
      <c r="A11" s="39">
        <v>1075</v>
      </c>
      <c r="B11" s="40">
        <v>45208</v>
      </c>
      <c r="C11" s="39" t="s">
        <v>71</v>
      </c>
      <c r="D11" s="39" t="s">
        <v>74</v>
      </c>
      <c r="E11" s="41">
        <v>8239.58</v>
      </c>
      <c r="F11" s="39">
        <v>18</v>
      </c>
      <c r="G11" s="39" t="s">
        <v>60</v>
      </c>
      <c r="H11" s="41">
        <v>2228.35</v>
      </c>
      <c r="I11" s="41">
        <v>2682.34</v>
      </c>
      <c r="J11" s="39" t="s">
        <v>143</v>
      </c>
      <c r="K11" s="42">
        <v>0.13</v>
      </c>
      <c r="L11" s="39" t="s">
        <v>63</v>
      </c>
      <c r="M11" s="39" t="s">
        <v>138</v>
      </c>
      <c r="N11" s="39" t="s">
        <v>146</v>
      </c>
      <c r="O11" s="43">
        <f t="shared" si="0"/>
        <v>48282.12</v>
      </c>
      <c r="P11" s="43">
        <f t="shared" si="1"/>
        <v>42005.440000000002</v>
      </c>
      <c r="Q11" s="43">
        <f t="shared" si="2"/>
        <v>40110.300000000003</v>
      </c>
      <c r="R11" s="43">
        <f t="shared" si="3"/>
        <v>1895.1399999999994</v>
      </c>
      <c r="S11" s="44">
        <f t="shared" si="4"/>
        <v>4.5116537286599055E-2</v>
      </c>
      <c r="T11" s="39" t="str">
        <f t="shared" si="5"/>
        <v>OK</v>
      </c>
      <c r="U11" s="39" t="str">
        <f t="shared" si="6"/>
        <v>10-19%</v>
      </c>
      <c r="V11" s="39" t="str">
        <f>IF(E11&gt;=Analysis!$B$4,"High",IF(E11&gt;=Analysis!$B$5,"Mid","Low"))</f>
        <v>High</v>
      </c>
      <c r="W11" s="39" t="str">
        <f t="shared" si="7"/>
        <v>2023-10</v>
      </c>
      <c r="X11" s="40">
        <f t="shared" si="8"/>
        <v>45230</v>
      </c>
      <c r="Y11" s="39" t="str">
        <f t="shared" si="9"/>
        <v>2023-Q4</v>
      </c>
      <c r="Z11" s="39" t="str">
        <f t="shared" si="10"/>
        <v>Mon</v>
      </c>
      <c r="AA11" s="39">
        <f t="shared" si="11"/>
        <v>1</v>
      </c>
      <c r="AB11" s="39">
        <f t="shared" si="12"/>
        <v>42</v>
      </c>
      <c r="AC11" s="39" t="str">
        <f t="shared" si="13"/>
        <v>Weekday</v>
      </c>
      <c r="AD11" s="39">
        <f t="shared" ca="1" si="14"/>
        <v>1111</v>
      </c>
      <c r="AE11" s="39">
        <f t="shared" ca="1" si="15"/>
        <v>36</v>
      </c>
      <c r="AF11" s="39" t="str">
        <f t="shared" si="16"/>
        <v>CHA</v>
      </c>
      <c r="AG11" s="39" t="str">
        <f t="shared" si="17"/>
        <v>WO-231009-0010</v>
      </c>
      <c r="AH11" s="39" t="str">
        <f>IF(AND(OR(Filter!$B$4="All",D11=Filter!$B$4),OR(Filter!$B$5="All",M11=Filter!$B$5),E11&gt;=Filter!$B$6),MAX(AH$1:AH10)+1,"")</f>
        <v/>
      </c>
      <c r="AI11" s="39">
        <f t="shared" si="18"/>
        <v>18</v>
      </c>
      <c r="AJ11" s="42">
        <f t="shared" si="19"/>
        <v>0.13</v>
      </c>
      <c r="AK11" s="41">
        <f t="shared" si="20"/>
        <v>2682.34</v>
      </c>
      <c r="AL11" s="39">
        <f>RANK(E11,$E$2:$E$1001,0)+COUNTIF($E$2:E11,E11)-1</f>
        <v>168</v>
      </c>
    </row>
    <row r="12" spans="1:38" x14ac:dyDescent="0.2">
      <c r="A12" s="39">
        <v>1088</v>
      </c>
      <c r="B12" s="40">
        <v>45246</v>
      </c>
      <c r="C12" s="39" t="s">
        <v>79</v>
      </c>
      <c r="D12" s="39" t="s">
        <v>64</v>
      </c>
      <c r="E12" s="41">
        <v>8518.4500000000007</v>
      </c>
      <c r="F12" s="39">
        <v>13</v>
      </c>
      <c r="G12" s="39" t="s">
        <v>75</v>
      </c>
      <c r="H12" s="41">
        <v>2440.11</v>
      </c>
      <c r="I12" s="41">
        <v>2517.6</v>
      </c>
      <c r="J12" s="39" t="s">
        <v>143</v>
      </c>
      <c r="K12" s="42">
        <v>0.23</v>
      </c>
      <c r="L12" s="39" t="s">
        <v>63</v>
      </c>
      <c r="M12" s="39" t="s">
        <v>140</v>
      </c>
      <c r="N12" s="39" t="s">
        <v>148</v>
      </c>
      <c r="O12" s="43">
        <f t="shared" si="0"/>
        <v>32728.799999999999</v>
      </c>
      <c r="P12" s="43">
        <f t="shared" si="1"/>
        <v>25201.18</v>
      </c>
      <c r="Q12" s="43">
        <f t="shared" si="2"/>
        <v>31721.43</v>
      </c>
      <c r="R12" s="43">
        <f t="shared" si="3"/>
        <v>-6520.25</v>
      </c>
      <c r="S12" s="44">
        <f t="shared" si="4"/>
        <v>-0.25872796432548001</v>
      </c>
      <c r="T12" s="39" t="str">
        <f t="shared" si="5"/>
        <v>Loss</v>
      </c>
      <c r="U12" s="39" t="str">
        <f t="shared" si="6"/>
        <v>20%+</v>
      </c>
      <c r="V12" s="39" t="str">
        <f>IF(E12&gt;=Analysis!$B$4,"High",IF(E12&gt;=Analysis!$B$5,"Mid","Low"))</f>
        <v>High</v>
      </c>
      <c r="W12" s="39" t="str">
        <f t="shared" si="7"/>
        <v>2023-11</v>
      </c>
      <c r="X12" s="40">
        <f t="shared" si="8"/>
        <v>45260</v>
      </c>
      <c r="Y12" s="39" t="str">
        <f t="shared" si="9"/>
        <v>2023-Q4</v>
      </c>
      <c r="Z12" s="39" t="str">
        <f t="shared" si="10"/>
        <v>Thu</v>
      </c>
      <c r="AA12" s="39">
        <f t="shared" si="11"/>
        <v>4</v>
      </c>
      <c r="AB12" s="39">
        <f t="shared" si="12"/>
        <v>47</v>
      </c>
      <c r="AC12" s="39" t="str">
        <f t="shared" si="13"/>
        <v>Weekday</v>
      </c>
      <c r="AD12" s="39">
        <f t="shared" ca="1" si="14"/>
        <v>1073</v>
      </c>
      <c r="AE12" s="39">
        <f t="shared" ca="1" si="15"/>
        <v>35</v>
      </c>
      <c r="AF12" s="39" t="str">
        <f t="shared" si="16"/>
        <v>EVE</v>
      </c>
      <c r="AG12" s="39" t="str">
        <f t="shared" si="17"/>
        <v>NR-231116-0011</v>
      </c>
      <c r="AH12" s="39" t="str">
        <f>IF(AND(OR(Filter!$B$4="All",D12=Filter!$B$4),OR(Filter!$B$5="All",M12=Filter!$B$5),E12&gt;=Filter!$B$6),MAX(AH$1:AH11)+1,"")</f>
        <v/>
      </c>
      <c r="AI12" s="39">
        <f t="shared" si="18"/>
        <v>13</v>
      </c>
      <c r="AJ12" s="42">
        <f t="shared" si="19"/>
        <v>0.23</v>
      </c>
      <c r="AK12" s="41">
        <f t="shared" si="20"/>
        <v>2517.6</v>
      </c>
      <c r="AL12" s="39">
        <f>RANK(E12,$E$2:$E$1001,0)+COUNTIF($E$2:E12,E12)-1</f>
        <v>139</v>
      </c>
    </row>
    <row r="13" spans="1:38" x14ac:dyDescent="0.2">
      <c r="A13" s="39">
        <v>1100</v>
      </c>
      <c r="B13" s="40">
        <v>45152</v>
      </c>
      <c r="C13" s="39" t="s">
        <v>66</v>
      </c>
      <c r="D13" s="39" t="s">
        <v>74</v>
      </c>
      <c r="E13" s="41">
        <v>2198.7399999999998</v>
      </c>
      <c r="F13" s="39">
        <v>43</v>
      </c>
      <c r="G13" s="39" t="s">
        <v>70</v>
      </c>
      <c r="H13" s="41">
        <v>1100.81</v>
      </c>
      <c r="I13" s="41">
        <v>1137.44</v>
      </c>
      <c r="J13" s="39" t="s">
        <v>137</v>
      </c>
      <c r="K13" s="42">
        <v>0.08</v>
      </c>
      <c r="L13" s="39" t="s">
        <v>63</v>
      </c>
      <c r="M13" s="39" t="s">
        <v>138</v>
      </c>
      <c r="N13" s="39" t="s">
        <v>141</v>
      </c>
      <c r="O13" s="43">
        <f t="shared" si="0"/>
        <v>48909.919999999998</v>
      </c>
      <c r="P13" s="43">
        <f t="shared" si="1"/>
        <v>44997.13</v>
      </c>
      <c r="Q13" s="43">
        <f t="shared" si="2"/>
        <v>47334.83</v>
      </c>
      <c r="R13" s="43">
        <f t="shared" si="3"/>
        <v>-2337.7000000000044</v>
      </c>
      <c r="S13" s="44">
        <f t="shared" si="4"/>
        <v>-5.1952202284901383E-2</v>
      </c>
      <c r="T13" s="39" t="str">
        <f t="shared" si="5"/>
        <v>Loss</v>
      </c>
      <c r="U13" s="39" t="str">
        <f t="shared" si="6"/>
        <v>0-9%</v>
      </c>
      <c r="V13" s="39" t="str">
        <f>IF(E13&gt;=Analysis!$B$4,"High",IF(E13&gt;=Analysis!$B$5,"Mid","Low"))</f>
        <v>Low</v>
      </c>
      <c r="W13" s="39" t="str">
        <f t="shared" si="7"/>
        <v>2023-08</v>
      </c>
      <c r="X13" s="40">
        <f t="shared" si="8"/>
        <v>45169</v>
      </c>
      <c r="Y13" s="39" t="str">
        <f t="shared" si="9"/>
        <v>2023-Q3</v>
      </c>
      <c r="Z13" s="39" t="str">
        <f t="shared" si="10"/>
        <v>Mon</v>
      </c>
      <c r="AA13" s="39">
        <f t="shared" si="11"/>
        <v>1</v>
      </c>
      <c r="AB13" s="39">
        <f t="shared" si="12"/>
        <v>34</v>
      </c>
      <c r="AC13" s="39" t="str">
        <f t="shared" si="13"/>
        <v>Weekday</v>
      </c>
      <c r="AD13" s="39">
        <f t="shared" ca="1" si="14"/>
        <v>1167</v>
      </c>
      <c r="AE13" s="39">
        <f t="shared" ca="1" si="15"/>
        <v>38</v>
      </c>
      <c r="AF13" s="39" t="str">
        <f t="shared" si="16"/>
        <v>BOB</v>
      </c>
      <c r="AG13" s="39" t="str">
        <f t="shared" si="17"/>
        <v>WO-230814-0012</v>
      </c>
      <c r="AH13" s="39" t="str">
        <f>IF(AND(OR(Filter!$B$4="All",D13=Filter!$B$4),OR(Filter!$B$5="All",M13=Filter!$B$5),E13&gt;=Filter!$B$6),MAX(AH$1:AH12)+1,"")</f>
        <v/>
      </c>
      <c r="AI13" s="39">
        <f t="shared" si="18"/>
        <v>43</v>
      </c>
      <c r="AJ13" s="42">
        <f t="shared" si="19"/>
        <v>0.08</v>
      </c>
      <c r="AK13" s="41">
        <f t="shared" si="20"/>
        <v>1137.44</v>
      </c>
      <c r="AL13" s="39">
        <f>RANK(E13,$E$2:$E$1001,0)+COUNTIF($E$2:E13,E13)-1</f>
        <v>790</v>
      </c>
    </row>
    <row r="14" spans="1:38" x14ac:dyDescent="0.2">
      <c r="A14" s="39">
        <v>1024</v>
      </c>
      <c r="B14" s="40">
        <v>45241</v>
      </c>
      <c r="C14" s="39" t="s">
        <v>79</v>
      </c>
      <c r="D14" s="39" t="s">
        <v>74</v>
      </c>
      <c r="E14" s="41">
        <v>6607.8</v>
      </c>
      <c r="F14" s="39">
        <v>21</v>
      </c>
      <c r="G14" s="39" t="s">
        <v>70</v>
      </c>
      <c r="H14" s="41">
        <v>622.01</v>
      </c>
      <c r="I14" s="41">
        <v>641.09</v>
      </c>
      <c r="J14" s="39" t="s">
        <v>137</v>
      </c>
      <c r="K14" s="42">
        <v>0</v>
      </c>
      <c r="L14" s="39" t="s">
        <v>63</v>
      </c>
      <c r="M14" s="39" t="s">
        <v>140</v>
      </c>
      <c r="N14" s="39" t="s">
        <v>149</v>
      </c>
      <c r="O14" s="43">
        <f t="shared" si="0"/>
        <v>13462.89</v>
      </c>
      <c r="P14" s="43">
        <f t="shared" si="1"/>
        <v>13462.89</v>
      </c>
      <c r="Q14" s="43">
        <f t="shared" si="2"/>
        <v>13062.21</v>
      </c>
      <c r="R14" s="43">
        <f t="shared" si="3"/>
        <v>400.68000000000029</v>
      </c>
      <c r="S14" s="44">
        <f t="shared" si="4"/>
        <v>2.9761811914083849E-2</v>
      </c>
      <c r="T14" s="39" t="str">
        <f t="shared" si="5"/>
        <v>OK</v>
      </c>
      <c r="U14" s="39" t="str">
        <f t="shared" si="6"/>
        <v>0-9%</v>
      </c>
      <c r="V14" s="39" t="str">
        <f>IF(E14&gt;=Analysis!$B$4,"High",IF(E14&gt;=Analysis!$B$5,"Mid","Low"))</f>
        <v>Mid</v>
      </c>
      <c r="W14" s="39" t="str">
        <f t="shared" si="7"/>
        <v>2023-11</v>
      </c>
      <c r="X14" s="40">
        <f t="shared" si="8"/>
        <v>45260</v>
      </c>
      <c r="Y14" s="39" t="str">
        <f t="shared" si="9"/>
        <v>2023-Q4</v>
      </c>
      <c r="Z14" s="39" t="str">
        <f t="shared" si="10"/>
        <v>Sat</v>
      </c>
      <c r="AA14" s="39">
        <f t="shared" si="11"/>
        <v>6</v>
      </c>
      <c r="AB14" s="39">
        <f t="shared" si="12"/>
        <v>46</v>
      </c>
      <c r="AC14" s="39" t="str">
        <f t="shared" si="13"/>
        <v>Weekend</v>
      </c>
      <c r="AD14" s="39">
        <f t="shared" ca="1" si="14"/>
        <v>1078</v>
      </c>
      <c r="AE14" s="39">
        <f t="shared" ca="1" si="15"/>
        <v>35</v>
      </c>
      <c r="AF14" s="39" t="str">
        <f t="shared" si="16"/>
        <v>EVE</v>
      </c>
      <c r="AG14" s="39" t="str">
        <f t="shared" si="17"/>
        <v>WR-231111-0013</v>
      </c>
      <c r="AH14" s="39" t="str">
        <f>IF(AND(OR(Filter!$B$4="All",D14=Filter!$B$4),OR(Filter!$B$5="All",M14=Filter!$B$5),E14&gt;=Filter!$B$6),MAX(AH$1:AH13)+1,"")</f>
        <v/>
      </c>
      <c r="AI14" s="39">
        <f t="shared" si="18"/>
        <v>21</v>
      </c>
      <c r="AJ14" s="42">
        <f t="shared" si="19"/>
        <v>0</v>
      </c>
      <c r="AK14" s="41">
        <f t="shared" si="20"/>
        <v>641.09</v>
      </c>
      <c r="AL14" s="39">
        <f>RANK(E14,$E$2:$E$1001,0)+COUNTIF($E$2:E14,E14)-1</f>
        <v>347</v>
      </c>
    </row>
    <row r="15" spans="1:38" x14ac:dyDescent="0.2">
      <c r="A15" s="39">
        <v>1003</v>
      </c>
      <c r="B15" s="40">
        <v>45291</v>
      </c>
      <c r="C15" s="39" t="s">
        <v>61</v>
      </c>
      <c r="D15" s="39" t="s">
        <v>69</v>
      </c>
      <c r="E15" s="41">
        <v>4775.59</v>
      </c>
      <c r="F15" s="39">
        <v>30</v>
      </c>
      <c r="G15" s="39" t="s">
        <v>75</v>
      </c>
      <c r="H15" s="41">
        <v>4190.28</v>
      </c>
      <c r="I15" s="41">
        <v>4270.6499999999996</v>
      </c>
      <c r="J15" s="39" t="s">
        <v>143</v>
      </c>
      <c r="K15" s="42">
        <v>0.2</v>
      </c>
      <c r="L15" s="39" t="s">
        <v>68</v>
      </c>
      <c r="M15" s="39" t="s">
        <v>138</v>
      </c>
      <c r="N15" s="39" t="s">
        <v>150</v>
      </c>
      <c r="O15" s="43">
        <f t="shared" si="0"/>
        <v>128119.5</v>
      </c>
      <c r="P15" s="43">
        <f t="shared" si="1"/>
        <v>102495.6</v>
      </c>
      <c r="Q15" s="43">
        <f t="shared" si="2"/>
        <v>125708.4</v>
      </c>
      <c r="R15" s="43">
        <f t="shared" si="3"/>
        <v>-23212.799999999988</v>
      </c>
      <c r="S15" s="44">
        <f t="shared" si="4"/>
        <v>-0.22647606336271983</v>
      </c>
      <c r="T15" s="39" t="str">
        <f t="shared" si="5"/>
        <v>Loss</v>
      </c>
      <c r="U15" s="39" t="str">
        <f t="shared" si="6"/>
        <v>20%+</v>
      </c>
      <c r="V15" s="39" t="str">
        <f>IF(E15&gt;=Analysis!$B$4,"High",IF(E15&gt;=Analysis!$B$5,"Mid","Low"))</f>
        <v>Mid</v>
      </c>
      <c r="W15" s="39" t="str">
        <f t="shared" si="7"/>
        <v>2023-12</v>
      </c>
      <c r="X15" s="40">
        <f t="shared" si="8"/>
        <v>45291</v>
      </c>
      <c r="Y15" s="39" t="str">
        <f t="shared" si="9"/>
        <v>2023-Q4</v>
      </c>
      <c r="Z15" s="39" t="str">
        <f t="shared" si="10"/>
        <v>Sun</v>
      </c>
      <c r="AA15" s="39">
        <f t="shared" si="11"/>
        <v>7</v>
      </c>
      <c r="AB15" s="39">
        <f t="shared" si="12"/>
        <v>53</v>
      </c>
      <c r="AC15" s="39" t="str">
        <f t="shared" si="13"/>
        <v>Weekend</v>
      </c>
      <c r="AD15" s="39">
        <f t="shared" ca="1" si="14"/>
        <v>1028</v>
      </c>
      <c r="AE15" s="39">
        <f t="shared" ca="1" si="15"/>
        <v>33</v>
      </c>
      <c r="AF15" s="39" t="str">
        <f t="shared" si="16"/>
        <v>ALI</v>
      </c>
      <c r="AG15" s="39" t="str">
        <f t="shared" si="17"/>
        <v>SO-231231-0014</v>
      </c>
      <c r="AH15" s="39" t="str">
        <f>IF(AND(OR(Filter!$B$4="All",D15=Filter!$B$4),OR(Filter!$B$5="All",M15=Filter!$B$5),E15&gt;=Filter!$B$6),MAX(AH$1:AH14)+1,"")</f>
        <v/>
      </c>
      <c r="AI15" s="39">
        <f t="shared" si="18"/>
        <v>30</v>
      </c>
      <c r="AJ15" s="42">
        <f t="shared" si="19"/>
        <v>0.2</v>
      </c>
      <c r="AK15" s="41">
        <f t="shared" si="20"/>
        <v>4270.6499999999996</v>
      </c>
      <c r="AL15" s="39">
        <f>RANK(E15,$E$2:$E$1001,0)+COUNTIF($E$2:E15,E15)-1</f>
        <v>523</v>
      </c>
    </row>
    <row r="16" spans="1:38" x14ac:dyDescent="0.2">
      <c r="A16" s="39">
        <v>1022</v>
      </c>
      <c r="B16" s="40">
        <v>45155</v>
      </c>
      <c r="C16" s="39" t="s">
        <v>71</v>
      </c>
      <c r="D16" s="39" t="s">
        <v>69</v>
      </c>
      <c r="E16" s="41">
        <v>8813.5499999999993</v>
      </c>
      <c r="F16" s="39">
        <v>21</v>
      </c>
      <c r="G16" s="39" t="s">
        <v>70</v>
      </c>
      <c r="H16" s="41">
        <v>2537.1999999999998</v>
      </c>
      <c r="I16" s="41">
        <v>2869.6</v>
      </c>
      <c r="J16" s="39" t="s">
        <v>143</v>
      </c>
      <c r="K16" s="42">
        <v>0.28999999999999998</v>
      </c>
      <c r="L16" s="39" t="s">
        <v>63</v>
      </c>
      <c r="M16" s="39" t="s">
        <v>140</v>
      </c>
      <c r="N16" s="39" t="s">
        <v>151</v>
      </c>
      <c r="O16" s="43">
        <f t="shared" si="0"/>
        <v>60261.599999999999</v>
      </c>
      <c r="P16" s="43">
        <f t="shared" si="1"/>
        <v>42785.74</v>
      </c>
      <c r="Q16" s="43">
        <f t="shared" si="2"/>
        <v>53281.2</v>
      </c>
      <c r="R16" s="43">
        <f t="shared" si="3"/>
        <v>-10495.46</v>
      </c>
      <c r="S16" s="44">
        <f t="shared" si="4"/>
        <v>-0.24530275741403559</v>
      </c>
      <c r="T16" s="39" t="str">
        <f t="shared" si="5"/>
        <v>Loss</v>
      </c>
      <c r="U16" s="39" t="str">
        <f t="shared" si="6"/>
        <v>20%+</v>
      </c>
      <c r="V16" s="39" t="str">
        <f>IF(E16&gt;=Analysis!$B$4,"High",IF(E16&gt;=Analysis!$B$5,"Mid","Low"))</f>
        <v>High</v>
      </c>
      <c r="W16" s="39" t="str">
        <f t="shared" si="7"/>
        <v>2023-08</v>
      </c>
      <c r="X16" s="40">
        <f t="shared" si="8"/>
        <v>45169</v>
      </c>
      <c r="Y16" s="39" t="str">
        <f t="shared" si="9"/>
        <v>2023-Q3</v>
      </c>
      <c r="Z16" s="39" t="str">
        <f t="shared" si="10"/>
        <v>Thu</v>
      </c>
      <c r="AA16" s="39">
        <f t="shared" si="11"/>
        <v>4</v>
      </c>
      <c r="AB16" s="39">
        <f t="shared" si="12"/>
        <v>34</v>
      </c>
      <c r="AC16" s="39" t="str">
        <f t="shared" si="13"/>
        <v>Weekday</v>
      </c>
      <c r="AD16" s="39">
        <f t="shared" ca="1" si="14"/>
        <v>1164</v>
      </c>
      <c r="AE16" s="39">
        <f t="shared" ca="1" si="15"/>
        <v>38</v>
      </c>
      <c r="AF16" s="39" t="str">
        <f t="shared" si="16"/>
        <v>CHA</v>
      </c>
      <c r="AG16" s="39" t="str">
        <f t="shared" si="17"/>
        <v>SR-230817-0015</v>
      </c>
      <c r="AH16" s="39" t="str">
        <f>IF(AND(OR(Filter!$B$4="All",D16=Filter!$B$4),OR(Filter!$B$5="All",M16=Filter!$B$5),E16&gt;=Filter!$B$6),MAX(AH$1:AH15)+1,"")</f>
        <v/>
      </c>
      <c r="AI16" s="39">
        <f t="shared" si="18"/>
        <v>21</v>
      </c>
      <c r="AJ16" s="42">
        <f t="shared" si="19"/>
        <v>0.28999999999999998</v>
      </c>
      <c r="AK16" s="41">
        <f t="shared" si="20"/>
        <v>2869.6</v>
      </c>
      <c r="AL16" s="39">
        <f>RANK(E16,$E$2:$E$1001,0)+COUNTIF($E$2:E16,E16)-1</f>
        <v>111</v>
      </c>
    </row>
    <row r="17" spans="1:38" x14ac:dyDescent="0.2">
      <c r="A17" s="39">
        <v>1053</v>
      </c>
      <c r="B17" s="40">
        <v>45215</v>
      </c>
      <c r="C17" s="39" t="s">
        <v>66</v>
      </c>
      <c r="D17" s="39" t="s">
        <v>64</v>
      </c>
      <c r="E17" s="41">
        <v>2235.83</v>
      </c>
      <c r="F17" s="39">
        <v>48</v>
      </c>
      <c r="G17" s="39" t="s">
        <v>75</v>
      </c>
      <c r="H17" s="41">
        <v>121.19</v>
      </c>
      <c r="I17" s="41">
        <v>487.65</v>
      </c>
      <c r="J17" s="39" t="s">
        <v>143</v>
      </c>
      <c r="K17" s="42">
        <v>0.18</v>
      </c>
      <c r="L17" s="39" t="s">
        <v>68</v>
      </c>
      <c r="M17" s="39" t="s">
        <v>140</v>
      </c>
      <c r="N17" s="39" t="s">
        <v>139</v>
      </c>
      <c r="O17" s="43">
        <f t="shared" si="0"/>
        <v>23407.200000000001</v>
      </c>
      <c r="P17" s="43">
        <f t="shared" si="1"/>
        <v>19193.900000000001</v>
      </c>
      <c r="Q17" s="43">
        <f t="shared" si="2"/>
        <v>5817.12</v>
      </c>
      <c r="R17" s="43">
        <f t="shared" si="3"/>
        <v>13376.780000000002</v>
      </c>
      <c r="S17" s="44">
        <f t="shared" si="4"/>
        <v>0.69692871172612136</v>
      </c>
      <c r="T17" s="39" t="str">
        <f t="shared" si="5"/>
        <v>OK</v>
      </c>
      <c r="U17" s="39" t="str">
        <f t="shared" si="6"/>
        <v>10-19%</v>
      </c>
      <c r="V17" s="39" t="str">
        <f>IF(E17&gt;=Analysis!$B$4,"High",IF(E17&gt;=Analysis!$B$5,"Mid","Low"))</f>
        <v>Low</v>
      </c>
      <c r="W17" s="39" t="str">
        <f t="shared" si="7"/>
        <v>2023-10</v>
      </c>
      <c r="X17" s="40">
        <f t="shared" si="8"/>
        <v>45230</v>
      </c>
      <c r="Y17" s="39" t="str">
        <f t="shared" si="9"/>
        <v>2023-Q4</v>
      </c>
      <c r="Z17" s="39" t="str">
        <f t="shared" si="10"/>
        <v>Mon</v>
      </c>
      <c r="AA17" s="39">
        <f t="shared" si="11"/>
        <v>1</v>
      </c>
      <c r="AB17" s="39">
        <f t="shared" si="12"/>
        <v>43</v>
      </c>
      <c r="AC17" s="39" t="str">
        <f t="shared" si="13"/>
        <v>Weekday</v>
      </c>
      <c r="AD17" s="39">
        <f t="shared" ca="1" si="14"/>
        <v>1104</v>
      </c>
      <c r="AE17" s="39">
        <f t="shared" ca="1" si="15"/>
        <v>36</v>
      </c>
      <c r="AF17" s="39" t="str">
        <f t="shared" si="16"/>
        <v>BOB</v>
      </c>
      <c r="AG17" s="39" t="str">
        <f t="shared" si="17"/>
        <v>NR-231016-0016</v>
      </c>
      <c r="AH17" s="39" t="str">
        <f>IF(AND(OR(Filter!$B$4="All",D17=Filter!$B$4),OR(Filter!$B$5="All",M17=Filter!$B$5),E17&gt;=Filter!$B$6),MAX(AH$1:AH16)+1,"")</f>
        <v/>
      </c>
      <c r="AI17" s="39">
        <f t="shared" si="18"/>
        <v>48</v>
      </c>
      <c r="AJ17" s="42">
        <f t="shared" si="19"/>
        <v>0.18</v>
      </c>
      <c r="AK17" s="41">
        <f t="shared" si="20"/>
        <v>487.65</v>
      </c>
      <c r="AL17" s="39">
        <f>RANK(E17,$E$2:$E$1001,0)+COUNTIF($E$2:E17,E17)-1</f>
        <v>787</v>
      </c>
    </row>
    <row r="18" spans="1:38" x14ac:dyDescent="0.2">
      <c r="A18" s="39">
        <v>1002</v>
      </c>
      <c r="B18" s="40">
        <v>45076</v>
      </c>
      <c r="C18" s="39" t="s">
        <v>76</v>
      </c>
      <c r="D18" s="39" t="s">
        <v>64</v>
      </c>
      <c r="E18" s="41">
        <v>6810.35</v>
      </c>
      <c r="F18" s="39">
        <v>17</v>
      </c>
      <c r="G18" s="39" t="s">
        <v>75</v>
      </c>
      <c r="H18" s="41">
        <v>4024.76</v>
      </c>
      <c r="I18" s="41">
        <v>4420.1499999999996</v>
      </c>
      <c r="J18" s="39" t="s">
        <v>137</v>
      </c>
      <c r="K18" s="42">
        <v>0.04</v>
      </c>
      <c r="L18" s="39" t="s">
        <v>68</v>
      </c>
      <c r="M18" s="39" t="s">
        <v>138</v>
      </c>
      <c r="N18" s="39" t="s">
        <v>152</v>
      </c>
      <c r="O18" s="43">
        <f t="shared" si="0"/>
        <v>75142.55</v>
      </c>
      <c r="P18" s="43">
        <f t="shared" si="1"/>
        <v>72136.850000000006</v>
      </c>
      <c r="Q18" s="43">
        <f t="shared" si="2"/>
        <v>68420.92</v>
      </c>
      <c r="R18" s="43">
        <f t="shared" si="3"/>
        <v>3715.9300000000076</v>
      </c>
      <c r="S18" s="44">
        <f t="shared" si="4"/>
        <v>5.1512229879735631E-2</v>
      </c>
      <c r="T18" s="39" t="str">
        <f t="shared" si="5"/>
        <v>OK</v>
      </c>
      <c r="U18" s="39" t="str">
        <f t="shared" si="6"/>
        <v>0-9%</v>
      </c>
      <c r="V18" s="39" t="str">
        <f>IF(E18&gt;=Analysis!$B$4,"High",IF(E18&gt;=Analysis!$B$5,"Mid","Low"))</f>
        <v>Mid</v>
      </c>
      <c r="W18" s="39" t="str">
        <f t="shared" si="7"/>
        <v>2023-05</v>
      </c>
      <c r="X18" s="40">
        <f t="shared" si="8"/>
        <v>45077</v>
      </c>
      <c r="Y18" s="39" t="str">
        <f t="shared" si="9"/>
        <v>2023-Q2</v>
      </c>
      <c r="Z18" s="39" t="str">
        <f t="shared" si="10"/>
        <v>Tue</v>
      </c>
      <c r="AA18" s="39">
        <f t="shared" si="11"/>
        <v>2</v>
      </c>
      <c r="AB18" s="39">
        <f t="shared" si="12"/>
        <v>23</v>
      </c>
      <c r="AC18" s="39" t="str">
        <f t="shared" si="13"/>
        <v>Weekday</v>
      </c>
      <c r="AD18" s="39">
        <f t="shared" ca="1" si="14"/>
        <v>1243</v>
      </c>
      <c r="AE18" s="39">
        <f t="shared" ca="1" si="15"/>
        <v>40</v>
      </c>
      <c r="AF18" s="39" t="str">
        <f t="shared" si="16"/>
        <v>DAV</v>
      </c>
      <c r="AG18" s="39" t="str">
        <f t="shared" si="17"/>
        <v>NO-230530-0017</v>
      </c>
      <c r="AH18" s="39" t="str">
        <f>IF(AND(OR(Filter!$B$4="All",D18=Filter!$B$4),OR(Filter!$B$5="All",M18=Filter!$B$5),E18&gt;=Filter!$B$6),MAX(AH$1:AH17)+1,"")</f>
        <v/>
      </c>
      <c r="AI18" s="39">
        <f t="shared" si="18"/>
        <v>17</v>
      </c>
      <c r="AJ18" s="42">
        <f t="shared" si="19"/>
        <v>0.04</v>
      </c>
      <c r="AK18" s="41">
        <f t="shared" si="20"/>
        <v>4420.1499999999996</v>
      </c>
      <c r="AL18" s="39">
        <f>RANK(E18,$E$2:$E$1001,0)+COUNTIF($E$2:E18,E18)-1</f>
        <v>317</v>
      </c>
    </row>
    <row r="19" spans="1:38" x14ac:dyDescent="0.2">
      <c r="A19" s="39">
        <v>1088</v>
      </c>
      <c r="B19" s="40">
        <v>45203</v>
      </c>
      <c r="C19" s="39" t="s">
        <v>66</v>
      </c>
      <c r="D19" s="39" t="s">
        <v>59</v>
      </c>
      <c r="E19" s="41">
        <v>6116.75</v>
      </c>
      <c r="F19" s="39">
        <v>40</v>
      </c>
      <c r="G19" s="39" t="s">
        <v>65</v>
      </c>
      <c r="H19" s="41">
        <v>4904.93</v>
      </c>
      <c r="I19" s="41">
        <v>5034.3500000000004</v>
      </c>
      <c r="J19" s="39" t="s">
        <v>143</v>
      </c>
      <c r="K19" s="42">
        <v>0.1</v>
      </c>
      <c r="L19" s="39" t="s">
        <v>73</v>
      </c>
      <c r="M19" s="39" t="s">
        <v>140</v>
      </c>
      <c r="N19" s="39" t="s">
        <v>153</v>
      </c>
      <c r="O19" s="43">
        <f t="shared" si="0"/>
        <v>201374</v>
      </c>
      <c r="P19" s="43">
        <f t="shared" si="1"/>
        <v>181236.6</v>
      </c>
      <c r="Q19" s="43">
        <f t="shared" si="2"/>
        <v>196197.2</v>
      </c>
      <c r="R19" s="43">
        <f t="shared" si="3"/>
        <v>-14960.600000000006</v>
      </c>
      <c r="S19" s="44">
        <f t="shared" si="4"/>
        <v>-8.2547344189860136E-2</v>
      </c>
      <c r="T19" s="39" t="str">
        <f t="shared" si="5"/>
        <v>Loss</v>
      </c>
      <c r="U19" s="39" t="str">
        <f t="shared" si="6"/>
        <v>10-19%</v>
      </c>
      <c r="V19" s="39" t="str">
        <f>IF(E19&gt;=Analysis!$B$4,"High",IF(E19&gt;=Analysis!$B$5,"Mid","Low"))</f>
        <v>Mid</v>
      </c>
      <c r="W19" s="39" t="str">
        <f t="shared" si="7"/>
        <v>2023-10</v>
      </c>
      <c r="X19" s="40">
        <f t="shared" si="8"/>
        <v>45230</v>
      </c>
      <c r="Y19" s="39" t="str">
        <f t="shared" si="9"/>
        <v>2023-Q4</v>
      </c>
      <c r="Z19" s="39" t="str">
        <f t="shared" si="10"/>
        <v>Wed</v>
      </c>
      <c r="AA19" s="39">
        <f t="shared" si="11"/>
        <v>3</v>
      </c>
      <c r="AB19" s="39">
        <f t="shared" si="12"/>
        <v>41</v>
      </c>
      <c r="AC19" s="39" t="str">
        <f t="shared" si="13"/>
        <v>Weekday</v>
      </c>
      <c r="AD19" s="39">
        <f t="shared" ca="1" si="14"/>
        <v>1116</v>
      </c>
      <c r="AE19" s="39">
        <f t="shared" ca="1" si="15"/>
        <v>36</v>
      </c>
      <c r="AF19" s="39" t="str">
        <f t="shared" si="16"/>
        <v>BOB</v>
      </c>
      <c r="AG19" s="39" t="str">
        <f t="shared" si="17"/>
        <v>ER-231004-0018</v>
      </c>
      <c r="AH19" s="39" t="str">
        <f>IF(AND(OR(Filter!$B$4="All",D19=Filter!$B$4),OR(Filter!$B$5="All",M19=Filter!$B$5),E19&gt;=Filter!$B$6),MAX(AH$1:AH18)+1,"")</f>
        <v/>
      </c>
      <c r="AI19" s="39">
        <f t="shared" si="18"/>
        <v>40</v>
      </c>
      <c r="AJ19" s="42">
        <f t="shared" si="19"/>
        <v>0.1</v>
      </c>
      <c r="AK19" s="41">
        <f t="shared" si="20"/>
        <v>5034.3500000000004</v>
      </c>
      <c r="AL19" s="39">
        <f>RANK(E19,$E$2:$E$1001,0)+COUNTIF($E$2:E19,E19)-1</f>
        <v>395</v>
      </c>
    </row>
    <row r="20" spans="1:38" x14ac:dyDescent="0.2">
      <c r="A20" s="39">
        <v>1030</v>
      </c>
      <c r="B20" s="40">
        <v>45124</v>
      </c>
      <c r="C20" s="39" t="s">
        <v>76</v>
      </c>
      <c r="D20" s="39" t="s">
        <v>74</v>
      </c>
      <c r="E20" s="41">
        <v>3023.48</v>
      </c>
      <c r="F20" s="39">
        <v>19</v>
      </c>
      <c r="G20" s="39" t="s">
        <v>60</v>
      </c>
      <c r="H20" s="41">
        <v>3049.33</v>
      </c>
      <c r="I20" s="41">
        <v>3209.22</v>
      </c>
      <c r="J20" s="39" t="s">
        <v>137</v>
      </c>
      <c r="K20" s="42">
        <v>0.26</v>
      </c>
      <c r="L20" s="39" t="s">
        <v>68</v>
      </c>
      <c r="M20" s="39" t="s">
        <v>138</v>
      </c>
      <c r="N20" s="39" t="s">
        <v>154</v>
      </c>
      <c r="O20" s="43">
        <f t="shared" si="0"/>
        <v>60975.18</v>
      </c>
      <c r="P20" s="43">
        <f t="shared" si="1"/>
        <v>45121.63</v>
      </c>
      <c r="Q20" s="43">
        <f t="shared" si="2"/>
        <v>57937.27</v>
      </c>
      <c r="R20" s="43">
        <f t="shared" si="3"/>
        <v>-12815.64</v>
      </c>
      <c r="S20" s="44">
        <f t="shared" si="4"/>
        <v>-0.28402431383795312</v>
      </c>
      <c r="T20" s="39" t="str">
        <f t="shared" si="5"/>
        <v>Loss</v>
      </c>
      <c r="U20" s="39" t="str">
        <f t="shared" si="6"/>
        <v>20%+</v>
      </c>
      <c r="V20" s="39" t="str">
        <f>IF(E20&gt;=Analysis!$B$4,"High",IF(E20&gt;=Analysis!$B$5,"Mid","Low"))</f>
        <v>Mid</v>
      </c>
      <c r="W20" s="39" t="str">
        <f t="shared" si="7"/>
        <v>2023-07</v>
      </c>
      <c r="X20" s="40">
        <f t="shared" si="8"/>
        <v>45138</v>
      </c>
      <c r="Y20" s="39" t="str">
        <f t="shared" si="9"/>
        <v>2023-Q3</v>
      </c>
      <c r="Z20" s="39" t="str">
        <f t="shared" si="10"/>
        <v>Mon</v>
      </c>
      <c r="AA20" s="39">
        <f t="shared" si="11"/>
        <v>1</v>
      </c>
      <c r="AB20" s="39">
        <f t="shared" si="12"/>
        <v>30</v>
      </c>
      <c r="AC20" s="39" t="str">
        <f t="shared" si="13"/>
        <v>Weekday</v>
      </c>
      <c r="AD20" s="39">
        <f t="shared" ca="1" si="14"/>
        <v>1195</v>
      </c>
      <c r="AE20" s="39">
        <f t="shared" ca="1" si="15"/>
        <v>39</v>
      </c>
      <c r="AF20" s="39" t="str">
        <f t="shared" si="16"/>
        <v>DAV</v>
      </c>
      <c r="AG20" s="39" t="str">
        <f t="shared" si="17"/>
        <v>WO-230717-0019</v>
      </c>
      <c r="AH20" s="39" t="str">
        <f>IF(AND(OR(Filter!$B$4="All",D20=Filter!$B$4),OR(Filter!$B$5="All",M20=Filter!$B$5),E20&gt;=Filter!$B$6),MAX(AH$1:AH19)+1,"")</f>
        <v/>
      </c>
      <c r="AI20" s="39">
        <f t="shared" si="18"/>
        <v>19</v>
      </c>
      <c r="AJ20" s="42">
        <f t="shared" si="19"/>
        <v>0.26</v>
      </c>
      <c r="AK20" s="41">
        <f t="shared" si="20"/>
        <v>3209.22</v>
      </c>
      <c r="AL20" s="39">
        <f>RANK(E20,$E$2:$E$1001,0)+COUNTIF($E$2:E20,E20)-1</f>
        <v>692</v>
      </c>
    </row>
    <row r="21" spans="1:38" x14ac:dyDescent="0.2">
      <c r="A21" s="39">
        <v>1038</v>
      </c>
      <c r="B21" s="40">
        <v>44996</v>
      </c>
      <c r="C21" s="39" t="s">
        <v>66</v>
      </c>
      <c r="D21" s="39" t="s">
        <v>69</v>
      </c>
      <c r="E21" s="41">
        <v>1452.35</v>
      </c>
      <c r="F21" s="39">
        <v>15</v>
      </c>
      <c r="G21" s="39" t="s">
        <v>60</v>
      </c>
      <c r="H21" s="41">
        <v>2543.36</v>
      </c>
      <c r="I21" s="41">
        <v>2790.1</v>
      </c>
      <c r="J21" s="39" t="s">
        <v>137</v>
      </c>
      <c r="K21" s="42">
        <v>7.0000000000000007E-2</v>
      </c>
      <c r="L21" s="39" t="s">
        <v>68</v>
      </c>
      <c r="M21" s="39" t="s">
        <v>138</v>
      </c>
      <c r="N21" s="39" t="s">
        <v>144</v>
      </c>
      <c r="O21" s="43">
        <f t="shared" si="0"/>
        <v>41851.5</v>
      </c>
      <c r="P21" s="43">
        <f t="shared" si="1"/>
        <v>38921.9</v>
      </c>
      <c r="Q21" s="43">
        <f t="shared" si="2"/>
        <v>38150.400000000001</v>
      </c>
      <c r="R21" s="43">
        <f t="shared" si="3"/>
        <v>771.5</v>
      </c>
      <c r="S21" s="44">
        <f t="shared" si="4"/>
        <v>1.9821745598236469E-2</v>
      </c>
      <c r="T21" s="39" t="str">
        <f t="shared" si="5"/>
        <v>OK</v>
      </c>
      <c r="U21" s="39" t="str">
        <f t="shared" si="6"/>
        <v>0-9%</v>
      </c>
      <c r="V21" s="39" t="str">
        <f>IF(E21&gt;=Analysis!$B$4,"High",IF(E21&gt;=Analysis!$B$5,"Mid","Low"))</f>
        <v>Low</v>
      </c>
      <c r="W21" s="39" t="str">
        <f t="shared" si="7"/>
        <v>2023-03</v>
      </c>
      <c r="X21" s="40">
        <f t="shared" si="8"/>
        <v>45016</v>
      </c>
      <c r="Y21" s="39" t="str">
        <f t="shared" si="9"/>
        <v>2023-Q1</v>
      </c>
      <c r="Z21" s="39" t="str">
        <f t="shared" si="10"/>
        <v>Sat</v>
      </c>
      <c r="AA21" s="39">
        <f t="shared" si="11"/>
        <v>6</v>
      </c>
      <c r="AB21" s="39">
        <f t="shared" si="12"/>
        <v>11</v>
      </c>
      <c r="AC21" s="39" t="str">
        <f t="shared" si="13"/>
        <v>Weekend</v>
      </c>
      <c r="AD21" s="39">
        <f t="shared" ca="1" si="14"/>
        <v>1323</v>
      </c>
      <c r="AE21" s="39">
        <f t="shared" ca="1" si="15"/>
        <v>43</v>
      </c>
      <c r="AF21" s="39" t="str">
        <f t="shared" si="16"/>
        <v>BOB</v>
      </c>
      <c r="AG21" s="39" t="str">
        <f t="shared" si="17"/>
        <v>SO-230311-0020</v>
      </c>
      <c r="AH21" s="39" t="str">
        <f>IF(AND(OR(Filter!$B$4="All",D21=Filter!$B$4),OR(Filter!$B$5="All",M21=Filter!$B$5),E21&gt;=Filter!$B$6),MAX(AH$1:AH20)+1,"")</f>
        <v/>
      </c>
      <c r="AI21" s="39">
        <f t="shared" si="18"/>
        <v>15</v>
      </c>
      <c r="AJ21" s="42">
        <f t="shared" si="19"/>
        <v>7.0000000000000007E-2</v>
      </c>
      <c r="AK21" s="41">
        <f t="shared" si="20"/>
        <v>2790.1</v>
      </c>
      <c r="AL21" s="39">
        <f>RANK(E21,$E$2:$E$1001,0)+COUNTIF($E$2:E21,E21)-1</f>
        <v>873</v>
      </c>
    </row>
    <row r="22" spans="1:38" x14ac:dyDescent="0.2">
      <c r="A22" s="39">
        <v>1002</v>
      </c>
      <c r="B22" s="40">
        <v>45038</v>
      </c>
      <c r="C22" s="39" t="s">
        <v>79</v>
      </c>
      <c r="D22" s="39" t="s">
        <v>64</v>
      </c>
      <c r="E22" s="41">
        <v>6551.23</v>
      </c>
      <c r="F22" s="39">
        <v>9</v>
      </c>
      <c r="G22" s="39" t="s">
        <v>65</v>
      </c>
      <c r="H22" s="41">
        <v>4398.16</v>
      </c>
      <c r="I22" s="41">
        <v>4439.12</v>
      </c>
      <c r="J22" s="39" t="s">
        <v>143</v>
      </c>
      <c r="K22" s="42">
        <v>0.18</v>
      </c>
      <c r="L22" s="39" t="s">
        <v>63</v>
      </c>
      <c r="M22" s="39" t="s">
        <v>138</v>
      </c>
      <c r="N22" s="39" t="s">
        <v>148</v>
      </c>
      <c r="O22" s="43">
        <f t="shared" si="0"/>
        <v>39952.080000000002</v>
      </c>
      <c r="P22" s="43">
        <f t="shared" si="1"/>
        <v>32760.71</v>
      </c>
      <c r="Q22" s="43">
        <f t="shared" si="2"/>
        <v>39583.440000000002</v>
      </c>
      <c r="R22" s="43">
        <f t="shared" si="3"/>
        <v>-6822.7300000000032</v>
      </c>
      <c r="S22" s="44">
        <f t="shared" si="4"/>
        <v>-0.20825952795284361</v>
      </c>
      <c r="T22" s="39" t="str">
        <f t="shared" si="5"/>
        <v>Loss</v>
      </c>
      <c r="U22" s="39" t="str">
        <f t="shared" si="6"/>
        <v>10-19%</v>
      </c>
      <c r="V22" s="39" t="str">
        <f>IF(E22&gt;=Analysis!$B$4,"High",IF(E22&gt;=Analysis!$B$5,"Mid","Low"))</f>
        <v>Mid</v>
      </c>
      <c r="W22" s="39" t="str">
        <f t="shared" si="7"/>
        <v>2023-04</v>
      </c>
      <c r="X22" s="40">
        <f t="shared" si="8"/>
        <v>45046</v>
      </c>
      <c r="Y22" s="39" t="str">
        <f t="shared" si="9"/>
        <v>2023-Q2</v>
      </c>
      <c r="Z22" s="39" t="str">
        <f t="shared" si="10"/>
        <v>Sat</v>
      </c>
      <c r="AA22" s="39">
        <f t="shared" si="11"/>
        <v>6</v>
      </c>
      <c r="AB22" s="39">
        <f t="shared" si="12"/>
        <v>17</v>
      </c>
      <c r="AC22" s="39" t="str">
        <f t="shared" si="13"/>
        <v>Weekend</v>
      </c>
      <c r="AD22" s="39">
        <f t="shared" ca="1" si="14"/>
        <v>1281</v>
      </c>
      <c r="AE22" s="39">
        <f t="shared" ca="1" si="15"/>
        <v>42</v>
      </c>
      <c r="AF22" s="39" t="str">
        <f t="shared" si="16"/>
        <v>EVE</v>
      </c>
      <c r="AG22" s="39" t="str">
        <f t="shared" si="17"/>
        <v>NO-230422-0021</v>
      </c>
      <c r="AH22" s="39" t="str">
        <f>IF(AND(OR(Filter!$B$4="All",D22=Filter!$B$4),OR(Filter!$B$5="All",M22=Filter!$B$5),E22&gt;=Filter!$B$6),MAX(AH$1:AH21)+1,"")</f>
        <v/>
      </c>
      <c r="AI22" s="39">
        <f t="shared" si="18"/>
        <v>9</v>
      </c>
      <c r="AJ22" s="42">
        <f t="shared" si="19"/>
        <v>0.18</v>
      </c>
      <c r="AK22" s="41">
        <f t="shared" si="20"/>
        <v>4439.12</v>
      </c>
      <c r="AL22" s="39">
        <f>RANK(E22,$E$2:$E$1001,0)+COUNTIF($E$2:E22,E22)-1</f>
        <v>355</v>
      </c>
    </row>
    <row r="23" spans="1:38" x14ac:dyDescent="0.2">
      <c r="A23" s="39">
        <v>1064</v>
      </c>
      <c r="B23" s="40">
        <v>44930</v>
      </c>
      <c r="C23" s="39" t="s">
        <v>79</v>
      </c>
      <c r="D23" s="39" t="s">
        <v>59</v>
      </c>
      <c r="E23" s="41">
        <v>7412.11</v>
      </c>
      <c r="F23" s="39">
        <v>10</v>
      </c>
      <c r="G23" s="39" t="s">
        <v>65</v>
      </c>
      <c r="H23" s="41">
        <v>4764.96</v>
      </c>
      <c r="I23" s="41">
        <v>5074.42</v>
      </c>
      <c r="J23" s="39" t="s">
        <v>143</v>
      </c>
      <c r="K23" s="42">
        <v>0.12</v>
      </c>
      <c r="L23" s="39" t="s">
        <v>68</v>
      </c>
      <c r="M23" s="39" t="s">
        <v>138</v>
      </c>
      <c r="N23" s="39" t="s">
        <v>155</v>
      </c>
      <c r="O23" s="43">
        <f t="shared" si="0"/>
        <v>50744.2</v>
      </c>
      <c r="P23" s="43">
        <f t="shared" si="1"/>
        <v>44654.9</v>
      </c>
      <c r="Q23" s="43">
        <f t="shared" si="2"/>
        <v>47649.599999999999</v>
      </c>
      <c r="R23" s="43">
        <f t="shared" si="3"/>
        <v>-2994.6999999999971</v>
      </c>
      <c r="S23" s="44">
        <f t="shared" si="4"/>
        <v>-6.7063189034126086E-2</v>
      </c>
      <c r="T23" s="39" t="str">
        <f t="shared" si="5"/>
        <v>Loss</v>
      </c>
      <c r="U23" s="39" t="str">
        <f t="shared" si="6"/>
        <v>10-19%</v>
      </c>
      <c r="V23" s="39" t="str">
        <f>IF(E23&gt;=Analysis!$B$4,"High",IF(E23&gt;=Analysis!$B$5,"Mid","Low"))</f>
        <v>Mid</v>
      </c>
      <c r="W23" s="39" t="str">
        <f t="shared" si="7"/>
        <v>2023-01</v>
      </c>
      <c r="X23" s="40">
        <f t="shared" si="8"/>
        <v>44957</v>
      </c>
      <c r="Y23" s="39" t="str">
        <f t="shared" si="9"/>
        <v>2023-Q1</v>
      </c>
      <c r="Z23" s="39" t="str">
        <f t="shared" si="10"/>
        <v>Wed</v>
      </c>
      <c r="AA23" s="39">
        <f t="shared" si="11"/>
        <v>3</v>
      </c>
      <c r="AB23" s="39">
        <f t="shared" si="12"/>
        <v>2</v>
      </c>
      <c r="AC23" s="39" t="str">
        <f t="shared" si="13"/>
        <v>Weekday</v>
      </c>
      <c r="AD23" s="39">
        <f t="shared" ca="1" si="14"/>
        <v>1389</v>
      </c>
      <c r="AE23" s="39">
        <f t="shared" ca="1" si="15"/>
        <v>45</v>
      </c>
      <c r="AF23" s="39" t="str">
        <f t="shared" si="16"/>
        <v>EVE</v>
      </c>
      <c r="AG23" s="39" t="str">
        <f t="shared" si="17"/>
        <v>EO-230104-0022</v>
      </c>
      <c r="AH23" s="39" t="str">
        <f>IF(AND(OR(Filter!$B$4="All",D23=Filter!$B$4),OR(Filter!$B$5="All",M23=Filter!$B$5),E23&gt;=Filter!$B$6),MAX(AH$1:AH22)+1,"")</f>
        <v/>
      </c>
      <c r="AI23" s="39">
        <f t="shared" si="18"/>
        <v>10</v>
      </c>
      <c r="AJ23" s="42">
        <f t="shared" si="19"/>
        <v>0.12</v>
      </c>
      <c r="AK23" s="41">
        <f t="shared" si="20"/>
        <v>5074.42</v>
      </c>
      <c r="AL23" s="39">
        <f>RANK(E23,$E$2:$E$1001,0)+COUNTIF($E$2:E23,E23)-1</f>
        <v>258</v>
      </c>
    </row>
    <row r="24" spans="1:38" x14ac:dyDescent="0.2">
      <c r="A24" s="39">
        <v>1060</v>
      </c>
      <c r="B24" s="40">
        <v>45276</v>
      </c>
      <c r="C24" s="39" t="s">
        <v>79</v>
      </c>
      <c r="D24" s="39" t="s">
        <v>59</v>
      </c>
      <c r="E24" s="41">
        <v>3224.71</v>
      </c>
      <c r="F24" s="39">
        <v>44</v>
      </c>
      <c r="G24" s="39" t="s">
        <v>60</v>
      </c>
      <c r="H24" s="41">
        <v>3784.96</v>
      </c>
      <c r="I24" s="41">
        <v>4276.99</v>
      </c>
      <c r="J24" s="39" t="s">
        <v>143</v>
      </c>
      <c r="K24" s="42">
        <v>0.06</v>
      </c>
      <c r="L24" s="39" t="s">
        <v>63</v>
      </c>
      <c r="M24" s="39" t="s">
        <v>140</v>
      </c>
      <c r="N24" s="39" t="s">
        <v>155</v>
      </c>
      <c r="O24" s="43">
        <f t="shared" si="0"/>
        <v>188187.56</v>
      </c>
      <c r="P24" s="43">
        <f t="shared" si="1"/>
        <v>176896.31</v>
      </c>
      <c r="Q24" s="43">
        <f t="shared" si="2"/>
        <v>166538.23999999999</v>
      </c>
      <c r="R24" s="43">
        <f t="shared" si="3"/>
        <v>10358.070000000007</v>
      </c>
      <c r="S24" s="44">
        <f t="shared" si="4"/>
        <v>5.8554471825896237E-2</v>
      </c>
      <c r="T24" s="39" t="str">
        <f t="shared" si="5"/>
        <v>OK</v>
      </c>
      <c r="U24" s="39" t="str">
        <f t="shared" si="6"/>
        <v>0-9%</v>
      </c>
      <c r="V24" s="39" t="str">
        <f>IF(E24&gt;=Analysis!$B$4,"High",IF(E24&gt;=Analysis!$B$5,"Mid","Low"))</f>
        <v>Mid</v>
      </c>
      <c r="W24" s="39" t="str">
        <f t="shared" si="7"/>
        <v>2023-12</v>
      </c>
      <c r="X24" s="40">
        <f t="shared" si="8"/>
        <v>45291</v>
      </c>
      <c r="Y24" s="39" t="str">
        <f t="shared" si="9"/>
        <v>2023-Q4</v>
      </c>
      <c r="Z24" s="39" t="str">
        <f t="shared" si="10"/>
        <v>Sat</v>
      </c>
      <c r="AA24" s="39">
        <f t="shared" si="11"/>
        <v>6</v>
      </c>
      <c r="AB24" s="39">
        <f t="shared" si="12"/>
        <v>51</v>
      </c>
      <c r="AC24" s="39" t="str">
        <f t="shared" si="13"/>
        <v>Weekend</v>
      </c>
      <c r="AD24" s="39">
        <f t="shared" ca="1" si="14"/>
        <v>1043</v>
      </c>
      <c r="AE24" s="39">
        <f t="shared" ca="1" si="15"/>
        <v>34</v>
      </c>
      <c r="AF24" s="39" t="str">
        <f t="shared" si="16"/>
        <v>EVE</v>
      </c>
      <c r="AG24" s="39" t="str">
        <f t="shared" si="17"/>
        <v>ER-231216-0023</v>
      </c>
      <c r="AH24" s="39" t="str">
        <f>IF(AND(OR(Filter!$B$4="All",D24=Filter!$B$4),OR(Filter!$B$5="All",M24=Filter!$B$5),E24&gt;=Filter!$B$6),MAX(AH$1:AH23)+1,"")</f>
        <v/>
      </c>
      <c r="AI24" s="39">
        <f t="shared" si="18"/>
        <v>44</v>
      </c>
      <c r="AJ24" s="42">
        <f t="shared" si="19"/>
        <v>0.06</v>
      </c>
      <c r="AK24" s="41">
        <f t="shared" si="20"/>
        <v>4276.99</v>
      </c>
      <c r="AL24" s="39">
        <f>RANK(E24,$E$2:$E$1001,0)+COUNTIF($E$2:E24,E24)-1</f>
        <v>671</v>
      </c>
    </row>
    <row r="25" spans="1:38" x14ac:dyDescent="0.2">
      <c r="A25" s="39">
        <v>1021</v>
      </c>
      <c r="B25" s="40">
        <v>45257</v>
      </c>
      <c r="C25" s="39" t="s">
        <v>61</v>
      </c>
      <c r="D25" s="39" t="s">
        <v>69</v>
      </c>
      <c r="E25" s="41">
        <v>6483.84</v>
      </c>
      <c r="F25" s="39">
        <v>31</v>
      </c>
      <c r="G25" s="39" t="s">
        <v>75</v>
      </c>
      <c r="H25" s="41">
        <v>2254.9899999999998</v>
      </c>
      <c r="I25" s="41">
        <v>2441.79</v>
      </c>
      <c r="J25" s="39" t="s">
        <v>137</v>
      </c>
      <c r="K25" s="42">
        <v>0.24</v>
      </c>
      <c r="L25" s="39" t="s">
        <v>63</v>
      </c>
      <c r="M25" s="39" t="s">
        <v>138</v>
      </c>
      <c r="N25" s="39" t="s">
        <v>150</v>
      </c>
      <c r="O25" s="43">
        <f t="shared" si="0"/>
        <v>75695.490000000005</v>
      </c>
      <c r="P25" s="43">
        <f t="shared" si="1"/>
        <v>57528.57</v>
      </c>
      <c r="Q25" s="43">
        <f t="shared" si="2"/>
        <v>69904.69</v>
      </c>
      <c r="R25" s="43">
        <f t="shared" si="3"/>
        <v>-12376.120000000003</v>
      </c>
      <c r="S25" s="44">
        <f t="shared" si="4"/>
        <v>-0.21512997802657016</v>
      </c>
      <c r="T25" s="39" t="str">
        <f t="shared" si="5"/>
        <v>Loss</v>
      </c>
      <c r="U25" s="39" t="str">
        <f t="shared" si="6"/>
        <v>20%+</v>
      </c>
      <c r="V25" s="39" t="str">
        <f>IF(E25&gt;=Analysis!$B$4,"High",IF(E25&gt;=Analysis!$B$5,"Mid","Low"))</f>
        <v>Mid</v>
      </c>
      <c r="W25" s="39" t="str">
        <f t="shared" si="7"/>
        <v>2023-11</v>
      </c>
      <c r="X25" s="40">
        <f t="shared" si="8"/>
        <v>45260</v>
      </c>
      <c r="Y25" s="39" t="str">
        <f t="shared" si="9"/>
        <v>2023-Q4</v>
      </c>
      <c r="Z25" s="39" t="str">
        <f t="shared" si="10"/>
        <v>Mon</v>
      </c>
      <c r="AA25" s="39">
        <f t="shared" si="11"/>
        <v>1</v>
      </c>
      <c r="AB25" s="39">
        <f t="shared" si="12"/>
        <v>49</v>
      </c>
      <c r="AC25" s="39" t="str">
        <f t="shared" si="13"/>
        <v>Weekday</v>
      </c>
      <c r="AD25" s="39">
        <f t="shared" ca="1" si="14"/>
        <v>1062</v>
      </c>
      <c r="AE25" s="39">
        <f t="shared" ca="1" si="15"/>
        <v>34</v>
      </c>
      <c r="AF25" s="39" t="str">
        <f t="shared" si="16"/>
        <v>ALI</v>
      </c>
      <c r="AG25" s="39" t="str">
        <f t="shared" si="17"/>
        <v>SO-231127-0024</v>
      </c>
      <c r="AH25" s="39" t="str">
        <f>IF(AND(OR(Filter!$B$4="All",D25=Filter!$B$4),OR(Filter!$B$5="All",M25=Filter!$B$5),E25&gt;=Filter!$B$6),MAX(AH$1:AH24)+1,"")</f>
        <v/>
      </c>
      <c r="AI25" s="39">
        <f t="shared" si="18"/>
        <v>31</v>
      </c>
      <c r="AJ25" s="42">
        <f t="shared" si="19"/>
        <v>0.24</v>
      </c>
      <c r="AK25" s="41">
        <f t="shared" si="20"/>
        <v>2441.79</v>
      </c>
      <c r="AL25" s="39">
        <f>RANK(E25,$E$2:$E$1001,0)+COUNTIF($E$2:E25,E25)-1</f>
        <v>362</v>
      </c>
    </row>
    <row r="26" spans="1:38" x14ac:dyDescent="0.2">
      <c r="A26" s="39">
        <v>1033</v>
      </c>
      <c r="B26" s="40">
        <v>45244</v>
      </c>
      <c r="C26" s="39" t="s">
        <v>76</v>
      </c>
      <c r="D26" s="39" t="s">
        <v>69</v>
      </c>
      <c r="E26" s="41">
        <v>4011.8</v>
      </c>
      <c r="F26" s="39">
        <v>23</v>
      </c>
      <c r="G26" s="39" t="s">
        <v>75</v>
      </c>
      <c r="H26" s="41">
        <v>2981.5</v>
      </c>
      <c r="I26" s="41">
        <v>3360.4</v>
      </c>
      <c r="J26" s="39" t="s">
        <v>137</v>
      </c>
      <c r="K26" s="42">
        <v>0.22</v>
      </c>
      <c r="L26" s="39" t="s">
        <v>63</v>
      </c>
      <c r="M26" s="39" t="s">
        <v>140</v>
      </c>
      <c r="N26" s="39" t="s">
        <v>142</v>
      </c>
      <c r="O26" s="43">
        <f t="shared" si="0"/>
        <v>77289.2</v>
      </c>
      <c r="P26" s="43">
        <f t="shared" si="1"/>
        <v>60285.58</v>
      </c>
      <c r="Q26" s="43">
        <f t="shared" si="2"/>
        <v>68574.5</v>
      </c>
      <c r="R26" s="43">
        <f t="shared" si="3"/>
        <v>-8288.9199999999983</v>
      </c>
      <c r="S26" s="44">
        <f t="shared" si="4"/>
        <v>-0.1374942399160794</v>
      </c>
      <c r="T26" s="39" t="str">
        <f t="shared" si="5"/>
        <v>Loss</v>
      </c>
      <c r="U26" s="39" t="str">
        <f t="shared" si="6"/>
        <v>20%+</v>
      </c>
      <c r="V26" s="39" t="str">
        <f>IF(E26&gt;=Analysis!$B$4,"High",IF(E26&gt;=Analysis!$B$5,"Mid","Low"))</f>
        <v>Mid</v>
      </c>
      <c r="W26" s="39" t="str">
        <f t="shared" si="7"/>
        <v>2023-11</v>
      </c>
      <c r="X26" s="40">
        <f t="shared" si="8"/>
        <v>45260</v>
      </c>
      <c r="Y26" s="39" t="str">
        <f t="shared" si="9"/>
        <v>2023-Q4</v>
      </c>
      <c r="Z26" s="39" t="str">
        <f t="shared" si="10"/>
        <v>Tue</v>
      </c>
      <c r="AA26" s="39">
        <f t="shared" si="11"/>
        <v>2</v>
      </c>
      <c r="AB26" s="39">
        <f t="shared" si="12"/>
        <v>47</v>
      </c>
      <c r="AC26" s="39" t="str">
        <f t="shared" si="13"/>
        <v>Weekday</v>
      </c>
      <c r="AD26" s="39">
        <f t="shared" ca="1" si="14"/>
        <v>1075</v>
      </c>
      <c r="AE26" s="39">
        <f t="shared" ca="1" si="15"/>
        <v>35</v>
      </c>
      <c r="AF26" s="39" t="str">
        <f t="shared" si="16"/>
        <v>DAV</v>
      </c>
      <c r="AG26" s="39" t="str">
        <f t="shared" si="17"/>
        <v>SR-231114-0025</v>
      </c>
      <c r="AH26" s="39" t="str">
        <f>IF(AND(OR(Filter!$B$4="All",D26=Filter!$B$4),OR(Filter!$B$5="All",M26=Filter!$B$5),E26&gt;=Filter!$B$6),MAX(AH$1:AH25)+1,"")</f>
        <v/>
      </c>
      <c r="AI26" s="39">
        <f t="shared" si="18"/>
        <v>23</v>
      </c>
      <c r="AJ26" s="42">
        <f t="shared" si="19"/>
        <v>0.22</v>
      </c>
      <c r="AK26" s="41">
        <f t="shared" si="20"/>
        <v>3360.4</v>
      </c>
      <c r="AL26" s="39">
        <f>RANK(E26,$E$2:$E$1001,0)+COUNTIF($E$2:E26,E26)-1</f>
        <v>596</v>
      </c>
    </row>
    <row r="27" spans="1:38" x14ac:dyDescent="0.2">
      <c r="A27" s="39">
        <v>1076</v>
      </c>
      <c r="B27" s="40">
        <v>45276</v>
      </c>
      <c r="C27" s="39" t="s">
        <v>79</v>
      </c>
      <c r="D27" s="39" t="s">
        <v>59</v>
      </c>
      <c r="E27" s="41">
        <v>7160.75</v>
      </c>
      <c r="F27" s="39">
        <v>30</v>
      </c>
      <c r="G27" s="39" t="s">
        <v>60</v>
      </c>
      <c r="H27" s="41">
        <v>3519.63</v>
      </c>
      <c r="I27" s="41">
        <v>3774.65</v>
      </c>
      <c r="J27" s="39" t="s">
        <v>143</v>
      </c>
      <c r="K27" s="42">
        <v>0.2</v>
      </c>
      <c r="L27" s="39" t="s">
        <v>73</v>
      </c>
      <c r="M27" s="39" t="s">
        <v>140</v>
      </c>
      <c r="N27" s="39" t="s">
        <v>155</v>
      </c>
      <c r="O27" s="43">
        <f t="shared" si="0"/>
        <v>113239.5</v>
      </c>
      <c r="P27" s="43">
        <f t="shared" si="1"/>
        <v>90591.6</v>
      </c>
      <c r="Q27" s="43">
        <f t="shared" si="2"/>
        <v>105588.9</v>
      </c>
      <c r="R27" s="43">
        <f t="shared" si="3"/>
        <v>-14997.299999999988</v>
      </c>
      <c r="S27" s="44">
        <f t="shared" si="4"/>
        <v>-0.1655484614467565</v>
      </c>
      <c r="T27" s="39" t="str">
        <f t="shared" si="5"/>
        <v>Loss</v>
      </c>
      <c r="U27" s="39" t="str">
        <f t="shared" si="6"/>
        <v>20%+</v>
      </c>
      <c r="V27" s="39" t="str">
        <f>IF(E27&gt;=Analysis!$B$4,"High",IF(E27&gt;=Analysis!$B$5,"Mid","Low"))</f>
        <v>Mid</v>
      </c>
      <c r="W27" s="39" t="str">
        <f t="shared" si="7"/>
        <v>2023-12</v>
      </c>
      <c r="X27" s="40">
        <f t="shared" si="8"/>
        <v>45291</v>
      </c>
      <c r="Y27" s="39" t="str">
        <f t="shared" si="9"/>
        <v>2023-Q4</v>
      </c>
      <c r="Z27" s="39" t="str">
        <f t="shared" si="10"/>
        <v>Sat</v>
      </c>
      <c r="AA27" s="39">
        <f t="shared" si="11"/>
        <v>6</v>
      </c>
      <c r="AB27" s="39">
        <f t="shared" si="12"/>
        <v>51</v>
      </c>
      <c r="AC27" s="39" t="str">
        <f t="shared" si="13"/>
        <v>Weekend</v>
      </c>
      <c r="AD27" s="39">
        <f t="shared" ca="1" si="14"/>
        <v>1043</v>
      </c>
      <c r="AE27" s="39">
        <f t="shared" ca="1" si="15"/>
        <v>34</v>
      </c>
      <c r="AF27" s="39" t="str">
        <f t="shared" si="16"/>
        <v>EVE</v>
      </c>
      <c r="AG27" s="39" t="str">
        <f t="shared" si="17"/>
        <v>ER-231216-0026</v>
      </c>
      <c r="AH27" s="39" t="str">
        <f>IF(AND(OR(Filter!$B$4="All",D27=Filter!$B$4),OR(Filter!$B$5="All",M27=Filter!$B$5),E27&gt;=Filter!$B$6),MAX(AH$1:AH26)+1,"")</f>
        <v/>
      </c>
      <c r="AI27" s="39">
        <f t="shared" si="18"/>
        <v>30</v>
      </c>
      <c r="AJ27" s="42">
        <f t="shared" si="19"/>
        <v>0.2</v>
      </c>
      <c r="AK27" s="41">
        <f t="shared" si="20"/>
        <v>3774.65</v>
      </c>
      <c r="AL27" s="39">
        <f>RANK(E27,$E$2:$E$1001,0)+COUNTIF($E$2:E27,E27)-1</f>
        <v>283</v>
      </c>
    </row>
    <row r="28" spans="1:38" x14ac:dyDescent="0.2">
      <c r="A28" s="39">
        <v>1058</v>
      </c>
      <c r="B28" s="40">
        <v>45021</v>
      </c>
      <c r="C28" s="39" t="s">
        <v>61</v>
      </c>
      <c r="D28" s="39" t="s">
        <v>64</v>
      </c>
      <c r="E28" s="41">
        <v>2072.23</v>
      </c>
      <c r="F28" s="39">
        <v>33</v>
      </c>
      <c r="G28" s="39" t="s">
        <v>75</v>
      </c>
      <c r="H28" s="41">
        <v>1011.65</v>
      </c>
      <c r="I28" s="41">
        <v>1084.28</v>
      </c>
      <c r="J28" s="39" t="s">
        <v>137</v>
      </c>
      <c r="K28" s="42">
        <v>7.0000000000000007E-2</v>
      </c>
      <c r="L28" s="39" t="s">
        <v>63</v>
      </c>
      <c r="M28" s="39" t="s">
        <v>140</v>
      </c>
      <c r="N28" s="39" t="s">
        <v>156</v>
      </c>
      <c r="O28" s="43">
        <f t="shared" si="0"/>
        <v>35781.24</v>
      </c>
      <c r="P28" s="43">
        <f t="shared" si="1"/>
        <v>33276.550000000003</v>
      </c>
      <c r="Q28" s="43">
        <f t="shared" si="2"/>
        <v>33384.449999999997</v>
      </c>
      <c r="R28" s="43">
        <f t="shared" si="3"/>
        <v>-107.89999999999418</v>
      </c>
      <c r="S28" s="44">
        <f t="shared" si="4"/>
        <v>-3.242523639018894E-3</v>
      </c>
      <c r="T28" s="39" t="str">
        <f t="shared" si="5"/>
        <v>Loss</v>
      </c>
      <c r="U28" s="39" t="str">
        <f t="shared" si="6"/>
        <v>0-9%</v>
      </c>
      <c r="V28" s="39" t="str">
        <f>IF(E28&gt;=Analysis!$B$4,"High",IF(E28&gt;=Analysis!$B$5,"Mid","Low"))</f>
        <v>Low</v>
      </c>
      <c r="W28" s="39" t="str">
        <f t="shared" si="7"/>
        <v>2023-04</v>
      </c>
      <c r="X28" s="40">
        <f t="shared" si="8"/>
        <v>45046</v>
      </c>
      <c r="Y28" s="39" t="str">
        <f t="shared" si="9"/>
        <v>2023-Q2</v>
      </c>
      <c r="Z28" s="39" t="str">
        <f t="shared" si="10"/>
        <v>Wed</v>
      </c>
      <c r="AA28" s="39">
        <f t="shared" si="11"/>
        <v>3</v>
      </c>
      <c r="AB28" s="39">
        <f t="shared" si="12"/>
        <v>15</v>
      </c>
      <c r="AC28" s="39" t="str">
        <f t="shared" si="13"/>
        <v>Weekday</v>
      </c>
      <c r="AD28" s="39">
        <f t="shared" ca="1" si="14"/>
        <v>1298</v>
      </c>
      <c r="AE28" s="39">
        <f t="shared" ca="1" si="15"/>
        <v>42</v>
      </c>
      <c r="AF28" s="39" t="str">
        <f t="shared" si="16"/>
        <v>ALI</v>
      </c>
      <c r="AG28" s="39" t="str">
        <f t="shared" si="17"/>
        <v>NR-230405-0027</v>
      </c>
      <c r="AH28" s="39" t="str">
        <f>IF(AND(OR(Filter!$B$4="All",D28=Filter!$B$4),OR(Filter!$B$5="All",M28=Filter!$B$5),E28&gt;=Filter!$B$6),MAX(AH$1:AH27)+1,"")</f>
        <v/>
      </c>
      <c r="AI28" s="39">
        <f t="shared" si="18"/>
        <v>33</v>
      </c>
      <c r="AJ28" s="42">
        <f t="shared" si="19"/>
        <v>7.0000000000000007E-2</v>
      </c>
      <c r="AK28" s="41">
        <f t="shared" si="20"/>
        <v>1084.28</v>
      </c>
      <c r="AL28" s="39">
        <f>RANK(E28,$E$2:$E$1001,0)+COUNTIF($E$2:E28,E28)-1</f>
        <v>808</v>
      </c>
    </row>
    <row r="29" spans="1:38" x14ac:dyDescent="0.2">
      <c r="A29" s="39">
        <v>1022</v>
      </c>
      <c r="B29" s="40">
        <v>45078</v>
      </c>
      <c r="C29" s="39" t="s">
        <v>76</v>
      </c>
      <c r="D29" s="39" t="s">
        <v>59</v>
      </c>
      <c r="E29" s="41">
        <v>8913.1299999999992</v>
      </c>
      <c r="F29" s="39">
        <v>9</v>
      </c>
      <c r="G29" s="39" t="s">
        <v>65</v>
      </c>
      <c r="H29" s="41">
        <v>2263.65</v>
      </c>
      <c r="I29" s="41">
        <v>2558.9499999999998</v>
      </c>
      <c r="J29" s="39" t="s">
        <v>143</v>
      </c>
      <c r="K29" s="42">
        <v>0.03</v>
      </c>
      <c r="L29" s="39" t="s">
        <v>68</v>
      </c>
      <c r="M29" s="39" t="s">
        <v>138</v>
      </c>
      <c r="N29" s="39" t="s">
        <v>157</v>
      </c>
      <c r="O29" s="43">
        <f t="shared" si="0"/>
        <v>23030.55</v>
      </c>
      <c r="P29" s="43">
        <f t="shared" si="1"/>
        <v>22339.63</v>
      </c>
      <c r="Q29" s="43">
        <f t="shared" si="2"/>
        <v>20372.849999999999</v>
      </c>
      <c r="R29" s="43">
        <f t="shared" si="3"/>
        <v>1966.7800000000025</v>
      </c>
      <c r="S29" s="44">
        <f t="shared" si="4"/>
        <v>8.8039954108461174E-2</v>
      </c>
      <c r="T29" s="39" t="str">
        <f t="shared" si="5"/>
        <v>OK</v>
      </c>
      <c r="U29" s="39" t="str">
        <f t="shared" si="6"/>
        <v>0-9%</v>
      </c>
      <c r="V29" s="39" t="str">
        <f>IF(E29&gt;=Analysis!$B$4,"High",IF(E29&gt;=Analysis!$B$5,"Mid","Low"))</f>
        <v>High</v>
      </c>
      <c r="W29" s="39" t="str">
        <f t="shared" si="7"/>
        <v>2023-06</v>
      </c>
      <c r="X29" s="40">
        <f t="shared" si="8"/>
        <v>45107</v>
      </c>
      <c r="Y29" s="39" t="str">
        <f t="shared" si="9"/>
        <v>2023-Q2</v>
      </c>
      <c r="Z29" s="39" t="str">
        <f t="shared" si="10"/>
        <v>Thu</v>
      </c>
      <c r="AA29" s="39">
        <f t="shared" si="11"/>
        <v>4</v>
      </c>
      <c r="AB29" s="39">
        <f t="shared" si="12"/>
        <v>23</v>
      </c>
      <c r="AC29" s="39" t="str">
        <f t="shared" si="13"/>
        <v>Weekday</v>
      </c>
      <c r="AD29" s="39">
        <f t="shared" ca="1" si="14"/>
        <v>1241</v>
      </c>
      <c r="AE29" s="39">
        <f t="shared" ca="1" si="15"/>
        <v>40</v>
      </c>
      <c r="AF29" s="39" t="str">
        <f t="shared" si="16"/>
        <v>DAV</v>
      </c>
      <c r="AG29" s="39" t="str">
        <f t="shared" si="17"/>
        <v>EO-230601-0028</v>
      </c>
      <c r="AH29" s="39" t="str">
        <f>IF(AND(OR(Filter!$B$4="All",D29=Filter!$B$4),OR(Filter!$B$5="All",M29=Filter!$B$5),E29&gt;=Filter!$B$6),MAX(AH$1:AH28)+1,"")</f>
        <v/>
      </c>
      <c r="AI29" s="39">
        <f t="shared" si="18"/>
        <v>9</v>
      </c>
      <c r="AJ29" s="42">
        <f t="shared" si="19"/>
        <v>0.03</v>
      </c>
      <c r="AK29" s="41">
        <f t="shared" si="20"/>
        <v>2558.9499999999998</v>
      </c>
      <c r="AL29" s="39">
        <f>RANK(E29,$E$2:$E$1001,0)+COUNTIF($E$2:E29,E29)-1</f>
        <v>100</v>
      </c>
    </row>
    <row r="30" spans="1:38" x14ac:dyDescent="0.2">
      <c r="A30" s="39">
        <v>1089</v>
      </c>
      <c r="B30" s="40">
        <v>45237</v>
      </c>
      <c r="C30" s="39" t="s">
        <v>66</v>
      </c>
      <c r="D30" s="39" t="s">
        <v>74</v>
      </c>
      <c r="E30" s="41">
        <v>2945.36</v>
      </c>
      <c r="F30" s="39">
        <v>47</v>
      </c>
      <c r="G30" s="39" t="s">
        <v>75</v>
      </c>
      <c r="H30" s="41">
        <v>4157.62</v>
      </c>
      <c r="I30" s="41">
        <v>4314.5600000000004</v>
      </c>
      <c r="J30" s="39" t="s">
        <v>143</v>
      </c>
      <c r="K30" s="42">
        <v>0.17</v>
      </c>
      <c r="L30" s="39" t="s">
        <v>63</v>
      </c>
      <c r="M30" s="39" t="s">
        <v>140</v>
      </c>
      <c r="N30" s="39" t="s">
        <v>141</v>
      </c>
      <c r="O30" s="43">
        <f t="shared" si="0"/>
        <v>202784.32</v>
      </c>
      <c r="P30" s="43">
        <f t="shared" si="1"/>
        <v>168310.99</v>
      </c>
      <c r="Q30" s="43">
        <f t="shared" si="2"/>
        <v>195408.14</v>
      </c>
      <c r="R30" s="43">
        <f t="shared" si="3"/>
        <v>-27097.150000000023</v>
      </c>
      <c r="S30" s="44">
        <f t="shared" si="4"/>
        <v>-0.16099453755218257</v>
      </c>
      <c r="T30" s="39" t="str">
        <f t="shared" si="5"/>
        <v>Loss</v>
      </c>
      <c r="U30" s="39" t="str">
        <f t="shared" si="6"/>
        <v>10-19%</v>
      </c>
      <c r="V30" s="39" t="str">
        <f>IF(E30&gt;=Analysis!$B$4,"High",IF(E30&gt;=Analysis!$B$5,"Mid","Low"))</f>
        <v>Mid</v>
      </c>
      <c r="W30" s="39" t="str">
        <f t="shared" si="7"/>
        <v>2023-11</v>
      </c>
      <c r="X30" s="40">
        <f t="shared" si="8"/>
        <v>45260</v>
      </c>
      <c r="Y30" s="39" t="str">
        <f t="shared" si="9"/>
        <v>2023-Q4</v>
      </c>
      <c r="Z30" s="39" t="str">
        <f t="shared" si="10"/>
        <v>Tue</v>
      </c>
      <c r="AA30" s="39">
        <f t="shared" si="11"/>
        <v>2</v>
      </c>
      <c r="AB30" s="39">
        <f t="shared" si="12"/>
        <v>46</v>
      </c>
      <c r="AC30" s="39" t="str">
        <f t="shared" si="13"/>
        <v>Weekday</v>
      </c>
      <c r="AD30" s="39">
        <f t="shared" ca="1" si="14"/>
        <v>1082</v>
      </c>
      <c r="AE30" s="39">
        <f t="shared" ca="1" si="15"/>
        <v>35</v>
      </c>
      <c r="AF30" s="39" t="str">
        <f t="shared" si="16"/>
        <v>BOB</v>
      </c>
      <c r="AG30" s="39" t="str">
        <f t="shared" si="17"/>
        <v>WR-231107-0029</v>
      </c>
      <c r="AH30" s="39" t="str">
        <f>IF(AND(OR(Filter!$B$4="All",D30=Filter!$B$4),OR(Filter!$B$5="All",M30=Filter!$B$5),E30&gt;=Filter!$B$6),MAX(AH$1:AH29)+1,"")</f>
        <v/>
      </c>
      <c r="AI30" s="39">
        <f t="shared" si="18"/>
        <v>47</v>
      </c>
      <c r="AJ30" s="42">
        <f t="shared" si="19"/>
        <v>0.17</v>
      </c>
      <c r="AK30" s="41">
        <f t="shared" si="20"/>
        <v>4314.5600000000004</v>
      </c>
      <c r="AL30" s="39">
        <f>RANK(E30,$E$2:$E$1001,0)+COUNTIF($E$2:E30,E30)-1</f>
        <v>702</v>
      </c>
    </row>
    <row r="31" spans="1:38" x14ac:dyDescent="0.2">
      <c r="A31" s="39">
        <v>1049</v>
      </c>
      <c r="B31" s="40">
        <v>45063</v>
      </c>
      <c r="C31" s="39" t="s">
        <v>61</v>
      </c>
      <c r="D31" s="39" t="s">
        <v>74</v>
      </c>
      <c r="E31" s="41">
        <v>3741.08</v>
      </c>
      <c r="F31" s="39">
        <v>1</v>
      </c>
      <c r="G31" s="39" t="s">
        <v>75</v>
      </c>
      <c r="H31" s="41">
        <v>3290.89</v>
      </c>
      <c r="I31" s="41">
        <v>3317.75</v>
      </c>
      <c r="J31" s="39" t="s">
        <v>137</v>
      </c>
      <c r="K31" s="42">
        <v>0.17</v>
      </c>
      <c r="L31" s="39" t="s">
        <v>63</v>
      </c>
      <c r="M31" s="39" t="s">
        <v>138</v>
      </c>
      <c r="N31" s="39" t="s">
        <v>158</v>
      </c>
      <c r="O31" s="43">
        <f t="shared" si="0"/>
        <v>3317.75</v>
      </c>
      <c r="P31" s="43">
        <f t="shared" si="1"/>
        <v>2753.73</v>
      </c>
      <c r="Q31" s="43">
        <f t="shared" si="2"/>
        <v>3290.89</v>
      </c>
      <c r="R31" s="43">
        <f t="shared" si="3"/>
        <v>-537.15999999999985</v>
      </c>
      <c r="S31" s="44">
        <f t="shared" si="4"/>
        <v>-0.19506632821663702</v>
      </c>
      <c r="T31" s="39" t="str">
        <f t="shared" si="5"/>
        <v>Loss</v>
      </c>
      <c r="U31" s="39" t="str">
        <f t="shared" si="6"/>
        <v>10-19%</v>
      </c>
      <c r="V31" s="39" t="str">
        <f>IF(E31&gt;=Analysis!$B$4,"High",IF(E31&gt;=Analysis!$B$5,"Mid","Low"))</f>
        <v>Mid</v>
      </c>
      <c r="W31" s="39" t="str">
        <f t="shared" si="7"/>
        <v>2023-05</v>
      </c>
      <c r="X31" s="40">
        <f t="shared" si="8"/>
        <v>45077</v>
      </c>
      <c r="Y31" s="39" t="str">
        <f t="shared" si="9"/>
        <v>2023-Q2</v>
      </c>
      <c r="Z31" s="39" t="str">
        <f t="shared" si="10"/>
        <v>Wed</v>
      </c>
      <c r="AA31" s="39">
        <f t="shared" si="11"/>
        <v>3</v>
      </c>
      <c r="AB31" s="39">
        <f t="shared" si="12"/>
        <v>21</v>
      </c>
      <c r="AC31" s="39" t="str">
        <f t="shared" si="13"/>
        <v>Weekday</v>
      </c>
      <c r="AD31" s="39">
        <f t="shared" ca="1" si="14"/>
        <v>1256</v>
      </c>
      <c r="AE31" s="39">
        <f t="shared" ca="1" si="15"/>
        <v>41</v>
      </c>
      <c r="AF31" s="39" t="str">
        <f t="shared" si="16"/>
        <v>ALI</v>
      </c>
      <c r="AG31" s="39" t="str">
        <f t="shared" si="17"/>
        <v>WO-230517-0030</v>
      </c>
      <c r="AH31" s="39" t="str">
        <f>IF(AND(OR(Filter!$B$4="All",D31=Filter!$B$4),OR(Filter!$B$5="All",M31=Filter!$B$5),E31&gt;=Filter!$B$6),MAX(AH$1:AH30)+1,"")</f>
        <v/>
      </c>
      <c r="AI31" s="39">
        <f t="shared" si="18"/>
        <v>1</v>
      </c>
      <c r="AJ31" s="42">
        <f t="shared" si="19"/>
        <v>0.17</v>
      </c>
      <c r="AK31" s="41">
        <f t="shared" si="20"/>
        <v>3317.75</v>
      </c>
      <c r="AL31" s="39">
        <f>RANK(E31,$E$2:$E$1001,0)+COUNTIF($E$2:E31,E31)-1</f>
        <v>628</v>
      </c>
    </row>
    <row r="32" spans="1:38" x14ac:dyDescent="0.2">
      <c r="A32" s="39">
        <v>1091</v>
      </c>
      <c r="B32" s="40">
        <v>45173</v>
      </c>
      <c r="C32" s="39" t="s">
        <v>71</v>
      </c>
      <c r="D32" s="39" t="s">
        <v>69</v>
      </c>
      <c r="E32" s="41">
        <v>675.11</v>
      </c>
      <c r="F32" s="39">
        <v>44</v>
      </c>
      <c r="G32" s="39" t="s">
        <v>70</v>
      </c>
      <c r="H32" s="41">
        <v>2085.46</v>
      </c>
      <c r="I32" s="41">
        <v>2406.58</v>
      </c>
      <c r="J32" s="39" t="s">
        <v>137</v>
      </c>
      <c r="K32" s="42">
        <v>0.06</v>
      </c>
      <c r="L32" s="39" t="s">
        <v>63</v>
      </c>
      <c r="M32" s="39" t="s">
        <v>140</v>
      </c>
      <c r="N32" s="39" t="s">
        <v>151</v>
      </c>
      <c r="O32" s="43">
        <f t="shared" si="0"/>
        <v>105889.52</v>
      </c>
      <c r="P32" s="43">
        <f t="shared" si="1"/>
        <v>99536.15</v>
      </c>
      <c r="Q32" s="43">
        <f t="shared" si="2"/>
        <v>91760.24</v>
      </c>
      <c r="R32" s="43">
        <f t="shared" si="3"/>
        <v>7775.9099999999889</v>
      </c>
      <c r="S32" s="44">
        <f t="shared" si="4"/>
        <v>7.812146642199834E-2</v>
      </c>
      <c r="T32" s="39" t="str">
        <f t="shared" si="5"/>
        <v>OK</v>
      </c>
      <c r="U32" s="39" t="str">
        <f t="shared" si="6"/>
        <v>0-9%</v>
      </c>
      <c r="V32" s="39" t="str">
        <f>IF(E32&gt;=Analysis!$B$4,"High",IF(E32&gt;=Analysis!$B$5,"Mid","Low"))</f>
        <v>Low</v>
      </c>
      <c r="W32" s="39" t="str">
        <f t="shared" si="7"/>
        <v>2023-09</v>
      </c>
      <c r="X32" s="40">
        <f t="shared" si="8"/>
        <v>45199</v>
      </c>
      <c r="Y32" s="39" t="str">
        <f t="shared" si="9"/>
        <v>2023-Q3</v>
      </c>
      <c r="Z32" s="39" t="str">
        <f t="shared" si="10"/>
        <v>Mon</v>
      </c>
      <c r="AA32" s="39">
        <f t="shared" si="11"/>
        <v>1</v>
      </c>
      <c r="AB32" s="39">
        <f t="shared" si="12"/>
        <v>37</v>
      </c>
      <c r="AC32" s="39" t="str">
        <f t="shared" si="13"/>
        <v>Weekday</v>
      </c>
      <c r="AD32" s="39">
        <f t="shared" ca="1" si="14"/>
        <v>1146</v>
      </c>
      <c r="AE32" s="39">
        <f t="shared" ca="1" si="15"/>
        <v>37</v>
      </c>
      <c r="AF32" s="39" t="str">
        <f t="shared" si="16"/>
        <v>CHA</v>
      </c>
      <c r="AG32" s="39" t="str">
        <f t="shared" si="17"/>
        <v>SR-230904-0031</v>
      </c>
      <c r="AH32" s="39" t="str">
        <f>IF(AND(OR(Filter!$B$4="All",D32=Filter!$B$4),OR(Filter!$B$5="All",M32=Filter!$B$5),E32&gt;=Filter!$B$6),MAX(AH$1:AH31)+1,"")</f>
        <v/>
      </c>
      <c r="AI32" s="39">
        <f t="shared" si="18"/>
        <v>44</v>
      </c>
      <c r="AJ32" s="42">
        <f t="shared" si="19"/>
        <v>0.06</v>
      </c>
      <c r="AK32" s="41">
        <f t="shared" si="20"/>
        <v>2406.58</v>
      </c>
      <c r="AL32" s="39">
        <f>RANK(E32,$E$2:$E$1001,0)+COUNTIF($E$2:E32,E32)-1</f>
        <v>942</v>
      </c>
    </row>
    <row r="33" spans="1:38" x14ac:dyDescent="0.2">
      <c r="A33" s="39">
        <v>1059</v>
      </c>
      <c r="B33" s="40">
        <v>45169</v>
      </c>
      <c r="C33" s="39" t="s">
        <v>61</v>
      </c>
      <c r="D33" s="39" t="s">
        <v>64</v>
      </c>
      <c r="E33" s="41">
        <v>1203.97</v>
      </c>
      <c r="F33" s="39">
        <v>35</v>
      </c>
      <c r="G33" s="39" t="s">
        <v>70</v>
      </c>
      <c r="H33" s="41">
        <v>3333.64</v>
      </c>
      <c r="I33" s="41">
        <v>3764.52</v>
      </c>
      <c r="J33" s="39" t="s">
        <v>137</v>
      </c>
      <c r="K33" s="42">
        <v>0.02</v>
      </c>
      <c r="L33" s="39" t="s">
        <v>73</v>
      </c>
      <c r="M33" s="39" t="s">
        <v>138</v>
      </c>
      <c r="N33" s="39" t="s">
        <v>156</v>
      </c>
      <c r="O33" s="43">
        <f t="shared" si="0"/>
        <v>131758.20000000001</v>
      </c>
      <c r="P33" s="43">
        <f t="shared" si="1"/>
        <v>129123.04</v>
      </c>
      <c r="Q33" s="43">
        <f t="shared" si="2"/>
        <v>116677.4</v>
      </c>
      <c r="R33" s="43">
        <f t="shared" si="3"/>
        <v>12445.64</v>
      </c>
      <c r="S33" s="44">
        <f t="shared" si="4"/>
        <v>9.638589673849067E-2</v>
      </c>
      <c r="T33" s="39" t="str">
        <f t="shared" si="5"/>
        <v>OK</v>
      </c>
      <c r="U33" s="39" t="str">
        <f t="shared" si="6"/>
        <v>0-9%</v>
      </c>
      <c r="V33" s="39" t="str">
        <f>IF(E33&gt;=Analysis!$B$4,"High",IF(E33&gt;=Analysis!$B$5,"Mid","Low"))</f>
        <v>Low</v>
      </c>
      <c r="W33" s="39" t="str">
        <f t="shared" si="7"/>
        <v>2023-08</v>
      </c>
      <c r="X33" s="40">
        <f t="shared" si="8"/>
        <v>45169</v>
      </c>
      <c r="Y33" s="39" t="str">
        <f t="shared" si="9"/>
        <v>2023-Q3</v>
      </c>
      <c r="Z33" s="39" t="str">
        <f t="shared" si="10"/>
        <v>Thu</v>
      </c>
      <c r="AA33" s="39">
        <f t="shared" si="11"/>
        <v>4</v>
      </c>
      <c r="AB33" s="39">
        <f t="shared" si="12"/>
        <v>36</v>
      </c>
      <c r="AC33" s="39" t="str">
        <f t="shared" si="13"/>
        <v>Weekday</v>
      </c>
      <c r="AD33" s="39">
        <f t="shared" ca="1" si="14"/>
        <v>1150</v>
      </c>
      <c r="AE33" s="39">
        <f t="shared" ca="1" si="15"/>
        <v>37</v>
      </c>
      <c r="AF33" s="39" t="str">
        <f t="shared" si="16"/>
        <v>ALI</v>
      </c>
      <c r="AG33" s="39" t="str">
        <f t="shared" si="17"/>
        <v>NO-230831-0032</v>
      </c>
      <c r="AH33" s="39" t="str">
        <f>IF(AND(OR(Filter!$B$4="All",D33=Filter!$B$4),OR(Filter!$B$5="All",M33=Filter!$B$5),E33&gt;=Filter!$B$6),MAX(AH$1:AH32)+1,"")</f>
        <v/>
      </c>
      <c r="AI33" s="39">
        <f t="shared" si="18"/>
        <v>35</v>
      </c>
      <c r="AJ33" s="42">
        <f t="shared" si="19"/>
        <v>0.02</v>
      </c>
      <c r="AK33" s="41">
        <f t="shared" si="20"/>
        <v>3764.52</v>
      </c>
      <c r="AL33" s="39">
        <f>RANK(E33,$E$2:$E$1001,0)+COUNTIF($E$2:E33,E33)-1</f>
        <v>888</v>
      </c>
    </row>
    <row r="34" spans="1:38" x14ac:dyDescent="0.2">
      <c r="A34" s="39">
        <v>1042</v>
      </c>
      <c r="B34" s="40">
        <v>44957</v>
      </c>
      <c r="C34" s="39" t="s">
        <v>61</v>
      </c>
      <c r="D34" s="39" t="s">
        <v>64</v>
      </c>
      <c r="E34" s="41">
        <v>5207.03</v>
      </c>
      <c r="F34" s="39">
        <v>11</v>
      </c>
      <c r="G34" s="39" t="s">
        <v>70</v>
      </c>
      <c r="H34" s="41">
        <v>635.20000000000005</v>
      </c>
      <c r="I34" s="41">
        <v>814.14</v>
      </c>
      <c r="J34" s="39" t="s">
        <v>137</v>
      </c>
      <c r="K34" s="42">
        <v>0.02</v>
      </c>
      <c r="L34" s="39" t="s">
        <v>68</v>
      </c>
      <c r="M34" s="39" t="s">
        <v>138</v>
      </c>
      <c r="N34" s="39" t="s">
        <v>156</v>
      </c>
      <c r="O34" s="43">
        <f t="shared" si="0"/>
        <v>8955.5400000000009</v>
      </c>
      <c r="P34" s="43">
        <f t="shared" si="1"/>
        <v>8776.43</v>
      </c>
      <c r="Q34" s="43">
        <f t="shared" si="2"/>
        <v>6987.2</v>
      </c>
      <c r="R34" s="43">
        <f t="shared" si="3"/>
        <v>1789.2300000000005</v>
      </c>
      <c r="S34" s="44">
        <f t="shared" si="4"/>
        <v>0.20386763182751988</v>
      </c>
      <c r="T34" s="39" t="str">
        <f t="shared" si="5"/>
        <v>OK</v>
      </c>
      <c r="U34" s="39" t="str">
        <f t="shared" si="6"/>
        <v>0-9%</v>
      </c>
      <c r="V34" s="39" t="str">
        <f>IF(E34&gt;=Analysis!$B$4,"High",IF(E34&gt;=Analysis!$B$5,"Mid","Low"))</f>
        <v>Mid</v>
      </c>
      <c r="W34" s="39" t="str">
        <f t="shared" si="7"/>
        <v>2023-01</v>
      </c>
      <c r="X34" s="40">
        <f t="shared" si="8"/>
        <v>44957</v>
      </c>
      <c r="Y34" s="39" t="str">
        <f t="shared" si="9"/>
        <v>2023-Q1</v>
      </c>
      <c r="Z34" s="39" t="str">
        <f t="shared" si="10"/>
        <v>Tue</v>
      </c>
      <c r="AA34" s="39">
        <f t="shared" si="11"/>
        <v>2</v>
      </c>
      <c r="AB34" s="39">
        <f t="shared" si="12"/>
        <v>6</v>
      </c>
      <c r="AC34" s="39" t="str">
        <f t="shared" si="13"/>
        <v>Weekday</v>
      </c>
      <c r="AD34" s="39">
        <f t="shared" ca="1" si="14"/>
        <v>1362</v>
      </c>
      <c r="AE34" s="39">
        <f t="shared" ca="1" si="15"/>
        <v>44</v>
      </c>
      <c r="AF34" s="39" t="str">
        <f t="shared" si="16"/>
        <v>ALI</v>
      </c>
      <c r="AG34" s="39" t="str">
        <f t="shared" si="17"/>
        <v>NO-230131-0033</v>
      </c>
      <c r="AH34" s="39" t="str">
        <f>IF(AND(OR(Filter!$B$4="All",D34=Filter!$B$4),OR(Filter!$B$5="All",M34=Filter!$B$5),E34&gt;=Filter!$B$6),MAX(AH$1:AH33)+1,"")</f>
        <v/>
      </c>
      <c r="AI34" s="39">
        <f t="shared" si="18"/>
        <v>11</v>
      </c>
      <c r="AJ34" s="42">
        <f t="shared" si="19"/>
        <v>0.02</v>
      </c>
      <c r="AK34" s="41">
        <f t="shared" si="20"/>
        <v>814.14</v>
      </c>
      <c r="AL34" s="39">
        <f>RANK(E34,$E$2:$E$1001,0)+COUNTIF($E$2:E34,E34)-1</f>
        <v>481</v>
      </c>
    </row>
    <row r="35" spans="1:38" x14ac:dyDescent="0.2">
      <c r="A35" s="39">
        <v>1092</v>
      </c>
      <c r="B35" s="40">
        <v>44966</v>
      </c>
      <c r="C35" s="39" t="s">
        <v>76</v>
      </c>
      <c r="D35" s="39" t="s">
        <v>74</v>
      </c>
      <c r="E35" s="41">
        <v>2749.17</v>
      </c>
      <c r="F35" s="39">
        <v>34</v>
      </c>
      <c r="G35" s="39" t="s">
        <v>75</v>
      </c>
      <c r="H35" s="41">
        <v>2037.41</v>
      </c>
      <c r="I35" s="41">
        <v>2238.65</v>
      </c>
      <c r="J35" s="39" t="s">
        <v>143</v>
      </c>
      <c r="K35" s="42">
        <v>0.3</v>
      </c>
      <c r="L35" s="39" t="s">
        <v>73</v>
      </c>
      <c r="M35" s="39" t="s">
        <v>138</v>
      </c>
      <c r="N35" s="39" t="s">
        <v>154</v>
      </c>
      <c r="O35" s="43">
        <f t="shared" si="0"/>
        <v>76114.100000000006</v>
      </c>
      <c r="P35" s="43">
        <f t="shared" si="1"/>
        <v>53279.87</v>
      </c>
      <c r="Q35" s="43">
        <f t="shared" si="2"/>
        <v>69271.94</v>
      </c>
      <c r="R35" s="43">
        <f t="shared" si="3"/>
        <v>-15992.07</v>
      </c>
      <c r="S35" s="44">
        <f t="shared" si="4"/>
        <v>-0.30015219631729578</v>
      </c>
      <c r="T35" s="39" t="str">
        <f t="shared" si="5"/>
        <v>Loss</v>
      </c>
      <c r="U35" s="39" t="str">
        <f t="shared" si="6"/>
        <v>20%+</v>
      </c>
      <c r="V35" s="39" t="str">
        <f>IF(E35&gt;=Analysis!$B$4,"High",IF(E35&gt;=Analysis!$B$5,"Mid","Low"))</f>
        <v>Mid</v>
      </c>
      <c r="W35" s="39" t="str">
        <f t="shared" si="7"/>
        <v>2023-02</v>
      </c>
      <c r="X35" s="40">
        <f t="shared" si="8"/>
        <v>44985</v>
      </c>
      <c r="Y35" s="39" t="str">
        <f t="shared" si="9"/>
        <v>2023-Q1</v>
      </c>
      <c r="Z35" s="39" t="str">
        <f t="shared" si="10"/>
        <v>Thu</v>
      </c>
      <c r="AA35" s="39">
        <f t="shared" si="11"/>
        <v>4</v>
      </c>
      <c r="AB35" s="39">
        <f t="shared" si="12"/>
        <v>7</v>
      </c>
      <c r="AC35" s="39" t="str">
        <f t="shared" si="13"/>
        <v>Weekday</v>
      </c>
      <c r="AD35" s="39">
        <f t="shared" ca="1" si="14"/>
        <v>1353</v>
      </c>
      <c r="AE35" s="39">
        <f t="shared" ca="1" si="15"/>
        <v>44</v>
      </c>
      <c r="AF35" s="39" t="str">
        <f t="shared" si="16"/>
        <v>DAV</v>
      </c>
      <c r="AG35" s="39" t="str">
        <f t="shared" si="17"/>
        <v>WO-230209-0034</v>
      </c>
      <c r="AH35" s="39" t="str">
        <f>IF(AND(OR(Filter!$B$4="All",D35=Filter!$B$4),OR(Filter!$B$5="All",M35=Filter!$B$5),E35&gt;=Filter!$B$6),MAX(AH$1:AH34)+1,"")</f>
        <v/>
      </c>
      <c r="AI35" s="39">
        <f t="shared" si="18"/>
        <v>34</v>
      </c>
      <c r="AJ35" s="42">
        <f t="shared" si="19"/>
        <v>0.3</v>
      </c>
      <c r="AK35" s="41">
        <f t="shared" si="20"/>
        <v>2238.65</v>
      </c>
      <c r="AL35" s="39">
        <f>RANK(E35,$E$2:$E$1001,0)+COUNTIF($E$2:E35,E35)-1</f>
        <v>726</v>
      </c>
    </row>
    <row r="36" spans="1:38" x14ac:dyDescent="0.2">
      <c r="A36" s="39">
        <v>1060</v>
      </c>
      <c r="B36" s="40">
        <v>45155</v>
      </c>
      <c r="C36" s="39" t="s">
        <v>66</v>
      </c>
      <c r="D36" s="39" t="s">
        <v>59</v>
      </c>
      <c r="E36" s="41">
        <v>8371.25</v>
      </c>
      <c r="F36" s="39">
        <v>16</v>
      </c>
      <c r="G36" s="39" t="s">
        <v>60</v>
      </c>
      <c r="H36" s="41">
        <v>3975.99</v>
      </c>
      <c r="I36" s="41">
        <v>4422.59</v>
      </c>
      <c r="J36" s="39" t="s">
        <v>143</v>
      </c>
      <c r="K36" s="42">
        <v>0.24</v>
      </c>
      <c r="L36" s="39" t="s">
        <v>68</v>
      </c>
      <c r="M36" s="39" t="s">
        <v>138</v>
      </c>
      <c r="N36" s="39" t="s">
        <v>153</v>
      </c>
      <c r="O36" s="43">
        <f t="shared" si="0"/>
        <v>70761.440000000002</v>
      </c>
      <c r="P36" s="43">
        <f t="shared" si="1"/>
        <v>53778.69</v>
      </c>
      <c r="Q36" s="43">
        <f t="shared" si="2"/>
        <v>63615.839999999997</v>
      </c>
      <c r="R36" s="43">
        <f t="shared" si="3"/>
        <v>-9837.1499999999942</v>
      </c>
      <c r="S36" s="44">
        <f t="shared" si="4"/>
        <v>-0.1829191079217436</v>
      </c>
      <c r="T36" s="39" t="str">
        <f t="shared" si="5"/>
        <v>Loss</v>
      </c>
      <c r="U36" s="39" t="str">
        <f t="shared" si="6"/>
        <v>20%+</v>
      </c>
      <c r="V36" s="39" t="str">
        <f>IF(E36&gt;=Analysis!$B$4,"High",IF(E36&gt;=Analysis!$B$5,"Mid","Low"))</f>
        <v>High</v>
      </c>
      <c r="W36" s="39" t="str">
        <f t="shared" si="7"/>
        <v>2023-08</v>
      </c>
      <c r="X36" s="40">
        <f t="shared" si="8"/>
        <v>45169</v>
      </c>
      <c r="Y36" s="39" t="str">
        <f t="shared" si="9"/>
        <v>2023-Q3</v>
      </c>
      <c r="Z36" s="39" t="str">
        <f t="shared" si="10"/>
        <v>Thu</v>
      </c>
      <c r="AA36" s="39">
        <f t="shared" si="11"/>
        <v>4</v>
      </c>
      <c r="AB36" s="39">
        <f t="shared" si="12"/>
        <v>34</v>
      </c>
      <c r="AC36" s="39" t="str">
        <f t="shared" si="13"/>
        <v>Weekday</v>
      </c>
      <c r="AD36" s="39">
        <f t="shared" ca="1" si="14"/>
        <v>1164</v>
      </c>
      <c r="AE36" s="39">
        <f t="shared" ca="1" si="15"/>
        <v>38</v>
      </c>
      <c r="AF36" s="39" t="str">
        <f t="shared" si="16"/>
        <v>BOB</v>
      </c>
      <c r="AG36" s="39" t="str">
        <f t="shared" si="17"/>
        <v>EO-230817-0035</v>
      </c>
      <c r="AH36" s="39" t="str">
        <f>IF(AND(OR(Filter!$B$4="All",D36=Filter!$B$4),OR(Filter!$B$5="All",M36=Filter!$B$5),E36&gt;=Filter!$B$6),MAX(AH$1:AH35)+1,"")</f>
        <v/>
      </c>
      <c r="AI36" s="39">
        <f t="shared" si="18"/>
        <v>16</v>
      </c>
      <c r="AJ36" s="42">
        <f t="shared" si="19"/>
        <v>0.24</v>
      </c>
      <c r="AK36" s="41">
        <f t="shared" si="20"/>
        <v>4422.59</v>
      </c>
      <c r="AL36" s="39">
        <f>RANK(E36,$E$2:$E$1001,0)+COUNTIF($E$2:E36,E36)-1</f>
        <v>159</v>
      </c>
    </row>
    <row r="37" spans="1:38" x14ac:dyDescent="0.2">
      <c r="A37" s="39">
        <v>1080</v>
      </c>
      <c r="B37" s="40">
        <v>44962</v>
      </c>
      <c r="C37" s="39" t="s">
        <v>71</v>
      </c>
      <c r="D37" s="39" t="s">
        <v>69</v>
      </c>
      <c r="E37" s="41">
        <v>245.46</v>
      </c>
      <c r="F37" s="39">
        <v>9</v>
      </c>
      <c r="G37" s="39" t="s">
        <v>65</v>
      </c>
      <c r="H37" s="41">
        <v>1141.52</v>
      </c>
      <c r="I37" s="41">
        <v>1550.19</v>
      </c>
      <c r="J37" s="39" t="s">
        <v>143</v>
      </c>
      <c r="K37" s="42">
        <v>0.28000000000000003</v>
      </c>
      <c r="L37" s="39" t="s">
        <v>73</v>
      </c>
      <c r="M37" s="39" t="s">
        <v>140</v>
      </c>
      <c r="N37" s="39" t="s">
        <v>151</v>
      </c>
      <c r="O37" s="43">
        <f t="shared" si="0"/>
        <v>13951.71</v>
      </c>
      <c r="P37" s="43">
        <f t="shared" si="1"/>
        <v>10045.23</v>
      </c>
      <c r="Q37" s="43">
        <f t="shared" si="2"/>
        <v>10273.68</v>
      </c>
      <c r="R37" s="43">
        <f t="shared" si="3"/>
        <v>-228.45000000000073</v>
      </c>
      <c r="S37" s="44">
        <f t="shared" si="4"/>
        <v>-2.2742137312933675E-2</v>
      </c>
      <c r="T37" s="39" t="str">
        <f t="shared" si="5"/>
        <v>Loss</v>
      </c>
      <c r="U37" s="39" t="str">
        <f t="shared" si="6"/>
        <v>20%+</v>
      </c>
      <c r="V37" s="39" t="str">
        <f>IF(E37&gt;=Analysis!$B$4,"High",IF(E37&gt;=Analysis!$B$5,"Mid","Low"))</f>
        <v>Low</v>
      </c>
      <c r="W37" s="39" t="str">
        <f t="shared" si="7"/>
        <v>2023-02</v>
      </c>
      <c r="X37" s="40">
        <f t="shared" si="8"/>
        <v>44985</v>
      </c>
      <c r="Y37" s="39" t="str">
        <f t="shared" si="9"/>
        <v>2023-Q1</v>
      </c>
      <c r="Z37" s="39" t="str">
        <f t="shared" si="10"/>
        <v>Sun</v>
      </c>
      <c r="AA37" s="39">
        <f t="shared" si="11"/>
        <v>7</v>
      </c>
      <c r="AB37" s="39">
        <f t="shared" si="12"/>
        <v>6</v>
      </c>
      <c r="AC37" s="39" t="str">
        <f t="shared" si="13"/>
        <v>Weekend</v>
      </c>
      <c r="AD37" s="39">
        <f t="shared" ca="1" si="14"/>
        <v>1357</v>
      </c>
      <c r="AE37" s="39">
        <f t="shared" ca="1" si="15"/>
        <v>44</v>
      </c>
      <c r="AF37" s="39" t="str">
        <f t="shared" si="16"/>
        <v>CHA</v>
      </c>
      <c r="AG37" s="39" t="str">
        <f t="shared" si="17"/>
        <v>SR-230205-0036</v>
      </c>
      <c r="AH37" s="39" t="str">
        <f>IF(AND(OR(Filter!$B$4="All",D37=Filter!$B$4),OR(Filter!$B$5="All",M37=Filter!$B$5),E37&gt;=Filter!$B$6),MAX(AH$1:AH36)+1,"")</f>
        <v/>
      </c>
      <c r="AI37" s="39">
        <f t="shared" si="18"/>
        <v>9</v>
      </c>
      <c r="AJ37" s="42">
        <f t="shared" si="19"/>
        <v>0.28000000000000003</v>
      </c>
      <c r="AK37" s="41">
        <f t="shared" si="20"/>
        <v>1550.19</v>
      </c>
      <c r="AL37" s="39">
        <f>RANK(E37,$E$2:$E$1001,0)+COUNTIF($E$2:E37,E37)-1</f>
        <v>982</v>
      </c>
    </row>
    <row r="38" spans="1:38" x14ac:dyDescent="0.2">
      <c r="A38" s="39">
        <v>1015</v>
      </c>
      <c r="B38" s="40">
        <v>45149</v>
      </c>
      <c r="C38" s="39" t="s">
        <v>79</v>
      </c>
      <c r="D38" s="39" t="s">
        <v>59</v>
      </c>
      <c r="E38" s="41">
        <v>3853.03</v>
      </c>
      <c r="F38" s="39">
        <v>32</v>
      </c>
      <c r="G38" s="39" t="s">
        <v>75</v>
      </c>
      <c r="H38" s="41">
        <v>970.51</v>
      </c>
      <c r="I38" s="41">
        <v>1330.84</v>
      </c>
      <c r="J38" s="39" t="s">
        <v>137</v>
      </c>
      <c r="K38" s="42">
        <v>0.06</v>
      </c>
      <c r="L38" s="39" t="s">
        <v>68</v>
      </c>
      <c r="M38" s="39" t="s">
        <v>140</v>
      </c>
      <c r="N38" s="39" t="s">
        <v>155</v>
      </c>
      <c r="O38" s="43">
        <f t="shared" si="0"/>
        <v>42586.879999999997</v>
      </c>
      <c r="P38" s="43">
        <f t="shared" si="1"/>
        <v>40031.67</v>
      </c>
      <c r="Q38" s="43">
        <f t="shared" si="2"/>
        <v>31056.32</v>
      </c>
      <c r="R38" s="43">
        <f t="shared" si="3"/>
        <v>8975.3499999999985</v>
      </c>
      <c r="S38" s="44">
        <f t="shared" si="4"/>
        <v>0.22420623471366544</v>
      </c>
      <c r="T38" s="39" t="str">
        <f t="shared" si="5"/>
        <v>OK</v>
      </c>
      <c r="U38" s="39" t="str">
        <f t="shared" si="6"/>
        <v>0-9%</v>
      </c>
      <c r="V38" s="39" t="str">
        <f>IF(E38&gt;=Analysis!$B$4,"High",IF(E38&gt;=Analysis!$B$5,"Mid","Low"))</f>
        <v>Mid</v>
      </c>
      <c r="W38" s="39" t="str">
        <f t="shared" si="7"/>
        <v>2023-08</v>
      </c>
      <c r="X38" s="40">
        <f t="shared" si="8"/>
        <v>45169</v>
      </c>
      <c r="Y38" s="39" t="str">
        <f t="shared" si="9"/>
        <v>2023-Q3</v>
      </c>
      <c r="Z38" s="39" t="str">
        <f t="shared" si="10"/>
        <v>Fri</v>
      </c>
      <c r="AA38" s="39">
        <f t="shared" si="11"/>
        <v>5</v>
      </c>
      <c r="AB38" s="39">
        <f t="shared" si="12"/>
        <v>33</v>
      </c>
      <c r="AC38" s="39" t="str">
        <f t="shared" si="13"/>
        <v>Weekday</v>
      </c>
      <c r="AD38" s="39">
        <f t="shared" ca="1" si="14"/>
        <v>1170</v>
      </c>
      <c r="AE38" s="39">
        <f t="shared" ca="1" si="15"/>
        <v>38</v>
      </c>
      <c r="AF38" s="39" t="str">
        <f t="shared" si="16"/>
        <v>EVE</v>
      </c>
      <c r="AG38" s="39" t="str">
        <f t="shared" si="17"/>
        <v>ER-230811-0037</v>
      </c>
      <c r="AH38" s="39" t="str">
        <f>IF(AND(OR(Filter!$B$4="All",D38=Filter!$B$4),OR(Filter!$B$5="All",M38=Filter!$B$5),E38&gt;=Filter!$B$6),MAX(AH$1:AH37)+1,"")</f>
        <v/>
      </c>
      <c r="AI38" s="39">
        <f t="shared" si="18"/>
        <v>32</v>
      </c>
      <c r="AJ38" s="42">
        <f t="shared" si="19"/>
        <v>0.06</v>
      </c>
      <c r="AK38" s="41">
        <f t="shared" si="20"/>
        <v>1330.84</v>
      </c>
      <c r="AL38" s="39">
        <f>RANK(E38,$E$2:$E$1001,0)+COUNTIF($E$2:E38,E38)-1</f>
        <v>610</v>
      </c>
    </row>
    <row r="39" spans="1:38" x14ac:dyDescent="0.2">
      <c r="A39" s="39">
        <v>1062</v>
      </c>
      <c r="B39" s="40">
        <v>44932</v>
      </c>
      <c r="C39" s="39" t="s">
        <v>79</v>
      </c>
      <c r="D39" s="39" t="s">
        <v>59</v>
      </c>
      <c r="E39" s="41">
        <v>3439.72</v>
      </c>
      <c r="F39" s="39">
        <v>15</v>
      </c>
      <c r="G39" s="39" t="s">
        <v>60</v>
      </c>
      <c r="H39" s="41">
        <v>4756.55</v>
      </c>
      <c r="I39" s="41">
        <v>4888.46</v>
      </c>
      <c r="J39" s="39" t="s">
        <v>143</v>
      </c>
      <c r="K39" s="42">
        <v>0.28999999999999998</v>
      </c>
      <c r="L39" s="39" t="s">
        <v>73</v>
      </c>
      <c r="M39" s="39" t="s">
        <v>138</v>
      </c>
      <c r="N39" s="39" t="s">
        <v>155</v>
      </c>
      <c r="O39" s="43">
        <f t="shared" si="0"/>
        <v>73326.899999999994</v>
      </c>
      <c r="P39" s="43">
        <f t="shared" si="1"/>
        <v>52062.1</v>
      </c>
      <c r="Q39" s="43">
        <f t="shared" si="2"/>
        <v>71348.25</v>
      </c>
      <c r="R39" s="43">
        <f t="shared" si="3"/>
        <v>-19286.150000000001</v>
      </c>
      <c r="S39" s="44">
        <f t="shared" si="4"/>
        <v>-0.37044510305961537</v>
      </c>
      <c r="T39" s="39" t="str">
        <f t="shared" si="5"/>
        <v>Loss</v>
      </c>
      <c r="U39" s="39" t="str">
        <f t="shared" si="6"/>
        <v>20%+</v>
      </c>
      <c r="V39" s="39" t="str">
        <f>IF(E39&gt;=Analysis!$B$4,"High",IF(E39&gt;=Analysis!$B$5,"Mid","Low"))</f>
        <v>Mid</v>
      </c>
      <c r="W39" s="39" t="str">
        <f t="shared" si="7"/>
        <v>2023-01</v>
      </c>
      <c r="X39" s="40">
        <f t="shared" si="8"/>
        <v>44957</v>
      </c>
      <c r="Y39" s="39" t="str">
        <f t="shared" si="9"/>
        <v>2023-Q1</v>
      </c>
      <c r="Z39" s="39" t="str">
        <f t="shared" si="10"/>
        <v>Fri</v>
      </c>
      <c r="AA39" s="39">
        <f t="shared" si="11"/>
        <v>5</v>
      </c>
      <c r="AB39" s="39">
        <f t="shared" si="12"/>
        <v>2</v>
      </c>
      <c r="AC39" s="39" t="str">
        <f t="shared" si="13"/>
        <v>Weekday</v>
      </c>
      <c r="AD39" s="39">
        <f t="shared" ca="1" si="14"/>
        <v>1387</v>
      </c>
      <c r="AE39" s="39">
        <f t="shared" ca="1" si="15"/>
        <v>45</v>
      </c>
      <c r="AF39" s="39" t="str">
        <f t="shared" si="16"/>
        <v>EVE</v>
      </c>
      <c r="AG39" s="39" t="str">
        <f t="shared" si="17"/>
        <v>EO-230106-0038</v>
      </c>
      <c r="AH39" s="39" t="str">
        <f>IF(AND(OR(Filter!$B$4="All",D39=Filter!$B$4),OR(Filter!$B$5="All",M39=Filter!$B$5),E39&gt;=Filter!$B$6),MAX(AH$1:AH38)+1,"")</f>
        <v/>
      </c>
      <c r="AI39" s="39">
        <f t="shared" si="18"/>
        <v>15</v>
      </c>
      <c r="AJ39" s="42">
        <f t="shared" si="19"/>
        <v>0.28999999999999998</v>
      </c>
      <c r="AK39" s="41">
        <f t="shared" si="20"/>
        <v>4888.46</v>
      </c>
      <c r="AL39" s="39">
        <f>RANK(E39,$E$2:$E$1001,0)+COUNTIF($E$2:E39,E39)-1</f>
        <v>652</v>
      </c>
    </row>
    <row r="40" spans="1:38" x14ac:dyDescent="0.2">
      <c r="A40" s="39">
        <v>1062</v>
      </c>
      <c r="B40" s="40">
        <v>45248</v>
      </c>
      <c r="C40" s="39" t="s">
        <v>61</v>
      </c>
      <c r="D40" s="39" t="s">
        <v>59</v>
      </c>
      <c r="E40" s="41">
        <v>291.33999999999997</v>
      </c>
      <c r="F40" s="39">
        <v>12</v>
      </c>
      <c r="G40" s="39" t="s">
        <v>75</v>
      </c>
      <c r="H40" s="41">
        <v>1088.99</v>
      </c>
      <c r="I40" s="41">
        <v>1545</v>
      </c>
      <c r="J40" s="39" t="s">
        <v>137</v>
      </c>
      <c r="K40" s="42">
        <v>0.04</v>
      </c>
      <c r="L40" s="39" t="s">
        <v>63</v>
      </c>
      <c r="M40" s="39" t="s">
        <v>140</v>
      </c>
      <c r="N40" s="39" t="s">
        <v>159</v>
      </c>
      <c r="O40" s="43">
        <f t="shared" si="0"/>
        <v>18540</v>
      </c>
      <c r="P40" s="43">
        <f t="shared" si="1"/>
        <v>17798.400000000001</v>
      </c>
      <c r="Q40" s="43">
        <f t="shared" si="2"/>
        <v>13067.88</v>
      </c>
      <c r="R40" s="43">
        <f t="shared" si="3"/>
        <v>4730.5200000000023</v>
      </c>
      <c r="S40" s="44">
        <f t="shared" si="4"/>
        <v>0.26578344120819858</v>
      </c>
      <c r="T40" s="39" t="str">
        <f t="shared" si="5"/>
        <v>OK</v>
      </c>
      <c r="U40" s="39" t="str">
        <f t="shared" si="6"/>
        <v>0-9%</v>
      </c>
      <c r="V40" s="39" t="str">
        <f>IF(E40&gt;=Analysis!$B$4,"High",IF(E40&gt;=Analysis!$B$5,"Mid","Low"))</f>
        <v>Low</v>
      </c>
      <c r="W40" s="39" t="str">
        <f t="shared" si="7"/>
        <v>2023-11</v>
      </c>
      <c r="X40" s="40">
        <f t="shared" si="8"/>
        <v>45260</v>
      </c>
      <c r="Y40" s="39" t="str">
        <f t="shared" si="9"/>
        <v>2023-Q4</v>
      </c>
      <c r="Z40" s="39" t="str">
        <f t="shared" si="10"/>
        <v>Sat</v>
      </c>
      <c r="AA40" s="39">
        <f t="shared" si="11"/>
        <v>6</v>
      </c>
      <c r="AB40" s="39">
        <f t="shared" si="12"/>
        <v>47</v>
      </c>
      <c r="AC40" s="39" t="str">
        <f t="shared" si="13"/>
        <v>Weekend</v>
      </c>
      <c r="AD40" s="39">
        <f t="shared" ca="1" si="14"/>
        <v>1071</v>
      </c>
      <c r="AE40" s="39">
        <f t="shared" ca="1" si="15"/>
        <v>35</v>
      </c>
      <c r="AF40" s="39" t="str">
        <f t="shared" si="16"/>
        <v>ALI</v>
      </c>
      <c r="AG40" s="39" t="str">
        <f t="shared" si="17"/>
        <v>ER-231118-0039</v>
      </c>
      <c r="AH40" s="39" t="str">
        <f>IF(AND(OR(Filter!$B$4="All",D40=Filter!$B$4),OR(Filter!$B$5="All",M40=Filter!$B$5),E40&gt;=Filter!$B$6),MAX(AH$1:AH39)+1,"")</f>
        <v/>
      </c>
      <c r="AI40" s="39">
        <f t="shared" si="18"/>
        <v>12</v>
      </c>
      <c r="AJ40" s="42">
        <f t="shared" si="19"/>
        <v>0.04</v>
      </c>
      <c r="AK40" s="41">
        <f t="shared" si="20"/>
        <v>1545</v>
      </c>
      <c r="AL40" s="39">
        <f>RANK(E40,$E$2:$E$1001,0)+COUNTIF($E$2:E40,E40)-1</f>
        <v>974</v>
      </c>
    </row>
    <row r="41" spans="1:38" x14ac:dyDescent="0.2">
      <c r="A41" s="39">
        <v>1047</v>
      </c>
      <c r="B41" s="40">
        <v>45146</v>
      </c>
      <c r="C41" s="39" t="s">
        <v>76</v>
      </c>
      <c r="D41" s="39" t="s">
        <v>64</v>
      </c>
      <c r="E41" s="41">
        <v>1331.25</v>
      </c>
      <c r="F41" s="39">
        <v>33</v>
      </c>
      <c r="G41" s="39" t="s">
        <v>65</v>
      </c>
      <c r="H41" s="41">
        <v>1341.55</v>
      </c>
      <c r="I41" s="41">
        <v>1427.21</v>
      </c>
      <c r="J41" s="39" t="s">
        <v>137</v>
      </c>
      <c r="K41" s="42">
        <v>0.15</v>
      </c>
      <c r="L41" s="39" t="s">
        <v>73</v>
      </c>
      <c r="M41" s="39" t="s">
        <v>138</v>
      </c>
      <c r="N41" s="39" t="s">
        <v>152</v>
      </c>
      <c r="O41" s="43">
        <f t="shared" si="0"/>
        <v>47097.93</v>
      </c>
      <c r="P41" s="43">
        <f t="shared" si="1"/>
        <v>40033.24</v>
      </c>
      <c r="Q41" s="43">
        <f t="shared" si="2"/>
        <v>44271.15</v>
      </c>
      <c r="R41" s="43">
        <f t="shared" si="3"/>
        <v>-4237.9100000000035</v>
      </c>
      <c r="S41" s="44">
        <f t="shared" si="4"/>
        <v>-0.105859780522386</v>
      </c>
      <c r="T41" s="39" t="str">
        <f t="shared" si="5"/>
        <v>Loss</v>
      </c>
      <c r="U41" s="39" t="str">
        <f t="shared" si="6"/>
        <v>10-19%</v>
      </c>
      <c r="V41" s="39" t="str">
        <f>IF(E41&gt;=Analysis!$B$4,"High",IF(E41&gt;=Analysis!$B$5,"Mid","Low"))</f>
        <v>Low</v>
      </c>
      <c r="W41" s="39" t="str">
        <f t="shared" si="7"/>
        <v>2023-08</v>
      </c>
      <c r="X41" s="40">
        <f t="shared" si="8"/>
        <v>45169</v>
      </c>
      <c r="Y41" s="39" t="str">
        <f t="shared" si="9"/>
        <v>2023-Q3</v>
      </c>
      <c r="Z41" s="39" t="str">
        <f t="shared" si="10"/>
        <v>Tue</v>
      </c>
      <c r="AA41" s="39">
        <f t="shared" si="11"/>
        <v>2</v>
      </c>
      <c r="AB41" s="39">
        <f t="shared" si="12"/>
        <v>33</v>
      </c>
      <c r="AC41" s="39" t="str">
        <f t="shared" si="13"/>
        <v>Weekday</v>
      </c>
      <c r="AD41" s="39">
        <f t="shared" ca="1" si="14"/>
        <v>1173</v>
      </c>
      <c r="AE41" s="39">
        <f t="shared" ca="1" si="15"/>
        <v>38</v>
      </c>
      <c r="AF41" s="39" t="str">
        <f t="shared" si="16"/>
        <v>DAV</v>
      </c>
      <c r="AG41" s="39" t="str">
        <f t="shared" si="17"/>
        <v>NO-230808-0040</v>
      </c>
      <c r="AH41" s="39" t="str">
        <f>IF(AND(OR(Filter!$B$4="All",D41=Filter!$B$4),OR(Filter!$B$5="All",M41=Filter!$B$5),E41&gt;=Filter!$B$6),MAX(AH$1:AH40)+1,"")</f>
        <v/>
      </c>
      <c r="AI41" s="39">
        <f t="shared" si="18"/>
        <v>33</v>
      </c>
      <c r="AJ41" s="42">
        <f t="shared" si="19"/>
        <v>0.15</v>
      </c>
      <c r="AK41" s="41">
        <f t="shared" si="20"/>
        <v>1427.21</v>
      </c>
      <c r="AL41" s="39">
        <f>RANK(E41,$E$2:$E$1001,0)+COUNTIF($E$2:E41,E41)-1</f>
        <v>881</v>
      </c>
    </row>
    <row r="42" spans="1:38" x14ac:dyDescent="0.2">
      <c r="A42" s="39">
        <v>1062</v>
      </c>
      <c r="B42" s="40">
        <v>45001</v>
      </c>
      <c r="C42" s="39" t="s">
        <v>76</v>
      </c>
      <c r="D42" s="39" t="s">
        <v>74</v>
      </c>
      <c r="E42" s="41">
        <v>4195.0600000000004</v>
      </c>
      <c r="F42" s="39">
        <v>45</v>
      </c>
      <c r="G42" s="39" t="s">
        <v>75</v>
      </c>
      <c r="H42" s="41">
        <v>4849.6000000000004</v>
      </c>
      <c r="I42" s="41">
        <v>5166.72</v>
      </c>
      <c r="J42" s="39" t="s">
        <v>137</v>
      </c>
      <c r="K42" s="42">
        <v>0.25</v>
      </c>
      <c r="L42" s="39" t="s">
        <v>73</v>
      </c>
      <c r="M42" s="39" t="s">
        <v>138</v>
      </c>
      <c r="N42" s="39" t="s">
        <v>154</v>
      </c>
      <c r="O42" s="43">
        <f t="shared" si="0"/>
        <v>232502.39999999999</v>
      </c>
      <c r="P42" s="43">
        <f t="shared" si="1"/>
        <v>174376.8</v>
      </c>
      <c r="Q42" s="43">
        <f t="shared" si="2"/>
        <v>218232</v>
      </c>
      <c r="R42" s="43">
        <f t="shared" si="3"/>
        <v>-43855.200000000012</v>
      </c>
      <c r="S42" s="44">
        <f t="shared" si="4"/>
        <v>-0.25149675874313565</v>
      </c>
      <c r="T42" s="39" t="str">
        <f t="shared" si="5"/>
        <v>Loss</v>
      </c>
      <c r="U42" s="39" t="str">
        <f t="shared" si="6"/>
        <v>20%+</v>
      </c>
      <c r="V42" s="39" t="str">
        <f>IF(E42&gt;=Analysis!$B$4,"High",IF(E42&gt;=Analysis!$B$5,"Mid","Low"))</f>
        <v>Mid</v>
      </c>
      <c r="W42" s="39" t="str">
        <f t="shared" si="7"/>
        <v>2023-03</v>
      </c>
      <c r="X42" s="40">
        <f t="shared" si="8"/>
        <v>45016</v>
      </c>
      <c r="Y42" s="39" t="str">
        <f t="shared" si="9"/>
        <v>2023-Q1</v>
      </c>
      <c r="Z42" s="39" t="str">
        <f t="shared" si="10"/>
        <v>Thu</v>
      </c>
      <c r="AA42" s="39">
        <f t="shared" si="11"/>
        <v>4</v>
      </c>
      <c r="AB42" s="39">
        <f t="shared" si="12"/>
        <v>12</v>
      </c>
      <c r="AC42" s="39" t="str">
        <f t="shared" si="13"/>
        <v>Weekday</v>
      </c>
      <c r="AD42" s="39">
        <f t="shared" ca="1" si="14"/>
        <v>1318</v>
      </c>
      <c r="AE42" s="39">
        <f t="shared" ca="1" si="15"/>
        <v>43</v>
      </c>
      <c r="AF42" s="39" t="str">
        <f t="shared" si="16"/>
        <v>DAV</v>
      </c>
      <c r="AG42" s="39" t="str">
        <f t="shared" si="17"/>
        <v>WO-230316-0041</v>
      </c>
      <c r="AH42" s="39" t="str">
        <f>IF(AND(OR(Filter!$B$4="All",D42=Filter!$B$4),OR(Filter!$B$5="All",M42=Filter!$B$5),E42&gt;=Filter!$B$6),MAX(AH$1:AH41)+1,"")</f>
        <v/>
      </c>
      <c r="AI42" s="39">
        <f t="shared" si="18"/>
        <v>45</v>
      </c>
      <c r="AJ42" s="42">
        <f t="shared" si="19"/>
        <v>0.25</v>
      </c>
      <c r="AK42" s="41">
        <f t="shared" si="20"/>
        <v>5166.72</v>
      </c>
      <c r="AL42" s="39">
        <f>RANK(E42,$E$2:$E$1001,0)+COUNTIF($E$2:E42,E42)-1</f>
        <v>580</v>
      </c>
    </row>
    <row r="43" spans="1:38" x14ac:dyDescent="0.2">
      <c r="A43" s="39">
        <v>1051</v>
      </c>
      <c r="B43" s="40">
        <v>44930</v>
      </c>
      <c r="C43" s="39" t="s">
        <v>79</v>
      </c>
      <c r="D43" s="39" t="s">
        <v>64</v>
      </c>
      <c r="E43" s="41">
        <v>4979.3599999999997</v>
      </c>
      <c r="F43" s="39">
        <v>14</v>
      </c>
      <c r="G43" s="39" t="s">
        <v>65</v>
      </c>
      <c r="H43" s="41">
        <v>3686.81</v>
      </c>
      <c r="I43" s="41">
        <v>3710.92</v>
      </c>
      <c r="J43" s="39" t="s">
        <v>143</v>
      </c>
      <c r="K43" s="42">
        <v>0.1</v>
      </c>
      <c r="L43" s="39" t="s">
        <v>63</v>
      </c>
      <c r="M43" s="39" t="s">
        <v>140</v>
      </c>
      <c r="N43" s="39" t="s">
        <v>148</v>
      </c>
      <c r="O43" s="43">
        <f t="shared" si="0"/>
        <v>51952.88</v>
      </c>
      <c r="P43" s="43">
        <f t="shared" si="1"/>
        <v>46757.59</v>
      </c>
      <c r="Q43" s="43">
        <f t="shared" si="2"/>
        <v>51615.34</v>
      </c>
      <c r="R43" s="43">
        <f t="shared" si="3"/>
        <v>-4857.75</v>
      </c>
      <c r="S43" s="44">
        <f t="shared" si="4"/>
        <v>-0.10389222370100769</v>
      </c>
      <c r="T43" s="39" t="str">
        <f t="shared" si="5"/>
        <v>Loss</v>
      </c>
      <c r="U43" s="39" t="str">
        <f t="shared" si="6"/>
        <v>10-19%</v>
      </c>
      <c r="V43" s="39" t="str">
        <f>IF(E43&gt;=Analysis!$B$4,"High",IF(E43&gt;=Analysis!$B$5,"Mid","Low"))</f>
        <v>Mid</v>
      </c>
      <c r="W43" s="39" t="str">
        <f t="shared" si="7"/>
        <v>2023-01</v>
      </c>
      <c r="X43" s="40">
        <f t="shared" si="8"/>
        <v>44957</v>
      </c>
      <c r="Y43" s="39" t="str">
        <f t="shared" si="9"/>
        <v>2023-Q1</v>
      </c>
      <c r="Z43" s="39" t="str">
        <f t="shared" si="10"/>
        <v>Wed</v>
      </c>
      <c r="AA43" s="39">
        <f t="shared" si="11"/>
        <v>3</v>
      </c>
      <c r="AB43" s="39">
        <f t="shared" si="12"/>
        <v>2</v>
      </c>
      <c r="AC43" s="39" t="str">
        <f t="shared" si="13"/>
        <v>Weekday</v>
      </c>
      <c r="AD43" s="39">
        <f t="shared" ca="1" si="14"/>
        <v>1389</v>
      </c>
      <c r="AE43" s="39">
        <f t="shared" ca="1" si="15"/>
        <v>45</v>
      </c>
      <c r="AF43" s="39" t="str">
        <f t="shared" si="16"/>
        <v>EVE</v>
      </c>
      <c r="AG43" s="39" t="str">
        <f t="shared" si="17"/>
        <v>NR-230104-0042</v>
      </c>
      <c r="AH43" s="39" t="str">
        <f>IF(AND(OR(Filter!$B$4="All",D43=Filter!$B$4),OR(Filter!$B$5="All",M43=Filter!$B$5),E43&gt;=Filter!$B$6),MAX(AH$1:AH42)+1,"")</f>
        <v/>
      </c>
      <c r="AI43" s="39">
        <f t="shared" si="18"/>
        <v>14</v>
      </c>
      <c r="AJ43" s="42">
        <f t="shared" si="19"/>
        <v>0.1</v>
      </c>
      <c r="AK43" s="41">
        <f t="shared" si="20"/>
        <v>3710.92</v>
      </c>
      <c r="AL43" s="39">
        <f>RANK(E43,$E$2:$E$1001,0)+COUNTIF($E$2:E43,E43)-1</f>
        <v>502</v>
      </c>
    </row>
    <row r="44" spans="1:38" x14ac:dyDescent="0.2">
      <c r="A44" s="39">
        <v>1055</v>
      </c>
      <c r="B44" s="40">
        <v>45261</v>
      </c>
      <c r="C44" s="39" t="s">
        <v>71</v>
      </c>
      <c r="D44" s="39" t="s">
        <v>74</v>
      </c>
      <c r="E44" s="41">
        <v>4102.47</v>
      </c>
      <c r="F44" s="39">
        <v>8</v>
      </c>
      <c r="G44" s="39" t="s">
        <v>75</v>
      </c>
      <c r="H44" s="41">
        <v>3513</v>
      </c>
      <c r="I44" s="41">
        <v>3838.42</v>
      </c>
      <c r="J44" s="39" t="s">
        <v>137</v>
      </c>
      <c r="K44" s="42">
        <v>0.13</v>
      </c>
      <c r="L44" s="39" t="s">
        <v>63</v>
      </c>
      <c r="M44" s="39" t="s">
        <v>138</v>
      </c>
      <c r="N44" s="39" t="s">
        <v>146</v>
      </c>
      <c r="O44" s="43">
        <f t="shared" si="0"/>
        <v>30707.360000000001</v>
      </c>
      <c r="P44" s="43">
        <f t="shared" si="1"/>
        <v>26715.4</v>
      </c>
      <c r="Q44" s="43">
        <f t="shared" si="2"/>
        <v>28104</v>
      </c>
      <c r="R44" s="43">
        <f t="shared" si="3"/>
        <v>-1388.5999999999985</v>
      </c>
      <c r="S44" s="44">
        <f t="shared" si="4"/>
        <v>-5.1977511098467495E-2</v>
      </c>
      <c r="T44" s="39" t="str">
        <f t="shared" si="5"/>
        <v>Loss</v>
      </c>
      <c r="U44" s="39" t="str">
        <f t="shared" si="6"/>
        <v>10-19%</v>
      </c>
      <c r="V44" s="39" t="str">
        <f>IF(E44&gt;=Analysis!$B$4,"High",IF(E44&gt;=Analysis!$B$5,"Mid","Low"))</f>
        <v>Mid</v>
      </c>
      <c r="W44" s="39" t="str">
        <f t="shared" si="7"/>
        <v>2023-12</v>
      </c>
      <c r="X44" s="40">
        <f t="shared" si="8"/>
        <v>45291</v>
      </c>
      <c r="Y44" s="39" t="str">
        <f t="shared" si="9"/>
        <v>2023-Q4</v>
      </c>
      <c r="Z44" s="39" t="str">
        <f t="shared" si="10"/>
        <v>Fri</v>
      </c>
      <c r="AA44" s="39">
        <f t="shared" si="11"/>
        <v>5</v>
      </c>
      <c r="AB44" s="39">
        <f t="shared" si="12"/>
        <v>49</v>
      </c>
      <c r="AC44" s="39" t="str">
        <f t="shared" si="13"/>
        <v>Weekday</v>
      </c>
      <c r="AD44" s="39">
        <f t="shared" ca="1" si="14"/>
        <v>1058</v>
      </c>
      <c r="AE44" s="39">
        <f t="shared" ca="1" si="15"/>
        <v>34</v>
      </c>
      <c r="AF44" s="39" t="str">
        <f t="shared" si="16"/>
        <v>CHA</v>
      </c>
      <c r="AG44" s="39" t="str">
        <f t="shared" si="17"/>
        <v>WO-231201-0043</v>
      </c>
      <c r="AH44" s="39" t="str">
        <f>IF(AND(OR(Filter!$B$4="All",D44=Filter!$B$4),OR(Filter!$B$5="All",M44=Filter!$B$5),E44&gt;=Filter!$B$6),MAX(AH$1:AH43)+1,"")</f>
        <v/>
      </c>
      <c r="AI44" s="39">
        <f t="shared" si="18"/>
        <v>8</v>
      </c>
      <c r="AJ44" s="42">
        <f t="shared" si="19"/>
        <v>0.13</v>
      </c>
      <c r="AK44" s="41">
        <f t="shared" si="20"/>
        <v>3838.42</v>
      </c>
      <c r="AL44" s="39">
        <f>RANK(E44,$E$2:$E$1001,0)+COUNTIF($E$2:E44,E44)-1</f>
        <v>588</v>
      </c>
    </row>
    <row r="45" spans="1:38" x14ac:dyDescent="0.2">
      <c r="A45" s="39">
        <v>1064</v>
      </c>
      <c r="B45" s="40">
        <v>45060</v>
      </c>
      <c r="C45" s="39" t="s">
        <v>66</v>
      </c>
      <c r="D45" s="39" t="s">
        <v>69</v>
      </c>
      <c r="E45" s="41">
        <v>5356.28</v>
      </c>
      <c r="F45" s="39">
        <v>8</v>
      </c>
      <c r="G45" s="39" t="s">
        <v>65</v>
      </c>
      <c r="H45" s="41">
        <v>4271.99</v>
      </c>
      <c r="I45" s="41">
        <v>4417.79</v>
      </c>
      <c r="J45" s="39" t="s">
        <v>137</v>
      </c>
      <c r="K45" s="42">
        <v>0.04</v>
      </c>
      <c r="L45" s="39" t="s">
        <v>68</v>
      </c>
      <c r="M45" s="39" t="s">
        <v>138</v>
      </c>
      <c r="N45" s="39" t="s">
        <v>144</v>
      </c>
      <c r="O45" s="43">
        <f t="shared" si="0"/>
        <v>35342.32</v>
      </c>
      <c r="P45" s="43">
        <f t="shared" si="1"/>
        <v>33928.629999999997</v>
      </c>
      <c r="Q45" s="43">
        <f t="shared" si="2"/>
        <v>34175.919999999998</v>
      </c>
      <c r="R45" s="43">
        <f t="shared" si="3"/>
        <v>-247.29000000000087</v>
      </c>
      <c r="S45" s="44">
        <f t="shared" si="4"/>
        <v>-7.2885347861083956E-3</v>
      </c>
      <c r="T45" s="39" t="str">
        <f t="shared" si="5"/>
        <v>Loss</v>
      </c>
      <c r="U45" s="39" t="str">
        <f t="shared" si="6"/>
        <v>0-9%</v>
      </c>
      <c r="V45" s="39" t="str">
        <f>IF(E45&gt;=Analysis!$B$4,"High",IF(E45&gt;=Analysis!$B$5,"Mid","Low"))</f>
        <v>Mid</v>
      </c>
      <c r="W45" s="39" t="str">
        <f t="shared" si="7"/>
        <v>2023-05</v>
      </c>
      <c r="X45" s="40">
        <f t="shared" si="8"/>
        <v>45077</v>
      </c>
      <c r="Y45" s="39" t="str">
        <f t="shared" si="9"/>
        <v>2023-Q2</v>
      </c>
      <c r="Z45" s="39" t="str">
        <f t="shared" si="10"/>
        <v>Sun</v>
      </c>
      <c r="AA45" s="39">
        <f t="shared" si="11"/>
        <v>7</v>
      </c>
      <c r="AB45" s="39">
        <f t="shared" si="12"/>
        <v>20</v>
      </c>
      <c r="AC45" s="39" t="str">
        <f t="shared" si="13"/>
        <v>Weekend</v>
      </c>
      <c r="AD45" s="39">
        <f t="shared" ca="1" si="14"/>
        <v>1259</v>
      </c>
      <c r="AE45" s="39">
        <f t="shared" ca="1" si="15"/>
        <v>41</v>
      </c>
      <c r="AF45" s="39" t="str">
        <f t="shared" si="16"/>
        <v>BOB</v>
      </c>
      <c r="AG45" s="39" t="str">
        <f t="shared" si="17"/>
        <v>SO-230514-0044</v>
      </c>
      <c r="AH45" s="39" t="str">
        <f>IF(AND(OR(Filter!$B$4="All",D45=Filter!$B$4),OR(Filter!$B$5="All",M45=Filter!$B$5),E45&gt;=Filter!$B$6),MAX(AH$1:AH44)+1,"")</f>
        <v/>
      </c>
      <c r="AI45" s="39">
        <f t="shared" si="18"/>
        <v>8</v>
      </c>
      <c r="AJ45" s="42">
        <f t="shared" si="19"/>
        <v>0.04</v>
      </c>
      <c r="AK45" s="41">
        <f t="shared" si="20"/>
        <v>4417.79</v>
      </c>
      <c r="AL45" s="39">
        <f>RANK(E45,$E$2:$E$1001,0)+COUNTIF($E$2:E45,E45)-1</f>
        <v>468</v>
      </c>
    </row>
    <row r="46" spans="1:38" x14ac:dyDescent="0.2">
      <c r="A46" s="39">
        <v>1003</v>
      </c>
      <c r="B46" s="40">
        <v>45044</v>
      </c>
      <c r="C46" s="39" t="s">
        <v>71</v>
      </c>
      <c r="D46" s="39" t="s">
        <v>69</v>
      </c>
      <c r="E46" s="41">
        <v>5991.8</v>
      </c>
      <c r="F46" s="39">
        <v>27</v>
      </c>
      <c r="G46" s="39" t="s">
        <v>75</v>
      </c>
      <c r="H46" s="41">
        <v>623.32000000000005</v>
      </c>
      <c r="I46" s="41">
        <v>853.66</v>
      </c>
      <c r="J46" s="39" t="s">
        <v>137</v>
      </c>
      <c r="K46" s="42">
        <v>0.04</v>
      </c>
      <c r="L46" s="39" t="s">
        <v>68</v>
      </c>
      <c r="M46" s="39" t="s">
        <v>138</v>
      </c>
      <c r="N46" s="39" t="s">
        <v>151</v>
      </c>
      <c r="O46" s="43">
        <f t="shared" si="0"/>
        <v>23048.82</v>
      </c>
      <c r="P46" s="43">
        <f t="shared" si="1"/>
        <v>22126.87</v>
      </c>
      <c r="Q46" s="43">
        <f t="shared" si="2"/>
        <v>16829.64</v>
      </c>
      <c r="R46" s="43">
        <f t="shared" si="3"/>
        <v>5297.23</v>
      </c>
      <c r="S46" s="44">
        <f t="shared" si="4"/>
        <v>0.23940259060590133</v>
      </c>
      <c r="T46" s="39" t="str">
        <f t="shared" si="5"/>
        <v>OK</v>
      </c>
      <c r="U46" s="39" t="str">
        <f t="shared" si="6"/>
        <v>0-9%</v>
      </c>
      <c r="V46" s="39" t="str">
        <f>IF(E46&gt;=Analysis!$B$4,"High",IF(E46&gt;=Analysis!$B$5,"Mid","Low"))</f>
        <v>Mid</v>
      </c>
      <c r="W46" s="39" t="str">
        <f t="shared" si="7"/>
        <v>2023-04</v>
      </c>
      <c r="X46" s="40">
        <f t="shared" si="8"/>
        <v>45046</v>
      </c>
      <c r="Y46" s="39" t="str">
        <f t="shared" si="9"/>
        <v>2023-Q2</v>
      </c>
      <c r="Z46" s="39" t="str">
        <f t="shared" si="10"/>
        <v>Fri</v>
      </c>
      <c r="AA46" s="39">
        <f t="shared" si="11"/>
        <v>5</v>
      </c>
      <c r="AB46" s="39">
        <f t="shared" si="12"/>
        <v>18</v>
      </c>
      <c r="AC46" s="39" t="str">
        <f t="shared" si="13"/>
        <v>Weekday</v>
      </c>
      <c r="AD46" s="39">
        <f t="shared" ca="1" si="14"/>
        <v>1275</v>
      </c>
      <c r="AE46" s="39">
        <f t="shared" ca="1" si="15"/>
        <v>41</v>
      </c>
      <c r="AF46" s="39" t="str">
        <f t="shared" si="16"/>
        <v>CHA</v>
      </c>
      <c r="AG46" s="39" t="str">
        <f t="shared" si="17"/>
        <v>SO-230428-0045</v>
      </c>
      <c r="AH46" s="39" t="str">
        <f>IF(AND(OR(Filter!$B$4="All",D46=Filter!$B$4),OR(Filter!$B$5="All",M46=Filter!$B$5),E46&gt;=Filter!$B$6),MAX(AH$1:AH45)+1,"")</f>
        <v/>
      </c>
      <c r="AI46" s="39">
        <f t="shared" si="18"/>
        <v>27</v>
      </c>
      <c r="AJ46" s="42">
        <f t="shared" si="19"/>
        <v>0.04</v>
      </c>
      <c r="AK46" s="41">
        <f t="shared" si="20"/>
        <v>853.66</v>
      </c>
      <c r="AL46" s="39">
        <f>RANK(E46,$E$2:$E$1001,0)+COUNTIF($E$2:E46,E46)-1</f>
        <v>408</v>
      </c>
    </row>
    <row r="47" spans="1:38" x14ac:dyDescent="0.2">
      <c r="A47" s="39">
        <v>1051</v>
      </c>
      <c r="B47" s="40">
        <v>45020</v>
      </c>
      <c r="C47" s="39" t="s">
        <v>66</v>
      </c>
      <c r="D47" s="39" t="s">
        <v>59</v>
      </c>
      <c r="E47" s="41">
        <v>198.25</v>
      </c>
      <c r="F47" s="39">
        <v>12</v>
      </c>
      <c r="G47" s="39" t="s">
        <v>65</v>
      </c>
      <c r="H47" s="41">
        <v>3544.48</v>
      </c>
      <c r="I47" s="41">
        <v>3723.66</v>
      </c>
      <c r="J47" s="39" t="s">
        <v>137</v>
      </c>
      <c r="K47" s="42">
        <v>0.19</v>
      </c>
      <c r="L47" s="39" t="s">
        <v>68</v>
      </c>
      <c r="M47" s="39" t="s">
        <v>138</v>
      </c>
      <c r="N47" s="39" t="s">
        <v>153</v>
      </c>
      <c r="O47" s="43">
        <f t="shared" si="0"/>
        <v>44683.92</v>
      </c>
      <c r="P47" s="43">
        <f t="shared" si="1"/>
        <v>36193.980000000003</v>
      </c>
      <c r="Q47" s="43">
        <f t="shared" si="2"/>
        <v>42533.760000000002</v>
      </c>
      <c r="R47" s="43">
        <f t="shared" si="3"/>
        <v>-6339.7799999999988</v>
      </c>
      <c r="S47" s="44">
        <f t="shared" si="4"/>
        <v>-0.17516117321167771</v>
      </c>
      <c r="T47" s="39" t="str">
        <f t="shared" si="5"/>
        <v>Loss</v>
      </c>
      <c r="U47" s="39" t="str">
        <f t="shared" si="6"/>
        <v>10-19%</v>
      </c>
      <c r="V47" s="39" t="str">
        <f>IF(E47&gt;=Analysis!$B$4,"High",IF(E47&gt;=Analysis!$B$5,"Mid","Low"))</f>
        <v>Low</v>
      </c>
      <c r="W47" s="39" t="str">
        <f t="shared" si="7"/>
        <v>2023-04</v>
      </c>
      <c r="X47" s="40">
        <f t="shared" si="8"/>
        <v>45046</v>
      </c>
      <c r="Y47" s="39" t="str">
        <f t="shared" si="9"/>
        <v>2023-Q2</v>
      </c>
      <c r="Z47" s="39" t="str">
        <f t="shared" si="10"/>
        <v>Tue</v>
      </c>
      <c r="AA47" s="39">
        <f t="shared" si="11"/>
        <v>2</v>
      </c>
      <c r="AB47" s="39">
        <f t="shared" si="12"/>
        <v>15</v>
      </c>
      <c r="AC47" s="39" t="str">
        <f t="shared" si="13"/>
        <v>Weekday</v>
      </c>
      <c r="AD47" s="39">
        <f t="shared" ca="1" si="14"/>
        <v>1299</v>
      </c>
      <c r="AE47" s="39">
        <f t="shared" ca="1" si="15"/>
        <v>42</v>
      </c>
      <c r="AF47" s="39" t="str">
        <f t="shared" si="16"/>
        <v>BOB</v>
      </c>
      <c r="AG47" s="39" t="str">
        <f t="shared" si="17"/>
        <v>EO-230404-0046</v>
      </c>
      <c r="AH47" s="39" t="str">
        <f>IF(AND(OR(Filter!$B$4="All",D47=Filter!$B$4),OR(Filter!$B$5="All",M47=Filter!$B$5),E47&gt;=Filter!$B$6),MAX(AH$1:AH46)+1,"")</f>
        <v/>
      </c>
      <c r="AI47" s="39">
        <f t="shared" si="18"/>
        <v>12</v>
      </c>
      <c r="AJ47" s="42">
        <f t="shared" si="19"/>
        <v>0.19</v>
      </c>
      <c r="AK47" s="41">
        <f t="shared" si="20"/>
        <v>3723.66</v>
      </c>
      <c r="AL47" s="39">
        <f>RANK(E47,$E$2:$E$1001,0)+COUNTIF($E$2:E47,E47)-1</f>
        <v>989</v>
      </c>
    </row>
    <row r="48" spans="1:38" x14ac:dyDescent="0.2">
      <c r="A48" s="39">
        <v>1007</v>
      </c>
      <c r="B48" s="40">
        <v>44988</v>
      </c>
      <c r="C48" s="39" t="s">
        <v>79</v>
      </c>
      <c r="D48" s="39" t="s">
        <v>74</v>
      </c>
      <c r="E48" s="41">
        <v>4694.54</v>
      </c>
      <c r="F48" s="39">
        <v>1</v>
      </c>
      <c r="G48" s="39" t="s">
        <v>70</v>
      </c>
      <c r="H48" s="41">
        <v>2543.2600000000002</v>
      </c>
      <c r="I48" s="41">
        <v>2637.91</v>
      </c>
      <c r="J48" s="39" t="s">
        <v>137</v>
      </c>
      <c r="K48" s="42">
        <v>0.2</v>
      </c>
      <c r="L48" s="39" t="s">
        <v>73</v>
      </c>
      <c r="M48" s="39" t="s">
        <v>138</v>
      </c>
      <c r="N48" s="39" t="s">
        <v>149</v>
      </c>
      <c r="O48" s="43">
        <f t="shared" si="0"/>
        <v>2637.91</v>
      </c>
      <c r="P48" s="43">
        <f t="shared" si="1"/>
        <v>2110.33</v>
      </c>
      <c r="Q48" s="43">
        <f t="shared" si="2"/>
        <v>2543.2600000000002</v>
      </c>
      <c r="R48" s="43">
        <f t="shared" si="3"/>
        <v>-432.93000000000029</v>
      </c>
      <c r="S48" s="44">
        <f t="shared" si="4"/>
        <v>-0.20514801002686797</v>
      </c>
      <c r="T48" s="39" t="str">
        <f t="shared" si="5"/>
        <v>Loss</v>
      </c>
      <c r="U48" s="39" t="str">
        <f t="shared" si="6"/>
        <v>20%+</v>
      </c>
      <c r="V48" s="39" t="str">
        <f>IF(E48&gt;=Analysis!$B$4,"High",IF(E48&gt;=Analysis!$B$5,"Mid","Low"))</f>
        <v>Mid</v>
      </c>
      <c r="W48" s="39" t="str">
        <f t="shared" si="7"/>
        <v>2023-03</v>
      </c>
      <c r="X48" s="40">
        <f t="shared" si="8"/>
        <v>45016</v>
      </c>
      <c r="Y48" s="39" t="str">
        <f t="shared" si="9"/>
        <v>2023-Q1</v>
      </c>
      <c r="Z48" s="39" t="str">
        <f t="shared" si="10"/>
        <v>Fri</v>
      </c>
      <c r="AA48" s="39">
        <f t="shared" si="11"/>
        <v>5</v>
      </c>
      <c r="AB48" s="39">
        <f t="shared" si="12"/>
        <v>10</v>
      </c>
      <c r="AC48" s="39" t="str">
        <f t="shared" si="13"/>
        <v>Weekday</v>
      </c>
      <c r="AD48" s="39">
        <f t="shared" ca="1" si="14"/>
        <v>1331</v>
      </c>
      <c r="AE48" s="39">
        <f t="shared" ca="1" si="15"/>
        <v>43</v>
      </c>
      <c r="AF48" s="39" t="str">
        <f t="shared" si="16"/>
        <v>EVE</v>
      </c>
      <c r="AG48" s="39" t="str">
        <f t="shared" si="17"/>
        <v>WO-230303-0047</v>
      </c>
      <c r="AH48" s="39" t="str">
        <f>IF(AND(OR(Filter!$B$4="All",D48=Filter!$B$4),OR(Filter!$B$5="All",M48=Filter!$B$5),E48&gt;=Filter!$B$6),MAX(AH$1:AH47)+1,"")</f>
        <v/>
      </c>
      <c r="AI48" s="39">
        <f t="shared" si="18"/>
        <v>1</v>
      </c>
      <c r="AJ48" s="42">
        <f t="shared" si="19"/>
        <v>0.2</v>
      </c>
      <c r="AK48" s="41">
        <f t="shared" si="20"/>
        <v>2637.91</v>
      </c>
      <c r="AL48" s="39">
        <f>RANK(E48,$E$2:$E$1001,0)+COUNTIF($E$2:E48,E48)-1</f>
        <v>531</v>
      </c>
    </row>
    <row r="49" spans="1:38" x14ac:dyDescent="0.2">
      <c r="A49" s="39">
        <v>1021</v>
      </c>
      <c r="B49" s="40">
        <v>45120</v>
      </c>
      <c r="C49" s="39" t="s">
        <v>66</v>
      </c>
      <c r="D49" s="39" t="s">
        <v>74</v>
      </c>
      <c r="E49" s="41">
        <v>9638.64</v>
      </c>
      <c r="F49" s="39">
        <v>43</v>
      </c>
      <c r="G49" s="39" t="s">
        <v>75</v>
      </c>
      <c r="H49" s="41">
        <v>4154.3</v>
      </c>
      <c r="I49" s="41">
        <v>4469.07</v>
      </c>
      <c r="J49" s="39" t="s">
        <v>137</v>
      </c>
      <c r="K49" s="42">
        <v>0.23</v>
      </c>
      <c r="L49" s="39" t="s">
        <v>68</v>
      </c>
      <c r="M49" s="39" t="s">
        <v>140</v>
      </c>
      <c r="N49" s="39" t="s">
        <v>141</v>
      </c>
      <c r="O49" s="43">
        <f t="shared" si="0"/>
        <v>192170.01</v>
      </c>
      <c r="P49" s="43">
        <f t="shared" si="1"/>
        <v>147970.91</v>
      </c>
      <c r="Q49" s="43">
        <f t="shared" si="2"/>
        <v>178634.9</v>
      </c>
      <c r="R49" s="43">
        <f t="shared" si="3"/>
        <v>-30663.989999999991</v>
      </c>
      <c r="S49" s="44">
        <f t="shared" si="4"/>
        <v>-0.20722985348944592</v>
      </c>
      <c r="T49" s="39" t="str">
        <f t="shared" si="5"/>
        <v>Loss</v>
      </c>
      <c r="U49" s="39" t="str">
        <f t="shared" si="6"/>
        <v>20%+</v>
      </c>
      <c r="V49" s="39" t="str">
        <f>IF(E49&gt;=Analysis!$B$4,"High",IF(E49&gt;=Analysis!$B$5,"Mid","Low"))</f>
        <v>High</v>
      </c>
      <c r="W49" s="39" t="str">
        <f t="shared" si="7"/>
        <v>2023-07</v>
      </c>
      <c r="X49" s="40">
        <f t="shared" si="8"/>
        <v>45138</v>
      </c>
      <c r="Y49" s="39" t="str">
        <f t="shared" si="9"/>
        <v>2023-Q3</v>
      </c>
      <c r="Z49" s="39" t="str">
        <f t="shared" si="10"/>
        <v>Thu</v>
      </c>
      <c r="AA49" s="39">
        <f t="shared" si="11"/>
        <v>4</v>
      </c>
      <c r="AB49" s="39">
        <f t="shared" si="12"/>
        <v>29</v>
      </c>
      <c r="AC49" s="39" t="str">
        <f t="shared" si="13"/>
        <v>Weekday</v>
      </c>
      <c r="AD49" s="39">
        <f t="shared" ca="1" si="14"/>
        <v>1199</v>
      </c>
      <c r="AE49" s="39">
        <f t="shared" ca="1" si="15"/>
        <v>39</v>
      </c>
      <c r="AF49" s="39" t="str">
        <f t="shared" si="16"/>
        <v>BOB</v>
      </c>
      <c r="AG49" s="39" t="str">
        <f t="shared" si="17"/>
        <v>WR-230713-0048</v>
      </c>
      <c r="AH49" s="39">
        <f>IF(AND(OR(Filter!$B$4="All",D49=Filter!$B$4),OR(Filter!$B$5="All",M49=Filter!$B$5),E49&gt;=Filter!$B$6),MAX(AH$1:AH48)+1,"")</f>
        <v>1</v>
      </c>
      <c r="AI49" s="39">
        <f t="shared" si="18"/>
        <v>43</v>
      </c>
      <c r="AJ49" s="42">
        <f t="shared" si="19"/>
        <v>0.23</v>
      </c>
      <c r="AK49" s="41">
        <f t="shared" si="20"/>
        <v>4469.07</v>
      </c>
      <c r="AL49" s="39">
        <f>RANK(E49,$E$2:$E$1001,0)+COUNTIF($E$2:E49,E49)-1</f>
        <v>36</v>
      </c>
    </row>
    <row r="50" spans="1:38" x14ac:dyDescent="0.2">
      <c r="A50" s="39">
        <v>1073</v>
      </c>
      <c r="B50" s="40">
        <v>45261</v>
      </c>
      <c r="C50" s="39" t="s">
        <v>76</v>
      </c>
      <c r="D50" s="39" t="s">
        <v>74</v>
      </c>
      <c r="E50" s="41">
        <v>5238.42</v>
      </c>
      <c r="F50" s="39">
        <v>40</v>
      </c>
      <c r="G50" s="39" t="s">
        <v>75</v>
      </c>
      <c r="H50" s="41">
        <v>2565.3000000000002</v>
      </c>
      <c r="I50" s="41">
        <v>3007.47</v>
      </c>
      <c r="J50" s="39" t="s">
        <v>137</v>
      </c>
      <c r="K50" s="42">
        <v>0.17</v>
      </c>
      <c r="L50" s="39" t="s">
        <v>73</v>
      </c>
      <c r="M50" s="39" t="s">
        <v>140</v>
      </c>
      <c r="N50" s="39" t="s">
        <v>154</v>
      </c>
      <c r="O50" s="43">
        <f t="shared" si="0"/>
        <v>120298.8</v>
      </c>
      <c r="P50" s="43">
        <f t="shared" si="1"/>
        <v>99848</v>
      </c>
      <c r="Q50" s="43">
        <f t="shared" si="2"/>
        <v>102612</v>
      </c>
      <c r="R50" s="43">
        <f t="shared" si="3"/>
        <v>-2764</v>
      </c>
      <c r="S50" s="44">
        <f t="shared" si="4"/>
        <v>-2.768207675667014E-2</v>
      </c>
      <c r="T50" s="39" t="str">
        <f t="shared" si="5"/>
        <v>Loss</v>
      </c>
      <c r="U50" s="39" t="str">
        <f t="shared" si="6"/>
        <v>10-19%</v>
      </c>
      <c r="V50" s="39" t="str">
        <f>IF(E50&gt;=Analysis!$B$4,"High",IF(E50&gt;=Analysis!$B$5,"Mid","Low"))</f>
        <v>Mid</v>
      </c>
      <c r="W50" s="39" t="str">
        <f t="shared" si="7"/>
        <v>2023-12</v>
      </c>
      <c r="X50" s="40">
        <f t="shared" si="8"/>
        <v>45291</v>
      </c>
      <c r="Y50" s="39" t="str">
        <f t="shared" si="9"/>
        <v>2023-Q4</v>
      </c>
      <c r="Z50" s="39" t="str">
        <f t="shared" si="10"/>
        <v>Fri</v>
      </c>
      <c r="AA50" s="39">
        <f t="shared" si="11"/>
        <v>5</v>
      </c>
      <c r="AB50" s="39">
        <f t="shared" si="12"/>
        <v>49</v>
      </c>
      <c r="AC50" s="39" t="str">
        <f t="shared" si="13"/>
        <v>Weekday</v>
      </c>
      <c r="AD50" s="39">
        <f t="shared" ca="1" si="14"/>
        <v>1058</v>
      </c>
      <c r="AE50" s="39">
        <f t="shared" ca="1" si="15"/>
        <v>34</v>
      </c>
      <c r="AF50" s="39" t="str">
        <f t="shared" si="16"/>
        <v>DAV</v>
      </c>
      <c r="AG50" s="39" t="str">
        <f t="shared" si="17"/>
        <v>WR-231201-0049</v>
      </c>
      <c r="AH50" s="39" t="str">
        <f>IF(AND(OR(Filter!$B$4="All",D50=Filter!$B$4),OR(Filter!$B$5="All",M50=Filter!$B$5),E50&gt;=Filter!$B$6),MAX(AH$1:AH49)+1,"")</f>
        <v/>
      </c>
      <c r="AI50" s="39">
        <f t="shared" si="18"/>
        <v>40</v>
      </c>
      <c r="AJ50" s="42">
        <f t="shared" si="19"/>
        <v>0.17</v>
      </c>
      <c r="AK50" s="41">
        <f t="shared" si="20"/>
        <v>3007.47</v>
      </c>
      <c r="AL50" s="39">
        <f>RANK(E50,$E$2:$E$1001,0)+COUNTIF($E$2:E50,E50)-1</f>
        <v>476</v>
      </c>
    </row>
    <row r="51" spans="1:38" x14ac:dyDescent="0.2">
      <c r="A51" s="39">
        <v>1039</v>
      </c>
      <c r="B51" s="40">
        <v>45129</v>
      </c>
      <c r="C51" s="39" t="s">
        <v>61</v>
      </c>
      <c r="D51" s="39" t="s">
        <v>59</v>
      </c>
      <c r="E51" s="41">
        <v>6807.67</v>
      </c>
      <c r="F51" s="39">
        <v>42</v>
      </c>
      <c r="G51" s="39" t="s">
        <v>60</v>
      </c>
      <c r="H51" s="41">
        <v>3120.19</v>
      </c>
      <c r="I51" s="41">
        <v>3600.14</v>
      </c>
      <c r="J51" s="39" t="s">
        <v>137</v>
      </c>
      <c r="K51" s="42">
        <v>0.19</v>
      </c>
      <c r="L51" s="39" t="s">
        <v>73</v>
      </c>
      <c r="M51" s="39" t="s">
        <v>140</v>
      </c>
      <c r="N51" s="39" t="s">
        <v>159</v>
      </c>
      <c r="O51" s="43">
        <f t="shared" si="0"/>
        <v>151205.88</v>
      </c>
      <c r="P51" s="43">
        <f t="shared" si="1"/>
        <v>122476.76</v>
      </c>
      <c r="Q51" s="43">
        <f t="shared" si="2"/>
        <v>131047.98</v>
      </c>
      <c r="R51" s="43">
        <f t="shared" si="3"/>
        <v>-8571.2200000000012</v>
      </c>
      <c r="S51" s="44">
        <f t="shared" si="4"/>
        <v>-6.9982419521875019E-2</v>
      </c>
      <c r="T51" s="39" t="str">
        <f t="shared" si="5"/>
        <v>Loss</v>
      </c>
      <c r="U51" s="39" t="str">
        <f t="shared" si="6"/>
        <v>10-19%</v>
      </c>
      <c r="V51" s="39" t="str">
        <f>IF(E51&gt;=Analysis!$B$4,"High",IF(E51&gt;=Analysis!$B$5,"Mid","Low"))</f>
        <v>Mid</v>
      </c>
      <c r="W51" s="39" t="str">
        <f t="shared" si="7"/>
        <v>2023-07</v>
      </c>
      <c r="X51" s="40">
        <f t="shared" si="8"/>
        <v>45138</v>
      </c>
      <c r="Y51" s="39" t="str">
        <f t="shared" si="9"/>
        <v>2023-Q3</v>
      </c>
      <c r="Z51" s="39" t="str">
        <f t="shared" si="10"/>
        <v>Sat</v>
      </c>
      <c r="AA51" s="39">
        <f t="shared" si="11"/>
        <v>6</v>
      </c>
      <c r="AB51" s="39">
        <f t="shared" si="12"/>
        <v>30</v>
      </c>
      <c r="AC51" s="39" t="str">
        <f t="shared" si="13"/>
        <v>Weekend</v>
      </c>
      <c r="AD51" s="39">
        <f t="shared" ca="1" si="14"/>
        <v>1190</v>
      </c>
      <c r="AE51" s="39">
        <f t="shared" ca="1" si="15"/>
        <v>39</v>
      </c>
      <c r="AF51" s="39" t="str">
        <f t="shared" si="16"/>
        <v>ALI</v>
      </c>
      <c r="AG51" s="39" t="str">
        <f t="shared" si="17"/>
        <v>ER-230722-0050</v>
      </c>
      <c r="AH51" s="39" t="str">
        <f>IF(AND(OR(Filter!$B$4="All",D51=Filter!$B$4),OR(Filter!$B$5="All",M51=Filter!$B$5),E51&gt;=Filter!$B$6),MAX(AH$1:AH50)+1,"")</f>
        <v/>
      </c>
      <c r="AI51" s="39">
        <f t="shared" si="18"/>
        <v>42</v>
      </c>
      <c r="AJ51" s="42">
        <f t="shared" si="19"/>
        <v>0.19</v>
      </c>
      <c r="AK51" s="41">
        <f t="shared" si="20"/>
        <v>3600.14</v>
      </c>
      <c r="AL51" s="39">
        <f>RANK(E51,$E$2:$E$1001,0)+COUNTIF($E$2:E51,E51)-1</f>
        <v>318</v>
      </c>
    </row>
    <row r="52" spans="1:38" x14ac:dyDescent="0.2">
      <c r="A52" s="39">
        <v>1018</v>
      </c>
      <c r="B52" s="40">
        <v>44952</v>
      </c>
      <c r="C52" s="39" t="s">
        <v>61</v>
      </c>
      <c r="D52" s="39" t="s">
        <v>59</v>
      </c>
      <c r="E52" s="41">
        <v>3187.45</v>
      </c>
      <c r="F52" s="39">
        <v>11</v>
      </c>
      <c r="G52" s="39" t="s">
        <v>60</v>
      </c>
      <c r="H52" s="41">
        <v>2414.8200000000002</v>
      </c>
      <c r="I52" s="41">
        <v>2519.0700000000002</v>
      </c>
      <c r="J52" s="39" t="s">
        <v>137</v>
      </c>
      <c r="K52" s="42">
        <v>0</v>
      </c>
      <c r="L52" s="39" t="s">
        <v>68</v>
      </c>
      <c r="M52" s="39" t="s">
        <v>138</v>
      </c>
      <c r="N52" s="39" t="s">
        <v>159</v>
      </c>
      <c r="O52" s="43">
        <f t="shared" si="0"/>
        <v>27709.77</v>
      </c>
      <c r="P52" s="43">
        <f t="shared" si="1"/>
        <v>27709.77</v>
      </c>
      <c r="Q52" s="43">
        <f t="shared" si="2"/>
        <v>26563.02</v>
      </c>
      <c r="R52" s="43">
        <f t="shared" si="3"/>
        <v>1146.75</v>
      </c>
      <c r="S52" s="44">
        <f t="shared" si="4"/>
        <v>4.1384320403958605E-2</v>
      </c>
      <c r="T52" s="39" t="str">
        <f t="shared" si="5"/>
        <v>OK</v>
      </c>
      <c r="U52" s="39" t="str">
        <f t="shared" si="6"/>
        <v>0-9%</v>
      </c>
      <c r="V52" s="39" t="str">
        <f>IF(E52&gt;=Analysis!$B$4,"High",IF(E52&gt;=Analysis!$B$5,"Mid","Low"))</f>
        <v>Mid</v>
      </c>
      <c r="W52" s="39" t="str">
        <f t="shared" si="7"/>
        <v>2023-01</v>
      </c>
      <c r="X52" s="40">
        <f t="shared" si="8"/>
        <v>44957</v>
      </c>
      <c r="Y52" s="39" t="str">
        <f t="shared" si="9"/>
        <v>2023-Q1</v>
      </c>
      <c r="Z52" s="39" t="str">
        <f t="shared" si="10"/>
        <v>Thu</v>
      </c>
      <c r="AA52" s="39">
        <f t="shared" si="11"/>
        <v>4</v>
      </c>
      <c r="AB52" s="39">
        <f t="shared" si="12"/>
        <v>5</v>
      </c>
      <c r="AC52" s="39" t="str">
        <f t="shared" si="13"/>
        <v>Weekday</v>
      </c>
      <c r="AD52" s="39">
        <f t="shared" ca="1" si="14"/>
        <v>1367</v>
      </c>
      <c r="AE52" s="39">
        <f t="shared" ca="1" si="15"/>
        <v>44</v>
      </c>
      <c r="AF52" s="39" t="str">
        <f t="shared" si="16"/>
        <v>ALI</v>
      </c>
      <c r="AG52" s="39" t="str">
        <f t="shared" si="17"/>
        <v>EO-230126-0051</v>
      </c>
      <c r="AH52" s="39" t="str">
        <f>IF(AND(OR(Filter!$B$4="All",D52=Filter!$B$4),OR(Filter!$B$5="All",M52=Filter!$B$5),E52&gt;=Filter!$B$6),MAX(AH$1:AH51)+1,"")</f>
        <v/>
      </c>
      <c r="AI52" s="39">
        <f t="shared" si="18"/>
        <v>11</v>
      </c>
      <c r="AJ52" s="42">
        <f t="shared" si="19"/>
        <v>0</v>
      </c>
      <c r="AK52" s="41">
        <f t="shared" si="20"/>
        <v>2519.0700000000002</v>
      </c>
      <c r="AL52" s="39">
        <f>RANK(E52,$E$2:$E$1001,0)+COUNTIF($E$2:E52,E52)-1</f>
        <v>676</v>
      </c>
    </row>
    <row r="53" spans="1:38" x14ac:dyDescent="0.2">
      <c r="A53" s="39">
        <v>1004</v>
      </c>
      <c r="B53" s="40">
        <v>45099</v>
      </c>
      <c r="C53" s="39" t="s">
        <v>79</v>
      </c>
      <c r="D53" s="39" t="s">
        <v>69</v>
      </c>
      <c r="E53" s="41">
        <v>7762.51</v>
      </c>
      <c r="F53" s="39">
        <v>39</v>
      </c>
      <c r="G53" s="39" t="s">
        <v>65</v>
      </c>
      <c r="H53" s="41">
        <v>2416.89</v>
      </c>
      <c r="I53" s="41">
        <v>2778.4</v>
      </c>
      <c r="J53" s="39" t="s">
        <v>137</v>
      </c>
      <c r="K53" s="42">
        <v>0.05</v>
      </c>
      <c r="L53" s="39" t="s">
        <v>68</v>
      </c>
      <c r="M53" s="39" t="s">
        <v>138</v>
      </c>
      <c r="N53" s="39" t="s">
        <v>147</v>
      </c>
      <c r="O53" s="43">
        <f t="shared" si="0"/>
        <v>108357.6</v>
      </c>
      <c r="P53" s="43">
        <f t="shared" si="1"/>
        <v>102939.72</v>
      </c>
      <c r="Q53" s="43">
        <f t="shared" si="2"/>
        <v>94258.71</v>
      </c>
      <c r="R53" s="43">
        <f t="shared" si="3"/>
        <v>8681.0099999999948</v>
      </c>
      <c r="S53" s="44">
        <f t="shared" si="4"/>
        <v>8.4331004591813488E-2</v>
      </c>
      <c r="T53" s="39" t="str">
        <f t="shared" si="5"/>
        <v>OK</v>
      </c>
      <c r="U53" s="39" t="str">
        <f t="shared" si="6"/>
        <v>0-9%</v>
      </c>
      <c r="V53" s="39" t="str">
        <f>IF(E53&gt;=Analysis!$B$4,"High",IF(E53&gt;=Analysis!$B$5,"Mid","Low"))</f>
        <v>High</v>
      </c>
      <c r="W53" s="39" t="str">
        <f t="shared" si="7"/>
        <v>2023-06</v>
      </c>
      <c r="X53" s="40">
        <f t="shared" si="8"/>
        <v>45107</v>
      </c>
      <c r="Y53" s="39" t="str">
        <f t="shared" si="9"/>
        <v>2023-Q2</v>
      </c>
      <c r="Z53" s="39" t="str">
        <f t="shared" si="10"/>
        <v>Thu</v>
      </c>
      <c r="AA53" s="39">
        <f t="shared" si="11"/>
        <v>4</v>
      </c>
      <c r="AB53" s="39">
        <f t="shared" si="12"/>
        <v>26</v>
      </c>
      <c r="AC53" s="39" t="str">
        <f t="shared" si="13"/>
        <v>Weekday</v>
      </c>
      <c r="AD53" s="39">
        <f t="shared" ca="1" si="14"/>
        <v>1220</v>
      </c>
      <c r="AE53" s="39">
        <f t="shared" ca="1" si="15"/>
        <v>40</v>
      </c>
      <c r="AF53" s="39" t="str">
        <f t="shared" si="16"/>
        <v>EVE</v>
      </c>
      <c r="AG53" s="39" t="str">
        <f t="shared" si="17"/>
        <v>SO-230622-0052</v>
      </c>
      <c r="AH53" s="39" t="str">
        <f>IF(AND(OR(Filter!$B$4="All",D53=Filter!$B$4),OR(Filter!$B$5="All",M53=Filter!$B$5),E53&gt;=Filter!$B$6),MAX(AH$1:AH52)+1,"")</f>
        <v/>
      </c>
      <c r="AI53" s="39">
        <f t="shared" si="18"/>
        <v>39</v>
      </c>
      <c r="AJ53" s="42">
        <f t="shared" si="19"/>
        <v>0.05</v>
      </c>
      <c r="AK53" s="41">
        <f t="shared" si="20"/>
        <v>2778.4</v>
      </c>
      <c r="AL53" s="39">
        <f>RANK(E53,$E$2:$E$1001,0)+COUNTIF($E$2:E53,E53)-1</f>
        <v>220</v>
      </c>
    </row>
    <row r="54" spans="1:38" x14ac:dyDescent="0.2">
      <c r="A54" s="39">
        <v>1089</v>
      </c>
      <c r="B54" s="40">
        <v>45226</v>
      </c>
      <c r="C54" s="39" t="s">
        <v>76</v>
      </c>
      <c r="D54" s="39" t="s">
        <v>64</v>
      </c>
      <c r="E54" s="41">
        <v>7751.92</v>
      </c>
      <c r="F54" s="39">
        <v>43</v>
      </c>
      <c r="G54" s="39" t="s">
        <v>75</v>
      </c>
      <c r="H54" s="41">
        <v>3851.45</v>
      </c>
      <c r="I54" s="41">
        <v>4186.9799999999996</v>
      </c>
      <c r="J54" s="39" t="s">
        <v>137</v>
      </c>
      <c r="K54" s="42">
        <v>0.3</v>
      </c>
      <c r="L54" s="39" t="s">
        <v>73</v>
      </c>
      <c r="M54" s="39" t="s">
        <v>138</v>
      </c>
      <c r="N54" s="39" t="s">
        <v>152</v>
      </c>
      <c r="O54" s="43">
        <f t="shared" si="0"/>
        <v>180040.14</v>
      </c>
      <c r="P54" s="43">
        <f t="shared" si="1"/>
        <v>126028.1</v>
      </c>
      <c r="Q54" s="43">
        <f t="shared" si="2"/>
        <v>165612.35</v>
      </c>
      <c r="R54" s="43">
        <f t="shared" si="3"/>
        <v>-39584.25</v>
      </c>
      <c r="S54" s="44">
        <f t="shared" si="4"/>
        <v>-0.314090667081389</v>
      </c>
      <c r="T54" s="39" t="str">
        <f t="shared" si="5"/>
        <v>Loss</v>
      </c>
      <c r="U54" s="39" t="str">
        <f t="shared" si="6"/>
        <v>20%+</v>
      </c>
      <c r="V54" s="39" t="str">
        <f>IF(E54&gt;=Analysis!$B$4,"High",IF(E54&gt;=Analysis!$B$5,"Mid","Low"))</f>
        <v>High</v>
      </c>
      <c r="W54" s="39" t="str">
        <f t="shared" si="7"/>
        <v>2023-10</v>
      </c>
      <c r="X54" s="40">
        <f t="shared" si="8"/>
        <v>45230</v>
      </c>
      <c r="Y54" s="39" t="str">
        <f t="shared" si="9"/>
        <v>2023-Q4</v>
      </c>
      <c r="Z54" s="39" t="str">
        <f t="shared" si="10"/>
        <v>Fri</v>
      </c>
      <c r="AA54" s="39">
        <f t="shared" si="11"/>
        <v>5</v>
      </c>
      <c r="AB54" s="39">
        <f t="shared" si="12"/>
        <v>44</v>
      </c>
      <c r="AC54" s="39" t="str">
        <f t="shared" si="13"/>
        <v>Weekday</v>
      </c>
      <c r="AD54" s="39">
        <f t="shared" ca="1" si="14"/>
        <v>1093</v>
      </c>
      <c r="AE54" s="39">
        <f t="shared" ca="1" si="15"/>
        <v>35</v>
      </c>
      <c r="AF54" s="39" t="str">
        <f t="shared" si="16"/>
        <v>DAV</v>
      </c>
      <c r="AG54" s="39" t="str">
        <f t="shared" si="17"/>
        <v>NO-231027-0053</v>
      </c>
      <c r="AH54" s="39" t="str">
        <f>IF(AND(OR(Filter!$B$4="All",D54=Filter!$B$4),OR(Filter!$B$5="All",M54=Filter!$B$5),E54&gt;=Filter!$B$6),MAX(AH$1:AH53)+1,"")</f>
        <v/>
      </c>
      <c r="AI54" s="39">
        <f t="shared" si="18"/>
        <v>43</v>
      </c>
      <c r="AJ54" s="42">
        <f t="shared" si="19"/>
        <v>0.3</v>
      </c>
      <c r="AK54" s="41">
        <f t="shared" si="20"/>
        <v>4186.9799999999996</v>
      </c>
      <c r="AL54" s="39">
        <f>RANK(E54,$E$2:$E$1001,0)+COUNTIF($E$2:E54,E54)-1</f>
        <v>222</v>
      </c>
    </row>
    <row r="55" spans="1:38" x14ac:dyDescent="0.2">
      <c r="A55" s="39">
        <v>1060</v>
      </c>
      <c r="B55" s="40">
        <v>45059</v>
      </c>
      <c r="C55" s="39" t="s">
        <v>71</v>
      </c>
      <c r="D55" s="39" t="s">
        <v>74</v>
      </c>
      <c r="E55" s="41">
        <v>5260.83</v>
      </c>
      <c r="F55" s="39">
        <v>31</v>
      </c>
      <c r="G55" s="39" t="s">
        <v>65</v>
      </c>
      <c r="H55" s="41">
        <v>3161.4</v>
      </c>
      <c r="I55" s="41">
        <v>3339.66</v>
      </c>
      <c r="J55" s="39" t="s">
        <v>137</v>
      </c>
      <c r="K55" s="42">
        <v>0.02</v>
      </c>
      <c r="L55" s="39" t="s">
        <v>63</v>
      </c>
      <c r="M55" s="39" t="s">
        <v>138</v>
      </c>
      <c r="N55" s="39" t="s">
        <v>146</v>
      </c>
      <c r="O55" s="43">
        <f t="shared" si="0"/>
        <v>103529.46</v>
      </c>
      <c r="P55" s="43">
        <f t="shared" si="1"/>
        <v>101458.87</v>
      </c>
      <c r="Q55" s="43">
        <f t="shared" si="2"/>
        <v>98003.4</v>
      </c>
      <c r="R55" s="43">
        <f t="shared" si="3"/>
        <v>3455.4700000000012</v>
      </c>
      <c r="S55" s="44">
        <f t="shared" si="4"/>
        <v>3.4057840383990096E-2</v>
      </c>
      <c r="T55" s="39" t="str">
        <f t="shared" si="5"/>
        <v>OK</v>
      </c>
      <c r="U55" s="39" t="str">
        <f t="shared" si="6"/>
        <v>0-9%</v>
      </c>
      <c r="V55" s="39" t="str">
        <f>IF(E55&gt;=Analysis!$B$4,"High",IF(E55&gt;=Analysis!$B$5,"Mid","Low"))</f>
        <v>Mid</v>
      </c>
      <c r="W55" s="39" t="str">
        <f t="shared" si="7"/>
        <v>2023-05</v>
      </c>
      <c r="X55" s="40">
        <f t="shared" si="8"/>
        <v>45077</v>
      </c>
      <c r="Y55" s="39" t="str">
        <f t="shared" si="9"/>
        <v>2023-Q2</v>
      </c>
      <c r="Z55" s="39" t="str">
        <f t="shared" si="10"/>
        <v>Sat</v>
      </c>
      <c r="AA55" s="39">
        <f t="shared" si="11"/>
        <v>6</v>
      </c>
      <c r="AB55" s="39">
        <f t="shared" si="12"/>
        <v>20</v>
      </c>
      <c r="AC55" s="39" t="str">
        <f t="shared" si="13"/>
        <v>Weekend</v>
      </c>
      <c r="AD55" s="39">
        <f t="shared" ca="1" si="14"/>
        <v>1260</v>
      </c>
      <c r="AE55" s="39">
        <f t="shared" ca="1" si="15"/>
        <v>41</v>
      </c>
      <c r="AF55" s="39" t="str">
        <f t="shared" si="16"/>
        <v>CHA</v>
      </c>
      <c r="AG55" s="39" t="str">
        <f t="shared" si="17"/>
        <v>WO-230513-0054</v>
      </c>
      <c r="AH55" s="39" t="str">
        <f>IF(AND(OR(Filter!$B$4="All",D55=Filter!$B$4),OR(Filter!$B$5="All",M55=Filter!$B$5),E55&gt;=Filter!$B$6),MAX(AH$1:AH54)+1,"")</f>
        <v/>
      </c>
      <c r="AI55" s="39">
        <f t="shared" si="18"/>
        <v>31</v>
      </c>
      <c r="AJ55" s="42">
        <f t="shared" si="19"/>
        <v>0.02</v>
      </c>
      <c r="AK55" s="41">
        <f t="shared" si="20"/>
        <v>3339.66</v>
      </c>
      <c r="AL55" s="39">
        <f>RANK(E55,$E$2:$E$1001,0)+COUNTIF($E$2:E55,E55)-1</f>
        <v>474</v>
      </c>
    </row>
    <row r="56" spans="1:38" x14ac:dyDescent="0.2">
      <c r="A56" s="39">
        <v>1014</v>
      </c>
      <c r="B56" s="40">
        <v>45252</v>
      </c>
      <c r="C56" s="39" t="s">
        <v>76</v>
      </c>
      <c r="D56" s="39" t="s">
        <v>74</v>
      </c>
      <c r="E56" s="41">
        <v>9762.5400000000009</v>
      </c>
      <c r="F56" s="39">
        <v>17</v>
      </c>
      <c r="G56" s="39" t="s">
        <v>70</v>
      </c>
      <c r="H56" s="41">
        <v>3184.65</v>
      </c>
      <c r="I56" s="41">
        <v>3204.01</v>
      </c>
      <c r="J56" s="39" t="s">
        <v>143</v>
      </c>
      <c r="K56" s="42">
        <v>0.2</v>
      </c>
      <c r="L56" s="39" t="s">
        <v>63</v>
      </c>
      <c r="M56" s="39" t="s">
        <v>138</v>
      </c>
      <c r="N56" s="39" t="s">
        <v>154</v>
      </c>
      <c r="O56" s="43">
        <f t="shared" si="0"/>
        <v>54468.17</v>
      </c>
      <c r="P56" s="43">
        <f t="shared" si="1"/>
        <v>43574.54</v>
      </c>
      <c r="Q56" s="43">
        <f t="shared" si="2"/>
        <v>54139.05</v>
      </c>
      <c r="R56" s="43">
        <f t="shared" si="3"/>
        <v>-10564.510000000002</v>
      </c>
      <c r="S56" s="44">
        <f t="shared" si="4"/>
        <v>-0.24244685084455284</v>
      </c>
      <c r="T56" s="39" t="str">
        <f t="shared" si="5"/>
        <v>Loss</v>
      </c>
      <c r="U56" s="39" t="str">
        <f t="shared" si="6"/>
        <v>20%+</v>
      </c>
      <c r="V56" s="39" t="str">
        <f>IF(E56&gt;=Analysis!$B$4,"High",IF(E56&gt;=Analysis!$B$5,"Mid","Low"))</f>
        <v>High</v>
      </c>
      <c r="W56" s="39" t="str">
        <f t="shared" si="7"/>
        <v>2023-11</v>
      </c>
      <c r="X56" s="40">
        <f t="shared" si="8"/>
        <v>45260</v>
      </c>
      <c r="Y56" s="39" t="str">
        <f t="shared" si="9"/>
        <v>2023-Q4</v>
      </c>
      <c r="Z56" s="39" t="str">
        <f t="shared" si="10"/>
        <v>Wed</v>
      </c>
      <c r="AA56" s="39">
        <f t="shared" si="11"/>
        <v>3</v>
      </c>
      <c r="AB56" s="39">
        <f t="shared" si="12"/>
        <v>48</v>
      </c>
      <c r="AC56" s="39" t="str">
        <f t="shared" si="13"/>
        <v>Weekday</v>
      </c>
      <c r="AD56" s="39">
        <f t="shared" ca="1" si="14"/>
        <v>1067</v>
      </c>
      <c r="AE56" s="39">
        <f t="shared" ca="1" si="15"/>
        <v>35</v>
      </c>
      <c r="AF56" s="39" t="str">
        <f t="shared" si="16"/>
        <v>DAV</v>
      </c>
      <c r="AG56" s="39" t="str">
        <f t="shared" si="17"/>
        <v>WO-231122-0055</v>
      </c>
      <c r="AH56" s="39">
        <f>IF(AND(OR(Filter!$B$4="All",D56=Filter!$B$4),OR(Filter!$B$5="All",M56=Filter!$B$5),E56&gt;=Filter!$B$6),MAX(AH$1:AH55)+1,"")</f>
        <v>2</v>
      </c>
      <c r="AI56" s="39">
        <f t="shared" si="18"/>
        <v>17</v>
      </c>
      <c r="AJ56" s="42">
        <f t="shared" si="19"/>
        <v>0.2</v>
      </c>
      <c r="AK56" s="41">
        <f t="shared" si="20"/>
        <v>3204.01</v>
      </c>
      <c r="AL56" s="39">
        <f>RANK(E56,$E$2:$E$1001,0)+COUNTIF($E$2:E56,E56)-1</f>
        <v>21</v>
      </c>
    </row>
    <row r="57" spans="1:38" x14ac:dyDescent="0.2">
      <c r="A57" s="39">
        <v>1009</v>
      </c>
      <c r="B57" s="40">
        <v>45044</v>
      </c>
      <c r="C57" s="39" t="s">
        <v>61</v>
      </c>
      <c r="D57" s="39" t="s">
        <v>64</v>
      </c>
      <c r="E57" s="41">
        <v>1342.95</v>
      </c>
      <c r="F57" s="39">
        <v>33</v>
      </c>
      <c r="G57" s="39" t="s">
        <v>60</v>
      </c>
      <c r="H57" s="41">
        <v>2278.9</v>
      </c>
      <c r="I57" s="41">
        <v>2626.9</v>
      </c>
      <c r="J57" s="39" t="s">
        <v>143</v>
      </c>
      <c r="K57" s="42">
        <v>0.05</v>
      </c>
      <c r="L57" s="39" t="s">
        <v>73</v>
      </c>
      <c r="M57" s="39" t="s">
        <v>138</v>
      </c>
      <c r="N57" s="39" t="s">
        <v>156</v>
      </c>
      <c r="O57" s="43">
        <f t="shared" si="0"/>
        <v>86687.7</v>
      </c>
      <c r="P57" s="43">
        <f t="shared" si="1"/>
        <v>82353.320000000007</v>
      </c>
      <c r="Q57" s="43">
        <f t="shared" si="2"/>
        <v>75203.7</v>
      </c>
      <c r="R57" s="43">
        <f t="shared" si="3"/>
        <v>7149.6200000000099</v>
      </c>
      <c r="S57" s="44">
        <f t="shared" si="4"/>
        <v>8.6816414930205726E-2</v>
      </c>
      <c r="T57" s="39" t="str">
        <f t="shared" si="5"/>
        <v>OK</v>
      </c>
      <c r="U57" s="39" t="str">
        <f t="shared" si="6"/>
        <v>0-9%</v>
      </c>
      <c r="V57" s="39" t="str">
        <f>IF(E57&gt;=Analysis!$B$4,"High",IF(E57&gt;=Analysis!$B$5,"Mid","Low"))</f>
        <v>Low</v>
      </c>
      <c r="W57" s="39" t="str">
        <f t="shared" si="7"/>
        <v>2023-04</v>
      </c>
      <c r="X57" s="40">
        <f t="shared" si="8"/>
        <v>45046</v>
      </c>
      <c r="Y57" s="39" t="str">
        <f t="shared" si="9"/>
        <v>2023-Q2</v>
      </c>
      <c r="Z57" s="39" t="str">
        <f t="shared" si="10"/>
        <v>Fri</v>
      </c>
      <c r="AA57" s="39">
        <f t="shared" si="11"/>
        <v>5</v>
      </c>
      <c r="AB57" s="39">
        <f t="shared" si="12"/>
        <v>18</v>
      </c>
      <c r="AC57" s="39" t="str">
        <f t="shared" si="13"/>
        <v>Weekday</v>
      </c>
      <c r="AD57" s="39">
        <f t="shared" ca="1" si="14"/>
        <v>1275</v>
      </c>
      <c r="AE57" s="39">
        <f t="shared" ca="1" si="15"/>
        <v>41</v>
      </c>
      <c r="AF57" s="39" t="str">
        <f t="shared" si="16"/>
        <v>ALI</v>
      </c>
      <c r="AG57" s="39" t="str">
        <f t="shared" si="17"/>
        <v>NO-230428-0056</v>
      </c>
      <c r="AH57" s="39" t="str">
        <f>IF(AND(OR(Filter!$B$4="All",D57=Filter!$B$4),OR(Filter!$B$5="All",M57=Filter!$B$5),E57&gt;=Filter!$B$6),MAX(AH$1:AH56)+1,"")</f>
        <v/>
      </c>
      <c r="AI57" s="39">
        <f t="shared" si="18"/>
        <v>33</v>
      </c>
      <c r="AJ57" s="42">
        <f t="shared" si="19"/>
        <v>0.05</v>
      </c>
      <c r="AK57" s="41">
        <f t="shared" si="20"/>
        <v>2626.9</v>
      </c>
      <c r="AL57" s="39">
        <f>RANK(E57,$E$2:$E$1001,0)+COUNTIF($E$2:E57,E57)-1</f>
        <v>880</v>
      </c>
    </row>
    <row r="58" spans="1:38" x14ac:dyDescent="0.2">
      <c r="A58" s="39">
        <v>1090</v>
      </c>
      <c r="B58" s="40">
        <v>45250</v>
      </c>
      <c r="C58" s="39" t="s">
        <v>61</v>
      </c>
      <c r="D58" s="39" t="s">
        <v>74</v>
      </c>
      <c r="E58" s="41">
        <v>267.77999999999997</v>
      </c>
      <c r="F58" s="39">
        <v>32</v>
      </c>
      <c r="G58" s="39" t="s">
        <v>65</v>
      </c>
      <c r="H58" s="41">
        <v>2678.99</v>
      </c>
      <c r="I58" s="41">
        <v>3152.28</v>
      </c>
      <c r="J58" s="39" t="s">
        <v>137</v>
      </c>
      <c r="K58" s="42">
        <v>0.22</v>
      </c>
      <c r="L58" s="39" t="s">
        <v>68</v>
      </c>
      <c r="M58" s="39" t="s">
        <v>140</v>
      </c>
      <c r="N58" s="39" t="s">
        <v>158</v>
      </c>
      <c r="O58" s="43">
        <f t="shared" si="0"/>
        <v>100872.96000000001</v>
      </c>
      <c r="P58" s="43">
        <f t="shared" si="1"/>
        <v>78680.91</v>
      </c>
      <c r="Q58" s="43">
        <f t="shared" si="2"/>
        <v>85727.679999999993</v>
      </c>
      <c r="R58" s="43">
        <f t="shared" si="3"/>
        <v>-7046.7699999999895</v>
      </c>
      <c r="S58" s="44">
        <f t="shared" si="4"/>
        <v>-8.9561368825042689E-2</v>
      </c>
      <c r="T58" s="39" t="str">
        <f t="shared" si="5"/>
        <v>Loss</v>
      </c>
      <c r="U58" s="39" t="str">
        <f t="shared" si="6"/>
        <v>20%+</v>
      </c>
      <c r="V58" s="39" t="str">
        <f>IF(E58&gt;=Analysis!$B$4,"High",IF(E58&gt;=Analysis!$B$5,"Mid","Low"))</f>
        <v>Low</v>
      </c>
      <c r="W58" s="39" t="str">
        <f t="shared" si="7"/>
        <v>2023-11</v>
      </c>
      <c r="X58" s="40">
        <f t="shared" si="8"/>
        <v>45260</v>
      </c>
      <c r="Y58" s="39" t="str">
        <f t="shared" si="9"/>
        <v>2023-Q4</v>
      </c>
      <c r="Z58" s="39" t="str">
        <f t="shared" si="10"/>
        <v>Mon</v>
      </c>
      <c r="AA58" s="39">
        <f t="shared" si="11"/>
        <v>1</v>
      </c>
      <c r="AB58" s="39">
        <f t="shared" si="12"/>
        <v>48</v>
      </c>
      <c r="AC58" s="39" t="str">
        <f t="shared" si="13"/>
        <v>Weekday</v>
      </c>
      <c r="AD58" s="39">
        <f t="shared" ca="1" si="14"/>
        <v>1069</v>
      </c>
      <c r="AE58" s="39">
        <f t="shared" ca="1" si="15"/>
        <v>35</v>
      </c>
      <c r="AF58" s="39" t="str">
        <f t="shared" si="16"/>
        <v>ALI</v>
      </c>
      <c r="AG58" s="39" t="str">
        <f t="shared" si="17"/>
        <v>WR-231120-0057</v>
      </c>
      <c r="AH58" s="39" t="str">
        <f>IF(AND(OR(Filter!$B$4="All",D58=Filter!$B$4),OR(Filter!$B$5="All",M58=Filter!$B$5),E58&gt;=Filter!$B$6),MAX(AH$1:AH57)+1,"")</f>
        <v/>
      </c>
      <c r="AI58" s="39">
        <f t="shared" si="18"/>
        <v>32</v>
      </c>
      <c r="AJ58" s="42">
        <f t="shared" si="19"/>
        <v>0.22</v>
      </c>
      <c r="AK58" s="41">
        <f t="shared" si="20"/>
        <v>3152.28</v>
      </c>
      <c r="AL58" s="39">
        <f>RANK(E58,$E$2:$E$1001,0)+COUNTIF($E$2:E58,E58)-1</f>
        <v>979</v>
      </c>
    </row>
    <row r="59" spans="1:38" x14ac:dyDescent="0.2">
      <c r="A59" s="39">
        <v>1053</v>
      </c>
      <c r="B59" s="40">
        <v>45201</v>
      </c>
      <c r="C59" s="39" t="s">
        <v>76</v>
      </c>
      <c r="D59" s="39" t="s">
        <v>59</v>
      </c>
      <c r="E59" s="41">
        <v>7724.57</v>
      </c>
      <c r="F59" s="39">
        <v>29</v>
      </c>
      <c r="G59" s="39" t="s">
        <v>65</v>
      </c>
      <c r="H59" s="41">
        <v>3741.3</v>
      </c>
      <c r="I59" s="41">
        <v>4061.04</v>
      </c>
      <c r="J59" s="39" t="s">
        <v>137</v>
      </c>
      <c r="K59" s="42">
        <v>0.21</v>
      </c>
      <c r="L59" s="39" t="s">
        <v>73</v>
      </c>
      <c r="M59" s="39" t="s">
        <v>138</v>
      </c>
      <c r="N59" s="39" t="s">
        <v>157</v>
      </c>
      <c r="O59" s="43">
        <f t="shared" si="0"/>
        <v>117770.16</v>
      </c>
      <c r="P59" s="43">
        <f t="shared" si="1"/>
        <v>93038.43</v>
      </c>
      <c r="Q59" s="43">
        <f t="shared" si="2"/>
        <v>108497.7</v>
      </c>
      <c r="R59" s="43">
        <f t="shared" si="3"/>
        <v>-15459.270000000004</v>
      </c>
      <c r="S59" s="44">
        <f t="shared" si="4"/>
        <v>-0.16616004805756079</v>
      </c>
      <c r="T59" s="39" t="str">
        <f t="shared" si="5"/>
        <v>Loss</v>
      </c>
      <c r="U59" s="39" t="str">
        <f t="shared" si="6"/>
        <v>20%+</v>
      </c>
      <c r="V59" s="39" t="str">
        <f>IF(E59&gt;=Analysis!$B$4,"High",IF(E59&gt;=Analysis!$B$5,"Mid","Low"))</f>
        <v>High</v>
      </c>
      <c r="W59" s="39" t="str">
        <f t="shared" si="7"/>
        <v>2023-10</v>
      </c>
      <c r="X59" s="40">
        <f t="shared" si="8"/>
        <v>45230</v>
      </c>
      <c r="Y59" s="39" t="str">
        <f t="shared" si="9"/>
        <v>2023-Q4</v>
      </c>
      <c r="Z59" s="39" t="str">
        <f t="shared" si="10"/>
        <v>Mon</v>
      </c>
      <c r="AA59" s="39">
        <f t="shared" si="11"/>
        <v>1</v>
      </c>
      <c r="AB59" s="39">
        <f t="shared" si="12"/>
        <v>41</v>
      </c>
      <c r="AC59" s="39" t="str">
        <f t="shared" si="13"/>
        <v>Weekday</v>
      </c>
      <c r="AD59" s="39">
        <f t="shared" ca="1" si="14"/>
        <v>1118</v>
      </c>
      <c r="AE59" s="39">
        <f t="shared" ca="1" si="15"/>
        <v>36</v>
      </c>
      <c r="AF59" s="39" t="str">
        <f t="shared" si="16"/>
        <v>DAV</v>
      </c>
      <c r="AG59" s="39" t="str">
        <f t="shared" si="17"/>
        <v>EO-231002-0058</v>
      </c>
      <c r="AH59" s="39" t="str">
        <f>IF(AND(OR(Filter!$B$4="All",D59=Filter!$B$4),OR(Filter!$B$5="All",M59=Filter!$B$5),E59&gt;=Filter!$B$6),MAX(AH$1:AH58)+1,"")</f>
        <v/>
      </c>
      <c r="AI59" s="39">
        <f t="shared" si="18"/>
        <v>29</v>
      </c>
      <c r="AJ59" s="42">
        <f t="shared" si="19"/>
        <v>0.21</v>
      </c>
      <c r="AK59" s="41">
        <f t="shared" si="20"/>
        <v>4061.04</v>
      </c>
      <c r="AL59" s="39">
        <f>RANK(E59,$E$2:$E$1001,0)+COUNTIF($E$2:E59,E59)-1</f>
        <v>226</v>
      </c>
    </row>
    <row r="60" spans="1:38" x14ac:dyDescent="0.2">
      <c r="A60" s="39">
        <v>1002</v>
      </c>
      <c r="B60" s="40">
        <v>45138</v>
      </c>
      <c r="C60" s="39" t="s">
        <v>76</v>
      </c>
      <c r="D60" s="39" t="s">
        <v>59</v>
      </c>
      <c r="E60" s="41">
        <v>8090.84</v>
      </c>
      <c r="F60" s="39">
        <v>21</v>
      </c>
      <c r="G60" s="39" t="s">
        <v>60</v>
      </c>
      <c r="H60" s="41">
        <v>4138.41</v>
      </c>
      <c r="I60" s="41">
        <v>4361.7</v>
      </c>
      <c r="J60" s="39" t="s">
        <v>137</v>
      </c>
      <c r="K60" s="42">
        <v>7.0000000000000007E-2</v>
      </c>
      <c r="L60" s="39" t="s">
        <v>73</v>
      </c>
      <c r="M60" s="39" t="s">
        <v>140</v>
      </c>
      <c r="N60" s="39" t="s">
        <v>157</v>
      </c>
      <c r="O60" s="43">
        <f t="shared" si="0"/>
        <v>91595.7</v>
      </c>
      <c r="P60" s="43">
        <f t="shared" si="1"/>
        <v>85184</v>
      </c>
      <c r="Q60" s="43">
        <f t="shared" si="2"/>
        <v>86906.61</v>
      </c>
      <c r="R60" s="43">
        <f t="shared" si="3"/>
        <v>-1722.6100000000006</v>
      </c>
      <c r="S60" s="44">
        <f t="shared" si="4"/>
        <v>-2.0222224830954177E-2</v>
      </c>
      <c r="T60" s="39" t="str">
        <f t="shared" si="5"/>
        <v>Loss</v>
      </c>
      <c r="U60" s="39" t="str">
        <f t="shared" si="6"/>
        <v>0-9%</v>
      </c>
      <c r="V60" s="39" t="str">
        <f>IF(E60&gt;=Analysis!$B$4,"High",IF(E60&gt;=Analysis!$B$5,"Mid","Low"))</f>
        <v>High</v>
      </c>
      <c r="W60" s="39" t="str">
        <f t="shared" si="7"/>
        <v>2023-07</v>
      </c>
      <c r="X60" s="40">
        <f t="shared" si="8"/>
        <v>45138</v>
      </c>
      <c r="Y60" s="39" t="str">
        <f t="shared" si="9"/>
        <v>2023-Q3</v>
      </c>
      <c r="Z60" s="39" t="str">
        <f t="shared" si="10"/>
        <v>Mon</v>
      </c>
      <c r="AA60" s="39">
        <f t="shared" si="11"/>
        <v>1</v>
      </c>
      <c r="AB60" s="39">
        <f t="shared" si="12"/>
        <v>32</v>
      </c>
      <c r="AC60" s="39" t="str">
        <f t="shared" si="13"/>
        <v>Weekday</v>
      </c>
      <c r="AD60" s="39">
        <f t="shared" ca="1" si="14"/>
        <v>1181</v>
      </c>
      <c r="AE60" s="39">
        <f t="shared" ca="1" si="15"/>
        <v>38</v>
      </c>
      <c r="AF60" s="39" t="str">
        <f t="shared" si="16"/>
        <v>DAV</v>
      </c>
      <c r="AG60" s="39" t="str">
        <f t="shared" si="17"/>
        <v>ER-230731-0059</v>
      </c>
      <c r="AH60" s="39" t="str">
        <f>IF(AND(OR(Filter!$B$4="All",D60=Filter!$B$4),OR(Filter!$B$5="All",M60=Filter!$B$5),E60&gt;=Filter!$B$6),MAX(AH$1:AH59)+1,"")</f>
        <v/>
      </c>
      <c r="AI60" s="39">
        <f t="shared" si="18"/>
        <v>21</v>
      </c>
      <c r="AJ60" s="42">
        <f t="shared" si="19"/>
        <v>7.0000000000000007E-2</v>
      </c>
      <c r="AK60" s="41">
        <f t="shared" si="20"/>
        <v>4361.7</v>
      </c>
      <c r="AL60" s="39">
        <f>RANK(E60,$E$2:$E$1001,0)+COUNTIF($E$2:E60,E60)-1</f>
        <v>179</v>
      </c>
    </row>
    <row r="61" spans="1:38" x14ac:dyDescent="0.2">
      <c r="A61" s="39">
        <v>1084</v>
      </c>
      <c r="B61" s="40">
        <v>45151</v>
      </c>
      <c r="C61" s="39" t="s">
        <v>61</v>
      </c>
      <c r="D61" s="39" t="s">
        <v>74</v>
      </c>
      <c r="E61" s="41">
        <v>1290.05</v>
      </c>
      <c r="F61" s="39">
        <v>21</v>
      </c>
      <c r="G61" s="39" t="s">
        <v>75</v>
      </c>
      <c r="H61" s="41">
        <v>3497.98</v>
      </c>
      <c r="I61" s="41">
        <v>3765.31</v>
      </c>
      <c r="J61" s="39" t="s">
        <v>143</v>
      </c>
      <c r="K61" s="42">
        <v>0.08</v>
      </c>
      <c r="L61" s="39" t="s">
        <v>68</v>
      </c>
      <c r="M61" s="39" t="s">
        <v>138</v>
      </c>
      <c r="N61" s="39" t="s">
        <v>158</v>
      </c>
      <c r="O61" s="43">
        <f t="shared" si="0"/>
        <v>79071.509999999995</v>
      </c>
      <c r="P61" s="43">
        <f t="shared" si="1"/>
        <v>72745.789999999994</v>
      </c>
      <c r="Q61" s="43">
        <f t="shared" si="2"/>
        <v>73457.58</v>
      </c>
      <c r="R61" s="43">
        <f t="shared" si="3"/>
        <v>-711.79000000000815</v>
      </c>
      <c r="S61" s="44">
        <f t="shared" si="4"/>
        <v>-9.784621213131485E-3</v>
      </c>
      <c r="T61" s="39" t="str">
        <f t="shared" si="5"/>
        <v>Loss</v>
      </c>
      <c r="U61" s="39" t="str">
        <f t="shared" si="6"/>
        <v>0-9%</v>
      </c>
      <c r="V61" s="39" t="str">
        <f>IF(E61&gt;=Analysis!$B$4,"High",IF(E61&gt;=Analysis!$B$5,"Mid","Low"))</f>
        <v>Low</v>
      </c>
      <c r="W61" s="39" t="str">
        <f t="shared" si="7"/>
        <v>2023-08</v>
      </c>
      <c r="X61" s="40">
        <f t="shared" si="8"/>
        <v>45169</v>
      </c>
      <c r="Y61" s="39" t="str">
        <f t="shared" si="9"/>
        <v>2023-Q3</v>
      </c>
      <c r="Z61" s="39" t="str">
        <f t="shared" si="10"/>
        <v>Sun</v>
      </c>
      <c r="AA61" s="39">
        <f t="shared" si="11"/>
        <v>7</v>
      </c>
      <c r="AB61" s="39">
        <f t="shared" si="12"/>
        <v>33</v>
      </c>
      <c r="AC61" s="39" t="str">
        <f t="shared" si="13"/>
        <v>Weekend</v>
      </c>
      <c r="AD61" s="39">
        <f t="shared" ca="1" si="14"/>
        <v>1168</v>
      </c>
      <c r="AE61" s="39">
        <f t="shared" ca="1" si="15"/>
        <v>38</v>
      </c>
      <c r="AF61" s="39" t="str">
        <f t="shared" si="16"/>
        <v>ALI</v>
      </c>
      <c r="AG61" s="39" t="str">
        <f t="shared" si="17"/>
        <v>WO-230813-0060</v>
      </c>
      <c r="AH61" s="39" t="str">
        <f>IF(AND(OR(Filter!$B$4="All",D61=Filter!$B$4),OR(Filter!$B$5="All",M61=Filter!$B$5),E61&gt;=Filter!$B$6),MAX(AH$1:AH60)+1,"")</f>
        <v/>
      </c>
      <c r="AI61" s="39">
        <f t="shared" si="18"/>
        <v>21</v>
      </c>
      <c r="AJ61" s="42">
        <f t="shared" si="19"/>
        <v>0.08</v>
      </c>
      <c r="AK61" s="41">
        <f t="shared" si="20"/>
        <v>3765.31</v>
      </c>
      <c r="AL61" s="39">
        <f>RANK(E61,$E$2:$E$1001,0)+COUNTIF($E$2:E61,E61)-1</f>
        <v>882</v>
      </c>
    </row>
    <row r="62" spans="1:38" x14ac:dyDescent="0.2">
      <c r="A62" s="39">
        <v>1092</v>
      </c>
      <c r="B62" s="40">
        <v>44946</v>
      </c>
      <c r="C62" s="39" t="s">
        <v>71</v>
      </c>
      <c r="D62" s="39" t="s">
        <v>59</v>
      </c>
      <c r="E62" s="41">
        <v>2729.27</v>
      </c>
      <c r="F62" s="39">
        <v>40</v>
      </c>
      <c r="G62" s="39" t="s">
        <v>65</v>
      </c>
      <c r="H62" s="41">
        <v>4624.16</v>
      </c>
      <c r="I62" s="41">
        <v>4731.9799999999996</v>
      </c>
      <c r="J62" s="39" t="s">
        <v>143</v>
      </c>
      <c r="K62" s="42">
        <v>0.2</v>
      </c>
      <c r="L62" s="39" t="s">
        <v>63</v>
      </c>
      <c r="M62" s="39" t="s">
        <v>140</v>
      </c>
      <c r="N62" s="39" t="s">
        <v>145</v>
      </c>
      <c r="O62" s="43">
        <f t="shared" si="0"/>
        <v>189279.2</v>
      </c>
      <c r="P62" s="43">
        <f t="shared" si="1"/>
        <v>151423.35999999999</v>
      </c>
      <c r="Q62" s="43">
        <f t="shared" si="2"/>
        <v>184966.39999999999</v>
      </c>
      <c r="R62" s="43">
        <f t="shared" si="3"/>
        <v>-33543.040000000008</v>
      </c>
      <c r="S62" s="44">
        <f t="shared" si="4"/>
        <v>-0.22151826508142478</v>
      </c>
      <c r="T62" s="39" t="str">
        <f t="shared" si="5"/>
        <v>Loss</v>
      </c>
      <c r="U62" s="39" t="str">
        <f t="shared" si="6"/>
        <v>20%+</v>
      </c>
      <c r="V62" s="39" t="str">
        <f>IF(E62&gt;=Analysis!$B$4,"High",IF(E62&gt;=Analysis!$B$5,"Mid","Low"))</f>
        <v>Mid</v>
      </c>
      <c r="W62" s="39" t="str">
        <f t="shared" si="7"/>
        <v>2023-01</v>
      </c>
      <c r="X62" s="40">
        <f t="shared" si="8"/>
        <v>44957</v>
      </c>
      <c r="Y62" s="39" t="str">
        <f t="shared" si="9"/>
        <v>2023-Q1</v>
      </c>
      <c r="Z62" s="39" t="str">
        <f t="shared" si="10"/>
        <v>Fri</v>
      </c>
      <c r="AA62" s="39">
        <f t="shared" si="11"/>
        <v>5</v>
      </c>
      <c r="AB62" s="39">
        <f t="shared" si="12"/>
        <v>4</v>
      </c>
      <c r="AC62" s="39" t="str">
        <f t="shared" si="13"/>
        <v>Weekday</v>
      </c>
      <c r="AD62" s="39">
        <f t="shared" ca="1" si="14"/>
        <v>1373</v>
      </c>
      <c r="AE62" s="39">
        <f t="shared" ca="1" si="15"/>
        <v>45</v>
      </c>
      <c r="AF62" s="39" t="str">
        <f t="shared" si="16"/>
        <v>CHA</v>
      </c>
      <c r="AG62" s="39" t="str">
        <f t="shared" si="17"/>
        <v>ER-230120-0061</v>
      </c>
      <c r="AH62" s="39" t="str">
        <f>IF(AND(OR(Filter!$B$4="All",D62=Filter!$B$4),OR(Filter!$B$5="All",M62=Filter!$B$5),E62&gt;=Filter!$B$6),MAX(AH$1:AH61)+1,"")</f>
        <v/>
      </c>
      <c r="AI62" s="39">
        <f t="shared" si="18"/>
        <v>40</v>
      </c>
      <c r="AJ62" s="42">
        <f t="shared" si="19"/>
        <v>0.2</v>
      </c>
      <c r="AK62" s="41">
        <f t="shared" si="20"/>
        <v>4731.9799999999996</v>
      </c>
      <c r="AL62" s="39">
        <f>RANK(E62,$E$2:$E$1001,0)+COUNTIF($E$2:E62,E62)-1</f>
        <v>728</v>
      </c>
    </row>
    <row r="63" spans="1:38" x14ac:dyDescent="0.2">
      <c r="A63" s="39">
        <v>1060</v>
      </c>
      <c r="B63" s="40">
        <v>45039</v>
      </c>
      <c r="C63" s="39" t="s">
        <v>79</v>
      </c>
      <c r="D63" s="39" t="s">
        <v>59</v>
      </c>
      <c r="E63" s="41">
        <v>273.77</v>
      </c>
      <c r="F63" s="39">
        <v>23</v>
      </c>
      <c r="G63" s="39" t="s">
        <v>60</v>
      </c>
      <c r="H63" s="41">
        <v>4110.6000000000004</v>
      </c>
      <c r="I63" s="41">
        <v>4488.37</v>
      </c>
      <c r="J63" s="39" t="s">
        <v>143</v>
      </c>
      <c r="K63" s="42">
        <v>0.12</v>
      </c>
      <c r="L63" s="39" t="s">
        <v>73</v>
      </c>
      <c r="M63" s="39" t="s">
        <v>138</v>
      </c>
      <c r="N63" s="39" t="s">
        <v>155</v>
      </c>
      <c r="O63" s="43">
        <f t="shared" si="0"/>
        <v>103232.51</v>
      </c>
      <c r="P63" s="43">
        <f t="shared" si="1"/>
        <v>90844.61</v>
      </c>
      <c r="Q63" s="43">
        <f t="shared" si="2"/>
        <v>94543.8</v>
      </c>
      <c r="R63" s="43">
        <f t="shared" si="3"/>
        <v>-3699.1900000000023</v>
      </c>
      <c r="S63" s="44">
        <f t="shared" si="4"/>
        <v>-4.0719972269130794E-2</v>
      </c>
      <c r="T63" s="39" t="str">
        <f t="shared" si="5"/>
        <v>Loss</v>
      </c>
      <c r="U63" s="39" t="str">
        <f t="shared" si="6"/>
        <v>10-19%</v>
      </c>
      <c r="V63" s="39" t="str">
        <f>IF(E63&gt;=Analysis!$B$4,"High",IF(E63&gt;=Analysis!$B$5,"Mid","Low"))</f>
        <v>Low</v>
      </c>
      <c r="W63" s="39" t="str">
        <f t="shared" si="7"/>
        <v>2023-04</v>
      </c>
      <c r="X63" s="40">
        <f t="shared" si="8"/>
        <v>45046</v>
      </c>
      <c r="Y63" s="39" t="str">
        <f t="shared" si="9"/>
        <v>2023-Q2</v>
      </c>
      <c r="Z63" s="39" t="str">
        <f t="shared" si="10"/>
        <v>Sun</v>
      </c>
      <c r="AA63" s="39">
        <f t="shared" si="11"/>
        <v>7</v>
      </c>
      <c r="AB63" s="39">
        <f t="shared" si="12"/>
        <v>17</v>
      </c>
      <c r="AC63" s="39" t="str">
        <f t="shared" si="13"/>
        <v>Weekend</v>
      </c>
      <c r="AD63" s="39">
        <f t="shared" ca="1" si="14"/>
        <v>1280</v>
      </c>
      <c r="AE63" s="39">
        <f t="shared" ca="1" si="15"/>
        <v>42</v>
      </c>
      <c r="AF63" s="39" t="str">
        <f t="shared" si="16"/>
        <v>EVE</v>
      </c>
      <c r="AG63" s="39" t="str">
        <f t="shared" si="17"/>
        <v>EO-230423-0062</v>
      </c>
      <c r="AH63" s="39" t="str">
        <f>IF(AND(OR(Filter!$B$4="All",D63=Filter!$B$4),OR(Filter!$B$5="All",M63=Filter!$B$5),E63&gt;=Filter!$B$6),MAX(AH$1:AH62)+1,"")</f>
        <v/>
      </c>
      <c r="AI63" s="39">
        <f t="shared" si="18"/>
        <v>23</v>
      </c>
      <c r="AJ63" s="42">
        <f t="shared" si="19"/>
        <v>0.12</v>
      </c>
      <c r="AK63" s="41">
        <f t="shared" si="20"/>
        <v>4488.37</v>
      </c>
      <c r="AL63" s="39">
        <f>RANK(E63,$E$2:$E$1001,0)+COUNTIF($E$2:E63,E63)-1</f>
        <v>978</v>
      </c>
    </row>
    <row r="64" spans="1:38" x14ac:dyDescent="0.2">
      <c r="A64" s="39">
        <v>1071</v>
      </c>
      <c r="B64" s="40">
        <v>45066</v>
      </c>
      <c r="C64" s="39" t="s">
        <v>79</v>
      </c>
      <c r="D64" s="39" t="s">
        <v>74</v>
      </c>
      <c r="E64" s="41">
        <v>3003.76</v>
      </c>
      <c r="F64" s="39">
        <v>6</v>
      </c>
      <c r="G64" s="39" t="s">
        <v>75</v>
      </c>
      <c r="H64" s="41">
        <v>2831.23</v>
      </c>
      <c r="I64" s="41">
        <v>3206.98</v>
      </c>
      <c r="J64" s="39" t="s">
        <v>137</v>
      </c>
      <c r="K64" s="42">
        <v>0.06</v>
      </c>
      <c r="L64" s="39" t="s">
        <v>63</v>
      </c>
      <c r="M64" s="39" t="s">
        <v>140</v>
      </c>
      <c r="N64" s="39" t="s">
        <v>149</v>
      </c>
      <c r="O64" s="43">
        <f t="shared" si="0"/>
        <v>19241.88</v>
      </c>
      <c r="P64" s="43">
        <f t="shared" si="1"/>
        <v>18087.37</v>
      </c>
      <c r="Q64" s="43">
        <f t="shared" si="2"/>
        <v>16987.38</v>
      </c>
      <c r="R64" s="43">
        <f t="shared" si="3"/>
        <v>1099.989999999998</v>
      </c>
      <c r="S64" s="44">
        <f t="shared" si="4"/>
        <v>6.0815364533373176E-2</v>
      </c>
      <c r="T64" s="39" t="str">
        <f t="shared" si="5"/>
        <v>OK</v>
      </c>
      <c r="U64" s="39" t="str">
        <f t="shared" si="6"/>
        <v>0-9%</v>
      </c>
      <c r="V64" s="39" t="str">
        <f>IF(E64&gt;=Analysis!$B$4,"High",IF(E64&gt;=Analysis!$B$5,"Mid","Low"))</f>
        <v>Mid</v>
      </c>
      <c r="W64" s="39" t="str">
        <f t="shared" si="7"/>
        <v>2023-05</v>
      </c>
      <c r="X64" s="40">
        <f t="shared" si="8"/>
        <v>45077</v>
      </c>
      <c r="Y64" s="39" t="str">
        <f t="shared" si="9"/>
        <v>2023-Q2</v>
      </c>
      <c r="Z64" s="39" t="str">
        <f t="shared" si="10"/>
        <v>Sat</v>
      </c>
      <c r="AA64" s="39">
        <f t="shared" si="11"/>
        <v>6</v>
      </c>
      <c r="AB64" s="39">
        <f t="shared" si="12"/>
        <v>21</v>
      </c>
      <c r="AC64" s="39" t="str">
        <f t="shared" si="13"/>
        <v>Weekend</v>
      </c>
      <c r="AD64" s="39">
        <f t="shared" ca="1" si="14"/>
        <v>1253</v>
      </c>
      <c r="AE64" s="39">
        <f t="shared" ca="1" si="15"/>
        <v>41</v>
      </c>
      <c r="AF64" s="39" t="str">
        <f t="shared" si="16"/>
        <v>EVE</v>
      </c>
      <c r="AG64" s="39" t="str">
        <f t="shared" si="17"/>
        <v>WR-230520-0063</v>
      </c>
      <c r="AH64" s="39" t="str">
        <f>IF(AND(OR(Filter!$B$4="All",D64=Filter!$B$4),OR(Filter!$B$5="All",M64=Filter!$B$5),E64&gt;=Filter!$B$6),MAX(AH$1:AH63)+1,"")</f>
        <v/>
      </c>
      <c r="AI64" s="39">
        <f t="shared" si="18"/>
        <v>6</v>
      </c>
      <c r="AJ64" s="42">
        <f t="shared" si="19"/>
        <v>0.06</v>
      </c>
      <c r="AK64" s="41">
        <f t="shared" si="20"/>
        <v>3206.98</v>
      </c>
      <c r="AL64" s="39">
        <f>RANK(E64,$E$2:$E$1001,0)+COUNTIF($E$2:E64,E64)-1</f>
        <v>693</v>
      </c>
    </row>
    <row r="65" spans="1:38" x14ac:dyDescent="0.2">
      <c r="A65" s="39">
        <v>1044</v>
      </c>
      <c r="B65" s="40">
        <v>44973</v>
      </c>
      <c r="C65" s="39" t="s">
        <v>76</v>
      </c>
      <c r="D65" s="39" t="s">
        <v>69</v>
      </c>
      <c r="E65" s="41">
        <v>7754.1</v>
      </c>
      <c r="F65" s="39">
        <v>22</v>
      </c>
      <c r="G65" s="39" t="s">
        <v>70</v>
      </c>
      <c r="H65" s="41">
        <v>3373.46</v>
      </c>
      <c r="I65" s="41">
        <v>3454.76</v>
      </c>
      <c r="J65" s="39" t="s">
        <v>137</v>
      </c>
      <c r="K65" s="42">
        <v>0.22</v>
      </c>
      <c r="L65" s="39" t="s">
        <v>63</v>
      </c>
      <c r="M65" s="39" t="s">
        <v>140</v>
      </c>
      <c r="N65" s="39" t="s">
        <v>142</v>
      </c>
      <c r="O65" s="43">
        <f t="shared" si="0"/>
        <v>76004.72</v>
      </c>
      <c r="P65" s="43">
        <f t="shared" si="1"/>
        <v>59283.68</v>
      </c>
      <c r="Q65" s="43">
        <f t="shared" si="2"/>
        <v>74216.12</v>
      </c>
      <c r="R65" s="43">
        <f t="shared" si="3"/>
        <v>-14932.439999999995</v>
      </c>
      <c r="S65" s="44">
        <f t="shared" si="4"/>
        <v>-0.25188112478847458</v>
      </c>
      <c r="T65" s="39" t="str">
        <f t="shared" si="5"/>
        <v>Loss</v>
      </c>
      <c r="U65" s="39" t="str">
        <f t="shared" si="6"/>
        <v>20%+</v>
      </c>
      <c r="V65" s="39" t="str">
        <f>IF(E65&gt;=Analysis!$B$4,"High",IF(E65&gt;=Analysis!$B$5,"Mid","Low"))</f>
        <v>High</v>
      </c>
      <c r="W65" s="39" t="str">
        <f t="shared" si="7"/>
        <v>2023-02</v>
      </c>
      <c r="X65" s="40">
        <f t="shared" si="8"/>
        <v>44985</v>
      </c>
      <c r="Y65" s="39" t="str">
        <f t="shared" si="9"/>
        <v>2023-Q1</v>
      </c>
      <c r="Z65" s="39" t="str">
        <f t="shared" si="10"/>
        <v>Thu</v>
      </c>
      <c r="AA65" s="39">
        <f t="shared" si="11"/>
        <v>4</v>
      </c>
      <c r="AB65" s="39">
        <f t="shared" si="12"/>
        <v>8</v>
      </c>
      <c r="AC65" s="39" t="str">
        <f t="shared" si="13"/>
        <v>Weekday</v>
      </c>
      <c r="AD65" s="39">
        <f t="shared" ca="1" si="14"/>
        <v>1346</v>
      </c>
      <c r="AE65" s="39">
        <f t="shared" ca="1" si="15"/>
        <v>44</v>
      </c>
      <c r="AF65" s="39" t="str">
        <f t="shared" si="16"/>
        <v>DAV</v>
      </c>
      <c r="AG65" s="39" t="str">
        <f t="shared" si="17"/>
        <v>SR-230216-0064</v>
      </c>
      <c r="AH65" s="39" t="str">
        <f>IF(AND(OR(Filter!$B$4="All",D65=Filter!$B$4),OR(Filter!$B$5="All",M65=Filter!$B$5),E65&gt;=Filter!$B$6),MAX(AH$1:AH64)+1,"")</f>
        <v/>
      </c>
      <c r="AI65" s="39">
        <f t="shared" si="18"/>
        <v>22</v>
      </c>
      <c r="AJ65" s="42">
        <f t="shared" si="19"/>
        <v>0.22</v>
      </c>
      <c r="AK65" s="41">
        <f t="shared" si="20"/>
        <v>3454.76</v>
      </c>
      <c r="AL65" s="39">
        <f>RANK(E65,$E$2:$E$1001,0)+COUNTIF($E$2:E65,E65)-1</f>
        <v>221</v>
      </c>
    </row>
    <row r="66" spans="1:38" x14ac:dyDescent="0.2">
      <c r="A66" s="39">
        <v>1008</v>
      </c>
      <c r="B66" s="40">
        <v>44927</v>
      </c>
      <c r="C66" s="39" t="s">
        <v>79</v>
      </c>
      <c r="D66" s="39" t="s">
        <v>64</v>
      </c>
      <c r="E66" s="41">
        <v>5227.8100000000004</v>
      </c>
      <c r="F66" s="39">
        <v>38</v>
      </c>
      <c r="G66" s="39" t="s">
        <v>60</v>
      </c>
      <c r="H66" s="41">
        <v>4635.2299999999996</v>
      </c>
      <c r="I66" s="41">
        <v>5075.4399999999996</v>
      </c>
      <c r="J66" s="39" t="s">
        <v>137</v>
      </c>
      <c r="K66" s="42">
        <v>0.05</v>
      </c>
      <c r="L66" s="39" t="s">
        <v>68</v>
      </c>
      <c r="M66" s="39" t="s">
        <v>138</v>
      </c>
      <c r="N66" s="39" t="s">
        <v>148</v>
      </c>
      <c r="O66" s="43">
        <f t="shared" ref="O66:O129" si="21">ROUND(F66*I66,2)</f>
        <v>192866.72</v>
      </c>
      <c r="P66" s="43">
        <f t="shared" ref="P66:P129" si="22">ROUND(F66*I66*(1-K66),2)</f>
        <v>183223.38</v>
      </c>
      <c r="Q66" s="43">
        <f t="shared" ref="Q66:Q129" si="23">ROUND(F66*H66,2)</f>
        <v>176138.74</v>
      </c>
      <c r="R66" s="43">
        <f t="shared" ref="R66:R129" si="24">P66-Q66</f>
        <v>7084.640000000014</v>
      </c>
      <c r="S66" s="44">
        <f t="shared" ref="S66:S129" si="25">IF(P66=0,0,R66/P66)</f>
        <v>3.8666681075308261E-2</v>
      </c>
      <c r="T66" s="39" t="str">
        <f t="shared" ref="T66:T129" si="26">IF(R66&lt;0,"Loss","OK")</f>
        <v>OK</v>
      </c>
      <c r="U66" s="39" t="str">
        <f t="shared" ref="U66:U129" si="27">IF(K66&lt;0.1,"0-9%",IF(K66&lt;0.2,"10-19%","20%+"))</f>
        <v>0-9%</v>
      </c>
      <c r="V66" s="39" t="str">
        <f>IF(E66&gt;=Analysis!$B$4,"High",IF(E66&gt;=Analysis!$B$5,"Mid","Low"))</f>
        <v>Mid</v>
      </c>
      <c r="W66" s="39" t="str">
        <f t="shared" ref="W66:W129" si="28">TEXT(B66,"yyyy-mm")</f>
        <v>2023-01</v>
      </c>
      <c r="X66" s="40">
        <f t="shared" ref="X66:X129" si="29">EOMONTH(B66,0)</f>
        <v>44957</v>
      </c>
      <c r="Y66" s="39" t="str">
        <f t="shared" ref="Y66:Y129" si="30">YEAR(B66)&amp;"-Q"&amp;ROUNDUP(MONTH(B66)/3,0)</f>
        <v>2023-Q1</v>
      </c>
      <c r="Z66" s="39" t="str">
        <f t="shared" ref="Z66:Z129" si="31">TEXT(B66,"ddd")</f>
        <v>Sun</v>
      </c>
      <c r="AA66" s="39">
        <f t="shared" ref="AA66:AA129" si="32">WEEKDAY(B66,2)</f>
        <v>7</v>
      </c>
      <c r="AB66" s="39">
        <f t="shared" ref="AB66:AB129" si="33">WEEKNUM(B66,2)</f>
        <v>1</v>
      </c>
      <c r="AC66" s="39" t="str">
        <f t="shared" ref="AC66:AC129" si="34">IF(AA66&gt;5,"Weekend","Weekday")</f>
        <v>Weekend</v>
      </c>
      <c r="AD66" s="39">
        <f t="shared" ref="AD66:AD129" ca="1" si="35">TODAY()-B66</f>
        <v>1392</v>
      </c>
      <c r="AE66" s="39">
        <f t="shared" ref="AE66:AE129" ca="1" si="36">DATEDIF(B66,TODAY(),"M")</f>
        <v>45</v>
      </c>
      <c r="AF66" s="39" t="str">
        <f t="shared" ref="AF66:AF129" si="37">UPPER(LEFT(C66,3))</f>
        <v>EVE</v>
      </c>
      <c r="AG66" s="39" t="str">
        <f t="shared" ref="AG66:AG129" si="38">UPPER(LEFT(D66,1))&amp;UPPER(LEFT(M66,1))&amp;"-"&amp;TEXT(B66,"yymmdd")&amp;"-"&amp;TEXT(ROW()-1,"0000")</f>
        <v>NO-230101-0065</v>
      </c>
      <c r="AH66" s="39" t="str">
        <f>IF(AND(OR(Filter!$B$4="All",D66=Filter!$B$4),OR(Filter!$B$5="All",M66=Filter!$B$5),E66&gt;=Filter!$B$6),MAX(AH$1:AH65)+1,"")</f>
        <v/>
      </c>
      <c r="AI66" s="39">
        <f t="shared" ref="AI66:AI129" si="39">F66</f>
        <v>38</v>
      </c>
      <c r="AJ66" s="42">
        <f t="shared" ref="AJ66:AJ129" si="40">K66</f>
        <v>0.05</v>
      </c>
      <c r="AK66" s="41">
        <f t="shared" ref="AK66:AK129" si="41">I66</f>
        <v>5075.4399999999996</v>
      </c>
      <c r="AL66" s="39">
        <f>RANK(E66,$E$2:$E$1001,0)+COUNTIF($E$2:E66,E66)-1</f>
        <v>479</v>
      </c>
    </row>
    <row r="67" spans="1:38" x14ac:dyDescent="0.2">
      <c r="A67" s="39">
        <v>1047</v>
      </c>
      <c r="B67" s="40">
        <v>45016</v>
      </c>
      <c r="C67" s="39" t="s">
        <v>61</v>
      </c>
      <c r="D67" s="39" t="s">
        <v>59</v>
      </c>
      <c r="E67" s="41">
        <v>3546.15</v>
      </c>
      <c r="F67" s="39">
        <v>37</v>
      </c>
      <c r="G67" s="39" t="s">
        <v>65</v>
      </c>
      <c r="H67" s="41">
        <v>3114.88</v>
      </c>
      <c r="I67" s="41">
        <v>3256.78</v>
      </c>
      <c r="J67" s="39" t="s">
        <v>137</v>
      </c>
      <c r="K67" s="42">
        <v>0.26</v>
      </c>
      <c r="L67" s="39" t="s">
        <v>73</v>
      </c>
      <c r="M67" s="39" t="s">
        <v>138</v>
      </c>
      <c r="N67" s="39" t="s">
        <v>159</v>
      </c>
      <c r="O67" s="43">
        <f t="shared" si="21"/>
        <v>120500.86</v>
      </c>
      <c r="P67" s="43">
        <f t="shared" si="22"/>
        <v>89170.64</v>
      </c>
      <c r="Q67" s="43">
        <f t="shared" si="23"/>
        <v>115250.56</v>
      </c>
      <c r="R67" s="43">
        <f t="shared" si="24"/>
        <v>-26079.919999999998</v>
      </c>
      <c r="S67" s="44">
        <f t="shared" si="25"/>
        <v>-0.29247205133887116</v>
      </c>
      <c r="T67" s="39" t="str">
        <f t="shared" si="26"/>
        <v>Loss</v>
      </c>
      <c r="U67" s="39" t="str">
        <f t="shared" si="27"/>
        <v>20%+</v>
      </c>
      <c r="V67" s="39" t="str">
        <f>IF(E67&gt;=Analysis!$B$4,"High",IF(E67&gt;=Analysis!$B$5,"Mid","Low"))</f>
        <v>Mid</v>
      </c>
      <c r="W67" s="39" t="str">
        <f t="shared" si="28"/>
        <v>2023-03</v>
      </c>
      <c r="X67" s="40">
        <f t="shared" si="29"/>
        <v>45016</v>
      </c>
      <c r="Y67" s="39" t="str">
        <f t="shared" si="30"/>
        <v>2023-Q1</v>
      </c>
      <c r="Z67" s="39" t="str">
        <f t="shared" si="31"/>
        <v>Fri</v>
      </c>
      <c r="AA67" s="39">
        <f t="shared" si="32"/>
        <v>5</v>
      </c>
      <c r="AB67" s="39">
        <f t="shared" si="33"/>
        <v>14</v>
      </c>
      <c r="AC67" s="39" t="str">
        <f t="shared" si="34"/>
        <v>Weekday</v>
      </c>
      <c r="AD67" s="39">
        <f t="shared" ca="1" si="35"/>
        <v>1303</v>
      </c>
      <c r="AE67" s="39">
        <f t="shared" ca="1" si="36"/>
        <v>42</v>
      </c>
      <c r="AF67" s="39" t="str">
        <f t="shared" si="37"/>
        <v>ALI</v>
      </c>
      <c r="AG67" s="39" t="str">
        <f t="shared" si="38"/>
        <v>EO-230331-0066</v>
      </c>
      <c r="AH67" s="39" t="str">
        <f>IF(AND(OR(Filter!$B$4="All",D67=Filter!$B$4),OR(Filter!$B$5="All",M67=Filter!$B$5),E67&gt;=Filter!$B$6),MAX(AH$1:AH66)+1,"")</f>
        <v/>
      </c>
      <c r="AI67" s="39">
        <f t="shared" si="39"/>
        <v>37</v>
      </c>
      <c r="AJ67" s="42">
        <f t="shared" si="40"/>
        <v>0.26</v>
      </c>
      <c r="AK67" s="41">
        <f t="shared" si="41"/>
        <v>3256.78</v>
      </c>
      <c r="AL67" s="39">
        <f>RANK(E67,$E$2:$E$1001,0)+COUNTIF($E$2:E67,E67)-1</f>
        <v>646</v>
      </c>
    </row>
    <row r="68" spans="1:38" x14ac:dyDescent="0.2">
      <c r="A68" s="39">
        <v>1035</v>
      </c>
      <c r="B68" s="40">
        <v>45068</v>
      </c>
      <c r="C68" s="39" t="s">
        <v>61</v>
      </c>
      <c r="D68" s="39" t="s">
        <v>69</v>
      </c>
      <c r="E68" s="41">
        <v>3780.22</v>
      </c>
      <c r="F68" s="39">
        <v>45</v>
      </c>
      <c r="G68" s="39" t="s">
        <v>70</v>
      </c>
      <c r="H68" s="41">
        <v>4132.79</v>
      </c>
      <c r="I68" s="41">
        <v>4624.1000000000004</v>
      </c>
      <c r="J68" s="39" t="s">
        <v>143</v>
      </c>
      <c r="K68" s="42">
        <v>0.15</v>
      </c>
      <c r="L68" s="39" t="s">
        <v>73</v>
      </c>
      <c r="M68" s="39" t="s">
        <v>140</v>
      </c>
      <c r="N68" s="39" t="s">
        <v>150</v>
      </c>
      <c r="O68" s="43">
        <f t="shared" si="21"/>
        <v>208084.5</v>
      </c>
      <c r="P68" s="43">
        <f t="shared" si="22"/>
        <v>176871.83</v>
      </c>
      <c r="Q68" s="43">
        <f t="shared" si="23"/>
        <v>185975.55</v>
      </c>
      <c r="R68" s="43">
        <f t="shared" si="24"/>
        <v>-9103.7200000000012</v>
      </c>
      <c r="S68" s="44">
        <f t="shared" si="25"/>
        <v>-5.1470717524661792E-2</v>
      </c>
      <c r="T68" s="39" t="str">
        <f t="shared" si="26"/>
        <v>Loss</v>
      </c>
      <c r="U68" s="39" t="str">
        <f t="shared" si="27"/>
        <v>10-19%</v>
      </c>
      <c r="V68" s="39" t="str">
        <f>IF(E68&gt;=Analysis!$B$4,"High",IF(E68&gt;=Analysis!$B$5,"Mid","Low"))</f>
        <v>Mid</v>
      </c>
      <c r="W68" s="39" t="str">
        <f t="shared" si="28"/>
        <v>2023-05</v>
      </c>
      <c r="X68" s="40">
        <f t="shared" si="29"/>
        <v>45077</v>
      </c>
      <c r="Y68" s="39" t="str">
        <f t="shared" si="30"/>
        <v>2023-Q2</v>
      </c>
      <c r="Z68" s="39" t="str">
        <f t="shared" si="31"/>
        <v>Mon</v>
      </c>
      <c r="AA68" s="39">
        <f t="shared" si="32"/>
        <v>1</v>
      </c>
      <c r="AB68" s="39">
        <f t="shared" si="33"/>
        <v>22</v>
      </c>
      <c r="AC68" s="39" t="str">
        <f t="shared" si="34"/>
        <v>Weekday</v>
      </c>
      <c r="AD68" s="39">
        <f t="shared" ca="1" si="35"/>
        <v>1251</v>
      </c>
      <c r="AE68" s="39">
        <f t="shared" ca="1" si="36"/>
        <v>41</v>
      </c>
      <c r="AF68" s="39" t="str">
        <f t="shared" si="37"/>
        <v>ALI</v>
      </c>
      <c r="AG68" s="39" t="str">
        <f t="shared" si="38"/>
        <v>SR-230522-0067</v>
      </c>
      <c r="AH68" s="39" t="str">
        <f>IF(AND(OR(Filter!$B$4="All",D68=Filter!$B$4),OR(Filter!$B$5="All",M68=Filter!$B$5),E68&gt;=Filter!$B$6),MAX(AH$1:AH67)+1,"")</f>
        <v/>
      </c>
      <c r="AI68" s="39">
        <f t="shared" si="39"/>
        <v>45</v>
      </c>
      <c r="AJ68" s="42">
        <f t="shared" si="40"/>
        <v>0.15</v>
      </c>
      <c r="AK68" s="41">
        <f t="shared" si="41"/>
        <v>4624.1000000000004</v>
      </c>
      <c r="AL68" s="39">
        <f>RANK(E68,$E$2:$E$1001,0)+COUNTIF($E$2:E68,E68)-1</f>
        <v>617</v>
      </c>
    </row>
    <row r="69" spans="1:38" x14ac:dyDescent="0.2">
      <c r="A69" s="39">
        <v>1078</v>
      </c>
      <c r="B69" s="40">
        <v>45246</v>
      </c>
      <c r="C69" s="39" t="s">
        <v>76</v>
      </c>
      <c r="D69" s="39" t="s">
        <v>59</v>
      </c>
      <c r="E69" s="41">
        <v>113.4</v>
      </c>
      <c r="F69" s="39">
        <v>8</v>
      </c>
      <c r="G69" s="39" t="s">
        <v>75</v>
      </c>
      <c r="H69" s="41">
        <v>3459.61</v>
      </c>
      <c r="I69" s="41">
        <v>3657.23</v>
      </c>
      <c r="J69" s="39" t="s">
        <v>137</v>
      </c>
      <c r="K69" s="42">
        <v>0.03</v>
      </c>
      <c r="L69" s="39" t="s">
        <v>63</v>
      </c>
      <c r="M69" s="39" t="s">
        <v>138</v>
      </c>
      <c r="N69" s="39" t="s">
        <v>157</v>
      </c>
      <c r="O69" s="43">
        <f t="shared" si="21"/>
        <v>29257.84</v>
      </c>
      <c r="P69" s="43">
        <f t="shared" si="22"/>
        <v>28380.1</v>
      </c>
      <c r="Q69" s="43">
        <f t="shared" si="23"/>
        <v>27676.880000000001</v>
      </c>
      <c r="R69" s="43">
        <f t="shared" si="24"/>
        <v>703.21999999999753</v>
      </c>
      <c r="S69" s="44">
        <f t="shared" si="25"/>
        <v>2.477863009644073E-2</v>
      </c>
      <c r="T69" s="39" t="str">
        <f t="shared" si="26"/>
        <v>OK</v>
      </c>
      <c r="U69" s="39" t="str">
        <f t="shared" si="27"/>
        <v>0-9%</v>
      </c>
      <c r="V69" s="39" t="str">
        <f>IF(E69&gt;=Analysis!$B$4,"High",IF(E69&gt;=Analysis!$B$5,"Mid","Low"))</f>
        <v>Low</v>
      </c>
      <c r="W69" s="39" t="str">
        <f t="shared" si="28"/>
        <v>2023-11</v>
      </c>
      <c r="X69" s="40">
        <f t="shared" si="29"/>
        <v>45260</v>
      </c>
      <c r="Y69" s="39" t="str">
        <f t="shared" si="30"/>
        <v>2023-Q4</v>
      </c>
      <c r="Z69" s="39" t="str">
        <f t="shared" si="31"/>
        <v>Thu</v>
      </c>
      <c r="AA69" s="39">
        <f t="shared" si="32"/>
        <v>4</v>
      </c>
      <c r="AB69" s="39">
        <f t="shared" si="33"/>
        <v>47</v>
      </c>
      <c r="AC69" s="39" t="str">
        <f t="shared" si="34"/>
        <v>Weekday</v>
      </c>
      <c r="AD69" s="39">
        <f t="shared" ca="1" si="35"/>
        <v>1073</v>
      </c>
      <c r="AE69" s="39">
        <f t="shared" ca="1" si="36"/>
        <v>35</v>
      </c>
      <c r="AF69" s="39" t="str">
        <f t="shared" si="37"/>
        <v>DAV</v>
      </c>
      <c r="AG69" s="39" t="str">
        <f t="shared" si="38"/>
        <v>EO-231116-0068</v>
      </c>
      <c r="AH69" s="39" t="str">
        <f>IF(AND(OR(Filter!$B$4="All",D69=Filter!$B$4),OR(Filter!$B$5="All",M69=Filter!$B$5),E69&gt;=Filter!$B$6),MAX(AH$1:AH68)+1,"")</f>
        <v/>
      </c>
      <c r="AI69" s="39">
        <f t="shared" si="39"/>
        <v>8</v>
      </c>
      <c r="AJ69" s="42">
        <f t="shared" si="40"/>
        <v>0.03</v>
      </c>
      <c r="AK69" s="41">
        <f t="shared" si="41"/>
        <v>3657.23</v>
      </c>
      <c r="AL69" s="39">
        <f>RANK(E69,$E$2:$E$1001,0)+COUNTIF($E$2:E69,E69)-1</f>
        <v>998</v>
      </c>
    </row>
    <row r="70" spans="1:38" x14ac:dyDescent="0.2">
      <c r="A70" s="39">
        <v>1081</v>
      </c>
      <c r="B70" s="40">
        <v>44964</v>
      </c>
      <c r="C70" s="39" t="s">
        <v>76</v>
      </c>
      <c r="D70" s="39" t="s">
        <v>59</v>
      </c>
      <c r="E70" s="41">
        <v>3068.03</v>
      </c>
      <c r="F70" s="39">
        <v>41</v>
      </c>
      <c r="G70" s="39" t="s">
        <v>75</v>
      </c>
      <c r="H70" s="41">
        <v>2782.08</v>
      </c>
      <c r="I70" s="41">
        <v>2879.24</v>
      </c>
      <c r="J70" s="39" t="s">
        <v>143</v>
      </c>
      <c r="K70" s="42">
        <v>0.21</v>
      </c>
      <c r="L70" s="39" t="s">
        <v>63</v>
      </c>
      <c r="M70" s="39" t="s">
        <v>138</v>
      </c>
      <c r="N70" s="39" t="s">
        <v>157</v>
      </c>
      <c r="O70" s="43">
        <f t="shared" si="21"/>
        <v>118048.84</v>
      </c>
      <c r="P70" s="43">
        <f t="shared" si="22"/>
        <v>93258.58</v>
      </c>
      <c r="Q70" s="43">
        <f t="shared" si="23"/>
        <v>114065.28</v>
      </c>
      <c r="R70" s="43">
        <f t="shared" si="24"/>
        <v>-20806.699999999997</v>
      </c>
      <c r="S70" s="44">
        <f t="shared" si="25"/>
        <v>-0.22310762184026389</v>
      </c>
      <c r="T70" s="39" t="str">
        <f t="shared" si="26"/>
        <v>Loss</v>
      </c>
      <c r="U70" s="39" t="str">
        <f t="shared" si="27"/>
        <v>20%+</v>
      </c>
      <c r="V70" s="39" t="str">
        <f>IF(E70&gt;=Analysis!$B$4,"High",IF(E70&gt;=Analysis!$B$5,"Mid","Low"))</f>
        <v>Mid</v>
      </c>
      <c r="W70" s="39" t="str">
        <f t="shared" si="28"/>
        <v>2023-02</v>
      </c>
      <c r="X70" s="40">
        <f t="shared" si="29"/>
        <v>44985</v>
      </c>
      <c r="Y70" s="39" t="str">
        <f t="shared" si="30"/>
        <v>2023-Q1</v>
      </c>
      <c r="Z70" s="39" t="str">
        <f t="shared" si="31"/>
        <v>Tue</v>
      </c>
      <c r="AA70" s="39">
        <f t="shared" si="32"/>
        <v>2</v>
      </c>
      <c r="AB70" s="39">
        <f t="shared" si="33"/>
        <v>7</v>
      </c>
      <c r="AC70" s="39" t="str">
        <f t="shared" si="34"/>
        <v>Weekday</v>
      </c>
      <c r="AD70" s="39">
        <f t="shared" ca="1" si="35"/>
        <v>1355</v>
      </c>
      <c r="AE70" s="39">
        <f t="shared" ca="1" si="36"/>
        <v>44</v>
      </c>
      <c r="AF70" s="39" t="str">
        <f t="shared" si="37"/>
        <v>DAV</v>
      </c>
      <c r="AG70" s="39" t="str">
        <f t="shared" si="38"/>
        <v>EO-230207-0069</v>
      </c>
      <c r="AH70" s="39" t="str">
        <f>IF(AND(OR(Filter!$B$4="All",D70=Filter!$B$4),OR(Filter!$B$5="All",M70=Filter!$B$5),E70&gt;=Filter!$B$6),MAX(AH$1:AH69)+1,"")</f>
        <v/>
      </c>
      <c r="AI70" s="39">
        <f t="shared" si="39"/>
        <v>41</v>
      </c>
      <c r="AJ70" s="42">
        <f t="shared" si="40"/>
        <v>0.21</v>
      </c>
      <c r="AK70" s="41">
        <f t="shared" si="41"/>
        <v>2879.24</v>
      </c>
      <c r="AL70" s="39">
        <f>RANK(E70,$E$2:$E$1001,0)+COUNTIF($E$2:E70,E70)-1</f>
        <v>688</v>
      </c>
    </row>
    <row r="71" spans="1:38" x14ac:dyDescent="0.2">
      <c r="A71" s="39">
        <v>1036</v>
      </c>
      <c r="B71" s="40">
        <v>45219</v>
      </c>
      <c r="C71" s="39" t="s">
        <v>76</v>
      </c>
      <c r="D71" s="39" t="s">
        <v>64</v>
      </c>
      <c r="E71" s="41">
        <v>6499.94</v>
      </c>
      <c r="F71" s="39">
        <v>49</v>
      </c>
      <c r="G71" s="39" t="s">
        <v>60</v>
      </c>
      <c r="H71" s="41">
        <v>1247.0999999999999</v>
      </c>
      <c r="I71" s="41">
        <v>1429.44</v>
      </c>
      <c r="J71" s="39" t="s">
        <v>143</v>
      </c>
      <c r="K71" s="42">
        <v>0.16</v>
      </c>
      <c r="L71" s="39" t="s">
        <v>68</v>
      </c>
      <c r="M71" s="39" t="s">
        <v>138</v>
      </c>
      <c r="N71" s="39" t="s">
        <v>152</v>
      </c>
      <c r="O71" s="43">
        <f t="shared" si="21"/>
        <v>70042.559999999998</v>
      </c>
      <c r="P71" s="43">
        <f t="shared" si="22"/>
        <v>58835.75</v>
      </c>
      <c r="Q71" s="43">
        <f t="shared" si="23"/>
        <v>61107.9</v>
      </c>
      <c r="R71" s="43">
        <f t="shared" si="24"/>
        <v>-2272.1500000000015</v>
      </c>
      <c r="S71" s="44">
        <f t="shared" si="25"/>
        <v>-3.8618527001015562E-2</v>
      </c>
      <c r="T71" s="39" t="str">
        <f t="shared" si="26"/>
        <v>Loss</v>
      </c>
      <c r="U71" s="39" t="str">
        <f t="shared" si="27"/>
        <v>10-19%</v>
      </c>
      <c r="V71" s="39" t="str">
        <f>IF(E71&gt;=Analysis!$B$4,"High",IF(E71&gt;=Analysis!$B$5,"Mid","Low"))</f>
        <v>Mid</v>
      </c>
      <c r="W71" s="39" t="str">
        <f t="shared" si="28"/>
        <v>2023-10</v>
      </c>
      <c r="X71" s="40">
        <f t="shared" si="29"/>
        <v>45230</v>
      </c>
      <c r="Y71" s="39" t="str">
        <f t="shared" si="30"/>
        <v>2023-Q4</v>
      </c>
      <c r="Z71" s="39" t="str">
        <f t="shared" si="31"/>
        <v>Fri</v>
      </c>
      <c r="AA71" s="39">
        <f t="shared" si="32"/>
        <v>5</v>
      </c>
      <c r="AB71" s="39">
        <f t="shared" si="33"/>
        <v>43</v>
      </c>
      <c r="AC71" s="39" t="str">
        <f t="shared" si="34"/>
        <v>Weekday</v>
      </c>
      <c r="AD71" s="39">
        <f t="shared" ca="1" si="35"/>
        <v>1100</v>
      </c>
      <c r="AE71" s="39">
        <f t="shared" ca="1" si="36"/>
        <v>36</v>
      </c>
      <c r="AF71" s="39" t="str">
        <f t="shared" si="37"/>
        <v>DAV</v>
      </c>
      <c r="AG71" s="39" t="str">
        <f t="shared" si="38"/>
        <v>NO-231020-0070</v>
      </c>
      <c r="AH71" s="39" t="str">
        <f>IF(AND(OR(Filter!$B$4="All",D71=Filter!$B$4),OR(Filter!$B$5="All",M71=Filter!$B$5),E71&gt;=Filter!$B$6),MAX(AH$1:AH70)+1,"")</f>
        <v/>
      </c>
      <c r="AI71" s="39">
        <f t="shared" si="39"/>
        <v>49</v>
      </c>
      <c r="AJ71" s="42">
        <f t="shared" si="40"/>
        <v>0.16</v>
      </c>
      <c r="AK71" s="41">
        <f t="shared" si="41"/>
        <v>1429.44</v>
      </c>
      <c r="AL71" s="39">
        <f>RANK(E71,$E$2:$E$1001,0)+COUNTIF($E$2:E71,E71)-1</f>
        <v>361</v>
      </c>
    </row>
    <row r="72" spans="1:38" x14ac:dyDescent="0.2">
      <c r="A72" s="39">
        <v>1050</v>
      </c>
      <c r="B72" s="40">
        <v>45065</v>
      </c>
      <c r="C72" s="39" t="s">
        <v>71</v>
      </c>
      <c r="D72" s="39" t="s">
        <v>59</v>
      </c>
      <c r="E72" s="41">
        <v>9744.52</v>
      </c>
      <c r="F72" s="39">
        <v>35</v>
      </c>
      <c r="G72" s="39" t="s">
        <v>60</v>
      </c>
      <c r="H72" s="41">
        <v>2158.69</v>
      </c>
      <c r="I72" s="41">
        <v>2384.38</v>
      </c>
      <c r="J72" s="39" t="s">
        <v>137</v>
      </c>
      <c r="K72" s="42">
        <v>0.09</v>
      </c>
      <c r="L72" s="39" t="s">
        <v>63</v>
      </c>
      <c r="M72" s="39" t="s">
        <v>140</v>
      </c>
      <c r="N72" s="39" t="s">
        <v>145</v>
      </c>
      <c r="O72" s="43">
        <f t="shared" si="21"/>
        <v>83453.3</v>
      </c>
      <c r="P72" s="43">
        <f t="shared" si="22"/>
        <v>75942.5</v>
      </c>
      <c r="Q72" s="43">
        <f t="shared" si="23"/>
        <v>75554.149999999994</v>
      </c>
      <c r="R72" s="43">
        <f t="shared" si="24"/>
        <v>388.35000000000582</v>
      </c>
      <c r="S72" s="44">
        <f t="shared" si="25"/>
        <v>5.1137373670870172E-3</v>
      </c>
      <c r="T72" s="39" t="str">
        <f t="shared" si="26"/>
        <v>OK</v>
      </c>
      <c r="U72" s="39" t="str">
        <f t="shared" si="27"/>
        <v>0-9%</v>
      </c>
      <c r="V72" s="39" t="str">
        <f>IF(E72&gt;=Analysis!$B$4,"High",IF(E72&gt;=Analysis!$B$5,"Mid","Low"))</f>
        <v>High</v>
      </c>
      <c r="W72" s="39" t="str">
        <f t="shared" si="28"/>
        <v>2023-05</v>
      </c>
      <c r="X72" s="40">
        <f t="shared" si="29"/>
        <v>45077</v>
      </c>
      <c r="Y72" s="39" t="str">
        <f t="shared" si="30"/>
        <v>2023-Q2</v>
      </c>
      <c r="Z72" s="39" t="str">
        <f t="shared" si="31"/>
        <v>Fri</v>
      </c>
      <c r="AA72" s="39">
        <f t="shared" si="32"/>
        <v>5</v>
      </c>
      <c r="AB72" s="39">
        <f t="shared" si="33"/>
        <v>21</v>
      </c>
      <c r="AC72" s="39" t="str">
        <f t="shared" si="34"/>
        <v>Weekday</v>
      </c>
      <c r="AD72" s="39">
        <f t="shared" ca="1" si="35"/>
        <v>1254</v>
      </c>
      <c r="AE72" s="39">
        <f t="shared" ca="1" si="36"/>
        <v>41</v>
      </c>
      <c r="AF72" s="39" t="str">
        <f t="shared" si="37"/>
        <v>CHA</v>
      </c>
      <c r="AG72" s="39" t="str">
        <f t="shared" si="38"/>
        <v>ER-230519-0071</v>
      </c>
      <c r="AH72" s="39">
        <f>IF(AND(OR(Filter!$B$4="All",D72=Filter!$B$4),OR(Filter!$B$5="All",M72=Filter!$B$5),E72&gt;=Filter!$B$6),MAX(AH$1:AH71)+1,"")</f>
        <v>3</v>
      </c>
      <c r="AI72" s="39">
        <f t="shared" si="39"/>
        <v>35</v>
      </c>
      <c r="AJ72" s="42">
        <f t="shared" si="40"/>
        <v>0.09</v>
      </c>
      <c r="AK72" s="41">
        <f t="shared" si="41"/>
        <v>2384.38</v>
      </c>
      <c r="AL72" s="39">
        <f>RANK(E72,$E$2:$E$1001,0)+COUNTIF($E$2:E72,E72)-1</f>
        <v>23</v>
      </c>
    </row>
    <row r="73" spans="1:38" x14ac:dyDescent="0.2">
      <c r="A73" s="39">
        <v>1004</v>
      </c>
      <c r="B73" s="40">
        <v>45282</v>
      </c>
      <c r="C73" s="39" t="s">
        <v>79</v>
      </c>
      <c r="D73" s="39" t="s">
        <v>64</v>
      </c>
      <c r="E73" s="41">
        <v>8485.9</v>
      </c>
      <c r="F73" s="39">
        <v>11</v>
      </c>
      <c r="G73" s="39" t="s">
        <v>60</v>
      </c>
      <c r="H73" s="41">
        <v>4840.33</v>
      </c>
      <c r="I73" s="41">
        <v>4884.29</v>
      </c>
      <c r="J73" s="39" t="s">
        <v>143</v>
      </c>
      <c r="K73" s="42">
        <v>0.13</v>
      </c>
      <c r="L73" s="39" t="s">
        <v>68</v>
      </c>
      <c r="M73" s="39" t="s">
        <v>138</v>
      </c>
      <c r="N73" s="39" t="s">
        <v>148</v>
      </c>
      <c r="O73" s="43">
        <f t="shared" si="21"/>
        <v>53727.19</v>
      </c>
      <c r="P73" s="43">
        <f t="shared" si="22"/>
        <v>46742.66</v>
      </c>
      <c r="Q73" s="43">
        <f t="shared" si="23"/>
        <v>53243.63</v>
      </c>
      <c r="R73" s="43">
        <f t="shared" si="24"/>
        <v>-6500.9699999999939</v>
      </c>
      <c r="S73" s="44">
        <f t="shared" si="25"/>
        <v>-0.13908001812477067</v>
      </c>
      <c r="T73" s="39" t="str">
        <f t="shared" si="26"/>
        <v>Loss</v>
      </c>
      <c r="U73" s="39" t="str">
        <f t="shared" si="27"/>
        <v>10-19%</v>
      </c>
      <c r="V73" s="39" t="str">
        <f>IF(E73&gt;=Analysis!$B$4,"High",IF(E73&gt;=Analysis!$B$5,"Mid","Low"))</f>
        <v>High</v>
      </c>
      <c r="W73" s="39" t="str">
        <f t="shared" si="28"/>
        <v>2023-12</v>
      </c>
      <c r="X73" s="40">
        <f t="shared" si="29"/>
        <v>45291</v>
      </c>
      <c r="Y73" s="39" t="str">
        <f t="shared" si="30"/>
        <v>2023-Q4</v>
      </c>
      <c r="Z73" s="39" t="str">
        <f t="shared" si="31"/>
        <v>Fri</v>
      </c>
      <c r="AA73" s="39">
        <f t="shared" si="32"/>
        <v>5</v>
      </c>
      <c r="AB73" s="39">
        <f t="shared" si="33"/>
        <v>52</v>
      </c>
      <c r="AC73" s="39" t="str">
        <f t="shared" si="34"/>
        <v>Weekday</v>
      </c>
      <c r="AD73" s="39">
        <f t="shared" ca="1" si="35"/>
        <v>1037</v>
      </c>
      <c r="AE73" s="39">
        <f t="shared" ca="1" si="36"/>
        <v>34</v>
      </c>
      <c r="AF73" s="39" t="str">
        <f t="shared" si="37"/>
        <v>EVE</v>
      </c>
      <c r="AG73" s="39" t="str">
        <f t="shared" si="38"/>
        <v>NO-231222-0072</v>
      </c>
      <c r="AH73" s="39" t="str">
        <f>IF(AND(OR(Filter!$B$4="All",D73=Filter!$B$4),OR(Filter!$B$5="All",M73=Filter!$B$5),E73&gt;=Filter!$B$6),MAX(AH$1:AH72)+1,"")</f>
        <v/>
      </c>
      <c r="AI73" s="39">
        <f t="shared" si="39"/>
        <v>11</v>
      </c>
      <c r="AJ73" s="42">
        <f t="shared" si="40"/>
        <v>0.13</v>
      </c>
      <c r="AK73" s="41">
        <f t="shared" si="41"/>
        <v>4884.29</v>
      </c>
      <c r="AL73" s="39">
        <f>RANK(E73,$E$2:$E$1001,0)+COUNTIF($E$2:E73,E73)-1</f>
        <v>143</v>
      </c>
    </row>
    <row r="74" spans="1:38" x14ac:dyDescent="0.2">
      <c r="A74" s="39">
        <v>1002</v>
      </c>
      <c r="B74" s="40">
        <v>45259</v>
      </c>
      <c r="C74" s="39" t="s">
        <v>76</v>
      </c>
      <c r="D74" s="39" t="s">
        <v>64</v>
      </c>
      <c r="E74" s="41">
        <v>333.59</v>
      </c>
      <c r="F74" s="39">
        <v>24</v>
      </c>
      <c r="G74" s="39" t="s">
        <v>75</v>
      </c>
      <c r="H74" s="41">
        <v>3305.94</v>
      </c>
      <c r="I74" s="41">
        <v>3599.27</v>
      </c>
      <c r="J74" s="39" t="s">
        <v>143</v>
      </c>
      <c r="K74" s="42">
        <v>0.09</v>
      </c>
      <c r="L74" s="39" t="s">
        <v>73</v>
      </c>
      <c r="M74" s="39" t="s">
        <v>140</v>
      </c>
      <c r="N74" s="39" t="s">
        <v>152</v>
      </c>
      <c r="O74" s="43">
        <f t="shared" si="21"/>
        <v>86382.48</v>
      </c>
      <c r="P74" s="43">
        <f t="shared" si="22"/>
        <v>78608.06</v>
      </c>
      <c r="Q74" s="43">
        <f t="shared" si="23"/>
        <v>79342.559999999998</v>
      </c>
      <c r="R74" s="43">
        <f t="shared" si="24"/>
        <v>-734.5</v>
      </c>
      <c r="S74" s="44">
        <f t="shared" si="25"/>
        <v>-9.3438255568194916E-3</v>
      </c>
      <c r="T74" s="39" t="str">
        <f t="shared" si="26"/>
        <v>Loss</v>
      </c>
      <c r="U74" s="39" t="str">
        <f t="shared" si="27"/>
        <v>0-9%</v>
      </c>
      <c r="V74" s="39" t="str">
        <f>IF(E74&gt;=Analysis!$B$4,"High",IF(E74&gt;=Analysis!$B$5,"Mid","Low"))</f>
        <v>Low</v>
      </c>
      <c r="W74" s="39" t="str">
        <f t="shared" si="28"/>
        <v>2023-11</v>
      </c>
      <c r="X74" s="40">
        <f t="shared" si="29"/>
        <v>45260</v>
      </c>
      <c r="Y74" s="39" t="str">
        <f t="shared" si="30"/>
        <v>2023-Q4</v>
      </c>
      <c r="Z74" s="39" t="str">
        <f t="shared" si="31"/>
        <v>Wed</v>
      </c>
      <c r="AA74" s="39">
        <f t="shared" si="32"/>
        <v>3</v>
      </c>
      <c r="AB74" s="39">
        <f t="shared" si="33"/>
        <v>49</v>
      </c>
      <c r="AC74" s="39" t="str">
        <f t="shared" si="34"/>
        <v>Weekday</v>
      </c>
      <c r="AD74" s="39">
        <f t="shared" ca="1" si="35"/>
        <v>1060</v>
      </c>
      <c r="AE74" s="39">
        <f t="shared" ca="1" si="36"/>
        <v>34</v>
      </c>
      <c r="AF74" s="39" t="str">
        <f t="shared" si="37"/>
        <v>DAV</v>
      </c>
      <c r="AG74" s="39" t="str">
        <f t="shared" si="38"/>
        <v>NR-231129-0073</v>
      </c>
      <c r="AH74" s="39" t="str">
        <f>IF(AND(OR(Filter!$B$4="All",D74=Filter!$B$4),OR(Filter!$B$5="All",M74=Filter!$B$5),E74&gt;=Filter!$B$6),MAX(AH$1:AH73)+1,"")</f>
        <v/>
      </c>
      <c r="AI74" s="39">
        <f t="shared" si="39"/>
        <v>24</v>
      </c>
      <c r="AJ74" s="42">
        <f t="shared" si="40"/>
        <v>0.09</v>
      </c>
      <c r="AK74" s="41">
        <f t="shared" si="41"/>
        <v>3599.27</v>
      </c>
      <c r="AL74" s="39">
        <f>RANK(E74,$E$2:$E$1001,0)+COUNTIF($E$2:E74,E74)-1</f>
        <v>971</v>
      </c>
    </row>
    <row r="75" spans="1:38" x14ac:dyDescent="0.2">
      <c r="A75" s="39">
        <v>1006</v>
      </c>
      <c r="B75" s="40">
        <v>45185</v>
      </c>
      <c r="C75" s="39" t="s">
        <v>66</v>
      </c>
      <c r="D75" s="39" t="s">
        <v>64</v>
      </c>
      <c r="E75" s="41">
        <v>8995.75</v>
      </c>
      <c r="F75" s="39">
        <v>49</v>
      </c>
      <c r="G75" s="39" t="s">
        <v>70</v>
      </c>
      <c r="H75" s="41">
        <v>2843.76</v>
      </c>
      <c r="I75" s="41">
        <v>3146.6</v>
      </c>
      <c r="J75" s="39" t="s">
        <v>143</v>
      </c>
      <c r="K75" s="42">
        <v>0.08</v>
      </c>
      <c r="L75" s="39" t="s">
        <v>68</v>
      </c>
      <c r="M75" s="39" t="s">
        <v>140</v>
      </c>
      <c r="N75" s="39" t="s">
        <v>139</v>
      </c>
      <c r="O75" s="43">
        <f t="shared" si="21"/>
        <v>154183.4</v>
      </c>
      <c r="P75" s="43">
        <f t="shared" si="22"/>
        <v>141848.73000000001</v>
      </c>
      <c r="Q75" s="43">
        <f t="shared" si="23"/>
        <v>139344.24</v>
      </c>
      <c r="R75" s="43">
        <f t="shared" si="24"/>
        <v>2504.4900000000198</v>
      </c>
      <c r="S75" s="44">
        <f t="shared" si="25"/>
        <v>1.7656062200909515E-2</v>
      </c>
      <c r="T75" s="39" t="str">
        <f t="shared" si="26"/>
        <v>OK</v>
      </c>
      <c r="U75" s="39" t="str">
        <f t="shared" si="27"/>
        <v>0-9%</v>
      </c>
      <c r="V75" s="39" t="str">
        <f>IF(E75&gt;=Analysis!$B$4,"High",IF(E75&gt;=Analysis!$B$5,"Mid","Low"))</f>
        <v>High</v>
      </c>
      <c r="W75" s="39" t="str">
        <f t="shared" si="28"/>
        <v>2023-09</v>
      </c>
      <c r="X75" s="40">
        <f t="shared" si="29"/>
        <v>45199</v>
      </c>
      <c r="Y75" s="39" t="str">
        <f t="shared" si="30"/>
        <v>2023-Q3</v>
      </c>
      <c r="Z75" s="39" t="str">
        <f t="shared" si="31"/>
        <v>Sat</v>
      </c>
      <c r="AA75" s="39">
        <f t="shared" si="32"/>
        <v>6</v>
      </c>
      <c r="AB75" s="39">
        <f t="shared" si="33"/>
        <v>38</v>
      </c>
      <c r="AC75" s="39" t="str">
        <f t="shared" si="34"/>
        <v>Weekend</v>
      </c>
      <c r="AD75" s="39">
        <f t="shared" ca="1" si="35"/>
        <v>1134</v>
      </c>
      <c r="AE75" s="39">
        <f t="shared" ca="1" si="36"/>
        <v>37</v>
      </c>
      <c r="AF75" s="39" t="str">
        <f t="shared" si="37"/>
        <v>BOB</v>
      </c>
      <c r="AG75" s="39" t="str">
        <f t="shared" si="38"/>
        <v>NR-230916-0074</v>
      </c>
      <c r="AH75" s="39" t="str">
        <f>IF(AND(OR(Filter!$B$4="All",D75=Filter!$B$4),OR(Filter!$B$5="All",M75=Filter!$B$5),E75&gt;=Filter!$B$6),MAX(AH$1:AH74)+1,"")</f>
        <v/>
      </c>
      <c r="AI75" s="39">
        <f t="shared" si="39"/>
        <v>49</v>
      </c>
      <c r="AJ75" s="42">
        <f t="shared" si="40"/>
        <v>0.08</v>
      </c>
      <c r="AK75" s="41">
        <f t="shared" si="41"/>
        <v>3146.6</v>
      </c>
      <c r="AL75" s="39">
        <f>RANK(E75,$E$2:$E$1001,0)+COUNTIF($E$2:E75,E75)-1</f>
        <v>91</v>
      </c>
    </row>
    <row r="76" spans="1:38" x14ac:dyDescent="0.2">
      <c r="A76" s="39">
        <v>1054</v>
      </c>
      <c r="B76" s="40">
        <v>45087</v>
      </c>
      <c r="C76" s="39" t="s">
        <v>66</v>
      </c>
      <c r="D76" s="39" t="s">
        <v>69</v>
      </c>
      <c r="E76" s="41">
        <v>7853.66</v>
      </c>
      <c r="F76" s="39">
        <v>21</v>
      </c>
      <c r="G76" s="39" t="s">
        <v>75</v>
      </c>
      <c r="H76" s="41">
        <v>4668.1400000000003</v>
      </c>
      <c r="I76" s="41">
        <v>5040.22</v>
      </c>
      <c r="J76" s="39" t="s">
        <v>143</v>
      </c>
      <c r="K76" s="42">
        <v>0.05</v>
      </c>
      <c r="L76" s="39" t="s">
        <v>63</v>
      </c>
      <c r="M76" s="39" t="s">
        <v>138</v>
      </c>
      <c r="N76" s="39" t="s">
        <v>144</v>
      </c>
      <c r="O76" s="43">
        <f t="shared" si="21"/>
        <v>105844.62</v>
      </c>
      <c r="P76" s="43">
        <f t="shared" si="22"/>
        <v>100552.39</v>
      </c>
      <c r="Q76" s="43">
        <f t="shared" si="23"/>
        <v>98030.94</v>
      </c>
      <c r="R76" s="43">
        <f t="shared" si="24"/>
        <v>2521.4499999999971</v>
      </c>
      <c r="S76" s="44">
        <f t="shared" si="25"/>
        <v>2.5075982778728554E-2</v>
      </c>
      <c r="T76" s="39" t="str">
        <f t="shared" si="26"/>
        <v>OK</v>
      </c>
      <c r="U76" s="39" t="str">
        <f t="shared" si="27"/>
        <v>0-9%</v>
      </c>
      <c r="V76" s="39" t="str">
        <f>IF(E76&gt;=Analysis!$B$4,"High",IF(E76&gt;=Analysis!$B$5,"Mid","Low"))</f>
        <v>High</v>
      </c>
      <c r="W76" s="39" t="str">
        <f t="shared" si="28"/>
        <v>2023-06</v>
      </c>
      <c r="X76" s="40">
        <f t="shared" si="29"/>
        <v>45107</v>
      </c>
      <c r="Y76" s="39" t="str">
        <f t="shared" si="30"/>
        <v>2023-Q2</v>
      </c>
      <c r="Z76" s="39" t="str">
        <f t="shared" si="31"/>
        <v>Sat</v>
      </c>
      <c r="AA76" s="39">
        <f t="shared" si="32"/>
        <v>6</v>
      </c>
      <c r="AB76" s="39">
        <f t="shared" si="33"/>
        <v>24</v>
      </c>
      <c r="AC76" s="39" t="str">
        <f t="shared" si="34"/>
        <v>Weekend</v>
      </c>
      <c r="AD76" s="39">
        <f t="shared" ca="1" si="35"/>
        <v>1232</v>
      </c>
      <c r="AE76" s="39">
        <f t="shared" ca="1" si="36"/>
        <v>40</v>
      </c>
      <c r="AF76" s="39" t="str">
        <f t="shared" si="37"/>
        <v>BOB</v>
      </c>
      <c r="AG76" s="39" t="str">
        <f t="shared" si="38"/>
        <v>SO-230610-0075</v>
      </c>
      <c r="AH76" s="39" t="str">
        <f>IF(AND(OR(Filter!$B$4="All",D76=Filter!$B$4),OR(Filter!$B$5="All",M76=Filter!$B$5),E76&gt;=Filter!$B$6),MAX(AH$1:AH75)+1,"")</f>
        <v/>
      </c>
      <c r="AI76" s="39">
        <f t="shared" si="39"/>
        <v>21</v>
      </c>
      <c r="AJ76" s="42">
        <f t="shared" si="40"/>
        <v>0.05</v>
      </c>
      <c r="AK76" s="41">
        <f t="shared" si="41"/>
        <v>5040.22</v>
      </c>
      <c r="AL76" s="39">
        <f>RANK(E76,$E$2:$E$1001,0)+COUNTIF($E$2:E76,E76)-1</f>
        <v>211</v>
      </c>
    </row>
    <row r="77" spans="1:38" x14ac:dyDescent="0.2">
      <c r="A77" s="39">
        <v>1004</v>
      </c>
      <c r="B77" s="40">
        <v>45104</v>
      </c>
      <c r="C77" s="39" t="s">
        <v>61</v>
      </c>
      <c r="D77" s="39" t="s">
        <v>74</v>
      </c>
      <c r="E77" s="41">
        <v>7825.72</v>
      </c>
      <c r="F77" s="39">
        <v>2</v>
      </c>
      <c r="G77" s="39" t="s">
        <v>65</v>
      </c>
      <c r="H77" s="41">
        <v>2953.23</v>
      </c>
      <c r="I77" s="41">
        <v>2977.52</v>
      </c>
      <c r="J77" s="39" t="s">
        <v>137</v>
      </c>
      <c r="K77" s="42">
        <v>0.11</v>
      </c>
      <c r="L77" s="39" t="s">
        <v>73</v>
      </c>
      <c r="M77" s="39" t="s">
        <v>140</v>
      </c>
      <c r="N77" s="39" t="s">
        <v>158</v>
      </c>
      <c r="O77" s="43">
        <f t="shared" si="21"/>
        <v>5955.04</v>
      </c>
      <c r="P77" s="43">
        <f t="shared" si="22"/>
        <v>5299.99</v>
      </c>
      <c r="Q77" s="43">
        <f t="shared" si="23"/>
        <v>5906.46</v>
      </c>
      <c r="R77" s="43">
        <f t="shared" si="24"/>
        <v>-606.47000000000025</v>
      </c>
      <c r="S77" s="44">
        <f t="shared" si="25"/>
        <v>-0.11442851778965626</v>
      </c>
      <c r="T77" s="39" t="str">
        <f t="shared" si="26"/>
        <v>Loss</v>
      </c>
      <c r="U77" s="39" t="str">
        <f t="shared" si="27"/>
        <v>10-19%</v>
      </c>
      <c r="V77" s="39" t="str">
        <f>IF(E77&gt;=Analysis!$B$4,"High",IF(E77&gt;=Analysis!$B$5,"Mid","Low"))</f>
        <v>High</v>
      </c>
      <c r="W77" s="39" t="str">
        <f t="shared" si="28"/>
        <v>2023-06</v>
      </c>
      <c r="X77" s="40">
        <f t="shared" si="29"/>
        <v>45107</v>
      </c>
      <c r="Y77" s="39" t="str">
        <f t="shared" si="30"/>
        <v>2023-Q2</v>
      </c>
      <c r="Z77" s="39" t="str">
        <f t="shared" si="31"/>
        <v>Tue</v>
      </c>
      <c r="AA77" s="39">
        <f t="shared" si="32"/>
        <v>2</v>
      </c>
      <c r="AB77" s="39">
        <f t="shared" si="33"/>
        <v>27</v>
      </c>
      <c r="AC77" s="39" t="str">
        <f t="shared" si="34"/>
        <v>Weekday</v>
      </c>
      <c r="AD77" s="39">
        <f t="shared" ca="1" si="35"/>
        <v>1215</v>
      </c>
      <c r="AE77" s="39">
        <f t="shared" ca="1" si="36"/>
        <v>39</v>
      </c>
      <c r="AF77" s="39" t="str">
        <f t="shared" si="37"/>
        <v>ALI</v>
      </c>
      <c r="AG77" s="39" t="str">
        <f t="shared" si="38"/>
        <v>WR-230627-0076</v>
      </c>
      <c r="AH77" s="39" t="str">
        <f>IF(AND(OR(Filter!$B$4="All",D77=Filter!$B$4),OR(Filter!$B$5="All",M77=Filter!$B$5),E77&gt;=Filter!$B$6),MAX(AH$1:AH76)+1,"")</f>
        <v/>
      </c>
      <c r="AI77" s="39">
        <f t="shared" si="39"/>
        <v>2</v>
      </c>
      <c r="AJ77" s="42">
        <f t="shared" si="40"/>
        <v>0.11</v>
      </c>
      <c r="AK77" s="41">
        <f t="shared" si="41"/>
        <v>2977.52</v>
      </c>
      <c r="AL77" s="39">
        <f>RANK(E77,$E$2:$E$1001,0)+COUNTIF($E$2:E77,E77)-1</f>
        <v>215</v>
      </c>
    </row>
    <row r="78" spans="1:38" x14ac:dyDescent="0.2">
      <c r="A78" s="39">
        <v>1054</v>
      </c>
      <c r="B78" s="40">
        <v>44936</v>
      </c>
      <c r="C78" s="39" t="s">
        <v>79</v>
      </c>
      <c r="D78" s="39" t="s">
        <v>69</v>
      </c>
      <c r="E78" s="41">
        <v>4634.16</v>
      </c>
      <c r="F78" s="39">
        <v>40</v>
      </c>
      <c r="G78" s="39" t="s">
        <v>75</v>
      </c>
      <c r="H78" s="41">
        <v>2654.11</v>
      </c>
      <c r="I78" s="41">
        <v>2929.32</v>
      </c>
      <c r="J78" s="39" t="s">
        <v>137</v>
      </c>
      <c r="K78" s="42">
        <v>0.08</v>
      </c>
      <c r="L78" s="39" t="s">
        <v>68</v>
      </c>
      <c r="M78" s="39" t="s">
        <v>138</v>
      </c>
      <c r="N78" s="39" t="s">
        <v>147</v>
      </c>
      <c r="O78" s="43">
        <f t="shared" si="21"/>
        <v>117172.8</v>
      </c>
      <c r="P78" s="43">
        <f t="shared" si="22"/>
        <v>107798.98</v>
      </c>
      <c r="Q78" s="43">
        <f t="shared" si="23"/>
        <v>106164.4</v>
      </c>
      <c r="R78" s="43">
        <f t="shared" si="24"/>
        <v>1634.5800000000017</v>
      </c>
      <c r="S78" s="44">
        <f t="shared" si="25"/>
        <v>1.5163223251277533E-2</v>
      </c>
      <c r="T78" s="39" t="str">
        <f t="shared" si="26"/>
        <v>OK</v>
      </c>
      <c r="U78" s="39" t="str">
        <f t="shared" si="27"/>
        <v>0-9%</v>
      </c>
      <c r="V78" s="39" t="str">
        <f>IF(E78&gt;=Analysis!$B$4,"High",IF(E78&gt;=Analysis!$B$5,"Mid","Low"))</f>
        <v>Mid</v>
      </c>
      <c r="W78" s="39" t="str">
        <f t="shared" si="28"/>
        <v>2023-01</v>
      </c>
      <c r="X78" s="40">
        <f t="shared" si="29"/>
        <v>44957</v>
      </c>
      <c r="Y78" s="39" t="str">
        <f t="shared" si="30"/>
        <v>2023-Q1</v>
      </c>
      <c r="Z78" s="39" t="str">
        <f t="shared" si="31"/>
        <v>Tue</v>
      </c>
      <c r="AA78" s="39">
        <f t="shared" si="32"/>
        <v>2</v>
      </c>
      <c r="AB78" s="39">
        <f t="shared" si="33"/>
        <v>3</v>
      </c>
      <c r="AC78" s="39" t="str">
        <f t="shared" si="34"/>
        <v>Weekday</v>
      </c>
      <c r="AD78" s="39">
        <f t="shared" ca="1" si="35"/>
        <v>1383</v>
      </c>
      <c r="AE78" s="39">
        <f t="shared" ca="1" si="36"/>
        <v>45</v>
      </c>
      <c r="AF78" s="39" t="str">
        <f t="shared" si="37"/>
        <v>EVE</v>
      </c>
      <c r="AG78" s="39" t="str">
        <f t="shared" si="38"/>
        <v>SO-230110-0077</v>
      </c>
      <c r="AH78" s="39" t="str">
        <f>IF(AND(OR(Filter!$B$4="All",D78=Filter!$B$4),OR(Filter!$B$5="All",M78=Filter!$B$5),E78&gt;=Filter!$B$6),MAX(AH$1:AH77)+1,"")</f>
        <v/>
      </c>
      <c r="AI78" s="39">
        <f t="shared" si="39"/>
        <v>40</v>
      </c>
      <c r="AJ78" s="42">
        <f t="shared" si="40"/>
        <v>0.08</v>
      </c>
      <c r="AK78" s="41">
        <f t="shared" si="41"/>
        <v>2929.32</v>
      </c>
      <c r="AL78" s="39">
        <f>RANK(E78,$E$2:$E$1001,0)+COUNTIF($E$2:E78,E78)-1</f>
        <v>538</v>
      </c>
    </row>
    <row r="79" spans="1:38" x14ac:dyDescent="0.2">
      <c r="A79" s="39">
        <v>1093</v>
      </c>
      <c r="B79" s="40">
        <v>45187</v>
      </c>
      <c r="C79" s="39" t="s">
        <v>76</v>
      </c>
      <c r="D79" s="39" t="s">
        <v>74</v>
      </c>
      <c r="E79" s="41">
        <v>4040.25</v>
      </c>
      <c r="F79" s="39">
        <v>19</v>
      </c>
      <c r="G79" s="39" t="s">
        <v>65</v>
      </c>
      <c r="H79" s="41">
        <v>3808.59</v>
      </c>
      <c r="I79" s="41">
        <v>3844.51</v>
      </c>
      <c r="J79" s="39" t="s">
        <v>143</v>
      </c>
      <c r="K79" s="42">
        <v>0.21</v>
      </c>
      <c r="L79" s="39" t="s">
        <v>73</v>
      </c>
      <c r="M79" s="39" t="s">
        <v>138</v>
      </c>
      <c r="N79" s="39" t="s">
        <v>154</v>
      </c>
      <c r="O79" s="43">
        <f t="shared" si="21"/>
        <v>73045.69</v>
      </c>
      <c r="P79" s="43">
        <f t="shared" si="22"/>
        <v>57706.1</v>
      </c>
      <c r="Q79" s="43">
        <f t="shared" si="23"/>
        <v>72363.210000000006</v>
      </c>
      <c r="R79" s="43">
        <f t="shared" si="24"/>
        <v>-14657.110000000008</v>
      </c>
      <c r="S79" s="44">
        <f t="shared" si="25"/>
        <v>-0.25399585139179409</v>
      </c>
      <c r="T79" s="39" t="str">
        <f t="shared" si="26"/>
        <v>Loss</v>
      </c>
      <c r="U79" s="39" t="str">
        <f t="shared" si="27"/>
        <v>20%+</v>
      </c>
      <c r="V79" s="39" t="str">
        <f>IF(E79&gt;=Analysis!$B$4,"High",IF(E79&gt;=Analysis!$B$5,"Mid","Low"))</f>
        <v>Mid</v>
      </c>
      <c r="W79" s="39" t="str">
        <f t="shared" si="28"/>
        <v>2023-09</v>
      </c>
      <c r="X79" s="40">
        <f t="shared" si="29"/>
        <v>45199</v>
      </c>
      <c r="Y79" s="39" t="str">
        <f t="shared" si="30"/>
        <v>2023-Q3</v>
      </c>
      <c r="Z79" s="39" t="str">
        <f t="shared" si="31"/>
        <v>Mon</v>
      </c>
      <c r="AA79" s="39">
        <f t="shared" si="32"/>
        <v>1</v>
      </c>
      <c r="AB79" s="39">
        <f t="shared" si="33"/>
        <v>39</v>
      </c>
      <c r="AC79" s="39" t="str">
        <f t="shared" si="34"/>
        <v>Weekday</v>
      </c>
      <c r="AD79" s="39">
        <f t="shared" ca="1" si="35"/>
        <v>1132</v>
      </c>
      <c r="AE79" s="39">
        <f t="shared" ca="1" si="36"/>
        <v>37</v>
      </c>
      <c r="AF79" s="39" t="str">
        <f t="shared" si="37"/>
        <v>DAV</v>
      </c>
      <c r="AG79" s="39" t="str">
        <f t="shared" si="38"/>
        <v>WO-230918-0078</v>
      </c>
      <c r="AH79" s="39" t="str">
        <f>IF(AND(OR(Filter!$B$4="All",D79=Filter!$B$4),OR(Filter!$B$5="All",M79=Filter!$B$5),E79&gt;=Filter!$B$6),MAX(AH$1:AH78)+1,"")</f>
        <v/>
      </c>
      <c r="AI79" s="39">
        <f t="shared" si="39"/>
        <v>19</v>
      </c>
      <c r="AJ79" s="42">
        <f t="shared" si="40"/>
        <v>0.21</v>
      </c>
      <c r="AK79" s="41">
        <f t="shared" si="41"/>
        <v>3844.51</v>
      </c>
      <c r="AL79" s="39">
        <f>RANK(E79,$E$2:$E$1001,0)+COUNTIF($E$2:E79,E79)-1</f>
        <v>592</v>
      </c>
    </row>
    <row r="80" spans="1:38" x14ac:dyDescent="0.2">
      <c r="A80" s="39">
        <v>1063</v>
      </c>
      <c r="B80" s="40">
        <v>45064</v>
      </c>
      <c r="C80" s="39" t="s">
        <v>66</v>
      </c>
      <c r="D80" s="39" t="s">
        <v>74</v>
      </c>
      <c r="E80" s="41">
        <v>3098.87</v>
      </c>
      <c r="F80" s="39">
        <v>39</v>
      </c>
      <c r="G80" s="39" t="s">
        <v>70</v>
      </c>
      <c r="H80" s="41">
        <v>3577.69</v>
      </c>
      <c r="I80" s="41">
        <v>3931.25</v>
      </c>
      <c r="J80" s="39" t="s">
        <v>137</v>
      </c>
      <c r="K80" s="42">
        <v>0.21</v>
      </c>
      <c r="L80" s="39" t="s">
        <v>68</v>
      </c>
      <c r="M80" s="39" t="s">
        <v>140</v>
      </c>
      <c r="N80" s="39" t="s">
        <v>141</v>
      </c>
      <c r="O80" s="43">
        <f t="shared" si="21"/>
        <v>153318.75</v>
      </c>
      <c r="P80" s="43">
        <f t="shared" si="22"/>
        <v>121121.81</v>
      </c>
      <c r="Q80" s="43">
        <f t="shared" si="23"/>
        <v>139529.91</v>
      </c>
      <c r="R80" s="43">
        <f t="shared" si="24"/>
        <v>-18408.100000000006</v>
      </c>
      <c r="S80" s="44">
        <f t="shared" si="25"/>
        <v>-0.15198006040365486</v>
      </c>
      <c r="T80" s="39" t="str">
        <f t="shared" si="26"/>
        <v>Loss</v>
      </c>
      <c r="U80" s="39" t="str">
        <f t="shared" si="27"/>
        <v>20%+</v>
      </c>
      <c r="V80" s="39" t="str">
        <f>IF(E80&gt;=Analysis!$B$4,"High",IF(E80&gt;=Analysis!$B$5,"Mid","Low"))</f>
        <v>Mid</v>
      </c>
      <c r="W80" s="39" t="str">
        <f t="shared" si="28"/>
        <v>2023-05</v>
      </c>
      <c r="X80" s="40">
        <f t="shared" si="29"/>
        <v>45077</v>
      </c>
      <c r="Y80" s="39" t="str">
        <f t="shared" si="30"/>
        <v>2023-Q2</v>
      </c>
      <c r="Z80" s="39" t="str">
        <f t="shared" si="31"/>
        <v>Thu</v>
      </c>
      <c r="AA80" s="39">
        <f t="shared" si="32"/>
        <v>4</v>
      </c>
      <c r="AB80" s="39">
        <f t="shared" si="33"/>
        <v>21</v>
      </c>
      <c r="AC80" s="39" t="str">
        <f t="shared" si="34"/>
        <v>Weekday</v>
      </c>
      <c r="AD80" s="39">
        <f t="shared" ca="1" si="35"/>
        <v>1255</v>
      </c>
      <c r="AE80" s="39">
        <f t="shared" ca="1" si="36"/>
        <v>41</v>
      </c>
      <c r="AF80" s="39" t="str">
        <f t="shared" si="37"/>
        <v>BOB</v>
      </c>
      <c r="AG80" s="39" t="str">
        <f t="shared" si="38"/>
        <v>WR-230518-0079</v>
      </c>
      <c r="AH80" s="39" t="str">
        <f>IF(AND(OR(Filter!$B$4="All",D80=Filter!$B$4),OR(Filter!$B$5="All",M80=Filter!$B$5),E80&gt;=Filter!$B$6),MAX(AH$1:AH79)+1,"")</f>
        <v/>
      </c>
      <c r="AI80" s="39">
        <f t="shared" si="39"/>
        <v>39</v>
      </c>
      <c r="AJ80" s="42">
        <f t="shared" si="40"/>
        <v>0.21</v>
      </c>
      <c r="AK80" s="41">
        <f t="shared" si="41"/>
        <v>3931.25</v>
      </c>
      <c r="AL80" s="39">
        <f>RANK(E80,$E$2:$E$1001,0)+COUNTIF($E$2:E80,E80)-1</f>
        <v>685</v>
      </c>
    </row>
    <row r="81" spans="1:38" x14ac:dyDescent="0.2">
      <c r="A81" s="39">
        <v>1018</v>
      </c>
      <c r="B81" s="40">
        <v>45098</v>
      </c>
      <c r="C81" s="39" t="s">
        <v>79</v>
      </c>
      <c r="D81" s="39" t="s">
        <v>64</v>
      </c>
      <c r="E81" s="41">
        <v>750.38</v>
      </c>
      <c r="F81" s="39">
        <v>28</v>
      </c>
      <c r="G81" s="39" t="s">
        <v>60</v>
      </c>
      <c r="H81" s="41">
        <v>1006.14</v>
      </c>
      <c r="I81" s="41">
        <v>1043.45</v>
      </c>
      <c r="J81" s="39" t="s">
        <v>143</v>
      </c>
      <c r="K81" s="42">
        <v>0.15</v>
      </c>
      <c r="L81" s="39" t="s">
        <v>63</v>
      </c>
      <c r="M81" s="39" t="s">
        <v>140</v>
      </c>
      <c r="N81" s="39" t="s">
        <v>148</v>
      </c>
      <c r="O81" s="43">
        <f t="shared" si="21"/>
        <v>29216.6</v>
      </c>
      <c r="P81" s="43">
        <f t="shared" si="22"/>
        <v>24834.11</v>
      </c>
      <c r="Q81" s="43">
        <f t="shared" si="23"/>
        <v>28171.919999999998</v>
      </c>
      <c r="R81" s="43">
        <f t="shared" si="24"/>
        <v>-3337.8099999999977</v>
      </c>
      <c r="S81" s="44">
        <f t="shared" si="25"/>
        <v>-0.13440425286027957</v>
      </c>
      <c r="T81" s="39" t="str">
        <f t="shared" si="26"/>
        <v>Loss</v>
      </c>
      <c r="U81" s="39" t="str">
        <f t="shared" si="27"/>
        <v>10-19%</v>
      </c>
      <c r="V81" s="39" t="str">
        <f>IF(E81&gt;=Analysis!$B$4,"High",IF(E81&gt;=Analysis!$B$5,"Mid","Low"))</f>
        <v>Low</v>
      </c>
      <c r="W81" s="39" t="str">
        <f t="shared" si="28"/>
        <v>2023-06</v>
      </c>
      <c r="X81" s="40">
        <f t="shared" si="29"/>
        <v>45107</v>
      </c>
      <c r="Y81" s="39" t="str">
        <f t="shared" si="30"/>
        <v>2023-Q2</v>
      </c>
      <c r="Z81" s="39" t="str">
        <f t="shared" si="31"/>
        <v>Wed</v>
      </c>
      <c r="AA81" s="39">
        <f t="shared" si="32"/>
        <v>3</v>
      </c>
      <c r="AB81" s="39">
        <f t="shared" si="33"/>
        <v>26</v>
      </c>
      <c r="AC81" s="39" t="str">
        <f t="shared" si="34"/>
        <v>Weekday</v>
      </c>
      <c r="AD81" s="39">
        <f t="shared" ca="1" si="35"/>
        <v>1221</v>
      </c>
      <c r="AE81" s="39">
        <f t="shared" ca="1" si="36"/>
        <v>40</v>
      </c>
      <c r="AF81" s="39" t="str">
        <f t="shared" si="37"/>
        <v>EVE</v>
      </c>
      <c r="AG81" s="39" t="str">
        <f t="shared" si="38"/>
        <v>NR-230621-0080</v>
      </c>
      <c r="AH81" s="39" t="str">
        <f>IF(AND(OR(Filter!$B$4="All",D81=Filter!$B$4),OR(Filter!$B$5="All",M81=Filter!$B$5),E81&gt;=Filter!$B$6),MAX(AH$1:AH80)+1,"")</f>
        <v/>
      </c>
      <c r="AI81" s="39">
        <f t="shared" si="39"/>
        <v>28</v>
      </c>
      <c r="AJ81" s="42">
        <f t="shared" si="40"/>
        <v>0.15</v>
      </c>
      <c r="AK81" s="41">
        <f t="shared" si="41"/>
        <v>1043.45</v>
      </c>
      <c r="AL81" s="39">
        <f>RANK(E81,$E$2:$E$1001,0)+COUNTIF($E$2:E81,E81)-1</f>
        <v>936</v>
      </c>
    </row>
    <row r="82" spans="1:38" x14ac:dyDescent="0.2">
      <c r="A82" s="39">
        <v>1090</v>
      </c>
      <c r="B82" s="40">
        <v>44939</v>
      </c>
      <c r="C82" s="39" t="s">
        <v>61</v>
      </c>
      <c r="D82" s="39" t="s">
        <v>59</v>
      </c>
      <c r="E82" s="41">
        <v>2359.5300000000002</v>
      </c>
      <c r="F82" s="39">
        <v>17</v>
      </c>
      <c r="G82" s="39" t="s">
        <v>60</v>
      </c>
      <c r="H82" s="41">
        <v>2382.98</v>
      </c>
      <c r="I82" s="41">
        <v>2839.73</v>
      </c>
      <c r="J82" s="39" t="s">
        <v>137</v>
      </c>
      <c r="K82" s="42">
        <v>0.23</v>
      </c>
      <c r="L82" s="39" t="s">
        <v>63</v>
      </c>
      <c r="M82" s="39" t="s">
        <v>140</v>
      </c>
      <c r="N82" s="39" t="s">
        <v>159</v>
      </c>
      <c r="O82" s="43">
        <f t="shared" si="21"/>
        <v>48275.41</v>
      </c>
      <c r="P82" s="43">
        <f t="shared" si="22"/>
        <v>37172.07</v>
      </c>
      <c r="Q82" s="43">
        <f t="shared" si="23"/>
        <v>40510.660000000003</v>
      </c>
      <c r="R82" s="43">
        <f t="shared" si="24"/>
        <v>-3338.5900000000038</v>
      </c>
      <c r="S82" s="44">
        <f t="shared" si="25"/>
        <v>-8.9814476299006324E-2</v>
      </c>
      <c r="T82" s="39" t="str">
        <f t="shared" si="26"/>
        <v>Loss</v>
      </c>
      <c r="U82" s="39" t="str">
        <f t="shared" si="27"/>
        <v>20%+</v>
      </c>
      <c r="V82" s="39" t="str">
        <f>IF(E82&gt;=Analysis!$B$4,"High",IF(E82&gt;=Analysis!$B$5,"Mid","Low"))</f>
        <v>Low</v>
      </c>
      <c r="W82" s="39" t="str">
        <f t="shared" si="28"/>
        <v>2023-01</v>
      </c>
      <c r="X82" s="40">
        <f t="shared" si="29"/>
        <v>44957</v>
      </c>
      <c r="Y82" s="39" t="str">
        <f t="shared" si="30"/>
        <v>2023-Q1</v>
      </c>
      <c r="Z82" s="39" t="str">
        <f t="shared" si="31"/>
        <v>Fri</v>
      </c>
      <c r="AA82" s="39">
        <f t="shared" si="32"/>
        <v>5</v>
      </c>
      <c r="AB82" s="39">
        <f t="shared" si="33"/>
        <v>3</v>
      </c>
      <c r="AC82" s="39" t="str">
        <f t="shared" si="34"/>
        <v>Weekday</v>
      </c>
      <c r="AD82" s="39">
        <f t="shared" ca="1" si="35"/>
        <v>1380</v>
      </c>
      <c r="AE82" s="39">
        <f t="shared" ca="1" si="36"/>
        <v>45</v>
      </c>
      <c r="AF82" s="39" t="str">
        <f t="shared" si="37"/>
        <v>ALI</v>
      </c>
      <c r="AG82" s="39" t="str">
        <f t="shared" si="38"/>
        <v>ER-230113-0081</v>
      </c>
      <c r="AH82" s="39" t="str">
        <f>IF(AND(OR(Filter!$B$4="All",D82=Filter!$B$4),OR(Filter!$B$5="All",M82=Filter!$B$5),E82&gt;=Filter!$B$6),MAX(AH$1:AH81)+1,"")</f>
        <v/>
      </c>
      <c r="AI82" s="39">
        <f t="shared" si="39"/>
        <v>17</v>
      </c>
      <c r="AJ82" s="42">
        <f t="shared" si="40"/>
        <v>0.23</v>
      </c>
      <c r="AK82" s="41">
        <f t="shared" si="41"/>
        <v>2839.73</v>
      </c>
      <c r="AL82" s="39">
        <f>RANK(E82,$E$2:$E$1001,0)+COUNTIF($E$2:E82,E82)-1</f>
        <v>773</v>
      </c>
    </row>
    <row r="83" spans="1:38" x14ac:dyDescent="0.2">
      <c r="A83" s="39">
        <v>1044</v>
      </c>
      <c r="B83" s="40">
        <v>45094</v>
      </c>
      <c r="C83" s="39" t="s">
        <v>71</v>
      </c>
      <c r="D83" s="39" t="s">
        <v>64</v>
      </c>
      <c r="E83" s="41">
        <v>2541.38</v>
      </c>
      <c r="F83" s="39">
        <v>6</v>
      </c>
      <c r="G83" s="39" t="s">
        <v>75</v>
      </c>
      <c r="H83" s="41">
        <v>2388.9499999999998</v>
      </c>
      <c r="I83" s="41">
        <v>2742.97</v>
      </c>
      <c r="J83" s="39" t="s">
        <v>137</v>
      </c>
      <c r="K83" s="42">
        <v>0.25</v>
      </c>
      <c r="L83" s="39" t="s">
        <v>73</v>
      </c>
      <c r="M83" s="39" t="s">
        <v>140</v>
      </c>
      <c r="N83" s="39" t="s">
        <v>160</v>
      </c>
      <c r="O83" s="43">
        <f t="shared" si="21"/>
        <v>16457.82</v>
      </c>
      <c r="P83" s="43">
        <f t="shared" si="22"/>
        <v>12343.37</v>
      </c>
      <c r="Q83" s="43">
        <f t="shared" si="23"/>
        <v>14333.7</v>
      </c>
      <c r="R83" s="43">
        <f t="shared" si="24"/>
        <v>-1990.33</v>
      </c>
      <c r="S83" s="44">
        <f t="shared" si="25"/>
        <v>-0.16124688800546363</v>
      </c>
      <c r="T83" s="39" t="str">
        <f t="shared" si="26"/>
        <v>Loss</v>
      </c>
      <c r="U83" s="39" t="str">
        <f t="shared" si="27"/>
        <v>20%+</v>
      </c>
      <c r="V83" s="39" t="str">
        <f>IF(E83&gt;=Analysis!$B$4,"High",IF(E83&gt;=Analysis!$B$5,"Mid","Low"))</f>
        <v>Low</v>
      </c>
      <c r="W83" s="39" t="str">
        <f t="shared" si="28"/>
        <v>2023-06</v>
      </c>
      <c r="X83" s="40">
        <f t="shared" si="29"/>
        <v>45107</v>
      </c>
      <c r="Y83" s="39" t="str">
        <f t="shared" si="30"/>
        <v>2023-Q2</v>
      </c>
      <c r="Z83" s="39" t="str">
        <f t="shared" si="31"/>
        <v>Sat</v>
      </c>
      <c r="AA83" s="39">
        <f t="shared" si="32"/>
        <v>6</v>
      </c>
      <c r="AB83" s="39">
        <f t="shared" si="33"/>
        <v>25</v>
      </c>
      <c r="AC83" s="39" t="str">
        <f t="shared" si="34"/>
        <v>Weekend</v>
      </c>
      <c r="AD83" s="39">
        <f t="shared" ca="1" si="35"/>
        <v>1225</v>
      </c>
      <c r="AE83" s="39">
        <f t="shared" ca="1" si="36"/>
        <v>40</v>
      </c>
      <c r="AF83" s="39" t="str">
        <f t="shared" si="37"/>
        <v>CHA</v>
      </c>
      <c r="AG83" s="39" t="str">
        <f t="shared" si="38"/>
        <v>NR-230617-0082</v>
      </c>
      <c r="AH83" s="39" t="str">
        <f>IF(AND(OR(Filter!$B$4="All",D83=Filter!$B$4),OR(Filter!$B$5="All",M83=Filter!$B$5),E83&gt;=Filter!$B$6),MAX(AH$1:AH82)+1,"")</f>
        <v/>
      </c>
      <c r="AI83" s="39">
        <f t="shared" si="39"/>
        <v>6</v>
      </c>
      <c r="AJ83" s="42">
        <f t="shared" si="40"/>
        <v>0.25</v>
      </c>
      <c r="AK83" s="41">
        <f t="shared" si="41"/>
        <v>2742.97</v>
      </c>
      <c r="AL83" s="39">
        <f>RANK(E83,$E$2:$E$1001,0)+COUNTIF($E$2:E83,E83)-1</f>
        <v>752</v>
      </c>
    </row>
    <row r="84" spans="1:38" x14ac:dyDescent="0.2">
      <c r="A84" s="39">
        <v>1034</v>
      </c>
      <c r="B84" s="40">
        <v>45056</v>
      </c>
      <c r="C84" s="39" t="s">
        <v>79</v>
      </c>
      <c r="D84" s="39" t="s">
        <v>59</v>
      </c>
      <c r="E84" s="41">
        <v>4892.3599999999997</v>
      </c>
      <c r="F84" s="39">
        <v>19</v>
      </c>
      <c r="G84" s="39" t="s">
        <v>60</v>
      </c>
      <c r="H84" s="41">
        <v>1922.21</v>
      </c>
      <c r="I84" s="41">
        <v>2180.83</v>
      </c>
      <c r="J84" s="39" t="s">
        <v>137</v>
      </c>
      <c r="K84" s="42">
        <v>0.17</v>
      </c>
      <c r="L84" s="39" t="s">
        <v>73</v>
      </c>
      <c r="M84" s="39" t="s">
        <v>140</v>
      </c>
      <c r="N84" s="39" t="s">
        <v>155</v>
      </c>
      <c r="O84" s="43">
        <f t="shared" si="21"/>
        <v>41435.769999999997</v>
      </c>
      <c r="P84" s="43">
        <f t="shared" si="22"/>
        <v>34391.69</v>
      </c>
      <c r="Q84" s="43">
        <f t="shared" si="23"/>
        <v>36521.99</v>
      </c>
      <c r="R84" s="43">
        <f t="shared" si="24"/>
        <v>-2130.2999999999956</v>
      </c>
      <c r="S84" s="44">
        <f t="shared" si="25"/>
        <v>-6.194228896573549E-2</v>
      </c>
      <c r="T84" s="39" t="str">
        <f t="shared" si="26"/>
        <v>Loss</v>
      </c>
      <c r="U84" s="39" t="str">
        <f t="shared" si="27"/>
        <v>10-19%</v>
      </c>
      <c r="V84" s="39" t="str">
        <f>IF(E84&gt;=Analysis!$B$4,"High",IF(E84&gt;=Analysis!$B$5,"Mid","Low"))</f>
        <v>Mid</v>
      </c>
      <c r="W84" s="39" t="str">
        <f t="shared" si="28"/>
        <v>2023-05</v>
      </c>
      <c r="X84" s="40">
        <f t="shared" si="29"/>
        <v>45077</v>
      </c>
      <c r="Y84" s="39" t="str">
        <f t="shared" si="30"/>
        <v>2023-Q2</v>
      </c>
      <c r="Z84" s="39" t="str">
        <f t="shared" si="31"/>
        <v>Wed</v>
      </c>
      <c r="AA84" s="39">
        <f t="shared" si="32"/>
        <v>3</v>
      </c>
      <c r="AB84" s="39">
        <f t="shared" si="33"/>
        <v>20</v>
      </c>
      <c r="AC84" s="39" t="str">
        <f t="shared" si="34"/>
        <v>Weekday</v>
      </c>
      <c r="AD84" s="39">
        <f t="shared" ca="1" si="35"/>
        <v>1263</v>
      </c>
      <c r="AE84" s="39">
        <f t="shared" ca="1" si="36"/>
        <v>41</v>
      </c>
      <c r="AF84" s="39" t="str">
        <f t="shared" si="37"/>
        <v>EVE</v>
      </c>
      <c r="AG84" s="39" t="str">
        <f t="shared" si="38"/>
        <v>ER-230510-0083</v>
      </c>
      <c r="AH84" s="39" t="str">
        <f>IF(AND(OR(Filter!$B$4="All",D84=Filter!$B$4),OR(Filter!$B$5="All",M84=Filter!$B$5),E84&gt;=Filter!$B$6),MAX(AH$1:AH83)+1,"")</f>
        <v/>
      </c>
      <c r="AI84" s="39">
        <f t="shared" si="39"/>
        <v>19</v>
      </c>
      <c r="AJ84" s="42">
        <f t="shared" si="40"/>
        <v>0.17</v>
      </c>
      <c r="AK84" s="41">
        <f t="shared" si="41"/>
        <v>2180.83</v>
      </c>
      <c r="AL84" s="39">
        <f>RANK(E84,$E$2:$E$1001,0)+COUNTIF($E$2:E84,E84)-1</f>
        <v>513</v>
      </c>
    </row>
    <row r="85" spans="1:38" x14ac:dyDescent="0.2">
      <c r="A85" s="39">
        <v>1074</v>
      </c>
      <c r="B85" s="40">
        <v>45010</v>
      </c>
      <c r="C85" s="39" t="s">
        <v>79</v>
      </c>
      <c r="D85" s="39" t="s">
        <v>74</v>
      </c>
      <c r="E85" s="41">
        <v>7499.7</v>
      </c>
      <c r="F85" s="39">
        <v>38</v>
      </c>
      <c r="G85" s="39" t="s">
        <v>70</v>
      </c>
      <c r="H85" s="41">
        <v>2610.6</v>
      </c>
      <c r="I85" s="41">
        <v>2836.94</v>
      </c>
      <c r="J85" s="39" t="s">
        <v>137</v>
      </c>
      <c r="K85" s="42">
        <v>0.19</v>
      </c>
      <c r="L85" s="39" t="s">
        <v>73</v>
      </c>
      <c r="M85" s="39" t="s">
        <v>138</v>
      </c>
      <c r="N85" s="39" t="s">
        <v>149</v>
      </c>
      <c r="O85" s="43">
        <f t="shared" si="21"/>
        <v>107803.72</v>
      </c>
      <c r="P85" s="43">
        <f t="shared" si="22"/>
        <v>87321.01</v>
      </c>
      <c r="Q85" s="43">
        <f t="shared" si="23"/>
        <v>99202.8</v>
      </c>
      <c r="R85" s="43">
        <f t="shared" si="24"/>
        <v>-11881.790000000008</v>
      </c>
      <c r="S85" s="44">
        <f t="shared" si="25"/>
        <v>-0.13607023097877599</v>
      </c>
      <c r="T85" s="39" t="str">
        <f t="shared" si="26"/>
        <v>Loss</v>
      </c>
      <c r="U85" s="39" t="str">
        <f t="shared" si="27"/>
        <v>10-19%</v>
      </c>
      <c r="V85" s="39" t="str">
        <f>IF(E85&gt;=Analysis!$B$4,"High",IF(E85&gt;=Analysis!$B$5,"Mid","Low"))</f>
        <v>Mid</v>
      </c>
      <c r="W85" s="39" t="str">
        <f t="shared" si="28"/>
        <v>2023-03</v>
      </c>
      <c r="X85" s="40">
        <f t="shared" si="29"/>
        <v>45016</v>
      </c>
      <c r="Y85" s="39" t="str">
        <f t="shared" si="30"/>
        <v>2023-Q1</v>
      </c>
      <c r="Z85" s="39" t="str">
        <f t="shared" si="31"/>
        <v>Sat</v>
      </c>
      <c r="AA85" s="39">
        <f t="shared" si="32"/>
        <v>6</v>
      </c>
      <c r="AB85" s="39">
        <f t="shared" si="33"/>
        <v>13</v>
      </c>
      <c r="AC85" s="39" t="str">
        <f t="shared" si="34"/>
        <v>Weekend</v>
      </c>
      <c r="AD85" s="39">
        <f t="shared" ca="1" si="35"/>
        <v>1309</v>
      </c>
      <c r="AE85" s="39">
        <f t="shared" ca="1" si="36"/>
        <v>42</v>
      </c>
      <c r="AF85" s="39" t="str">
        <f t="shared" si="37"/>
        <v>EVE</v>
      </c>
      <c r="AG85" s="39" t="str">
        <f t="shared" si="38"/>
        <v>WO-230325-0084</v>
      </c>
      <c r="AH85" s="39" t="str">
        <f>IF(AND(OR(Filter!$B$4="All",D85=Filter!$B$4),OR(Filter!$B$5="All",M85=Filter!$B$5),E85&gt;=Filter!$B$6),MAX(AH$1:AH84)+1,"")</f>
        <v/>
      </c>
      <c r="AI85" s="39">
        <f t="shared" si="39"/>
        <v>38</v>
      </c>
      <c r="AJ85" s="42">
        <f t="shared" si="40"/>
        <v>0.19</v>
      </c>
      <c r="AK85" s="41">
        <f t="shared" si="41"/>
        <v>2836.94</v>
      </c>
      <c r="AL85" s="39">
        <f>RANK(E85,$E$2:$E$1001,0)+COUNTIF($E$2:E85,E85)-1</f>
        <v>252</v>
      </c>
    </row>
    <row r="86" spans="1:38" x14ac:dyDescent="0.2">
      <c r="A86" s="39">
        <v>1062</v>
      </c>
      <c r="B86" s="40">
        <v>45247</v>
      </c>
      <c r="C86" s="39" t="s">
        <v>71</v>
      </c>
      <c r="D86" s="39" t="s">
        <v>64</v>
      </c>
      <c r="E86" s="41">
        <v>4790.72</v>
      </c>
      <c r="F86" s="39">
        <v>28</v>
      </c>
      <c r="G86" s="39" t="s">
        <v>60</v>
      </c>
      <c r="H86" s="41">
        <v>2094.88</v>
      </c>
      <c r="I86" s="41">
        <v>2168.91</v>
      </c>
      <c r="J86" s="39" t="s">
        <v>137</v>
      </c>
      <c r="K86" s="42">
        <v>0.08</v>
      </c>
      <c r="L86" s="39" t="s">
        <v>68</v>
      </c>
      <c r="M86" s="39" t="s">
        <v>140</v>
      </c>
      <c r="N86" s="39" t="s">
        <v>160</v>
      </c>
      <c r="O86" s="43">
        <f t="shared" si="21"/>
        <v>60729.48</v>
      </c>
      <c r="P86" s="43">
        <f t="shared" si="22"/>
        <v>55871.12</v>
      </c>
      <c r="Q86" s="43">
        <f t="shared" si="23"/>
        <v>58656.639999999999</v>
      </c>
      <c r="R86" s="43">
        <f t="shared" si="24"/>
        <v>-2785.5199999999968</v>
      </c>
      <c r="S86" s="44">
        <f t="shared" si="25"/>
        <v>-4.9856168983188391E-2</v>
      </c>
      <c r="T86" s="39" t="str">
        <f t="shared" si="26"/>
        <v>Loss</v>
      </c>
      <c r="U86" s="39" t="str">
        <f t="shared" si="27"/>
        <v>0-9%</v>
      </c>
      <c r="V86" s="39" t="str">
        <f>IF(E86&gt;=Analysis!$B$4,"High",IF(E86&gt;=Analysis!$B$5,"Mid","Low"))</f>
        <v>Mid</v>
      </c>
      <c r="W86" s="39" t="str">
        <f t="shared" si="28"/>
        <v>2023-11</v>
      </c>
      <c r="X86" s="40">
        <f t="shared" si="29"/>
        <v>45260</v>
      </c>
      <c r="Y86" s="39" t="str">
        <f t="shared" si="30"/>
        <v>2023-Q4</v>
      </c>
      <c r="Z86" s="39" t="str">
        <f t="shared" si="31"/>
        <v>Fri</v>
      </c>
      <c r="AA86" s="39">
        <f t="shared" si="32"/>
        <v>5</v>
      </c>
      <c r="AB86" s="39">
        <f t="shared" si="33"/>
        <v>47</v>
      </c>
      <c r="AC86" s="39" t="str">
        <f t="shared" si="34"/>
        <v>Weekday</v>
      </c>
      <c r="AD86" s="39">
        <f t="shared" ca="1" si="35"/>
        <v>1072</v>
      </c>
      <c r="AE86" s="39">
        <f t="shared" ca="1" si="36"/>
        <v>35</v>
      </c>
      <c r="AF86" s="39" t="str">
        <f t="shared" si="37"/>
        <v>CHA</v>
      </c>
      <c r="AG86" s="39" t="str">
        <f t="shared" si="38"/>
        <v>NR-231117-0085</v>
      </c>
      <c r="AH86" s="39" t="str">
        <f>IF(AND(OR(Filter!$B$4="All",D86=Filter!$B$4),OR(Filter!$B$5="All",M86=Filter!$B$5),E86&gt;=Filter!$B$6),MAX(AH$1:AH85)+1,"")</f>
        <v/>
      </c>
      <c r="AI86" s="39">
        <f t="shared" si="39"/>
        <v>28</v>
      </c>
      <c r="AJ86" s="42">
        <f t="shared" si="40"/>
        <v>0.08</v>
      </c>
      <c r="AK86" s="41">
        <f t="shared" si="41"/>
        <v>2168.91</v>
      </c>
      <c r="AL86" s="39">
        <f>RANK(E86,$E$2:$E$1001,0)+COUNTIF($E$2:E86,E86)-1</f>
        <v>522</v>
      </c>
    </row>
    <row r="87" spans="1:38" x14ac:dyDescent="0.2">
      <c r="A87" s="39">
        <v>1100</v>
      </c>
      <c r="B87" s="40">
        <v>45245</v>
      </c>
      <c r="C87" s="39" t="s">
        <v>79</v>
      </c>
      <c r="D87" s="39" t="s">
        <v>59</v>
      </c>
      <c r="E87" s="41">
        <v>672.66</v>
      </c>
      <c r="F87" s="39">
        <v>2</v>
      </c>
      <c r="G87" s="39" t="s">
        <v>75</v>
      </c>
      <c r="H87" s="41">
        <v>1036.76</v>
      </c>
      <c r="I87" s="41">
        <v>1189.3499999999999</v>
      </c>
      <c r="J87" s="39" t="s">
        <v>143</v>
      </c>
      <c r="K87" s="42">
        <v>0.27</v>
      </c>
      <c r="L87" s="39" t="s">
        <v>63</v>
      </c>
      <c r="M87" s="39" t="s">
        <v>138</v>
      </c>
      <c r="N87" s="39" t="s">
        <v>155</v>
      </c>
      <c r="O87" s="43">
        <f t="shared" si="21"/>
        <v>2378.6999999999998</v>
      </c>
      <c r="P87" s="43">
        <f t="shared" si="22"/>
        <v>1736.45</v>
      </c>
      <c r="Q87" s="43">
        <f t="shared" si="23"/>
        <v>2073.52</v>
      </c>
      <c r="R87" s="43">
        <f t="shared" si="24"/>
        <v>-337.06999999999994</v>
      </c>
      <c r="S87" s="44">
        <f t="shared" si="25"/>
        <v>-0.19411442886348582</v>
      </c>
      <c r="T87" s="39" t="str">
        <f t="shared" si="26"/>
        <v>Loss</v>
      </c>
      <c r="U87" s="39" t="str">
        <f t="shared" si="27"/>
        <v>20%+</v>
      </c>
      <c r="V87" s="39" t="str">
        <f>IF(E87&gt;=Analysis!$B$4,"High",IF(E87&gt;=Analysis!$B$5,"Mid","Low"))</f>
        <v>Low</v>
      </c>
      <c r="W87" s="39" t="str">
        <f t="shared" si="28"/>
        <v>2023-11</v>
      </c>
      <c r="X87" s="40">
        <f t="shared" si="29"/>
        <v>45260</v>
      </c>
      <c r="Y87" s="39" t="str">
        <f t="shared" si="30"/>
        <v>2023-Q4</v>
      </c>
      <c r="Z87" s="39" t="str">
        <f t="shared" si="31"/>
        <v>Wed</v>
      </c>
      <c r="AA87" s="39">
        <f t="shared" si="32"/>
        <v>3</v>
      </c>
      <c r="AB87" s="39">
        <f t="shared" si="33"/>
        <v>47</v>
      </c>
      <c r="AC87" s="39" t="str">
        <f t="shared" si="34"/>
        <v>Weekday</v>
      </c>
      <c r="AD87" s="39">
        <f t="shared" ca="1" si="35"/>
        <v>1074</v>
      </c>
      <c r="AE87" s="39">
        <f t="shared" ca="1" si="36"/>
        <v>35</v>
      </c>
      <c r="AF87" s="39" t="str">
        <f t="shared" si="37"/>
        <v>EVE</v>
      </c>
      <c r="AG87" s="39" t="str">
        <f t="shared" si="38"/>
        <v>EO-231115-0086</v>
      </c>
      <c r="AH87" s="39" t="str">
        <f>IF(AND(OR(Filter!$B$4="All",D87=Filter!$B$4),OR(Filter!$B$5="All",M87=Filter!$B$5),E87&gt;=Filter!$B$6),MAX(AH$1:AH86)+1,"")</f>
        <v/>
      </c>
      <c r="AI87" s="39">
        <f t="shared" si="39"/>
        <v>2</v>
      </c>
      <c r="AJ87" s="42">
        <f t="shared" si="40"/>
        <v>0.27</v>
      </c>
      <c r="AK87" s="41">
        <f t="shared" si="41"/>
        <v>1189.3499999999999</v>
      </c>
      <c r="AL87" s="39">
        <f>RANK(E87,$E$2:$E$1001,0)+COUNTIF($E$2:E87,E87)-1</f>
        <v>943</v>
      </c>
    </row>
    <row r="88" spans="1:38" x14ac:dyDescent="0.2">
      <c r="A88" s="39">
        <v>1014</v>
      </c>
      <c r="B88" s="40">
        <v>45027</v>
      </c>
      <c r="C88" s="39" t="s">
        <v>61</v>
      </c>
      <c r="D88" s="39" t="s">
        <v>69</v>
      </c>
      <c r="E88" s="41">
        <v>9582.1200000000008</v>
      </c>
      <c r="F88" s="39">
        <v>38</v>
      </c>
      <c r="G88" s="39" t="s">
        <v>70</v>
      </c>
      <c r="H88" s="41">
        <v>2091.21</v>
      </c>
      <c r="I88" s="41">
        <v>2527</v>
      </c>
      <c r="J88" s="39" t="s">
        <v>137</v>
      </c>
      <c r="K88" s="42">
        <v>0.01</v>
      </c>
      <c r="L88" s="39" t="s">
        <v>73</v>
      </c>
      <c r="M88" s="39" t="s">
        <v>138</v>
      </c>
      <c r="N88" s="39" t="s">
        <v>150</v>
      </c>
      <c r="O88" s="43">
        <f t="shared" si="21"/>
        <v>96026</v>
      </c>
      <c r="P88" s="43">
        <f t="shared" si="22"/>
        <v>95065.74</v>
      </c>
      <c r="Q88" s="43">
        <f t="shared" si="23"/>
        <v>79465.98</v>
      </c>
      <c r="R88" s="43">
        <f t="shared" si="24"/>
        <v>15599.760000000009</v>
      </c>
      <c r="S88" s="44">
        <f t="shared" si="25"/>
        <v>0.16409444664292319</v>
      </c>
      <c r="T88" s="39" t="str">
        <f t="shared" si="26"/>
        <v>OK</v>
      </c>
      <c r="U88" s="39" t="str">
        <f t="shared" si="27"/>
        <v>0-9%</v>
      </c>
      <c r="V88" s="39" t="str">
        <f>IF(E88&gt;=Analysis!$B$4,"High",IF(E88&gt;=Analysis!$B$5,"Mid","Low"))</f>
        <v>High</v>
      </c>
      <c r="W88" s="39" t="str">
        <f t="shared" si="28"/>
        <v>2023-04</v>
      </c>
      <c r="X88" s="40">
        <f t="shared" si="29"/>
        <v>45046</v>
      </c>
      <c r="Y88" s="39" t="str">
        <f t="shared" si="30"/>
        <v>2023-Q2</v>
      </c>
      <c r="Z88" s="39" t="str">
        <f t="shared" si="31"/>
        <v>Tue</v>
      </c>
      <c r="AA88" s="39">
        <f t="shared" si="32"/>
        <v>2</v>
      </c>
      <c r="AB88" s="39">
        <f t="shared" si="33"/>
        <v>16</v>
      </c>
      <c r="AC88" s="39" t="str">
        <f t="shared" si="34"/>
        <v>Weekday</v>
      </c>
      <c r="AD88" s="39">
        <f t="shared" ca="1" si="35"/>
        <v>1292</v>
      </c>
      <c r="AE88" s="39">
        <f t="shared" ca="1" si="36"/>
        <v>42</v>
      </c>
      <c r="AF88" s="39" t="str">
        <f t="shared" si="37"/>
        <v>ALI</v>
      </c>
      <c r="AG88" s="39" t="str">
        <f t="shared" si="38"/>
        <v>SO-230411-0087</v>
      </c>
      <c r="AH88" s="39">
        <f>IF(AND(OR(Filter!$B$4="All",D88=Filter!$B$4),OR(Filter!$B$5="All",M88=Filter!$B$5),E88&gt;=Filter!$B$6),MAX(AH$1:AH87)+1,"")</f>
        <v>4</v>
      </c>
      <c r="AI88" s="39">
        <f t="shared" si="39"/>
        <v>38</v>
      </c>
      <c r="AJ88" s="42">
        <f t="shared" si="40"/>
        <v>0.01</v>
      </c>
      <c r="AK88" s="41">
        <f t="shared" si="41"/>
        <v>2527</v>
      </c>
      <c r="AL88" s="39">
        <f>RANK(E88,$E$2:$E$1001,0)+COUNTIF($E$2:E88,E88)-1</f>
        <v>43</v>
      </c>
    </row>
    <row r="89" spans="1:38" x14ac:dyDescent="0.2">
      <c r="A89" s="39">
        <v>1095</v>
      </c>
      <c r="B89" s="40">
        <v>45255</v>
      </c>
      <c r="C89" s="39" t="s">
        <v>61</v>
      </c>
      <c r="D89" s="39" t="s">
        <v>59</v>
      </c>
      <c r="E89" s="41">
        <v>9432.9699999999993</v>
      </c>
      <c r="F89" s="39">
        <v>37</v>
      </c>
      <c r="G89" s="39" t="s">
        <v>65</v>
      </c>
      <c r="H89" s="41">
        <v>407.77</v>
      </c>
      <c r="I89" s="41">
        <v>860.95</v>
      </c>
      <c r="J89" s="39" t="s">
        <v>143</v>
      </c>
      <c r="K89" s="42">
        <v>0.1</v>
      </c>
      <c r="L89" s="39" t="s">
        <v>73</v>
      </c>
      <c r="M89" s="39" t="s">
        <v>140</v>
      </c>
      <c r="N89" s="39" t="s">
        <v>159</v>
      </c>
      <c r="O89" s="43">
        <f t="shared" si="21"/>
        <v>31855.15</v>
      </c>
      <c r="P89" s="43">
        <f t="shared" si="22"/>
        <v>28669.64</v>
      </c>
      <c r="Q89" s="43">
        <f t="shared" si="23"/>
        <v>15087.49</v>
      </c>
      <c r="R89" s="43">
        <f t="shared" si="24"/>
        <v>13582.15</v>
      </c>
      <c r="S89" s="44">
        <f t="shared" si="25"/>
        <v>0.47374679277451687</v>
      </c>
      <c r="T89" s="39" t="str">
        <f t="shared" si="26"/>
        <v>OK</v>
      </c>
      <c r="U89" s="39" t="str">
        <f t="shared" si="27"/>
        <v>10-19%</v>
      </c>
      <c r="V89" s="39" t="str">
        <f>IF(E89&gt;=Analysis!$B$4,"High",IF(E89&gt;=Analysis!$B$5,"Mid","Low"))</f>
        <v>High</v>
      </c>
      <c r="W89" s="39" t="str">
        <f t="shared" si="28"/>
        <v>2023-11</v>
      </c>
      <c r="X89" s="40">
        <f t="shared" si="29"/>
        <v>45260</v>
      </c>
      <c r="Y89" s="39" t="str">
        <f t="shared" si="30"/>
        <v>2023-Q4</v>
      </c>
      <c r="Z89" s="39" t="str">
        <f t="shared" si="31"/>
        <v>Sat</v>
      </c>
      <c r="AA89" s="39">
        <f t="shared" si="32"/>
        <v>6</v>
      </c>
      <c r="AB89" s="39">
        <f t="shared" si="33"/>
        <v>48</v>
      </c>
      <c r="AC89" s="39" t="str">
        <f t="shared" si="34"/>
        <v>Weekend</v>
      </c>
      <c r="AD89" s="39">
        <f t="shared" ca="1" si="35"/>
        <v>1064</v>
      </c>
      <c r="AE89" s="39">
        <f t="shared" ca="1" si="36"/>
        <v>34</v>
      </c>
      <c r="AF89" s="39" t="str">
        <f t="shared" si="37"/>
        <v>ALI</v>
      </c>
      <c r="AG89" s="39" t="str">
        <f t="shared" si="38"/>
        <v>ER-231125-0088</v>
      </c>
      <c r="AH89" s="39">
        <f>IF(AND(OR(Filter!$B$4="All",D89=Filter!$B$4),OR(Filter!$B$5="All",M89=Filter!$B$5),E89&gt;=Filter!$B$6),MAX(AH$1:AH88)+1,"")</f>
        <v>5</v>
      </c>
      <c r="AI89" s="39">
        <f t="shared" si="39"/>
        <v>37</v>
      </c>
      <c r="AJ89" s="42">
        <f t="shared" si="40"/>
        <v>0.1</v>
      </c>
      <c r="AK89" s="41">
        <f t="shared" si="41"/>
        <v>860.95</v>
      </c>
      <c r="AL89" s="39">
        <f>RANK(E89,$E$2:$E$1001,0)+COUNTIF($E$2:E89,E89)-1</f>
        <v>59</v>
      </c>
    </row>
    <row r="90" spans="1:38" x14ac:dyDescent="0.2">
      <c r="A90" s="39">
        <v>1048</v>
      </c>
      <c r="B90" s="40">
        <v>45199</v>
      </c>
      <c r="C90" s="39" t="s">
        <v>71</v>
      </c>
      <c r="D90" s="39" t="s">
        <v>64</v>
      </c>
      <c r="E90" s="41">
        <v>7873.38</v>
      </c>
      <c r="F90" s="39">
        <v>4</v>
      </c>
      <c r="G90" s="39" t="s">
        <v>75</v>
      </c>
      <c r="H90" s="41">
        <v>2900.14</v>
      </c>
      <c r="I90" s="41">
        <v>2910.51</v>
      </c>
      <c r="J90" s="39" t="s">
        <v>143</v>
      </c>
      <c r="K90" s="42">
        <v>0.22</v>
      </c>
      <c r="L90" s="39" t="s">
        <v>73</v>
      </c>
      <c r="M90" s="39" t="s">
        <v>140</v>
      </c>
      <c r="N90" s="39" t="s">
        <v>160</v>
      </c>
      <c r="O90" s="43">
        <f t="shared" si="21"/>
        <v>11642.04</v>
      </c>
      <c r="P90" s="43">
        <f t="shared" si="22"/>
        <v>9080.7900000000009</v>
      </c>
      <c r="Q90" s="43">
        <f t="shared" si="23"/>
        <v>11600.56</v>
      </c>
      <c r="R90" s="43">
        <f t="shared" si="24"/>
        <v>-2519.7699999999986</v>
      </c>
      <c r="S90" s="44">
        <f t="shared" si="25"/>
        <v>-0.27748356695838122</v>
      </c>
      <c r="T90" s="39" t="str">
        <f t="shared" si="26"/>
        <v>Loss</v>
      </c>
      <c r="U90" s="39" t="str">
        <f t="shared" si="27"/>
        <v>20%+</v>
      </c>
      <c r="V90" s="39" t="str">
        <f>IF(E90&gt;=Analysis!$B$4,"High",IF(E90&gt;=Analysis!$B$5,"Mid","Low"))</f>
        <v>High</v>
      </c>
      <c r="W90" s="39" t="str">
        <f t="shared" si="28"/>
        <v>2023-09</v>
      </c>
      <c r="X90" s="40">
        <f t="shared" si="29"/>
        <v>45199</v>
      </c>
      <c r="Y90" s="39" t="str">
        <f t="shared" si="30"/>
        <v>2023-Q3</v>
      </c>
      <c r="Z90" s="39" t="str">
        <f t="shared" si="31"/>
        <v>Sat</v>
      </c>
      <c r="AA90" s="39">
        <f t="shared" si="32"/>
        <v>6</v>
      </c>
      <c r="AB90" s="39">
        <f t="shared" si="33"/>
        <v>40</v>
      </c>
      <c r="AC90" s="39" t="str">
        <f t="shared" si="34"/>
        <v>Weekend</v>
      </c>
      <c r="AD90" s="39">
        <f t="shared" ca="1" si="35"/>
        <v>1120</v>
      </c>
      <c r="AE90" s="39">
        <f t="shared" ca="1" si="36"/>
        <v>36</v>
      </c>
      <c r="AF90" s="39" t="str">
        <f t="shared" si="37"/>
        <v>CHA</v>
      </c>
      <c r="AG90" s="39" t="str">
        <f t="shared" si="38"/>
        <v>NR-230930-0089</v>
      </c>
      <c r="AH90" s="39" t="str">
        <f>IF(AND(OR(Filter!$B$4="All",D90=Filter!$B$4),OR(Filter!$B$5="All",M90=Filter!$B$5),E90&gt;=Filter!$B$6),MAX(AH$1:AH89)+1,"")</f>
        <v/>
      </c>
      <c r="AI90" s="39">
        <f t="shared" si="39"/>
        <v>4</v>
      </c>
      <c r="AJ90" s="42">
        <f t="shared" si="40"/>
        <v>0.22</v>
      </c>
      <c r="AK90" s="41">
        <f t="shared" si="41"/>
        <v>2910.51</v>
      </c>
      <c r="AL90" s="39">
        <f>RANK(E90,$E$2:$E$1001,0)+COUNTIF($E$2:E90,E90)-1</f>
        <v>208</v>
      </c>
    </row>
    <row r="91" spans="1:38" x14ac:dyDescent="0.2">
      <c r="A91" s="39">
        <v>1015</v>
      </c>
      <c r="B91" s="40">
        <v>45191</v>
      </c>
      <c r="C91" s="39" t="s">
        <v>76</v>
      </c>
      <c r="D91" s="39" t="s">
        <v>69</v>
      </c>
      <c r="E91" s="41">
        <v>9914.15</v>
      </c>
      <c r="F91" s="39">
        <v>22</v>
      </c>
      <c r="G91" s="39" t="s">
        <v>65</v>
      </c>
      <c r="H91" s="41">
        <v>4275.59</v>
      </c>
      <c r="I91" s="41">
        <v>4576.72</v>
      </c>
      <c r="J91" s="39" t="s">
        <v>137</v>
      </c>
      <c r="K91" s="42">
        <v>0.02</v>
      </c>
      <c r="L91" s="39" t="s">
        <v>68</v>
      </c>
      <c r="M91" s="39" t="s">
        <v>140</v>
      </c>
      <c r="N91" s="39" t="s">
        <v>142</v>
      </c>
      <c r="O91" s="43">
        <f t="shared" si="21"/>
        <v>100687.84</v>
      </c>
      <c r="P91" s="43">
        <f t="shared" si="22"/>
        <v>98674.08</v>
      </c>
      <c r="Q91" s="43">
        <f t="shared" si="23"/>
        <v>94062.98</v>
      </c>
      <c r="R91" s="43">
        <f t="shared" si="24"/>
        <v>4611.1000000000058</v>
      </c>
      <c r="S91" s="44">
        <f t="shared" si="25"/>
        <v>4.6730610510885999E-2</v>
      </c>
      <c r="T91" s="39" t="str">
        <f t="shared" si="26"/>
        <v>OK</v>
      </c>
      <c r="U91" s="39" t="str">
        <f t="shared" si="27"/>
        <v>0-9%</v>
      </c>
      <c r="V91" s="39" t="str">
        <f>IF(E91&gt;=Analysis!$B$4,"High",IF(E91&gt;=Analysis!$B$5,"Mid","Low"))</f>
        <v>High</v>
      </c>
      <c r="W91" s="39" t="str">
        <f t="shared" si="28"/>
        <v>2023-09</v>
      </c>
      <c r="X91" s="40">
        <f t="shared" si="29"/>
        <v>45199</v>
      </c>
      <c r="Y91" s="39" t="str">
        <f t="shared" si="30"/>
        <v>2023-Q3</v>
      </c>
      <c r="Z91" s="39" t="str">
        <f t="shared" si="31"/>
        <v>Fri</v>
      </c>
      <c r="AA91" s="39">
        <f t="shared" si="32"/>
        <v>5</v>
      </c>
      <c r="AB91" s="39">
        <f t="shared" si="33"/>
        <v>39</v>
      </c>
      <c r="AC91" s="39" t="str">
        <f t="shared" si="34"/>
        <v>Weekday</v>
      </c>
      <c r="AD91" s="39">
        <f t="shared" ca="1" si="35"/>
        <v>1128</v>
      </c>
      <c r="AE91" s="39">
        <f t="shared" ca="1" si="36"/>
        <v>37</v>
      </c>
      <c r="AF91" s="39" t="str">
        <f t="shared" si="37"/>
        <v>DAV</v>
      </c>
      <c r="AG91" s="39" t="str">
        <f t="shared" si="38"/>
        <v>SR-230922-0090</v>
      </c>
      <c r="AH91" s="39">
        <f>IF(AND(OR(Filter!$B$4="All",D91=Filter!$B$4),OR(Filter!$B$5="All",M91=Filter!$B$5),E91&gt;=Filter!$B$6),MAX(AH$1:AH90)+1,"")</f>
        <v>6</v>
      </c>
      <c r="AI91" s="39">
        <f t="shared" si="39"/>
        <v>22</v>
      </c>
      <c r="AJ91" s="42">
        <f t="shared" si="40"/>
        <v>0.02</v>
      </c>
      <c r="AK91" s="41">
        <f t="shared" si="41"/>
        <v>4576.72</v>
      </c>
      <c r="AL91" s="39">
        <f>RANK(E91,$E$2:$E$1001,0)+COUNTIF($E$2:E91,E91)-1</f>
        <v>9</v>
      </c>
    </row>
    <row r="92" spans="1:38" x14ac:dyDescent="0.2">
      <c r="A92" s="39">
        <v>1072</v>
      </c>
      <c r="B92" s="40">
        <v>44964</v>
      </c>
      <c r="C92" s="39" t="s">
        <v>66</v>
      </c>
      <c r="D92" s="39" t="s">
        <v>59</v>
      </c>
      <c r="E92" s="41">
        <v>5490.38</v>
      </c>
      <c r="F92" s="39">
        <v>26</v>
      </c>
      <c r="G92" s="39" t="s">
        <v>70</v>
      </c>
      <c r="H92" s="41">
        <v>3640.17</v>
      </c>
      <c r="I92" s="41">
        <v>4002.63</v>
      </c>
      <c r="J92" s="39" t="s">
        <v>143</v>
      </c>
      <c r="K92" s="42">
        <v>0.05</v>
      </c>
      <c r="L92" s="39" t="s">
        <v>73</v>
      </c>
      <c r="M92" s="39" t="s">
        <v>140</v>
      </c>
      <c r="N92" s="39" t="s">
        <v>153</v>
      </c>
      <c r="O92" s="43">
        <f t="shared" si="21"/>
        <v>104068.38</v>
      </c>
      <c r="P92" s="43">
        <f t="shared" si="22"/>
        <v>98864.960000000006</v>
      </c>
      <c r="Q92" s="43">
        <f t="shared" si="23"/>
        <v>94644.42</v>
      </c>
      <c r="R92" s="43">
        <f t="shared" si="24"/>
        <v>4220.5400000000081</v>
      </c>
      <c r="S92" s="44">
        <f t="shared" si="25"/>
        <v>4.2689947985616011E-2</v>
      </c>
      <c r="T92" s="39" t="str">
        <f t="shared" si="26"/>
        <v>OK</v>
      </c>
      <c r="U92" s="39" t="str">
        <f t="shared" si="27"/>
        <v>0-9%</v>
      </c>
      <c r="V92" s="39" t="str">
        <f>IF(E92&gt;=Analysis!$B$4,"High",IF(E92&gt;=Analysis!$B$5,"Mid","Low"))</f>
        <v>Mid</v>
      </c>
      <c r="W92" s="39" t="str">
        <f t="shared" si="28"/>
        <v>2023-02</v>
      </c>
      <c r="X92" s="40">
        <f t="shared" si="29"/>
        <v>44985</v>
      </c>
      <c r="Y92" s="39" t="str">
        <f t="shared" si="30"/>
        <v>2023-Q1</v>
      </c>
      <c r="Z92" s="39" t="str">
        <f t="shared" si="31"/>
        <v>Tue</v>
      </c>
      <c r="AA92" s="39">
        <f t="shared" si="32"/>
        <v>2</v>
      </c>
      <c r="AB92" s="39">
        <f t="shared" si="33"/>
        <v>7</v>
      </c>
      <c r="AC92" s="39" t="str">
        <f t="shared" si="34"/>
        <v>Weekday</v>
      </c>
      <c r="AD92" s="39">
        <f t="shared" ca="1" si="35"/>
        <v>1355</v>
      </c>
      <c r="AE92" s="39">
        <f t="shared" ca="1" si="36"/>
        <v>44</v>
      </c>
      <c r="AF92" s="39" t="str">
        <f t="shared" si="37"/>
        <v>BOB</v>
      </c>
      <c r="AG92" s="39" t="str">
        <f t="shared" si="38"/>
        <v>ER-230207-0091</v>
      </c>
      <c r="AH92" s="39" t="str">
        <f>IF(AND(OR(Filter!$B$4="All",D92=Filter!$B$4),OR(Filter!$B$5="All",M92=Filter!$B$5),E92&gt;=Filter!$B$6),MAX(AH$1:AH91)+1,"")</f>
        <v/>
      </c>
      <c r="AI92" s="39">
        <f t="shared" si="39"/>
        <v>26</v>
      </c>
      <c r="AJ92" s="42">
        <f t="shared" si="40"/>
        <v>0.05</v>
      </c>
      <c r="AK92" s="41">
        <f t="shared" si="41"/>
        <v>4002.63</v>
      </c>
      <c r="AL92" s="39">
        <f>RANK(E92,$E$2:$E$1001,0)+COUNTIF($E$2:E92,E92)-1</f>
        <v>457</v>
      </c>
    </row>
    <row r="93" spans="1:38" x14ac:dyDescent="0.2">
      <c r="A93" s="39">
        <v>1078</v>
      </c>
      <c r="B93" s="40">
        <v>45020</v>
      </c>
      <c r="C93" s="39" t="s">
        <v>76</v>
      </c>
      <c r="D93" s="39" t="s">
        <v>59</v>
      </c>
      <c r="E93" s="41">
        <v>9631.41</v>
      </c>
      <c r="F93" s="39">
        <v>49</v>
      </c>
      <c r="G93" s="39" t="s">
        <v>75</v>
      </c>
      <c r="H93" s="41">
        <v>1833.95</v>
      </c>
      <c r="I93" s="41">
        <v>2147.14</v>
      </c>
      <c r="J93" s="39" t="s">
        <v>137</v>
      </c>
      <c r="K93" s="42">
        <v>0.18</v>
      </c>
      <c r="L93" s="39" t="s">
        <v>73</v>
      </c>
      <c r="M93" s="39" t="s">
        <v>140</v>
      </c>
      <c r="N93" s="39" t="s">
        <v>157</v>
      </c>
      <c r="O93" s="43">
        <f t="shared" si="21"/>
        <v>105209.86</v>
      </c>
      <c r="P93" s="43">
        <f t="shared" si="22"/>
        <v>86272.09</v>
      </c>
      <c r="Q93" s="43">
        <f t="shared" si="23"/>
        <v>89863.55</v>
      </c>
      <c r="R93" s="43">
        <f t="shared" si="24"/>
        <v>-3591.4600000000064</v>
      </c>
      <c r="S93" s="44">
        <f t="shared" si="25"/>
        <v>-4.162945397520805E-2</v>
      </c>
      <c r="T93" s="39" t="str">
        <f t="shared" si="26"/>
        <v>Loss</v>
      </c>
      <c r="U93" s="39" t="str">
        <f t="shared" si="27"/>
        <v>10-19%</v>
      </c>
      <c r="V93" s="39" t="str">
        <f>IF(E93&gt;=Analysis!$B$4,"High",IF(E93&gt;=Analysis!$B$5,"Mid","Low"))</f>
        <v>High</v>
      </c>
      <c r="W93" s="39" t="str">
        <f t="shared" si="28"/>
        <v>2023-04</v>
      </c>
      <c r="X93" s="40">
        <f t="shared" si="29"/>
        <v>45046</v>
      </c>
      <c r="Y93" s="39" t="str">
        <f t="shared" si="30"/>
        <v>2023-Q2</v>
      </c>
      <c r="Z93" s="39" t="str">
        <f t="shared" si="31"/>
        <v>Tue</v>
      </c>
      <c r="AA93" s="39">
        <f t="shared" si="32"/>
        <v>2</v>
      </c>
      <c r="AB93" s="39">
        <f t="shared" si="33"/>
        <v>15</v>
      </c>
      <c r="AC93" s="39" t="str">
        <f t="shared" si="34"/>
        <v>Weekday</v>
      </c>
      <c r="AD93" s="39">
        <f t="shared" ca="1" si="35"/>
        <v>1299</v>
      </c>
      <c r="AE93" s="39">
        <f t="shared" ca="1" si="36"/>
        <v>42</v>
      </c>
      <c r="AF93" s="39" t="str">
        <f t="shared" si="37"/>
        <v>DAV</v>
      </c>
      <c r="AG93" s="39" t="str">
        <f t="shared" si="38"/>
        <v>ER-230404-0092</v>
      </c>
      <c r="AH93" s="39">
        <f>IF(AND(OR(Filter!$B$4="All",D93=Filter!$B$4),OR(Filter!$B$5="All",M93=Filter!$B$5),E93&gt;=Filter!$B$6),MAX(AH$1:AH92)+1,"")</f>
        <v>7</v>
      </c>
      <c r="AI93" s="39">
        <f t="shared" si="39"/>
        <v>49</v>
      </c>
      <c r="AJ93" s="42">
        <f t="shared" si="40"/>
        <v>0.18</v>
      </c>
      <c r="AK93" s="41">
        <f t="shared" si="41"/>
        <v>2147.14</v>
      </c>
      <c r="AL93" s="39">
        <f>RANK(E93,$E$2:$E$1001,0)+COUNTIF($E$2:E93,E93)-1</f>
        <v>37</v>
      </c>
    </row>
    <row r="94" spans="1:38" x14ac:dyDescent="0.2">
      <c r="A94" s="39">
        <v>1087</v>
      </c>
      <c r="B94" s="40">
        <v>45021</v>
      </c>
      <c r="C94" s="39" t="s">
        <v>79</v>
      </c>
      <c r="D94" s="39" t="s">
        <v>59</v>
      </c>
      <c r="E94" s="41">
        <v>848.49</v>
      </c>
      <c r="F94" s="39">
        <v>43</v>
      </c>
      <c r="G94" s="39" t="s">
        <v>75</v>
      </c>
      <c r="H94" s="41">
        <v>481</v>
      </c>
      <c r="I94" s="41">
        <v>531.02</v>
      </c>
      <c r="J94" s="39" t="s">
        <v>143</v>
      </c>
      <c r="K94" s="42">
        <v>0.17</v>
      </c>
      <c r="L94" s="39" t="s">
        <v>68</v>
      </c>
      <c r="M94" s="39" t="s">
        <v>138</v>
      </c>
      <c r="N94" s="39" t="s">
        <v>155</v>
      </c>
      <c r="O94" s="43">
        <f t="shared" si="21"/>
        <v>22833.86</v>
      </c>
      <c r="P94" s="43">
        <f t="shared" si="22"/>
        <v>18952.099999999999</v>
      </c>
      <c r="Q94" s="43">
        <f t="shared" si="23"/>
        <v>20683</v>
      </c>
      <c r="R94" s="43">
        <f t="shared" si="24"/>
        <v>-1730.9000000000015</v>
      </c>
      <c r="S94" s="44">
        <f t="shared" si="25"/>
        <v>-9.1330248362978331E-2</v>
      </c>
      <c r="T94" s="39" t="str">
        <f t="shared" si="26"/>
        <v>Loss</v>
      </c>
      <c r="U94" s="39" t="str">
        <f t="shared" si="27"/>
        <v>10-19%</v>
      </c>
      <c r="V94" s="39" t="str">
        <f>IF(E94&gt;=Analysis!$B$4,"High",IF(E94&gt;=Analysis!$B$5,"Mid","Low"))</f>
        <v>Low</v>
      </c>
      <c r="W94" s="39" t="str">
        <f t="shared" si="28"/>
        <v>2023-04</v>
      </c>
      <c r="X94" s="40">
        <f t="shared" si="29"/>
        <v>45046</v>
      </c>
      <c r="Y94" s="39" t="str">
        <f t="shared" si="30"/>
        <v>2023-Q2</v>
      </c>
      <c r="Z94" s="39" t="str">
        <f t="shared" si="31"/>
        <v>Wed</v>
      </c>
      <c r="AA94" s="39">
        <f t="shared" si="32"/>
        <v>3</v>
      </c>
      <c r="AB94" s="39">
        <f t="shared" si="33"/>
        <v>15</v>
      </c>
      <c r="AC94" s="39" t="str">
        <f t="shared" si="34"/>
        <v>Weekday</v>
      </c>
      <c r="AD94" s="39">
        <f t="shared" ca="1" si="35"/>
        <v>1298</v>
      </c>
      <c r="AE94" s="39">
        <f t="shared" ca="1" si="36"/>
        <v>42</v>
      </c>
      <c r="AF94" s="39" t="str">
        <f t="shared" si="37"/>
        <v>EVE</v>
      </c>
      <c r="AG94" s="39" t="str">
        <f t="shared" si="38"/>
        <v>EO-230405-0093</v>
      </c>
      <c r="AH94" s="39" t="str">
        <f>IF(AND(OR(Filter!$B$4="All",D94=Filter!$B$4),OR(Filter!$B$5="All",M94=Filter!$B$5),E94&gt;=Filter!$B$6),MAX(AH$1:AH93)+1,"")</f>
        <v/>
      </c>
      <c r="AI94" s="39">
        <f t="shared" si="39"/>
        <v>43</v>
      </c>
      <c r="AJ94" s="42">
        <f t="shared" si="40"/>
        <v>0.17</v>
      </c>
      <c r="AK94" s="41">
        <f t="shared" si="41"/>
        <v>531.02</v>
      </c>
      <c r="AL94" s="39">
        <f>RANK(E94,$E$2:$E$1001,0)+COUNTIF($E$2:E94,E94)-1</f>
        <v>918</v>
      </c>
    </row>
    <row r="95" spans="1:38" x14ac:dyDescent="0.2">
      <c r="A95" s="39">
        <v>1062</v>
      </c>
      <c r="B95" s="40">
        <v>45231</v>
      </c>
      <c r="C95" s="39" t="s">
        <v>66</v>
      </c>
      <c r="D95" s="39" t="s">
        <v>59</v>
      </c>
      <c r="E95" s="41">
        <v>3720.24</v>
      </c>
      <c r="F95" s="39">
        <v>36</v>
      </c>
      <c r="G95" s="39" t="s">
        <v>70</v>
      </c>
      <c r="H95" s="41">
        <v>1050.6400000000001</v>
      </c>
      <c r="I95" s="41">
        <v>1167.33</v>
      </c>
      <c r="J95" s="39" t="s">
        <v>143</v>
      </c>
      <c r="K95" s="42">
        <v>0.22</v>
      </c>
      <c r="L95" s="39" t="s">
        <v>68</v>
      </c>
      <c r="M95" s="39" t="s">
        <v>138</v>
      </c>
      <c r="N95" s="39" t="s">
        <v>153</v>
      </c>
      <c r="O95" s="43">
        <f t="shared" si="21"/>
        <v>42023.88</v>
      </c>
      <c r="P95" s="43">
        <f t="shared" si="22"/>
        <v>32778.629999999997</v>
      </c>
      <c r="Q95" s="43">
        <f t="shared" si="23"/>
        <v>37823.040000000001</v>
      </c>
      <c r="R95" s="43">
        <f t="shared" si="24"/>
        <v>-5044.4100000000035</v>
      </c>
      <c r="S95" s="44">
        <f t="shared" si="25"/>
        <v>-0.15389325301270992</v>
      </c>
      <c r="T95" s="39" t="str">
        <f t="shared" si="26"/>
        <v>Loss</v>
      </c>
      <c r="U95" s="39" t="str">
        <f t="shared" si="27"/>
        <v>20%+</v>
      </c>
      <c r="V95" s="39" t="str">
        <f>IF(E95&gt;=Analysis!$B$4,"High",IF(E95&gt;=Analysis!$B$5,"Mid","Low"))</f>
        <v>Mid</v>
      </c>
      <c r="W95" s="39" t="str">
        <f t="shared" si="28"/>
        <v>2023-11</v>
      </c>
      <c r="X95" s="40">
        <f t="shared" si="29"/>
        <v>45260</v>
      </c>
      <c r="Y95" s="39" t="str">
        <f t="shared" si="30"/>
        <v>2023-Q4</v>
      </c>
      <c r="Z95" s="39" t="str">
        <f t="shared" si="31"/>
        <v>Wed</v>
      </c>
      <c r="AA95" s="39">
        <f t="shared" si="32"/>
        <v>3</v>
      </c>
      <c r="AB95" s="39">
        <f t="shared" si="33"/>
        <v>45</v>
      </c>
      <c r="AC95" s="39" t="str">
        <f t="shared" si="34"/>
        <v>Weekday</v>
      </c>
      <c r="AD95" s="39">
        <f t="shared" ca="1" si="35"/>
        <v>1088</v>
      </c>
      <c r="AE95" s="39">
        <f t="shared" ca="1" si="36"/>
        <v>35</v>
      </c>
      <c r="AF95" s="39" t="str">
        <f t="shared" si="37"/>
        <v>BOB</v>
      </c>
      <c r="AG95" s="39" t="str">
        <f t="shared" si="38"/>
        <v>EO-231101-0094</v>
      </c>
      <c r="AH95" s="39" t="str">
        <f>IF(AND(OR(Filter!$B$4="All",D95=Filter!$B$4),OR(Filter!$B$5="All",M95=Filter!$B$5),E95&gt;=Filter!$B$6),MAX(AH$1:AH94)+1,"")</f>
        <v/>
      </c>
      <c r="AI95" s="39">
        <f t="shared" si="39"/>
        <v>36</v>
      </c>
      <c r="AJ95" s="42">
        <f t="shared" si="40"/>
        <v>0.22</v>
      </c>
      <c r="AK95" s="41">
        <f t="shared" si="41"/>
        <v>1167.33</v>
      </c>
      <c r="AL95" s="39">
        <f>RANK(E95,$E$2:$E$1001,0)+COUNTIF($E$2:E95,E95)-1</f>
        <v>630</v>
      </c>
    </row>
    <row r="96" spans="1:38" x14ac:dyDescent="0.2">
      <c r="A96" s="39">
        <v>1040</v>
      </c>
      <c r="B96" s="40">
        <v>44995</v>
      </c>
      <c r="C96" s="39" t="s">
        <v>71</v>
      </c>
      <c r="D96" s="39" t="s">
        <v>59</v>
      </c>
      <c r="E96" s="41">
        <v>2331.27</v>
      </c>
      <c r="F96" s="39">
        <v>13</v>
      </c>
      <c r="G96" s="39" t="s">
        <v>60</v>
      </c>
      <c r="H96" s="41">
        <v>2750.18</v>
      </c>
      <c r="I96" s="41">
        <v>2882.85</v>
      </c>
      <c r="J96" s="39" t="s">
        <v>137</v>
      </c>
      <c r="K96" s="42">
        <v>0.24</v>
      </c>
      <c r="L96" s="39" t="s">
        <v>73</v>
      </c>
      <c r="M96" s="39" t="s">
        <v>138</v>
      </c>
      <c r="N96" s="39" t="s">
        <v>145</v>
      </c>
      <c r="O96" s="43">
        <f t="shared" si="21"/>
        <v>37477.050000000003</v>
      </c>
      <c r="P96" s="43">
        <f t="shared" si="22"/>
        <v>28482.560000000001</v>
      </c>
      <c r="Q96" s="43">
        <f t="shared" si="23"/>
        <v>35752.339999999997</v>
      </c>
      <c r="R96" s="43">
        <f t="shared" si="24"/>
        <v>-7269.7799999999952</v>
      </c>
      <c r="S96" s="44">
        <f t="shared" si="25"/>
        <v>-0.25523618663490905</v>
      </c>
      <c r="T96" s="39" t="str">
        <f t="shared" si="26"/>
        <v>Loss</v>
      </c>
      <c r="U96" s="39" t="str">
        <f t="shared" si="27"/>
        <v>20%+</v>
      </c>
      <c r="V96" s="39" t="str">
        <f>IF(E96&gt;=Analysis!$B$4,"High",IF(E96&gt;=Analysis!$B$5,"Mid","Low"))</f>
        <v>Low</v>
      </c>
      <c r="W96" s="39" t="str">
        <f t="shared" si="28"/>
        <v>2023-03</v>
      </c>
      <c r="X96" s="40">
        <f t="shared" si="29"/>
        <v>45016</v>
      </c>
      <c r="Y96" s="39" t="str">
        <f t="shared" si="30"/>
        <v>2023-Q1</v>
      </c>
      <c r="Z96" s="39" t="str">
        <f t="shared" si="31"/>
        <v>Fri</v>
      </c>
      <c r="AA96" s="39">
        <f t="shared" si="32"/>
        <v>5</v>
      </c>
      <c r="AB96" s="39">
        <f t="shared" si="33"/>
        <v>11</v>
      </c>
      <c r="AC96" s="39" t="str">
        <f t="shared" si="34"/>
        <v>Weekday</v>
      </c>
      <c r="AD96" s="39">
        <f t="shared" ca="1" si="35"/>
        <v>1324</v>
      </c>
      <c r="AE96" s="39">
        <f t="shared" ca="1" si="36"/>
        <v>43</v>
      </c>
      <c r="AF96" s="39" t="str">
        <f t="shared" si="37"/>
        <v>CHA</v>
      </c>
      <c r="AG96" s="39" t="str">
        <f t="shared" si="38"/>
        <v>EO-230310-0095</v>
      </c>
      <c r="AH96" s="39" t="str">
        <f>IF(AND(OR(Filter!$B$4="All",D96=Filter!$B$4),OR(Filter!$B$5="All",M96=Filter!$B$5),E96&gt;=Filter!$B$6),MAX(AH$1:AH95)+1,"")</f>
        <v/>
      </c>
      <c r="AI96" s="39">
        <f t="shared" si="39"/>
        <v>13</v>
      </c>
      <c r="AJ96" s="42">
        <f t="shared" si="40"/>
        <v>0.24</v>
      </c>
      <c r="AK96" s="41">
        <f t="shared" si="41"/>
        <v>2882.85</v>
      </c>
      <c r="AL96" s="39">
        <f>RANK(E96,$E$2:$E$1001,0)+COUNTIF($E$2:E96,E96)-1</f>
        <v>775</v>
      </c>
    </row>
    <row r="97" spans="1:38" x14ac:dyDescent="0.2">
      <c r="A97" s="39">
        <v>1085</v>
      </c>
      <c r="B97" s="40">
        <v>45244</v>
      </c>
      <c r="C97" s="39" t="s">
        <v>71</v>
      </c>
      <c r="D97" s="39" t="s">
        <v>69</v>
      </c>
      <c r="E97" s="41">
        <v>2038.75</v>
      </c>
      <c r="F97" s="39">
        <v>32</v>
      </c>
      <c r="G97" s="39" t="s">
        <v>75</v>
      </c>
      <c r="H97" s="41">
        <v>1074.93</v>
      </c>
      <c r="I97" s="41">
        <v>1492.48</v>
      </c>
      <c r="J97" s="39" t="s">
        <v>137</v>
      </c>
      <c r="K97" s="42">
        <v>0.04</v>
      </c>
      <c r="L97" s="39" t="s">
        <v>73</v>
      </c>
      <c r="M97" s="39" t="s">
        <v>140</v>
      </c>
      <c r="N97" s="39" t="s">
        <v>151</v>
      </c>
      <c r="O97" s="43">
        <f t="shared" si="21"/>
        <v>47759.360000000001</v>
      </c>
      <c r="P97" s="43">
        <f t="shared" si="22"/>
        <v>45848.99</v>
      </c>
      <c r="Q97" s="43">
        <f t="shared" si="23"/>
        <v>34397.760000000002</v>
      </c>
      <c r="R97" s="43">
        <f t="shared" si="24"/>
        <v>11451.229999999996</v>
      </c>
      <c r="S97" s="44">
        <f t="shared" si="25"/>
        <v>0.24975970026820649</v>
      </c>
      <c r="T97" s="39" t="str">
        <f t="shared" si="26"/>
        <v>OK</v>
      </c>
      <c r="U97" s="39" t="str">
        <f t="shared" si="27"/>
        <v>0-9%</v>
      </c>
      <c r="V97" s="39" t="str">
        <f>IF(E97&gt;=Analysis!$B$4,"High",IF(E97&gt;=Analysis!$B$5,"Mid","Low"))</f>
        <v>Low</v>
      </c>
      <c r="W97" s="39" t="str">
        <f t="shared" si="28"/>
        <v>2023-11</v>
      </c>
      <c r="X97" s="40">
        <f t="shared" si="29"/>
        <v>45260</v>
      </c>
      <c r="Y97" s="39" t="str">
        <f t="shared" si="30"/>
        <v>2023-Q4</v>
      </c>
      <c r="Z97" s="39" t="str">
        <f t="shared" si="31"/>
        <v>Tue</v>
      </c>
      <c r="AA97" s="39">
        <f t="shared" si="32"/>
        <v>2</v>
      </c>
      <c r="AB97" s="39">
        <f t="shared" si="33"/>
        <v>47</v>
      </c>
      <c r="AC97" s="39" t="str">
        <f t="shared" si="34"/>
        <v>Weekday</v>
      </c>
      <c r="AD97" s="39">
        <f t="shared" ca="1" si="35"/>
        <v>1075</v>
      </c>
      <c r="AE97" s="39">
        <f t="shared" ca="1" si="36"/>
        <v>35</v>
      </c>
      <c r="AF97" s="39" t="str">
        <f t="shared" si="37"/>
        <v>CHA</v>
      </c>
      <c r="AG97" s="39" t="str">
        <f t="shared" si="38"/>
        <v>SR-231114-0096</v>
      </c>
      <c r="AH97" s="39" t="str">
        <f>IF(AND(OR(Filter!$B$4="All",D97=Filter!$B$4),OR(Filter!$B$5="All",M97=Filter!$B$5),E97&gt;=Filter!$B$6),MAX(AH$1:AH96)+1,"")</f>
        <v/>
      </c>
      <c r="AI97" s="39">
        <f t="shared" si="39"/>
        <v>32</v>
      </c>
      <c r="AJ97" s="42">
        <f t="shared" si="40"/>
        <v>0.04</v>
      </c>
      <c r="AK97" s="41">
        <f t="shared" si="41"/>
        <v>1492.48</v>
      </c>
      <c r="AL97" s="39">
        <f>RANK(E97,$E$2:$E$1001,0)+COUNTIF($E$2:E97,E97)-1</f>
        <v>813</v>
      </c>
    </row>
    <row r="98" spans="1:38" x14ac:dyDescent="0.2">
      <c r="A98" s="39">
        <v>1080</v>
      </c>
      <c r="B98" s="40">
        <v>45162</v>
      </c>
      <c r="C98" s="39" t="s">
        <v>66</v>
      </c>
      <c r="D98" s="39" t="s">
        <v>74</v>
      </c>
      <c r="E98" s="41">
        <v>1493.95</v>
      </c>
      <c r="F98" s="39">
        <v>17</v>
      </c>
      <c r="G98" s="39" t="s">
        <v>75</v>
      </c>
      <c r="H98" s="41">
        <v>2742.67</v>
      </c>
      <c r="I98" s="41">
        <v>2979.64</v>
      </c>
      <c r="J98" s="39" t="s">
        <v>137</v>
      </c>
      <c r="K98" s="42">
        <v>0.01</v>
      </c>
      <c r="L98" s="39" t="s">
        <v>68</v>
      </c>
      <c r="M98" s="39" t="s">
        <v>140</v>
      </c>
      <c r="N98" s="39" t="s">
        <v>141</v>
      </c>
      <c r="O98" s="43">
        <f t="shared" si="21"/>
        <v>50653.88</v>
      </c>
      <c r="P98" s="43">
        <f t="shared" si="22"/>
        <v>50147.34</v>
      </c>
      <c r="Q98" s="43">
        <f t="shared" si="23"/>
        <v>46625.39</v>
      </c>
      <c r="R98" s="43">
        <f t="shared" si="24"/>
        <v>3521.9499999999971</v>
      </c>
      <c r="S98" s="44">
        <f t="shared" si="25"/>
        <v>7.0232040223868253E-2</v>
      </c>
      <c r="T98" s="39" t="str">
        <f t="shared" si="26"/>
        <v>OK</v>
      </c>
      <c r="U98" s="39" t="str">
        <f t="shared" si="27"/>
        <v>0-9%</v>
      </c>
      <c r="V98" s="39" t="str">
        <f>IF(E98&gt;=Analysis!$B$4,"High",IF(E98&gt;=Analysis!$B$5,"Mid","Low"))</f>
        <v>Low</v>
      </c>
      <c r="W98" s="39" t="str">
        <f t="shared" si="28"/>
        <v>2023-08</v>
      </c>
      <c r="X98" s="40">
        <f t="shared" si="29"/>
        <v>45169</v>
      </c>
      <c r="Y98" s="39" t="str">
        <f t="shared" si="30"/>
        <v>2023-Q3</v>
      </c>
      <c r="Z98" s="39" t="str">
        <f t="shared" si="31"/>
        <v>Thu</v>
      </c>
      <c r="AA98" s="39">
        <f t="shared" si="32"/>
        <v>4</v>
      </c>
      <c r="AB98" s="39">
        <f t="shared" si="33"/>
        <v>35</v>
      </c>
      <c r="AC98" s="39" t="str">
        <f t="shared" si="34"/>
        <v>Weekday</v>
      </c>
      <c r="AD98" s="39">
        <f t="shared" ca="1" si="35"/>
        <v>1157</v>
      </c>
      <c r="AE98" s="39">
        <f t="shared" ca="1" si="36"/>
        <v>38</v>
      </c>
      <c r="AF98" s="39" t="str">
        <f t="shared" si="37"/>
        <v>BOB</v>
      </c>
      <c r="AG98" s="39" t="str">
        <f t="shared" si="38"/>
        <v>WR-230824-0097</v>
      </c>
      <c r="AH98" s="39" t="str">
        <f>IF(AND(OR(Filter!$B$4="All",D98=Filter!$B$4),OR(Filter!$B$5="All",M98=Filter!$B$5),E98&gt;=Filter!$B$6),MAX(AH$1:AH97)+1,"")</f>
        <v/>
      </c>
      <c r="AI98" s="39">
        <f t="shared" si="39"/>
        <v>17</v>
      </c>
      <c r="AJ98" s="42">
        <f t="shared" si="40"/>
        <v>0.01</v>
      </c>
      <c r="AK98" s="41">
        <f t="shared" si="41"/>
        <v>2979.64</v>
      </c>
      <c r="AL98" s="39">
        <f>RANK(E98,$E$2:$E$1001,0)+COUNTIF($E$2:E98,E98)-1</f>
        <v>870</v>
      </c>
    </row>
    <row r="99" spans="1:38" x14ac:dyDescent="0.2">
      <c r="A99" s="39">
        <v>1082</v>
      </c>
      <c r="B99" s="40">
        <v>45260</v>
      </c>
      <c r="C99" s="39" t="s">
        <v>61</v>
      </c>
      <c r="D99" s="39" t="s">
        <v>69</v>
      </c>
      <c r="E99" s="41">
        <v>6261.9</v>
      </c>
      <c r="F99" s="39">
        <v>41</v>
      </c>
      <c r="G99" s="39" t="s">
        <v>65</v>
      </c>
      <c r="H99" s="41">
        <v>1196.42</v>
      </c>
      <c r="I99" s="41">
        <v>1444.97</v>
      </c>
      <c r="J99" s="39" t="s">
        <v>137</v>
      </c>
      <c r="K99" s="42">
        <v>0.21</v>
      </c>
      <c r="L99" s="39" t="s">
        <v>63</v>
      </c>
      <c r="M99" s="39" t="s">
        <v>138</v>
      </c>
      <c r="N99" s="39" t="s">
        <v>150</v>
      </c>
      <c r="O99" s="43">
        <f t="shared" si="21"/>
        <v>59243.77</v>
      </c>
      <c r="P99" s="43">
        <f t="shared" si="22"/>
        <v>46802.58</v>
      </c>
      <c r="Q99" s="43">
        <f t="shared" si="23"/>
        <v>49053.22</v>
      </c>
      <c r="R99" s="43">
        <f t="shared" si="24"/>
        <v>-2250.6399999999994</v>
      </c>
      <c r="S99" s="44">
        <f t="shared" si="25"/>
        <v>-4.8087947288375968E-2</v>
      </c>
      <c r="T99" s="39" t="str">
        <f t="shared" si="26"/>
        <v>Loss</v>
      </c>
      <c r="U99" s="39" t="str">
        <f t="shared" si="27"/>
        <v>20%+</v>
      </c>
      <c r="V99" s="39" t="str">
        <f>IF(E99&gt;=Analysis!$B$4,"High",IF(E99&gt;=Analysis!$B$5,"Mid","Low"))</f>
        <v>Mid</v>
      </c>
      <c r="W99" s="39" t="str">
        <f t="shared" si="28"/>
        <v>2023-11</v>
      </c>
      <c r="X99" s="40">
        <f t="shared" si="29"/>
        <v>45260</v>
      </c>
      <c r="Y99" s="39" t="str">
        <f t="shared" si="30"/>
        <v>2023-Q4</v>
      </c>
      <c r="Z99" s="39" t="str">
        <f t="shared" si="31"/>
        <v>Thu</v>
      </c>
      <c r="AA99" s="39">
        <f t="shared" si="32"/>
        <v>4</v>
      </c>
      <c r="AB99" s="39">
        <f t="shared" si="33"/>
        <v>49</v>
      </c>
      <c r="AC99" s="39" t="str">
        <f t="shared" si="34"/>
        <v>Weekday</v>
      </c>
      <c r="AD99" s="39">
        <f t="shared" ca="1" si="35"/>
        <v>1059</v>
      </c>
      <c r="AE99" s="39">
        <f t="shared" ca="1" si="36"/>
        <v>34</v>
      </c>
      <c r="AF99" s="39" t="str">
        <f t="shared" si="37"/>
        <v>ALI</v>
      </c>
      <c r="AG99" s="39" t="str">
        <f t="shared" si="38"/>
        <v>SO-231130-0098</v>
      </c>
      <c r="AH99" s="39" t="str">
        <f>IF(AND(OR(Filter!$B$4="All",D99=Filter!$B$4),OR(Filter!$B$5="All",M99=Filter!$B$5),E99&gt;=Filter!$B$6),MAX(AH$1:AH98)+1,"")</f>
        <v/>
      </c>
      <c r="AI99" s="39">
        <f t="shared" si="39"/>
        <v>41</v>
      </c>
      <c r="AJ99" s="42">
        <f t="shared" si="40"/>
        <v>0.21</v>
      </c>
      <c r="AK99" s="41">
        <f t="shared" si="41"/>
        <v>1444.97</v>
      </c>
      <c r="AL99" s="39">
        <f>RANK(E99,$E$2:$E$1001,0)+COUNTIF($E$2:E99,E99)-1</f>
        <v>384</v>
      </c>
    </row>
    <row r="100" spans="1:38" x14ac:dyDescent="0.2">
      <c r="A100" s="39">
        <v>1053</v>
      </c>
      <c r="B100" s="40">
        <v>45063</v>
      </c>
      <c r="C100" s="39" t="s">
        <v>66</v>
      </c>
      <c r="D100" s="39" t="s">
        <v>69</v>
      </c>
      <c r="E100" s="41">
        <v>7835.09</v>
      </c>
      <c r="F100" s="39">
        <v>36</v>
      </c>
      <c r="G100" s="39" t="s">
        <v>60</v>
      </c>
      <c r="H100" s="41">
        <v>4252.17</v>
      </c>
      <c r="I100" s="41">
        <v>4720.2700000000004</v>
      </c>
      <c r="J100" s="39" t="s">
        <v>143</v>
      </c>
      <c r="K100" s="42">
        <v>0.09</v>
      </c>
      <c r="L100" s="39" t="s">
        <v>68</v>
      </c>
      <c r="M100" s="39" t="s">
        <v>140</v>
      </c>
      <c r="N100" s="39" t="s">
        <v>144</v>
      </c>
      <c r="O100" s="43">
        <f t="shared" si="21"/>
        <v>169929.72</v>
      </c>
      <c r="P100" s="43">
        <f t="shared" si="22"/>
        <v>154636.04999999999</v>
      </c>
      <c r="Q100" s="43">
        <f t="shared" si="23"/>
        <v>153078.12</v>
      </c>
      <c r="R100" s="43">
        <f t="shared" si="24"/>
        <v>1557.929999999993</v>
      </c>
      <c r="S100" s="44">
        <f t="shared" si="25"/>
        <v>1.0074817612063896E-2</v>
      </c>
      <c r="T100" s="39" t="str">
        <f t="shared" si="26"/>
        <v>OK</v>
      </c>
      <c r="U100" s="39" t="str">
        <f t="shared" si="27"/>
        <v>0-9%</v>
      </c>
      <c r="V100" s="39" t="str">
        <f>IF(E100&gt;=Analysis!$B$4,"High",IF(E100&gt;=Analysis!$B$5,"Mid","Low"))</f>
        <v>High</v>
      </c>
      <c r="W100" s="39" t="str">
        <f t="shared" si="28"/>
        <v>2023-05</v>
      </c>
      <c r="X100" s="40">
        <f t="shared" si="29"/>
        <v>45077</v>
      </c>
      <c r="Y100" s="39" t="str">
        <f t="shared" si="30"/>
        <v>2023-Q2</v>
      </c>
      <c r="Z100" s="39" t="str">
        <f t="shared" si="31"/>
        <v>Wed</v>
      </c>
      <c r="AA100" s="39">
        <f t="shared" si="32"/>
        <v>3</v>
      </c>
      <c r="AB100" s="39">
        <f t="shared" si="33"/>
        <v>21</v>
      </c>
      <c r="AC100" s="39" t="str">
        <f t="shared" si="34"/>
        <v>Weekday</v>
      </c>
      <c r="AD100" s="39">
        <f t="shared" ca="1" si="35"/>
        <v>1256</v>
      </c>
      <c r="AE100" s="39">
        <f t="shared" ca="1" si="36"/>
        <v>41</v>
      </c>
      <c r="AF100" s="39" t="str">
        <f t="shared" si="37"/>
        <v>BOB</v>
      </c>
      <c r="AG100" s="39" t="str">
        <f t="shared" si="38"/>
        <v>SR-230517-0099</v>
      </c>
      <c r="AH100" s="39" t="str">
        <f>IF(AND(OR(Filter!$B$4="All",D100=Filter!$B$4),OR(Filter!$B$5="All",M100=Filter!$B$5),E100&gt;=Filter!$B$6),MAX(AH$1:AH99)+1,"")</f>
        <v/>
      </c>
      <c r="AI100" s="39">
        <f t="shared" si="39"/>
        <v>36</v>
      </c>
      <c r="AJ100" s="42">
        <f t="shared" si="40"/>
        <v>0.09</v>
      </c>
      <c r="AK100" s="41">
        <f t="shared" si="41"/>
        <v>4720.2700000000004</v>
      </c>
      <c r="AL100" s="39">
        <f>RANK(E100,$E$2:$E$1001,0)+COUNTIF($E$2:E100,E100)-1</f>
        <v>213</v>
      </c>
    </row>
    <row r="101" spans="1:38" x14ac:dyDescent="0.2">
      <c r="A101" s="39">
        <v>1024</v>
      </c>
      <c r="B101" s="40">
        <v>45002</v>
      </c>
      <c r="C101" s="39" t="s">
        <v>79</v>
      </c>
      <c r="D101" s="39" t="s">
        <v>69</v>
      </c>
      <c r="E101" s="41">
        <v>5825.15</v>
      </c>
      <c r="F101" s="39">
        <v>46</v>
      </c>
      <c r="G101" s="39" t="s">
        <v>65</v>
      </c>
      <c r="H101" s="41">
        <v>2016.49</v>
      </c>
      <c r="I101" s="41">
        <v>2338.66</v>
      </c>
      <c r="J101" s="39" t="s">
        <v>137</v>
      </c>
      <c r="K101" s="42">
        <v>0.19</v>
      </c>
      <c r="L101" s="39" t="s">
        <v>63</v>
      </c>
      <c r="M101" s="39" t="s">
        <v>140</v>
      </c>
      <c r="N101" s="39" t="s">
        <v>147</v>
      </c>
      <c r="O101" s="43">
        <f t="shared" si="21"/>
        <v>107578.36</v>
      </c>
      <c r="P101" s="43">
        <f t="shared" si="22"/>
        <v>87138.47</v>
      </c>
      <c r="Q101" s="43">
        <f t="shared" si="23"/>
        <v>92758.54</v>
      </c>
      <c r="R101" s="43">
        <f t="shared" si="24"/>
        <v>-5620.0699999999924</v>
      </c>
      <c r="S101" s="44">
        <f t="shared" si="25"/>
        <v>-6.4495853553545202E-2</v>
      </c>
      <c r="T101" s="39" t="str">
        <f t="shared" si="26"/>
        <v>Loss</v>
      </c>
      <c r="U101" s="39" t="str">
        <f t="shared" si="27"/>
        <v>10-19%</v>
      </c>
      <c r="V101" s="39" t="str">
        <f>IF(E101&gt;=Analysis!$B$4,"High",IF(E101&gt;=Analysis!$B$5,"Mid","Low"))</f>
        <v>Mid</v>
      </c>
      <c r="W101" s="39" t="str">
        <f t="shared" si="28"/>
        <v>2023-03</v>
      </c>
      <c r="X101" s="40">
        <f t="shared" si="29"/>
        <v>45016</v>
      </c>
      <c r="Y101" s="39" t="str">
        <f t="shared" si="30"/>
        <v>2023-Q1</v>
      </c>
      <c r="Z101" s="39" t="str">
        <f t="shared" si="31"/>
        <v>Fri</v>
      </c>
      <c r="AA101" s="39">
        <f t="shared" si="32"/>
        <v>5</v>
      </c>
      <c r="AB101" s="39">
        <f t="shared" si="33"/>
        <v>12</v>
      </c>
      <c r="AC101" s="39" t="str">
        <f t="shared" si="34"/>
        <v>Weekday</v>
      </c>
      <c r="AD101" s="39">
        <f t="shared" ca="1" si="35"/>
        <v>1317</v>
      </c>
      <c r="AE101" s="39">
        <f t="shared" ca="1" si="36"/>
        <v>43</v>
      </c>
      <c r="AF101" s="39" t="str">
        <f t="shared" si="37"/>
        <v>EVE</v>
      </c>
      <c r="AG101" s="39" t="str">
        <f t="shared" si="38"/>
        <v>SR-230317-0100</v>
      </c>
      <c r="AH101" s="39" t="str">
        <f>IF(AND(OR(Filter!$B$4="All",D101=Filter!$B$4),OR(Filter!$B$5="All",M101=Filter!$B$5),E101&gt;=Filter!$B$6),MAX(AH$1:AH100)+1,"")</f>
        <v/>
      </c>
      <c r="AI101" s="39">
        <f t="shared" si="39"/>
        <v>46</v>
      </c>
      <c r="AJ101" s="42">
        <f t="shared" si="40"/>
        <v>0.19</v>
      </c>
      <c r="AK101" s="41">
        <f t="shared" si="41"/>
        <v>2338.66</v>
      </c>
      <c r="AL101" s="39">
        <f>RANK(E101,$E$2:$E$1001,0)+COUNTIF($E$2:E101,E101)-1</f>
        <v>428</v>
      </c>
    </row>
    <row r="102" spans="1:38" x14ac:dyDescent="0.2">
      <c r="A102" s="39">
        <v>1026</v>
      </c>
      <c r="B102" s="40">
        <v>44961</v>
      </c>
      <c r="C102" s="39" t="s">
        <v>61</v>
      </c>
      <c r="D102" s="39" t="s">
        <v>74</v>
      </c>
      <c r="E102" s="41">
        <v>1554.93</v>
      </c>
      <c r="F102" s="39">
        <v>19</v>
      </c>
      <c r="G102" s="39" t="s">
        <v>65</v>
      </c>
      <c r="H102" s="41">
        <v>1265.48</v>
      </c>
      <c r="I102" s="41">
        <v>1715.83</v>
      </c>
      <c r="J102" s="39" t="s">
        <v>143</v>
      </c>
      <c r="K102" s="42">
        <v>0.05</v>
      </c>
      <c r="L102" s="39" t="s">
        <v>73</v>
      </c>
      <c r="M102" s="39" t="s">
        <v>140</v>
      </c>
      <c r="N102" s="39" t="s">
        <v>158</v>
      </c>
      <c r="O102" s="43">
        <f t="shared" si="21"/>
        <v>32600.77</v>
      </c>
      <c r="P102" s="43">
        <f t="shared" si="22"/>
        <v>30970.73</v>
      </c>
      <c r="Q102" s="43">
        <f t="shared" si="23"/>
        <v>24044.12</v>
      </c>
      <c r="R102" s="43">
        <f t="shared" si="24"/>
        <v>6926.6100000000006</v>
      </c>
      <c r="S102" s="44">
        <f t="shared" si="25"/>
        <v>0.22365020133526076</v>
      </c>
      <c r="T102" s="39" t="str">
        <f t="shared" si="26"/>
        <v>OK</v>
      </c>
      <c r="U102" s="39" t="str">
        <f t="shared" si="27"/>
        <v>0-9%</v>
      </c>
      <c r="V102" s="39" t="str">
        <f>IF(E102&gt;=Analysis!$B$4,"High",IF(E102&gt;=Analysis!$B$5,"Mid","Low"))</f>
        <v>Low</v>
      </c>
      <c r="W102" s="39" t="str">
        <f t="shared" si="28"/>
        <v>2023-02</v>
      </c>
      <c r="X102" s="40">
        <f t="shared" si="29"/>
        <v>44985</v>
      </c>
      <c r="Y102" s="39" t="str">
        <f t="shared" si="30"/>
        <v>2023-Q1</v>
      </c>
      <c r="Z102" s="39" t="str">
        <f t="shared" si="31"/>
        <v>Sat</v>
      </c>
      <c r="AA102" s="39">
        <f t="shared" si="32"/>
        <v>6</v>
      </c>
      <c r="AB102" s="39">
        <f t="shared" si="33"/>
        <v>6</v>
      </c>
      <c r="AC102" s="39" t="str">
        <f t="shared" si="34"/>
        <v>Weekend</v>
      </c>
      <c r="AD102" s="39">
        <f t="shared" ca="1" si="35"/>
        <v>1358</v>
      </c>
      <c r="AE102" s="39">
        <f t="shared" ca="1" si="36"/>
        <v>44</v>
      </c>
      <c r="AF102" s="39" t="str">
        <f t="shared" si="37"/>
        <v>ALI</v>
      </c>
      <c r="AG102" s="39" t="str">
        <f t="shared" si="38"/>
        <v>WR-230204-0101</v>
      </c>
      <c r="AH102" s="39" t="str">
        <f>IF(AND(OR(Filter!$B$4="All",D102=Filter!$B$4),OR(Filter!$B$5="All",M102=Filter!$B$5),E102&gt;=Filter!$B$6),MAX(AH$1:AH101)+1,"")</f>
        <v/>
      </c>
      <c r="AI102" s="39">
        <f t="shared" si="39"/>
        <v>19</v>
      </c>
      <c r="AJ102" s="42">
        <f t="shared" si="40"/>
        <v>0.05</v>
      </c>
      <c r="AK102" s="41">
        <f t="shared" si="41"/>
        <v>1715.83</v>
      </c>
      <c r="AL102" s="39">
        <f>RANK(E102,$E$2:$E$1001,0)+COUNTIF($E$2:E102,E102)-1</f>
        <v>864</v>
      </c>
    </row>
    <row r="103" spans="1:38" x14ac:dyDescent="0.2">
      <c r="A103" s="39">
        <v>1089</v>
      </c>
      <c r="B103" s="40">
        <v>44927</v>
      </c>
      <c r="C103" s="39" t="s">
        <v>71</v>
      </c>
      <c r="D103" s="39" t="s">
        <v>64</v>
      </c>
      <c r="E103" s="41">
        <v>8130.13</v>
      </c>
      <c r="F103" s="39">
        <v>35</v>
      </c>
      <c r="G103" s="39" t="s">
        <v>60</v>
      </c>
      <c r="H103" s="41">
        <v>4071.01</v>
      </c>
      <c r="I103" s="41">
        <v>4304.7</v>
      </c>
      <c r="J103" s="39" t="s">
        <v>143</v>
      </c>
      <c r="K103" s="42">
        <v>0.14000000000000001</v>
      </c>
      <c r="L103" s="39" t="s">
        <v>73</v>
      </c>
      <c r="M103" s="39" t="s">
        <v>138</v>
      </c>
      <c r="N103" s="39" t="s">
        <v>160</v>
      </c>
      <c r="O103" s="43">
        <f t="shared" si="21"/>
        <v>150664.5</v>
      </c>
      <c r="P103" s="43">
        <f t="shared" si="22"/>
        <v>129571.47</v>
      </c>
      <c r="Q103" s="43">
        <f t="shared" si="23"/>
        <v>142485.35</v>
      </c>
      <c r="R103" s="43">
        <f t="shared" si="24"/>
        <v>-12913.880000000005</v>
      </c>
      <c r="S103" s="44">
        <f t="shared" si="25"/>
        <v>-9.9666076181739741E-2</v>
      </c>
      <c r="T103" s="39" t="str">
        <f t="shared" si="26"/>
        <v>Loss</v>
      </c>
      <c r="U103" s="39" t="str">
        <f t="shared" si="27"/>
        <v>10-19%</v>
      </c>
      <c r="V103" s="39" t="str">
        <f>IF(E103&gt;=Analysis!$B$4,"High",IF(E103&gt;=Analysis!$B$5,"Mid","Low"))</f>
        <v>High</v>
      </c>
      <c r="W103" s="39" t="str">
        <f t="shared" si="28"/>
        <v>2023-01</v>
      </c>
      <c r="X103" s="40">
        <f t="shared" si="29"/>
        <v>44957</v>
      </c>
      <c r="Y103" s="39" t="str">
        <f t="shared" si="30"/>
        <v>2023-Q1</v>
      </c>
      <c r="Z103" s="39" t="str">
        <f t="shared" si="31"/>
        <v>Sun</v>
      </c>
      <c r="AA103" s="39">
        <f t="shared" si="32"/>
        <v>7</v>
      </c>
      <c r="AB103" s="39">
        <f t="shared" si="33"/>
        <v>1</v>
      </c>
      <c r="AC103" s="39" t="str">
        <f t="shared" si="34"/>
        <v>Weekend</v>
      </c>
      <c r="AD103" s="39">
        <f t="shared" ca="1" si="35"/>
        <v>1392</v>
      </c>
      <c r="AE103" s="39">
        <f t="shared" ca="1" si="36"/>
        <v>45</v>
      </c>
      <c r="AF103" s="39" t="str">
        <f t="shared" si="37"/>
        <v>CHA</v>
      </c>
      <c r="AG103" s="39" t="str">
        <f t="shared" si="38"/>
        <v>NO-230101-0102</v>
      </c>
      <c r="AH103" s="39" t="str">
        <f>IF(AND(OR(Filter!$B$4="All",D103=Filter!$B$4),OR(Filter!$B$5="All",M103=Filter!$B$5),E103&gt;=Filter!$B$6),MAX(AH$1:AH102)+1,"")</f>
        <v/>
      </c>
      <c r="AI103" s="39">
        <f t="shared" si="39"/>
        <v>35</v>
      </c>
      <c r="AJ103" s="42">
        <f t="shared" si="40"/>
        <v>0.14000000000000001</v>
      </c>
      <c r="AK103" s="41">
        <f t="shared" si="41"/>
        <v>4304.7</v>
      </c>
      <c r="AL103" s="39">
        <f>RANK(E103,$E$2:$E$1001,0)+COUNTIF($E$2:E103,E103)-1</f>
        <v>176</v>
      </c>
    </row>
    <row r="104" spans="1:38" x14ac:dyDescent="0.2">
      <c r="A104" s="39">
        <v>1060</v>
      </c>
      <c r="B104" s="40">
        <v>45222</v>
      </c>
      <c r="C104" s="39" t="s">
        <v>66</v>
      </c>
      <c r="D104" s="39" t="s">
        <v>74</v>
      </c>
      <c r="E104" s="41">
        <v>6395.95</v>
      </c>
      <c r="F104" s="39">
        <v>46</v>
      </c>
      <c r="G104" s="39" t="s">
        <v>60</v>
      </c>
      <c r="H104" s="41">
        <v>1747.05</v>
      </c>
      <c r="I104" s="41">
        <v>1830.27</v>
      </c>
      <c r="J104" s="39" t="s">
        <v>143</v>
      </c>
      <c r="K104" s="42">
        <v>0.15</v>
      </c>
      <c r="L104" s="39" t="s">
        <v>63</v>
      </c>
      <c r="M104" s="39" t="s">
        <v>140</v>
      </c>
      <c r="N104" s="39" t="s">
        <v>141</v>
      </c>
      <c r="O104" s="43">
        <f t="shared" si="21"/>
        <v>84192.42</v>
      </c>
      <c r="P104" s="43">
        <f t="shared" si="22"/>
        <v>71563.56</v>
      </c>
      <c r="Q104" s="43">
        <f t="shared" si="23"/>
        <v>80364.3</v>
      </c>
      <c r="R104" s="43">
        <f t="shared" si="24"/>
        <v>-8800.7400000000052</v>
      </c>
      <c r="S104" s="44">
        <f t="shared" si="25"/>
        <v>-0.12297795134842378</v>
      </c>
      <c r="T104" s="39" t="str">
        <f t="shared" si="26"/>
        <v>Loss</v>
      </c>
      <c r="U104" s="39" t="str">
        <f t="shared" si="27"/>
        <v>10-19%</v>
      </c>
      <c r="V104" s="39" t="str">
        <f>IF(E104&gt;=Analysis!$B$4,"High",IF(E104&gt;=Analysis!$B$5,"Mid","Low"))</f>
        <v>Mid</v>
      </c>
      <c r="W104" s="39" t="str">
        <f t="shared" si="28"/>
        <v>2023-10</v>
      </c>
      <c r="X104" s="40">
        <f t="shared" si="29"/>
        <v>45230</v>
      </c>
      <c r="Y104" s="39" t="str">
        <f t="shared" si="30"/>
        <v>2023-Q4</v>
      </c>
      <c r="Z104" s="39" t="str">
        <f t="shared" si="31"/>
        <v>Mon</v>
      </c>
      <c r="AA104" s="39">
        <f t="shared" si="32"/>
        <v>1</v>
      </c>
      <c r="AB104" s="39">
        <f t="shared" si="33"/>
        <v>44</v>
      </c>
      <c r="AC104" s="39" t="str">
        <f t="shared" si="34"/>
        <v>Weekday</v>
      </c>
      <c r="AD104" s="39">
        <f t="shared" ca="1" si="35"/>
        <v>1097</v>
      </c>
      <c r="AE104" s="39">
        <f t="shared" ca="1" si="36"/>
        <v>36</v>
      </c>
      <c r="AF104" s="39" t="str">
        <f t="shared" si="37"/>
        <v>BOB</v>
      </c>
      <c r="AG104" s="39" t="str">
        <f t="shared" si="38"/>
        <v>WR-231023-0103</v>
      </c>
      <c r="AH104" s="39" t="str">
        <f>IF(AND(OR(Filter!$B$4="All",D104=Filter!$B$4),OR(Filter!$B$5="All",M104=Filter!$B$5),E104&gt;=Filter!$B$6),MAX(AH$1:AH103)+1,"")</f>
        <v/>
      </c>
      <c r="AI104" s="39">
        <f t="shared" si="39"/>
        <v>46</v>
      </c>
      <c r="AJ104" s="42">
        <f t="shared" si="40"/>
        <v>0.15</v>
      </c>
      <c r="AK104" s="41">
        <f t="shared" si="41"/>
        <v>1830.27</v>
      </c>
      <c r="AL104" s="39">
        <f>RANK(E104,$E$2:$E$1001,0)+COUNTIF($E$2:E104,E104)-1</f>
        <v>368</v>
      </c>
    </row>
    <row r="105" spans="1:38" x14ac:dyDescent="0.2">
      <c r="A105" s="39">
        <v>1041</v>
      </c>
      <c r="B105" s="40">
        <v>45246</v>
      </c>
      <c r="C105" s="39" t="s">
        <v>76</v>
      </c>
      <c r="D105" s="39" t="s">
        <v>69</v>
      </c>
      <c r="E105" s="41">
        <v>3942.84</v>
      </c>
      <c r="F105" s="39">
        <v>40</v>
      </c>
      <c r="G105" s="39" t="s">
        <v>70</v>
      </c>
      <c r="H105" s="41">
        <v>601.86</v>
      </c>
      <c r="I105" s="41">
        <v>1067.53</v>
      </c>
      <c r="J105" s="39" t="s">
        <v>143</v>
      </c>
      <c r="K105" s="42">
        <v>0.18</v>
      </c>
      <c r="L105" s="39" t="s">
        <v>68</v>
      </c>
      <c r="M105" s="39" t="s">
        <v>138</v>
      </c>
      <c r="N105" s="39" t="s">
        <v>142</v>
      </c>
      <c r="O105" s="43">
        <f t="shared" si="21"/>
        <v>42701.2</v>
      </c>
      <c r="P105" s="43">
        <f t="shared" si="22"/>
        <v>35014.980000000003</v>
      </c>
      <c r="Q105" s="43">
        <f t="shared" si="23"/>
        <v>24074.400000000001</v>
      </c>
      <c r="R105" s="43">
        <f t="shared" si="24"/>
        <v>10940.580000000002</v>
      </c>
      <c r="S105" s="44">
        <f t="shared" si="25"/>
        <v>0.31245426957262296</v>
      </c>
      <c r="T105" s="39" t="str">
        <f t="shared" si="26"/>
        <v>OK</v>
      </c>
      <c r="U105" s="39" t="str">
        <f t="shared" si="27"/>
        <v>10-19%</v>
      </c>
      <c r="V105" s="39" t="str">
        <f>IF(E105&gt;=Analysis!$B$4,"High",IF(E105&gt;=Analysis!$B$5,"Mid","Low"))</f>
        <v>Mid</v>
      </c>
      <c r="W105" s="39" t="str">
        <f t="shared" si="28"/>
        <v>2023-11</v>
      </c>
      <c r="X105" s="40">
        <f t="shared" si="29"/>
        <v>45260</v>
      </c>
      <c r="Y105" s="39" t="str">
        <f t="shared" si="30"/>
        <v>2023-Q4</v>
      </c>
      <c r="Z105" s="39" t="str">
        <f t="shared" si="31"/>
        <v>Thu</v>
      </c>
      <c r="AA105" s="39">
        <f t="shared" si="32"/>
        <v>4</v>
      </c>
      <c r="AB105" s="39">
        <f t="shared" si="33"/>
        <v>47</v>
      </c>
      <c r="AC105" s="39" t="str">
        <f t="shared" si="34"/>
        <v>Weekday</v>
      </c>
      <c r="AD105" s="39">
        <f t="shared" ca="1" si="35"/>
        <v>1073</v>
      </c>
      <c r="AE105" s="39">
        <f t="shared" ca="1" si="36"/>
        <v>35</v>
      </c>
      <c r="AF105" s="39" t="str">
        <f t="shared" si="37"/>
        <v>DAV</v>
      </c>
      <c r="AG105" s="39" t="str">
        <f t="shared" si="38"/>
        <v>SO-231116-0104</v>
      </c>
      <c r="AH105" s="39" t="str">
        <f>IF(AND(OR(Filter!$B$4="All",D105=Filter!$B$4),OR(Filter!$B$5="All",M105=Filter!$B$5),E105&gt;=Filter!$B$6),MAX(AH$1:AH104)+1,"")</f>
        <v/>
      </c>
      <c r="AI105" s="39">
        <f t="shared" si="39"/>
        <v>40</v>
      </c>
      <c r="AJ105" s="42">
        <f t="shared" si="40"/>
        <v>0.18</v>
      </c>
      <c r="AK105" s="41">
        <f t="shared" si="41"/>
        <v>1067.53</v>
      </c>
      <c r="AL105" s="39">
        <f>RANK(E105,$E$2:$E$1001,0)+COUNTIF($E$2:E105,E105)-1</f>
        <v>604</v>
      </c>
    </row>
    <row r="106" spans="1:38" x14ac:dyDescent="0.2">
      <c r="A106" s="39">
        <v>1029</v>
      </c>
      <c r="B106" s="40">
        <v>44986</v>
      </c>
      <c r="C106" s="39" t="s">
        <v>76</v>
      </c>
      <c r="D106" s="39" t="s">
        <v>59</v>
      </c>
      <c r="E106" s="41">
        <v>6773.89</v>
      </c>
      <c r="F106" s="39">
        <v>28</v>
      </c>
      <c r="G106" s="39" t="s">
        <v>60</v>
      </c>
      <c r="H106" s="41">
        <v>2873.53</v>
      </c>
      <c r="I106" s="41">
        <v>3108.3</v>
      </c>
      <c r="J106" s="39" t="s">
        <v>143</v>
      </c>
      <c r="K106" s="42">
        <v>0.15</v>
      </c>
      <c r="L106" s="39" t="s">
        <v>73</v>
      </c>
      <c r="M106" s="39" t="s">
        <v>140</v>
      </c>
      <c r="N106" s="39" t="s">
        <v>157</v>
      </c>
      <c r="O106" s="43">
        <f t="shared" si="21"/>
        <v>87032.4</v>
      </c>
      <c r="P106" s="43">
        <f t="shared" si="22"/>
        <v>73977.539999999994</v>
      </c>
      <c r="Q106" s="43">
        <f t="shared" si="23"/>
        <v>80458.84</v>
      </c>
      <c r="R106" s="43">
        <f t="shared" si="24"/>
        <v>-6481.3000000000029</v>
      </c>
      <c r="S106" s="44">
        <f t="shared" si="25"/>
        <v>-8.761172647806352E-2</v>
      </c>
      <c r="T106" s="39" t="str">
        <f t="shared" si="26"/>
        <v>Loss</v>
      </c>
      <c r="U106" s="39" t="str">
        <f t="shared" si="27"/>
        <v>10-19%</v>
      </c>
      <c r="V106" s="39" t="str">
        <f>IF(E106&gt;=Analysis!$B$4,"High",IF(E106&gt;=Analysis!$B$5,"Mid","Low"))</f>
        <v>Mid</v>
      </c>
      <c r="W106" s="39" t="str">
        <f t="shared" si="28"/>
        <v>2023-03</v>
      </c>
      <c r="X106" s="40">
        <f t="shared" si="29"/>
        <v>45016</v>
      </c>
      <c r="Y106" s="39" t="str">
        <f t="shared" si="30"/>
        <v>2023-Q1</v>
      </c>
      <c r="Z106" s="39" t="str">
        <f t="shared" si="31"/>
        <v>Wed</v>
      </c>
      <c r="AA106" s="39">
        <f t="shared" si="32"/>
        <v>3</v>
      </c>
      <c r="AB106" s="39">
        <f t="shared" si="33"/>
        <v>10</v>
      </c>
      <c r="AC106" s="39" t="str">
        <f t="shared" si="34"/>
        <v>Weekday</v>
      </c>
      <c r="AD106" s="39">
        <f t="shared" ca="1" si="35"/>
        <v>1333</v>
      </c>
      <c r="AE106" s="39">
        <f t="shared" ca="1" si="36"/>
        <v>43</v>
      </c>
      <c r="AF106" s="39" t="str">
        <f t="shared" si="37"/>
        <v>DAV</v>
      </c>
      <c r="AG106" s="39" t="str">
        <f t="shared" si="38"/>
        <v>ER-230301-0105</v>
      </c>
      <c r="AH106" s="39" t="str">
        <f>IF(AND(OR(Filter!$B$4="All",D106=Filter!$B$4),OR(Filter!$B$5="All",M106=Filter!$B$5),E106&gt;=Filter!$B$6),MAX(AH$1:AH105)+1,"")</f>
        <v/>
      </c>
      <c r="AI106" s="39">
        <f t="shared" si="39"/>
        <v>28</v>
      </c>
      <c r="AJ106" s="42">
        <f t="shared" si="40"/>
        <v>0.15</v>
      </c>
      <c r="AK106" s="41">
        <f t="shared" si="41"/>
        <v>3108.3</v>
      </c>
      <c r="AL106" s="39">
        <f>RANK(E106,$E$2:$E$1001,0)+COUNTIF($E$2:E106,E106)-1</f>
        <v>323</v>
      </c>
    </row>
    <row r="107" spans="1:38" x14ac:dyDescent="0.2">
      <c r="A107" s="39">
        <v>1015</v>
      </c>
      <c r="B107" s="40">
        <v>45246</v>
      </c>
      <c r="C107" s="39" t="s">
        <v>79</v>
      </c>
      <c r="D107" s="39" t="s">
        <v>59</v>
      </c>
      <c r="E107" s="41">
        <v>2673.06</v>
      </c>
      <c r="F107" s="39">
        <v>1</v>
      </c>
      <c r="G107" s="39" t="s">
        <v>75</v>
      </c>
      <c r="H107" s="41">
        <v>2928.74</v>
      </c>
      <c r="I107" s="41">
        <v>3027.74</v>
      </c>
      <c r="J107" s="39" t="s">
        <v>143</v>
      </c>
      <c r="K107" s="42">
        <v>0.15</v>
      </c>
      <c r="L107" s="39" t="s">
        <v>63</v>
      </c>
      <c r="M107" s="39" t="s">
        <v>140</v>
      </c>
      <c r="N107" s="39" t="s">
        <v>155</v>
      </c>
      <c r="O107" s="43">
        <f t="shared" si="21"/>
        <v>3027.74</v>
      </c>
      <c r="P107" s="43">
        <f t="shared" si="22"/>
        <v>2573.58</v>
      </c>
      <c r="Q107" s="43">
        <f t="shared" si="23"/>
        <v>2928.74</v>
      </c>
      <c r="R107" s="43">
        <f t="shared" si="24"/>
        <v>-355.15999999999985</v>
      </c>
      <c r="S107" s="44">
        <f t="shared" si="25"/>
        <v>-0.13800231584019143</v>
      </c>
      <c r="T107" s="39" t="str">
        <f t="shared" si="26"/>
        <v>Loss</v>
      </c>
      <c r="U107" s="39" t="str">
        <f t="shared" si="27"/>
        <v>10-19%</v>
      </c>
      <c r="V107" s="39" t="str">
        <f>IF(E107&gt;=Analysis!$B$4,"High",IF(E107&gt;=Analysis!$B$5,"Mid","Low"))</f>
        <v>Mid</v>
      </c>
      <c r="W107" s="39" t="str">
        <f t="shared" si="28"/>
        <v>2023-11</v>
      </c>
      <c r="X107" s="40">
        <f t="shared" si="29"/>
        <v>45260</v>
      </c>
      <c r="Y107" s="39" t="str">
        <f t="shared" si="30"/>
        <v>2023-Q4</v>
      </c>
      <c r="Z107" s="39" t="str">
        <f t="shared" si="31"/>
        <v>Thu</v>
      </c>
      <c r="AA107" s="39">
        <f t="shared" si="32"/>
        <v>4</v>
      </c>
      <c r="AB107" s="39">
        <f t="shared" si="33"/>
        <v>47</v>
      </c>
      <c r="AC107" s="39" t="str">
        <f t="shared" si="34"/>
        <v>Weekday</v>
      </c>
      <c r="AD107" s="39">
        <f t="shared" ca="1" si="35"/>
        <v>1073</v>
      </c>
      <c r="AE107" s="39">
        <f t="shared" ca="1" si="36"/>
        <v>35</v>
      </c>
      <c r="AF107" s="39" t="str">
        <f t="shared" si="37"/>
        <v>EVE</v>
      </c>
      <c r="AG107" s="39" t="str">
        <f t="shared" si="38"/>
        <v>ER-231116-0106</v>
      </c>
      <c r="AH107" s="39" t="str">
        <f>IF(AND(OR(Filter!$B$4="All",D107=Filter!$B$4),OR(Filter!$B$5="All",M107=Filter!$B$5),E107&gt;=Filter!$B$6),MAX(AH$1:AH106)+1,"")</f>
        <v/>
      </c>
      <c r="AI107" s="39">
        <f t="shared" si="39"/>
        <v>1</v>
      </c>
      <c r="AJ107" s="42">
        <f t="shared" si="40"/>
        <v>0.15</v>
      </c>
      <c r="AK107" s="41">
        <f t="shared" si="41"/>
        <v>3027.74</v>
      </c>
      <c r="AL107" s="39">
        <f>RANK(E107,$E$2:$E$1001,0)+COUNTIF($E$2:E107,E107)-1</f>
        <v>735</v>
      </c>
    </row>
    <row r="108" spans="1:38" x14ac:dyDescent="0.2">
      <c r="A108" s="39">
        <v>1045</v>
      </c>
      <c r="B108" s="40">
        <v>45275</v>
      </c>
      <c r="C108" s="39" t="s">
        <v>76</v>
      </c>
      <c r="D108" s="39" t="s">
        <v>69</v>
      </c>
      <c r="E108" s="41">
        <v>3517.4</v>
      </c>
      <c r="F108" s="39">
        <v>42</v>
      </c>
      <c r="G108" s="39" t="s">
        <v>60</v>
      </c>
      <c r="H108" s="41">
        <v>3587.74</v>
      </c>
      <c r="I108" s="41">
        <v>3745.91</v>
      </c>
      <c r="J108" s="39" t="s">
        <v>137</v>
      </c>
      <c r="K108" s="42">
        <v>0.1</v>
      </c>
      <c r="L108" s="39" t="s">
        <v>68</v>
      </c>
      <c r="M108" s="39" t="s">
        <v>138</v>
      </c>
      <c r="N108" s="39" t="s">
        <v>142</v>
      </c>
      <c r="O108" s="43">
        <f t="shared" si="21"/>
        <v>157328.22</v>
      </c>
      <c r="P108" s="43">
        <f t="shared" si="22"/>
        <v>141595.4</v>
      </c>
      <c r="Q108" s="43">
        <f t="shared" si="23"/>
        <v>150685.07999999999</v>
      </c>
      <c r="R108" s="43">
        <f t="shared" si="24"/>
        <v>-9089.679999999993</v>
      </c>
      <c r="S108" s="44">
        <f t="shared" si="25"/>
        <v>-6.419474078960187E-2</v>
      </c>
      <c r="T108" s="39" t="str">
        <f t="shared" si="26"/>
        <v>Loss</v>
      </c>
      <c r="U108" s="39" t="str">
        <f t="shared" si="27"/>
        <v>10-19%</v>
      </c>
      <c r="V108" s="39" t="str">
        <f>IF(E108&gt;=Analysis!$B$4,"High",IF(E108&gt;=Analysis!$B$5,"Mid","Low"))</f>
        <v>Mid</v>
      </c>
      <c r="W108" s="39" t="str">
        <f t="shared" si="28"/>
        <v>2023-12</v>
      </c>
      <c r="X108" s="40">
        <f t="shared" si="29"/>
        <v>45291</v>
      </c>
      <c r="Y108" s="39" t="str">
        <f t="shared" si="30"/>
        <v>2023-Q4</v>
      </c>
      <c r="Z108" s="39" t="str">
        <f t="shared" si="31"/>
        <v>Fri</v>
      </c>
      <c r="AA108" s="39">
        <f t="shared" si="32"/>
        <v>5</v>
      </c>
      <c r="AB108" s="39">
        <f t="shared" si="33"/>
        <v>51</v>
      </c>
      <c r="AC108" s="39" t="str">
        <f t="shared" si="34"/>
        <v>Weekday</v>
      </c>
      <c r="AD108" s="39">
        <f t="shared" ca="1" si="35"/>
        <v>1044</v>
      </c>
      <c r="AE108" s="39">
        <f t="shared" ca="1" si="36"/>
        <v>34</v>
      </c>
      <c r="AF108" s="39" t="str">
        <f t="shared" si="37"/>
        <v>DAV</v>
      </c>
      <c r="AG108" s="39" t="str">
        <f t="shared" si="38"/>
        <v>SO-231215-0107</v>
      </c>
      <c r="AH108" s="39" t="str">
        <f>IF(AND(OR(Filter!$B$4="All",D108=Filter!$B$4),OR(Filter!$B$5="All",M108=Filter!$B$5),E108&gt;=Filter!$B$6),MAX(AH$1:AH107)+1,"")</f>
        <v/>
      </c>
      <c r="AI108" s="39">
        <f t="shared" si="39"/>
        <v>42</v>
      </c>
      <c r="AJ108" s="42">
        <f t="shared" si="40"/>
        <v>0.1</v>
      </c>
      <c r="AK108" s="41">
        <f t="shared" si="41"/>
        <v>3745.91</v>
      </c>
      <c r="AL108" s="39">
        <f>RANK(E108,$E$2:$E$1001,0)+COUNTIF($E$2:E108,E108)-1</f>
        <v>649</v>
      </c>
    </row>
    <row r="109" spans="1:38" x14ac:dyDescent="0.2">
      <c r="A109" s="39">
        <v>1065</v>
      </c>
      <c r="B109" s="40">
        <v>45254</v>
      </c>
      <c r="C109" s="39" t="s">
        <v>66</v>
      </c>
      <c r="D109" s="39" t="s">
        <v>59</v>
      </c>
      <c r="E109" s="41">
        <v>9183.11</v>
      </c>
      <c r="F109" s="39">
        <v>18</v>
      </c>
      <c r="G109" s="39" t="s">
        <v>70</v>
      </c>
      <c r="H109" s="41">
        <v>1239.0899999999999</v>
      </c>
      <c r="I109" s="41">
        <v>1273.98</v>
      </c>
      <c r="J109" s="39" t="s">
        <v>143</v>
      </c>
      <c r="K109" s="42">
        <v>0.02</v>
      </c>
      <c r="L109" s="39" t="s">
        <v>63</v>
      </c>
      <c r="M109" s="39" t="s">
        <v>140</v>
      </c>
      <c r="N109" s="39" t="s">
        <v>153</v>
      </c>
      <c r="O109" s="43">
        <f t="shared" si="21"/>
        <v>22931.64</v>
      </c>
      <c r="P109" s="43">
        <f t="shared" si="22"/>
        <v>22473.01</v>
      </c>
      <c r="Q109" s="43">
        <f t="shared" si="23"/>
        <v>22303.62</v>
      </c>
      <c r="R109" s="43">
        <f t="shared" si="24"/>
        <v>169.38999999999942</v>
      </c>
      <c r="S109" s="44">
        <f t="shared" si="25"/>
        <v>7.5374860777438994E-3</v>
      </c>
      <c r="T109" s="39" t="str">
        <f t="shared" si="26"/>
        <v>OK</v>
      </c>
      <c r="U109" s="39" t="str">
        <f t="shared" si="27"/>
        <v>0-9%</v>
      </c>
      <c r="V109" s="39" t="str">
        <f>IF(E109&gt;=Analysis!$B$4,"High",IF(E109&gt;=Analysis!$B$5,"Mid","Low"))</f>
        <v>High</v>
      </c>
      <c r="W109" s="39" t="str">
        <f t="shared" si="28"/>
        <v>2023-11</v>
      </c>
      <c r="X109" s="40">
        <f t="shared" si="29"/>
        <v>45260</v>
      </c>
      <c r="Y109" s="39" t="str">
        <f t="shared" si="30"/>
        <v>2023-Q4</v>
      </c>
      <c r="Z109" s="39" t="str">
        <f t="shared" si="31"/>
        <v>Fri</v>
      </c>
      <c r="AA109" s="39">
        <f t="shared" si="32"/>
        <v>5</v>
      </c>
      <c r="AB109" s="39">
        <f t="shared" si="33"/>
        <v>48</v>
      </c>
      <c r="AC109" s="39" t="str">
        <f t="shared" si="34"/>
        <v>Weekday</v>
      </c>
      <c r="AD109" s="39">
        <f t="shared" ca="1" si="35"/>
        <v>1065</v>
      </c>
      <c r="AE109" s="39">
        <f t="shared" ca="1" si="36"/>
        <v>35</v>
      </c>
      <c r="AF109" s="39" t="str">
        <f t="shared" si="37"/>
        <v>BOB</v>
      </c>
      <c r="AG109" s="39" t="str">
        <f t="shared" si="38"/>
        <v>ER-231124-0108</v>
      </c>
      <c r="AH109" s="39">
        <f>IF(AND(OR(Filter!$B$4="All",D109=Filter!$B$4),OR(Filter!$B$5="All",M109=Filter!$B$5),E109&gt;=Filter!$B$6),MAX(AH$1:AH108)+1,"")</f>
        <v>8</v>
      </c>
      <c r="AI109" s="39">
        <f t="shared" si="39"/>
        <v>18</v>
      </c>
      <c r="AJ109" s="42">
        <f t="shared" si="40"/>
        <v>0.02</v>
      </c>
      <c r="AK109" s="41">
        <f t="shared" si="41"/>
        <v>1273.98</v>
      </c>
      <c r="AL109" s="39">
        <f>RANK(E109,$E$2:$E$1001,0)+COUNTIF($E$2:E109,E109)-1</f>
        <v>80</v>
      </c>
    </row>
    <row r="110" spans="1:38" x14ac:dyDescent="0.2">
      <c r="A110" s="39">
        <v>1089</v>
      </c>
      <c r="B110" s="40">
        <v>45193</v>
      </c>
      <c r="C110" s="39" t="s">
        <v>66</v>
      </c>
      <c r="D110" s="39" t="s">
        <v>69</v>
      </c>
      <c r="E110" s="41">
        <v>2975.99</v>
      </c>
      <c r="F110" s="39">
        <v>48</v>
      </c>
      <c r="G110" s="39" t="s">
        <v>70</v>
      </c>
      <c r="H110" s="41">
        <v>2246.67</v>
      </c>
      <c r="I110" s="41">
        <v>2486.14</v>
      </c>
      <c r="J110" s="39" t="s">
        <v>143</v>
      </c>
      <c r="K110" s="42">
        <v>0.03</v>
      </c>
      <c r="L110" s="39" t="s">
        <v>68</v>
      </c>
      <c r="M110" s="39" t="s">
        <v>140</v>
      </c>
      <c r="N110" s="39" t="s">
        <v>144</v>
      </c>
      <c r="O110" s="43">
        <f t="shared" si="21"/>
        <v>119334.72</v>
      </c>
      <c r="P110" s="43">
        <f t="shared" si="22"/>
        <v>115754.68</v>
      </c>
      <c r="Q110" s="43">
        <f t="shared" si="23"/>
        <v>107840.16</v>
      </c>
      <c r="R110" s="43">
        <f t="shared" si="24"/>
        <v>7914.5199999999895</v>
      </c>
      <c r="S110" s="44">
        <f t="shared" si="25"/>
        <v>6.8373218257784391E-2</v>
      </c>
      <c r="T110" s="39" t="str">
        <f t="shared" si="26"/>
        <v>OK</v>
      </c>
      <c r="U110" s="39" t="str">
        <f t="shared" si="27"/>
        <v>0-9%</v>
      </c>
      <c r="V110" s="39" t="str">
        <f>IF(E110&gt;=Analysis!$B$4,"High",IF(E110&gt;=Analysis!$B$5,"Mid","Low"))</f>
        <v>Mid</v>
      </c>
      <c r="W110" s="39" t="str">
        <f t="shared" si="28"/>
        <v>2023-09</v>
      </c>
      <c r="X110" s="40">
        <f t="shared" si="29"/>
        <v>45199</v>
      </c>
      <c r="Y110" s="39" t="str">
        <f t="shared" si="30"/>
        <v>2023-Q3</v>
      </c>
      <c r="Z110" s="39" t="str">
        <f t="shared" si="31"/>
        <v>Sun</v>
      </c>
      <c r="AA110" s="39">
        <f t="shared" si="32"/>
        <v>7</v>
      </c>
      <c r="AB110" s="39">
        <f t="shared" si="33"/>
        <v>39</v>
      </c>
      <c r="AC110" s="39" t="str">
        <f t="shared" si="34"/>
        <v>Weekend</v>
      </c>
      <c r="AD110" s="39">
        <f t="shared" ca="1" si="35"/>
        <v>1126</v>
      </c>
      <c r="AE110" s="39">
        <f t="shared" ca="1" si="36"/>
        <v>37</v>
      </c>
      <c r="AF110" s="39" t="str">
        <f t="shared" si="37"/>
        <v>BOB</v>
      </c>
      <c r="AG110" s="39" t="str">
        <f t="shared" si="38"/>
        <v>SR-230924-0109</v>
      </c>
      <c r="AH110" s="39" t="str">
        <f>IF(AND(OR(Filter!$B$4="All",D110=Filter!$B$4),OR(Filter!$B$5="All",M110=Filter!$B$5),E110&gt;=Filter!$B$6),MAX(AH$1:AH109)+1,"")</f>
        <v/>
      </c>
      <c r="AI110" s="39">
        <f t="shared" si="39"/>
        <v>48</v>
      </c>
      <c r="AJ110" s="42">
        <f t="shared" si="40"/>
        <v>0.03</v>
      </c>
      <c r="AK110" s="41">
        <f t="shared" si="41"/>
        <v>2486.14</v>
      </c>
      <c r="AL110" s="39">
        <f>RANK(E110,$E$2:$E$1001,0)+COUNTIF($E$2:E110,E110)-1</f>
        <v>696</v>
      </c>
    </row>
    <row r="111" spans="1:38" x14ac:dyDescent="0.2">
      <c r="A111" s="39">
        <v>1071</v>
      </c>
      <c r="B111" s="40">
        <v>45287</v>
      </c>
      <c r="C111" s="39" t="s">
        <v>76</v>
      </c>
      <c r="D111" s="39" t="s">
        <v>59</v>
      </c>
      <c r="E111" s="41">
        <v>4752.88</v>
      </c>
      <c r="F111" s="39">
        <v>40</v>
      </c>
      <c r="G111" s="39" t="s">
        <v>70</v>
      </c>
      <c r="H111" s="41">
        <v>1447.72</v>
      </c>
      <c r="I111" s="41">
        <v>1875.75</v>
      </c>
      <c r="J111" s="39" t="s">
        <v>143</v>
      </c>
      <c r="K111" s="42">
        <v>0.13</v>
      </c>
      <c r="L111" s="39" t="s">
        <v>68</v>
      </c>
      <c r="M111" s="39" t="s">
        <v>140</v>
      </c>
      <c r="N111" s="39" t="s">
        <v>157</v>
      </c>
      <c r="O111" s="43">
        <f t="shared" si="21"/>
        <v>75030</v>
      </c>
      <c r="P111" s="43">
        <f t="shared" si="22"/>
        <v>65276.1</v>
      </c>
      <c r="Q111" s="43">
        <f t="shared" si="23"/>
        <v>57908.800000000003</v>
      </c>
      <c r="R111" s="43">
        <f t="shared" si="24"/>
        <v>7367.2999999999956</v>
      </c>
      <c r="S111" s="44">
        <f t="shared" si="25"/>
        <v>0.1128636667938188</v>
      </c>
      <c r="T111" s="39" t="str">
        <f t="shared" si="26"/>
        <v>OK</v>
      </c>
      <c r="U111" s="39" t="str">
        <f t="shared" si="27"/>
        <v>10-19%</v>
      </c>
      <c r="V111" s="39" t="str">
        <f>IF(E111&gt;=Analysis!$B$4,"High",IF(E111&gt;=Analysis!$B$5,"Mid","Low"))</f>
        <v>Mid</v>
      </c>
      <c r="W111" s="39" t="str">
        <f t="shared" si="28"/>
        <v>2023-12</v>
      </c>
      <c r="X111" s="40">
        <f t="shared" si="29"/>
        <v>45291</v>
      </c>
      <c r="Y111" s="39" t="str">
        <f t="shared" si="30"/>
        <v>2023-Q4</v>
      </c>
      <c r="Z111" s="39" t="str">
        <f t="shared" si="31"/>
        <v>Wed</v>
      </c>
      <c r="AA111" s="39">
        <f t="shared" si="32"/>
        <v>3</v>
      </c>
      <c r="AB111" s="39">
        <f t="shared" si="33"/>
        <v>53</v>
      </c>
      <c r="AC111" s="39" t="str">
        <f t="shared" si="34"/>
        <v>Weekday</v>
      </c>
      <c r="AD111" s="39">
        <f t="shared" ca="1" si="35"/>
        <v>1032</v>
      </c>
      <c r="AE111" s="39">
        <f t="shared" ca="1" si="36"/>
        <v>33</v>
      </c>
      <c r="AF111" s="39" t="str">
        <f t="shared" si="37"/>
        <v>DAV</v>
      </c>
      <c r="AG111" s="39" t="str">
        <f t="shared" si="38"/>
        <v>ER-231227-0110</v>
      </c>
      <c r="AH111" s="39" t="str">
        <f>IF(AND(OR(Filter!$B$4="All",D111=Filter!$B$4),OR(Filter!$B$5="All",M111=Filter!$B$5),E111&gt;=Filter!$B$6),MAX(AH$1:AH110)+1,"")</f>
        <v/>
      </c>
      <c r="AI111" s="39">
        <f t="shared" si="39"/>
        <v>40</v>
      </c>
      <c r="AJ111" s="42">
        <f t="shared" si="40"/>
        <v>0.13</v>
      </c>
      <c r="AK111" s="41">
        <f t="shared" si="41"/>
        <v>1875.75</v>
      </c>
      <c r="AL111" s="39">
        <f>RANK(E111,$E$2:$E$1001,0)+COUNTIF($E$2:E111,E111)-1</f>
        <v>524</v>
      </c>
    </row>
    <row r="112" spans="1:38" x14ac:dyDescent="0.2">
      <c r="A112" s="39">
        <v>1009</v>
      </c>
      <c r="B112" s="40">
        <v>45155</v>
      </c>
      <c r="C112" s="39" t="s">
        <v>66</v>
      </c>
      <c r="D112" s="39" t="s">
        <v>74</v>
      </c>
      <c r="E112" s="41">
        <v>8912.4</v>
      </c>
      <c r="F112" s="39">
        <v>33</v>
      </c>
      <c r="G112" s="39" t="s">
        <v>60</v>
      </c>
      <c r="H112" s="41">
        <v>450.72</v>
      </c>
      <c r="I112" s="41">
        <v>918.17</v>
      </c>
      <c r="J112" s="39" t="s">
        <v>137</v>
      </c>
      <c r="K112" s="42">
        <v>0.11</v>
      </c>
      <c r="L112" s="39" t="s">
        <v>68</v>
      </c>
      <c r="M112" s="39" t="s">
        <v>138</v>
      </c>
      <c r="N112" s="39" t="s">
        <v>141</v>
      </c>
      <c r="O112" s="43">
        <f t="shared" si="21"/>
        <v>30299.61</v>
      </c>
      <c r="P112" s="43">
        <f t="shared" si="22"/>
        <v>26966.65</v>
      </c>
      <c r="Q112" s="43">
        <f t="shared" si="23"/>
        <v>14873.76</v>
      </c>
      <c r="R112" s="43">
        <f t="shared" si="24"/>
        <v>12092.890000000001</v>
      </c>
      <c r="S112" s="44">
        <f t="shared" si="25"/>
        <v>0.44843871967782428</v>
      </c>
      <c r="T112" s="39" t="str">
        <f t="shared" si="26"/>
        <v>OK</v>
      </c>
      <c r="U112" s="39" t="str">
        <f t="shared" si="27"/>
        <v>10-19%</v>
      </c>
      <c r="V112" s="39" t="str">
        <f>IF(E112&gt;=Analysis!$B$4,"High",IF(E112&gt;=Analysis!$B$5,"Mid","Low"))</f>
        <v>High</v>
      </c>
      <c r="W112" s="39" t="str">
        <f t="shared" si="28"/>
        <v>2023-08</v>
      </c>
      <c r="X112" s="40">
        <f t="shared" si="29"/>
        <v>45169</v>
      </c>
      <c r="Y112" s="39" t="str">
        <f t="shared" si="30"/>
        <v>2023-Q3</v>
      </c>
      <c r="Z112" s="39" t="str">
        <f t="shared" si="31"/>
        <v>Thu</v>
      </c>
      <c r="AA112" s="39">
        <f t="shared" si="32"/>
        <v>4</v>
      </c>
      <c r="AB112" s="39">
        <f t="shared" si="33"/>
        <v>34</v>
      </c>
      <c r="AC112" s="39" t="str">
        <f t="shared" si="34"/>
        <v>Weekday</v>
      </c>
      <c r="AD112" s="39">
        <f t="shared" ca="1" si="35"/>
        <v>1164</v>
      </c>
      <c r="AE112" s="39">
        <f t="shared" ca="1" si="36"/>
        <v>38</v>
      </c>
      <c r="AF112" s="39" t="str">
        <f t="shared" si="37"/>
        <v>BOB</v>
      </c>
      <c r="AG112" s="39" t="str">
        <f t="shared" si="38"/>
        <v>WO-230817-0111</v>
      </c>
      <c r="AH112" s="39" t="str">
        <f>IF(AND(OR(Filter!$B$4="All",D112=Filter!$B$4),OR(Filter!$B$5="All",M112=Filter!$B$5),E112&gt;=Filter!$B$6),MAX(AH$1:AH111)+1,"")</f>
        <v/>
      </c>
      <c r="AI112" s="39">
        <f t="shared" si="39"/>
        <v>33</v>
      </c>
      <c r="AJ112" s="42">
        <f t="shared" si="40"/>
        <v>0.11</v>
      </c>
      <c r="AK112" s="41">
        <f t="shared" si="41"/>
        <v>918.17</v>
      </c>
      <c r="AL112" s="39">
        <f>RANK(E112,$E$2:$E$1001,0)+COUNTIF($E$2:E112,E112)-1</f>
        <v>101</v>
      </c>
    </row>
    <row r="113" spans="1:38" x14ac:dyDescent="0.2">
      <c r="A113" s="39">
        <v>1088</v>
      </c>
      <c r="B113" s="40">
        <v>45196</v>
      </c>
      <c r="C113" s="39" t="s">
        <v>79</v>
      </c>
      <c r="D113" s="39" t="s">
        <v>64</v>
      </c>
      <c r="E113" s="41">
        <v>7106.44</v>
      </c>
      <c r="F113" s="39">
        <v>12</v>
      </c>
      <c r="G113" s="39" t="s">
        <v>60</v>
      </c>
      <c r="H113" s="41">
        <v>4389.24</v>
      </c>
      <c r="I113" s="41">
        <v>4856.22</v>
      </c>
      <c r="J113" s="39" t="s">
        <v>137</v>
      </c>
      <c r="K113" s="42">
        <v>0.15</v>
      </c>
      <c r="L113" s="39" t="s">
        <v>68</v>
      </c>
      <c r="M113" s="39" t="s">
        <v>140</v>
      </c>
      <c r="N113" s="39" t="s">
        <v>148</v>
      </c>
      <c r="O113" s="43">
        <f t="shared" si="21"/>
        <v>58274.64</v>
      </c>
      <c r="P113" s="43">
        <f t="shared" si="22"/>
        <v>49533.440000000002</v>
      </c>
      <c r="Q113" s="43">
        <f t="shared" si="23"/>
        <v>52670.879999999997</v>
      </c>
      <c r="R113" s="43">
        <f t="shared" si="24"/>
        <v>-3137.4399999999951</v>
      </c>
      <c r="S113" s="44">
        <f t="shared" si="25"/>
        <v>-6.3339836684066259E-2</v>
      </c>
      <c r="T113" s="39" t="str">
        <f t="shared" si="26"/>
        <v>Loss</v>
      </c>
      <c r="U113" s="39" t="str">
        <f t="shared" si="27"/>
        <v>10-19%</v>
      </c>
      <c r="V113" s="39" t="str">
        <f>IF(E113&gt;=Analysis!$B$4,"High",IF(E113&gt;=Analysis!$B$5,"Mid","Low"))</f>
        <v>Mid</v>
      </c>
      <c r="W113" s="39" t="str">
        <f t="shared" si="28"/>
        <v>2023-09</v>
      </c>
      <c r="X113" s="40">
        <f t="shared" si="29"/>
        <v>45199</v>
      </c>
      <c r="Y113" s="39" t="str">
        <f t="shared" si="30"/>
        <v>2023-Q3</v>
      </c>
      <c r="Z113" s="39" t="str">
        <f t="shared" si="31"/>
        <v>Wed</v>
      </c>
      <c r="AA113" s="39">
        <f t="shared" si="32"/>
        <v>3</v>
      </c>
      <c r="AB113" s="39">
        <f t="shared" si="33"/>
        <v>40</v>
      </c>
      <c r="AC113" s="39" t="str">
        <f t="shared" si="34"/>
        <v>Weekday</v>
      </c>
      <c r="AD113" s="39">
        <f t="shared" ca="1" si="35"/>
        <v>1123</v>
      </c>
      <c r="AE113" s="39">
        <f t="shared" ca="1" si="36"/>
        <v>36</v>
      </c>
      <c r="AF113" s="39" t="str">
        <f t="shared" si="37"/>
        <v>EVE</v>
      </c>
      <c r="AG113" s="39" t="str">
        <f t="shared" si="38"/>
        <v>NR-230927-0112</v>
      </c>
      <c r="AH113" s="39" t="str">
        <f>IF(AND(OR(Filter!$B$4="All",D113=Filter!$B$4),OR(Filter!$B$5="All",M113=Filter!$B$5),E113&gt;=Filter!$B$6),MAX(AH$1:AH112)+1,"")</f>
        <v/>
      </c>
      <c r="AI113" s="39">
        <f t="shared" si="39"/>
        <v>12</v>
      </c>
      <c r="AJ113" s="42">
        <f t="shared" si="40"/>
        <v>0.15</v>
      </c>
      <c r="AK113" s="41">
        <f t="shared" si="41"/>
        <v>4856.22</v>
      </c>
      <c r="AL113" s="39">
        <f>RANK(E113,$E$2:$E$1001,0)+COUNTIF($E$2:E113,E113)-1</f>
        <v>288</v>
      </c>
    </row>
    <row r="114" spans="1:38" x14ac:dyDescent="0.2">
      <c r="A114" s="39">
        <v>1001</v>
      </c>
      <c r="B114" s="40">
        <v>45242</v>
      </c>
      <c r="C114" s="39" t="s">
        <v>61</v>
      </c>
      <c r="D114" s="39" t="s">
        <v>64</v>
      </c>
      <c r="E114" s="41">
        <v>715.81</v>
      </c>
      <c r="F114" s="39">
        <v>8</v>
      </c>
      <c r="G114" s="39" t="s">
        <v>65</v>
      </c>
      <c r="H114" s="41">
        <v>3657.91</v>
      </c>
      <c r="I114" s="41">
        <v>3729.27</v>
      </c>
      <c r="J114" s="39" t="s">
        <v>143</v>
      </c>
      <c r="K114" s="42">
        <v>0.09</v>
      </c>
      <c r="L114" s="39" t="s">
        <v>63</v>
      </c>
      <c r="M114" s="39" t="s">
        <v>140</v>
      </c>
      <c r="N114" s="39" t="s">
        <v>156</v>
      </c>
      <c r="O114" s="43">
        <f t="shared" si="21"/>
        <v>29834.16</v>
      </c>
      <c r="P114" s="43">
        <f t="shared" si="22"/>
        <v>27149.09</v>
      </c>
      <c r="Q114" s="43">
        <f t="shared" si="23"/>
        <v>29263.279999999999</v>
      </c>
      <c r="R114" s="43">
        <f t="shared" si="24"/>
        <v>-2114.1899999999987</v>
      </c>
      <c r="S114" s="44">
        <f t="shared" si="25"/>
        <v>-7.7873328350968621E-2</v>
      </c>
      <c r="T114" s="39" t="str">
        <f t="shared" si="26"/>
        <v>Loss</v>
      </c>
      <c r="U114" s="39" t="str">
        <f t="shared" si="27"/>
        <v>0-9%</v>
      </c>
      <c r="V114" s="39" t="str">
        <f>IF(E114&gt;=Analysis!$B$4,"High",IF(E114&gt;=Analysis!$B$5,"Mid","Low"))</f>
        <v>Low</v>
      </c>
      <c r="W114" s="39" t="str">
        <f t="shared" si="28"/>
        <v>2023-11</v>
      </c>
      <c r="X114" s="40">
        <f t="shared" si="29"/>
        <v>45260</v>
      </c>
      <c r="Y114" s="39" t="str">
        <f t="shared" si="30"/>
        <v>2023-Q4</v>
      </c>
      <c r="Z114" s="39" t="str">
        <f t="shared" si="31"/>
        <v>Sun</v>
      </c>
      <c r="AA114" s="39">
        <f t="shared" si="32"/>
        <v>7</v>
      </c>
      <c r="AB114" s="39">
        <f t="shared" si="33"/>
        <v>46</v>
      </c>
      <c r="AC114" s="39" t="str">
        <f t="shared" si="34"/>
        <v>Weekend</v>
      </c>
      <c r="AD114" s="39">
        <f t="shared" ca="1" si="35"/>
        <v>1077</v>
      </c>
      <c r="AE114" s="39">
        <f t="shared" ca="1" si="36"/>
        <v>35</v>
      </c>
      <c r="AF114" s="39" t="str">
        <f t="shared" si="37"/>
        <v>ALI</v>
      </c>
      <c r="AG114" s="39" t="str">
        <f t="shared" si="38"/>
        <v>NR-231112-0113</v>
      </c>
      <c r="AH114" s="39" t="str">
        <f>IF(AND(OR(Filter!$B$4="All",D114=Filter!$B$4),OR(Filter!$B$5="All",M114=Filter!$B$5),E114&gt;=Filter!$B$6),MAX(AH$1:AH113)+1,"")</f>
        <v/>
      </c>
      <c r="AI114" s="39">
        <f t="shared" si="39"/>
        <v>8</v>
      </c>
      <c r="AJ114" s="42">
        <f t="shared" si="40"/>
        <v>0.09</v>
      </c>
      <c r="AK114" s="41">
        <f t="shared" si="41"/>
        <v>3729.27</v>
      </c>
      <c r="AL114" s="39">
        <f>RANK(E114,$E$2:$E$1001,0)+COUNTIF($E$2:E114,E114)-1</f>
        <v>941</v>
      </c>
    </row>
    <row r="115" spans="1:38" x14ac:dyDescent="0.2">
      <c r="A115" s="39">
        <v>1008</v>
      </c>
      <c r="B115" s="40">
        <v>45212</v>
      </c>
      <c r="C115" s="39" t="s">
        <v>79</v>
      </c>
      <c r="D115" s="39" t="s">
        <v>74</v>
      </c>
      <c r="E115" s="41">
        <v>1558.3</v>
      </c>
      <c r="F115" s="39">
        <v>24</v>
      </c>
      <c r="G115" s="39" t="s">
        <v>65</v>
      </c>
      <c r="H115" s="41">
        <v>1542.24</v>
      </c>
      <c r="I115" s="41">
        <v>1739.45</v>
      </c>
      <c r="J115" s="39" t="s">
        <v>137</v>
      </c>
      <c r="K115" s="42">
        <v>0.21</v>
      </c>
      <c r="L115" s="39" t="s">
        <v>63</v>
      </c>
      <c r="M115" s="39" t="s">
        <v>140</v>
      </c>
      <c r="N115" s="39" t="s">
        <v>149</v>
      </c>
      <c r="O115" s="43">
        <f t="shared" si="21"/>
        <v>41746.800000000003</v>
      </c>
      <c r="P115" s="43">
        <f t="shared" si="22"/>
        <v>32979.97</v>
      </c>
      <c r="Q115" s="43">
        <f t="shared" si="23"/>
        <v>37013.760000000002</v>
      </c>
      <c r="R115" s="43">
        <f t="shared" si="24"/>
        <v>-4033.7900000000009</v>
      </c>
      <c r="S115" s="44">
        <f t="shared" si="25"/>
        <v>-0.12231029925133348</v>
      </c>
      <c r="T115" s="39" t="str">
        <f t="shared" si="26"/>
        <v>Loss</v>
      </c>
      <c r="U115" s="39" t="str">
        <f t="shared" si="27"/>
        <v>20%+</v>
      </c>
      <c r="V115" s="39" t="str">
        <f>IF(E115&gt;=Analysis!$B$4,"High",IF(E115&gt;=Analysis!$B$5,"Mid","Low"))</f>
        <v>Low</v>
      </c>
      <c r="W115" s="39" t="str">
        <f t="shared" si="28"/>
        <v>2023-10</v>
      </c>
      <c r="X115" s="40">
        <f t="shared" si="29"/>
        <v>45230</v>
      </c>
      <c r="Y115" s="39" t="str">
        <f t="shared" si="30"/>
        <v>2023-Q4</v>
      </c>
      <c r="Z115" s="39" t="str">
        <f t="shared" si="31"/>
        <v>Fri</v>
      </c>
      <c r="AA115" s="39">
        <f t="shared" si="32"/>
        <v>5</v>
      </c>
      <c r="AB115" s="39">
        <f t="shared" si="33"/>
        <v>42</v>
      </c>
      <c r="AC115" s="39" t="str">
        <f t="shared" si="34"/>
        <v>Weekday</v>
      </c>
      <c r="AD115" s="39">
        <f t="shared" ca="1" si="35"/>
        <v>1107</v>
      </c>
      <c r="AE115" s="39">
        <f t="shared" ca="1" si="36"/>
        <v>36</v>
      </c>
      <c r="AF115" s="39" t="str">
        <f t="shared" si="37"/>
        <v>EVE</v>
      </c>
      <c r="AG115" s="39" t="str">
        <f t="shared" si="38"/>
        <v>WR-231013-0114</v>
      </c>
      <c r="AH115" s="39" t="str">
        <f>IF(AND(OR(Filter!$B$4="All",D115=Filter!$B$4),OR(Filter!$B$5="All",M115=Filter!$B$5),E115&gt;=Filter!$B$6),MAX(AH$1:AH114)+1,"")</f>
        <v/>
      </c>
      <c r="AI115" s="39">
        <f t="shared" si="39"/>
        <v>24</v>
      </c>
      <c r="AJ115" s="42">
        <f t="shared" si="40"/>
        <v>0.21</v>
      </c>
      <c r="AK115" s="41">
        <f t="shared" si="41"/>
        <v>1739.45</v>
      </c>
      <c r="AL115" s="39">
        <f>RANK(E115,$E$2:$E$1001,0)+COUNTIF($E$2:E115,E115)-1</f>
        <v>862</v>
      </c>
    </row>
    <row r="116" spans="1:38" x14ac:dyDescent="0.2">
      <c r="A116" s="39">
        <v>1088</v>
      </c>
      <c r="B116" s="40">
        <v>45217</v>
      </c>
      <c r="C116" s="39" t="s">
        <v>79</v>
      </c>
      <c r="D116" s="39" t="s">
        <v>74</v>
      </c>
      <c r="E116" s="41">
        <v>177.63</v>
      </c>
      <c r="F116" s="39">
        <v>16</v>
      </c>
      <c r="G116" s="39" t="s">
        <v>75</v>
      </c>
      <c r="H116" s="41">
        <v>3016.9</v>
      </c>
      <c r="I116" s="41">
        <v>3040.73</v>
      </c>
      <c r="J116" s="39" t="s">
        <v>143</v>
      </c>
      <c r="K116" s="42">
        <v>0.26</v>
      </c>
      <c r="L116" s="39" t="s">
        <v>63</v>
      </c>
      <c r="M116" s="39" t="s">
        <v>140</v>
      </c>
      <c r="N116" s="39" t="s">
        <v>149</v>
      </c>
      <c r="O116" s="43">
        <f t="shared" si="21"/>
        <v>48651.68</v>
      </c>
      <c r="P116" s="43">
        <f t="shared" si="22"/>
        <v>36002.239999999998</v>
      </c>
      <c r="Q116" s="43">
        <f t="shared" si="23"/>
        <v>48270.400000000001</v>
      </c>
      <c r="R116" s="43">
        <f t="shared" si="24"/>
        <v>-12268.160000000003</v>
      </c>
      <c r="S116" s="44">
        <f t="shared" si="25"/>
        <v>-0.34076101931435387</v>
      </c>
      <c r="T116" s="39" t="str">
        <f t="shared" si="26"/>
        <v>Loss</v>
      </c>
      <c r="U116" s="39" t="str">
        <f t="shared" si="27"/>
        <v>20%+</v>
      </c>
      <c r="V116" s="39" t="str">
        <f>IF(E116&gt;=Analysis!$B$4,"High",IF(E116&gt;=Analysis!$B$5,"Mid","Low"))</f>
        <v>Low</v>
      </c>
      <c r="W116" s="39" t="str">
        <f t="shared" si="28"/>
        <v>2023-10</v>
      </c>
      <c r="X116" s="40">
        <f t="shared" si="29"/>
        <v>45230</v>
      </c>
      <c r="Y116" s="39" t="str">
        <f t="shared" si="30"/>
        <v>2023-Q4</v>
      </c>
      <c r="Z116" s="39" t="str">
        <f t="shared" si="31"/>
        <v>Wed</v>
      </c>
      <c r="AA116" s="39">
        <f t="shared" si="32"/>
        <v>3</v>
      </c>
      <c r="AB116" s="39">
        <f t="shared" si="33"/>
        <v>43</v>
      </c>
      <c r="AC116" s="39" t="str">
        <f t="shared" si="34"/>
        <v>Weekday</v>
      </c>
      <c r="AD116" s="39">
        <f t="shared" ca="1" si="35"/>
        <v>1102</v>
      </c>
      <c r="AE116" s="39">
        <f t="shared" ca="1" si="36"/>
        <v>36</v>
      </c>
      <c r="AF116" s="39" t="str">
        <f t="shared" si="37"/>
        <v>EVE</v>
      </c>
      <c r="AG116" s="39" t="str">
        <f t="shared" si="38"/>
        <v>WR-231018-0115</v>
      </c>
      <c r="AH116" s="39" t="str">
        <f>IF(AND(OR(Filter!$B$4="All",D116=Filter!$B$4),OR(Filter!$B$5="All",M116=Filter!$B$5),E116&gt;=Filter!$B$6),MAX(AH$1:AH115)+1,"")</f>
        <v/>
      </c>
      <c r="AI116" s="39">
        <f t="shared" si="39"/>
        <v>16</v>
      </c>
      <c r="AJ116" s="42">
        <f t="shared" si="40"/>
        <v>0.26</v>
      </c>
      <c r="AK116" s="41">
        <f t="shared" si="41"/>
        <v>3040.73</v>
      </c>
      <c r="AL116" s="39">
        <f>RANK(E116,$E$2:$E$1001,0)+COUNTIF($E$2:E116,E116)-1</f>
        <v>994</v>
      </c>
    </row>
    <row r="117" spans="1:38" x14ac:dyDescent="0.2">
      <c r="A117" s="39">
        <v>1063</v>
      </c>
      <c r="B117" s="40">
        <v>45139</v>
      </c>
      <c r="C117" s="39" t="s">
        <v>66</v>
      </c>
      <c r="D117" s="39" t="s">
        <v>69</v>
      </c>
      <c r="E117" s="41">
        <v>6346.13</v>
      </c>
      <c r="F117" s="39">
        <v>4</v>
      </c>
      <c r="G117" s="39" t="s">
        <v>65</v>
      </c>
      <c r="H117" s="41">
        <v>1046.26</v>
      </c>
      <c r="I117" s="41">
        <v>1475.29</v>
      </c>
      <c r="J117" s="39" t="s">
        <v>137</v>
      </c>
      <c r="K117" s="42">
        <v>0.09</v>
      </c>
      <c r="L117" s="39" t="s">
        <v>63</v>
      </c>
      <c r="M117" s="39" t="s">
        <v>140</v>
      </c>
      <c r="N117" s="39" t="s">
        <v>144</v>
      </c>
      <c r="O117" s="43">
        <f t="shared" si="21"/>
        <v>5901.16</v>
      </c>
      <c r="P117" s="43">
        <f t="shared" si="22"/>
        <v>5370.06</v>
      </c>
      <c r="Q117" s="43">
        <f t="shared" si="23"/>
        <v>4185.04</v>
      </c>
      <c r="R117" s="43">
        <f t="shared" si="24"/>
        <v>1185.0200000000004</v>
      </c>
      <c r="S117" s="44">
        <f t="shared" si="25"/>
        <v>0.22067164985121215</v>
      </c>
      <c r="T117" s="39" t="str">
        <f t="shared" si="26"/>
        <v>OK</v>
      </c>
      <c r="U117" s="39" t="str">
        <f t="shared" si="27"/>
        <v>0-9%</v>
      </c>
      <c r="V117" s="39" t="str">
        <f>IF(E117&gt;=Analysis!$B$4,"High",IF(E117&gt;=Analysis!$B$5,"Mid","Low"))</f>
        <v>Mid</v>
      </c>
      <c r="W117" s="39" t="str">
        <f t="shared" si="28"/>
        <v>2023-08</v>
      </c>
      <c r="X117" s="40">
        <f t="shared" si="29"/>
        <v>45169</v>
      </c>
      <c r="Y117" s="39" t="str">
        <f t="shared" si="30"/>
        <v>2023-Q3</v>
      </c>
      <c r="Z117" s="39" t="str">
        <f t="shared" si="31"/>
        <v>Tue</v>
      </c>
      <c r="AA117" s="39">
        <f t="shared" si="32"/>
        <v>2</v>
      </c>
      <c r="AB117" s="39">
        <f t="shared" si="33"/>
        <v>32</v>
      </c>
      <c r="AC117" s="39" t="str">
        <f t="shared" si="34"/>
        <v>Weekday</v>
      </c>
      <c r="AD117" s="39">
        <f t="shared" ca="1" si="35"/>
        <v>1180</v>
      </c>
      <c r="AE117" s="39">
        <f t="shared" ca="1" si="36"/>
        <v>38</v>
      </c>
      <c r="AF117" s="39" t="str">
        <f t="shared" si="37"/>
        <v>BOB</v>
      </c>
      <c r="AG117" s="39" t="str">
        <f t="shared" si="38"/>
        <v>SR-230801-0116</v>
      </c>
      <c r="AH117" s="39" t="str">
        <f>IF(AND(OR(Filter!$B$4="All",D117=Filter!$B$4),OR(Filter!$B$5="All",M117=Filter!$B$5),E117&gt;=Filter!$B$6),MAX(AH$1:AH116)+1,"")</f>
        <v/>
      </c>
      <c r="AI117" s="39">
        <f t="shared" si="39"/>
        <v>4</v>
      </c>
      <c r="AJ117" s="42">
        <f t="shared" si="40"/>
        <v>0.09</v>
      </c>
      <c r="AK117" s="41">
        <f t="shared" si="41"/>
        <v>1475.29</v>
      </c>
      <c r="AL117" s="39">
        <f>RANK(E117,$E$2:$E$1001,0)+COUNTIF($E$2:E117,E117)-1</f>
        <v>374</v>
      </c>
    </row>
    <row r="118" spans="1:38" x14ac:dyDescent="0.2">
      <c r="A118" s="39">
        <v>1011</v>
      </c>
      <c r="B118" s="40">
        <v>45091</v>
      </c>
      <c r="C118" s="39" t="s">
        <v>61</v>
      </c>
      <c r="D118" s="39" t="s">
        <v>69</v>
      </c>
      <c r="E118" s="41">
        <v>4531.97</v>
      </c>
      <c r="F118" s="39">
        <v>38</v>
      </c>
      <c r="G118" s="39" t="s">
        <v>75</v>
      </c>
      <c r="H118" s="41">
        <v>4456.67</v>
      </c>
      <c r="I118" s="41">
        <v>4642.46</v>
      </c>
      <c r="J118" s="39" t="s">
        <v>143</v>
      </c>
      <c r="K118" s="42">
        <v>0.06</v>
      </c>
      <c r="L118" s="39" t="s">
        <v>63</v>
      </c>
      <c r="M118" s="39" t="s">
        <v>138</v>
      </c>
      <c r="N118" s="39" t="s">
        <v>150</v>
      </c>
      <c r="O118" s="43">
        <f t="shared" si="21"/>
        <v>176413.48</v>
      </c>
      <c r="P118" s="43">
        <f t="shared" si="22"/>
        <v>165828.67000000001</v>
      </c>
      <c r="Q118" s="43">
        <f t="shared" si="23"/>
        <v>169353.46</v>
      </c>
      <c r="R118" s="43">
        <f t="shared" si="24"/>
        <v>-3524.789999999979</v>
      </c>
      <c r="S118" s="44">
        <f t="shared" si="25"/>
        <v>-2.1255612796026037E-2</v>
      </c>
      <c r="T118" s="39" t="str">
        <f t="shared" si="26"/>
        <v>Loss</v>
      </c>
      <c r="U118" s="39" t="str">
        <f t="shared" si="27"/>
        <v>0-9%</v>
      </c>
      <c r="V118" s="39" t="str">
        <f>IF(E118&gt;=Analysis!$B$4,"High",IF(E118&gt;=Analysis!$B$5,"Mid","Low"))</f>
        <v>Mid</v>
      </c>
      <c r="W118" s="39" t="str">
        <f t="shared" si="28"/>
        <v>2023-06</v>
      </c>
      <c r="X118" s="40">
        <f t="shared" si="29"/>
        <v>45107</v>
      </c>
      <c r="Y118" s="39" t="str">
        <f t="shared" si="30"/>
        <v>2023-Q2</v>
      </c>
      <c r="Z118" s="39" t="str">
        <f t="shared" si="31"/>
        <v>Wed</v>
      </c>
      <c r="AA118" s="39">
        <f t="shared" si="32"/>
        <v>3</v>
      </c>
      <c r="AB118" s="39">
        <f t="shared" si="33"/>
        <v>25</v>
      </c>
      <c r="AC118" s="39" t="str">
        <f t="shared" si="34"/>
        <v>Weekday</v>
      </c>
      <c r="AD118" s="39">
        <f t="shared" ca="1" si="35"/>
        <v>1228</v>
      </c>
      <c r="AE118" s="39">
        <f t="shared" ca="1" si="36"/>
        <v>40</v>
      </c>
      <c r="AF118" s="39" t="str">
        <f t="shared" si="37"/>
        <v>ALI</v>
      </c>
      <c r="AG118" s="39" t="str">
        <f t="shared" si="38"/>
        <v>SO-230614-0117</v>
      </c>
      <c r="AH118" s="39" t="str">
        <f>IF(AND(OR(Filter!$B$4="All",D118=Filter!$B$4),OR(Filter!$B$5="All",M118=Filter!$B$5),E118&gt;=Filter!$B$6),MAX(AH$1:AH117)+1,"")</f>
        <v/>
      </c>
      <c r="AI118" s="39">
        <f t="shared" si="39"/>
        <v>38</v>
      </c>
      <c r="AJ118" s="42">
        <f t="shared" si="40"/>
        <v>0.06</v>
      </c>
      <c r="AK118" s="41">
        <f t="shared" si="41"/>
        <v>4642.46</v>
      </c>
      <c r="AL118" s="39">
        <f>RANK(E118,$E$2:$E$1001,0)+COUNTIF($E$2:E118,E118)-1</f>
        <v>546</v>
      </c>
    </row>
    <row r="119" spans="1:38" x14ac:dyDescent="0.2">
      <c r="A119" s="39">
        <v>1081</v>
      </c>
      <c r="B119" s="40">
        <v>44931</v>
      </c>
      <c r="C119" s="39" t="s">
        <v>66</v>
      </c>
      <c r="D119" s="39" t="s">
        <v>69</v>
      </c>
      <c r="E119" s="41">
        <v>1429.32</v>
      </c>
      <c r="F119" s="39">
        <v>44</v>
      </c>
      <c r="G119" s="39" t="s">
        <v>70</v>
      </c>
      <c r="H119" s="41">
        <v>618.79</v>
      </c>
      <c r="I119" s="41">
        <v>938.04</v>
      </c>
      <c r="J119" s="39" t="s">
        <v>137</v>
      </c>
      <c r="K119" s="42">
        <v>0.03</v>
      </c>
      <c r="L119" s="39" t="s">
        <v>68</v>
      </c>
      <c r="M119" s="39" t="s">
        <v>138</v>
      </c>
      <c r="N119" s="39" t="s">
        <v>144</v>
      </c>
      <c r="O119" s="43">
        <f t="shared" si="21"/>
        <v>41273.760000000002</v>
      </c>
      <c r="P119" s="43">
        <f t="shared" si="22"/>
        <v>40035.550000000003</v>
      </c>
      <c r="Q119" s="43">
        <f t="shared" si="23"/>
        <v>27226.76</v>
      </c>
      <c r="R119" s="43">
        <f t="shared" si="24"/>
        <v>12808.790000000005</v>
      </c>
      <c r="S119" s="44">
        <f t="shared" si="25"/>
        <v>0.31993540740666743</v>
      </c>
      <c r="T119" s="39" t="str">
        <f t="shared" si="26"/>
        <v>OK</v>
      </c>
      <c r="U119" s="39" t="str">
        <f t="shared" si="27"/>
        <v>0-9%</v>
      </c>
      <c r="V119" s="39" t="str">
        <f>IF(E119&gt;=Analysis!$B$4,"High",IF(E119&gt;=Analysis!$B$5,"Mid","Low"))</f>
        <v>Low</v>
      </c>
      <c r="W119" s="39" t="str">
        <f t="shared" si="28"/>
        <v>2023-01</v>
      </c>
      <c r="X119" s="40">
        <f t="shared" si="29"/>
        <v>44957</v>
      </c>
      <c r="Y119" s="39" t="str">
        <f t="shared" si="30"/>
        <v>2023-Q1</v>
      </c>
      <c r="Z119" s="39" t="str">
        <f t="shared" si="31"/>
        <v>Thu</v>
      </c>
      <c r="AA119" s="39">
        <f t="shared" si="32"/>
        <v>4</v>
      </c>
      <c r="AB119" s="39">
        <f t="shared" si="33"/>
        <v>2</v>
      </c>
      <c r="AC119" s="39" t="str">
        <f t="shared" si="34"/>
        <v>Weekday</v>
      </c>
      <c r="AD119" s="39">
        <f t="shared" ca="1" si="35"/>
        <v>1388</v>
      </c>
      <c r="AE119" s="39">
        <f t="shared" ca="1" si="36"/>
        <v>45</v>
      </c>
      <c r="AF119" s="39" t="str">
        <f t="shared" si="37"/>
        <v>BOB</v>
      </c>
      <c r="AG119" s="39" t="str">
        <f t="shared" si="38"/>
        <v>SO-230105-0118</v>
      </c>
      <c r="AH119" s="39" t="str">
        <f>IF(AND(OR(Filter!$B$4="All",D119=Filter!$B$4),OR(Filter!$B$5="All",M119=Filter!$B$5),E119&gt;=Filter!$B$6),MAX(AH$1:AH118)+1,"")</f>
        <v/>
      </c>
      <c r="AI119" s="39">
        <f t="shared" si="39"/>
        <v>44</v>
      </c>
      <c r="AJ119" s="42">
        <f t="shared" si="40"/>
        <v>0.03</v>
      </c>
      <c r="AK119" s="41">
        <f t="shared" si="41"/>
        <v>938.04</v>
      </c>
      <c r="AL119" s="39">
        <f>RANK(E119,$E$2:$E$1001,0)+COUNTIF($E$2:E119,E119)-1</f>
        <v>874</v>
      </c>
    </row>
    <row r="120" spans="1:38" x14ac:dyDescent="0.2">
      <c r="A120" s="39">
        <v>1008</v>
      </c>
      <c r="B120" s="40">
        <v>45265</v>
      </c>
      <c r="C120" s="39" t="s">
        <v>71</v>
      </c>
      <c r="D120" s="39" t="s">
        <v>59</v>
      </c>
      <c r="E120" s="41">
        <v>9583.5499999999993</v>
      </c>
      <c r="F120" s="39">
        <v>27</v>
      </c>
      <c r="G120" s="39" t="s">
        <v>65</v>
      </c>
      <c r="H120" s="41">
        <v>68.989999999999995</v>
      </c>
      <c r="I120" s="41">
        <v>429.29</v>
      </c>
      <c r="J120" s="39" t="s">
        <v>137</v>
      </c>
      <c r="K120" s="42">
        <v>0.18</v>
      </c>
      <c r="L120" s="39" t="s">
        <v>73</v>
      </c>
      <c r="M120" s="39" t="s">
        <v>140</v>
      </c>
      <c r="N120" s="39" t="s">
        <v>145</v>
      </c>
      <c r="O120" s="43">
        <f t="shared" si="21"/>
        <v>11590.83</v>
      </c>
      <c r="P120" s="43">
        <f t="shared" si="22"/>
        <v>9504.48</v>
      </c>
      <c r="Q120" s="43">
        <f t="shared" si="23"/>
        <v>1862.73</v>
      </c>
      <c r="R120" s="43">
        <f t="shared" si="24"/>
        <v>7641.75</v>
      </c>
      <c r="S120" s="44">
        <f t="shared" si="25"/>
        <v>0.8040155800212111</v>
      </c>
      <c r="T120" s="39" t="str">
        <f t="shared" si="26"/>
        <v>OK</v>
      </c>
      <c r="U120" s="39" t="str">
        <f t="shared" si="27"/>
        <v>10-19%</v>
      </c>
      <c r="V120" s="39" t="str">
        <f>IF(E120&gt;=Analysis!$B$4,"High",IF(E120&gt;=Analysis!$B$5,"Mid","Low"))</f>
        <v>High</v>
      </c>
      <c r="W120" s="39" t="str">
        <f t="shared" si="28"/>
        <v>2023-12</v>
      </c>
      <c r="X120" s="40">
        <f t="shared" si="29"/>
        <v>45291</v>
      </c>
      <c r="Y120" s="39" t="str">
        <f t="shared" si="30"/>
        <v>2023-Q4</v>
      </c>
      <c r="Z120" s="39" t="str">
        <f t="shared" si="31"/>
        <v>Tue</v>
      </c>
      <c r="AA120" s="39">
        <f t="shared" si="32"/>
        <v>2</v>
      </c>
      <c r="AB120" s="39">
        <f t="shared" si="33"/>
        <v>50</v>
      </c>
      <c r="AC120" s="39" t="str">
        <f t="shared" si="34"/>
        <v>Weekday</v>
      </c>
      <c r="AD120" s="39">
        <f t="shared" ca="1" si="35"/>
        <v>1054</v>
      </c>
      <c r="AE120" s="39">
        <f t="shared" ca="1" si="36"/>
        <v>34</v>
      </c>
      <c r="AF120" s="39" t="str">
        <f t="shared" si="37"/>
        <v>CHA</v>
      </c>
      <c r="AG120" s="39" t="str">
        <f t="shared" si="38"/>
        <v>ER-231205-0119</v>
      </c>
      <c r="AH120" s="39">
        <f>IF(AND(OR(Filter!$B$4="All",D120=Filter!$B$4),OR(Filter!$B$5="All",M120=Filter!$B$5),E120&gt;=Filter!$B$6),MAX(AH$1:AH119)+1,"")</f>
        <v>9</v>
      </c>
      <c r="AI120" s="39">
        <f t="shared" si="39"/>
        <v>27</v>
      </c>
      <c r="AJ120" s="42">
        <f t="shared" si="40"/>
        <v>0.18</v>
      </c>
      <c r="AK120" s="41">
        <f t="shared" si="41"/>
        <v>429.29</v>
      </c>
      <c r="AL120" s="39">
        <f>RANK(E120,$E$2:$E$1001,0)+COUNTIF($E$2:E120,E120)-1</f>
        <v>42</v>
      </c>
    </row>
    <row r="121" spans="1:38" x14ac:dyDescent="0.2">
      <c r="A121" s="39">
        <v>1035</v>
      </c>
      <c r="B121" s="40">
        <v>45004</v>
      </c>
      <c r="C121" s="39" t="s">
        <v>66</v>
      </c>
      <c r="D121" s="39" t="s">
        <v>69</v>
      </c>
      <c r="E121" s="41">
        <v>5343.63</v>
      </c>
      <c r="F121" s="39">
        <v>9</v>
      </c>
      <c r="G121" s="39" t="s">
        <v>60</v>
      </c>
      <c r="H121" s="41">
        <v>2534.94</v>
      </c>
      <c r="I121" s="41">
        <v>2755.56</v>
      </c>
      <c r="J121" s="39" t="s">
        <v>137</v>
      </c>
      <c r="K121" s="42">
        <v>0.13</v>
      </c>
      <c r="L121" s="39" t="s">
        <v>73</v>
      </c>
      <c r="M121" s="39" t="s">
        <v>140</v>
      </c>
      <c r="N121" s="39" t="s">
        <v>144</v>
      </c>
      <c r="O121" s="43">
        <f t="shared" si="21"/>
        <v>24800.04</v>
      </c>
      <c r="P121" s="43">
        <f t="shared" si="22"/>
        <v>21576.03</v>
      </c>
      <c r="Q121" s="43">
        <f t="shared" si="23"/>
        <v>22814.46</v>
      </c>
      <c r="R121" s="43">
        <f t="shared" si="24"/>
        <v>-1238.4300000000003</v>
      </c>
      <c r="S121" s="44">
        <f t="shared" si="25"/>
        <v>-5.7398418522777377E-2</v>
      </c>
      <c r="T121" s="39" t="str">
        <f t="shared" si="26"/>
        <v>Loss</v>
      </c>
      <c r="U121" s="39" t="str">
        <f t="shared" si="27"/>
        <v>10-19%</v>
      </c>
      <c r="V121" s="39" t="str">
        <f>IF(E121&gt;=Analysis!$B$4,"High",IF(E121&gt;=Analysis!$B$5,"Mid","Low"))</f>
        <v>Mid</v>
      </c>
      <c r="W121" s="39" t="str">
        <f t="shared" si="28"/>
        <v>2023-03</v>
      </c>
      <c r="X121" s="40">
        <f t="shared" si="29"/>
        <v>45016</v>
      </c>
      <c r="Y121" s="39" t="str">
        <f t="shared" si="30"/>
        <v>2023-Q1</v>
      </c>
      <c r="Z121" s="39" t="str">
        <f t="shared" si="31"/>
        <v>Sun</v>
      </c>
      <c r="AA121" s="39">
        <f t="shared" si="32"/>
        <v>7</v>
      </c>
      <c r="AB121" s="39">
        <f t="shared" si="33"/>
        <v>12</v>
      </c>
      <c r="AC121" s="39" t="str">
        <f t="shared" si="34"/>
        <v>Weekend</v>
      </c>
      <c r="AD121" s="39">
        <f t="shared" ca="1" si="35"/>
        <v>1315</v>
      </c>
      <c r="AE121" s="39">
        <f t="shared" ca="1" si="36"/>
        <v>43</v>
      </c>
      <c r="AF121" s="39" t="str">
        <f t="shared" si="37"/>
        <v>BOB</v>
      </c>
      <c r="AG121" s="39" t="str">
        <f t="shared" si="38"/>
        <v>SR-230319-0120</v>
      </c>
      <c r="AH121" s="39" t="str">
        <f>IF(AND(OR(Filter!$B$4="All",D121=Filter!$B$4),OR(Filter!$B$5="All",M121=Filter!$B$5),E121&gt;=Filter!$B$6),MAX(AH$1:AH120)+1,"")</f>
        <v/>
      </c>
      <c r="AI121" s="39">
        <f t="shared" si="39"/>
        <v>9</v>
      </c>
      <c r="AJ121" s="42">
        <f t="shared" si="40"/>
        <v>0.13</v>
      </c>
      <c r="AK121" s="41">
        <f t="shared" si="41"/>
        <v>2755.56</v>
      </c>
      <c r="AL121" s="39">
        <f>RANK(E121,$E$2:$E$1001,0)+COUNTIF($E$2:E121,E121)-1</f>
        <v>469</v>
      </c>
    </row>
    <row r="122" spans="1:38" x14ac:dyDescent="0.2">
      <c r="A122" s="39">
        <v>1035</v>
      </c>
      <c r="B122" s="40">
        <v>44988</v>
      </c>
      <c r="C122" s="39" t="s">
        <v>66</v>
      </c>
      <c r="D122" s="39" t="s">
        <v>74</v>
      </c>
      <c r="E122" s="41">
        <v>2494.7399999999998</v>
      </c>
      <c r="F122" s="39">
        <v>47</v>
      </c>
      <c r="G122" s="39" t="s">
        <v>65</v>
      </c>
      <c r="H122" s="41">
        <v>2936.48</v>
      </c>
      <c r="I122" s="41">
        <v>3096.64</v>
      </c>
      <c r="J122" s="39" t="s">
        <v>143</v>
      </c>
      <c r="K122" s="42">
        <v>0.06</v>
      </c>
      <c r="L122" s="39" t="s">
        <v>63</v>
      </c>
      <c r="M122" s="39" t="s">
        <v>138</v>
      </c>
      <c r="N122" s="39" t="s">
        <v>141</v>
      </c>
      <c r="O122" s="43">
        <f t="shared" si="21"/>
        <v>145542.07999999999</v>
      </c>
      <c r="P122" s="43">
        <f t="shared" si="22"/>
        <v>136809.56</v>
      </c>
      <c r="Q122" s="43">
        <f t="shared" si="23"/>
        <v>138014.56</v>
      </c>
      <c r="R122" s="43">
        <f t="shared" si="24"/>
        <v>-1205</v>
      </c>
      <c r="S122" s="44">
        <f t="shared" si="25"/>
        <v>-8.8078640118424475E-3</v>
      </c>
      <c r="T122" s="39" t="str">
        <f t="shared" si="26"/>
        <v>Loss</v>
      </c>
      <c r="U122" s="39" t="str">
        <f t="shared" si="27"/>
        <v>0-9%</v>
      </c>
      <c r="V122" s="39" t="str">
        <f>IF(E122&gt;=Analysis!$B$4,"High",IF(E122&gt;=Analysis!$B$5,"Mid","Low"))</f>
        <v>Low</v>
      </c>
      <c r="W122" s="39" t="str">
        <f t="shared" si="28"/>
        <v>2023-03</v>
      </c>
      <c r="X122" s="40">
        <f t="shared" si="29"/>
        <v>45016</v>
      </c>
      <c r="Y122" s="39" t="str">
        <f t="shared" si="30"/>
        <v>2023-Q1</v>
      </c>
      <c r="Z122" s="39" t="str">
        <f t="shared" si="31"/>
        <v>Fri</v>
      </c>
      <c r="AA122" s="39">
        <f t="shared" si="32"/>
        <v>5</v>
      </c>
      <c r="AB122" s="39">
        <f t="shared" si="33"/>
        <v>10</v>
      </c>
      <c r="AC122" s="39" t="str">
        <f t="shared" si="34"/>
        <v>Weekday</v>
      </c>
      <c r="AD122" s="39">
        <f t="shared" ca="1" si="35"/>
        <v>1331</v>
      </c>
      <c r="AE122" s="39">
        <f t="shared" ca="1" si="36"/>
        <v>43</v>
      </c>
      <c r="AF122" s="39" t="str">
        <f t="shared" si="37"/>
        <v>BOB</v>
      </c>
      <c r="AG122" s="39" t="str">
        <f t="shared" si="38"/>
        <v>WO-230303-0121</v>
      </c>
      <c r="AH122" s="39" t="str">
        <f>IF(AND(OR(Filter!$B$4="All",D122=Filter!$B$4),OR(Filter!$B$5="All",M122=Filter!$B$5),E122&gt;=Filter!$B$6),MAX(AH$1:AH121)+1,"")</f>
        <v/>
      </c>
      <c r="AI122" s="39">
        <f t="shared" si="39"/>
        <v>47</v>
      </c>
      <c r="AJ122" s="42">
        <f t="shared" si="40"/>
        <v>0.06</v>
      </c>
      <c r="AK122" s="41">
        <f t="shared" si="41"/>
        <v>3096.64</v>
      </c>
      <c r="AL122" s="39">
        <f>RANK(E122,$E$2:$E$1001,0)+COUNTIF($E$2:E122,E122)-1</f>
        <v>757</v>
      </c>
    </row>
    <row r="123" spans="1:38" x14ac:dyDescent="0.2">
      <c r="A123" s="39">
        <v>1033</v>
      </c>
      <c r="B123" s="40">
        <v>45058</v>
      </c>
      <c r="C123" s="39" t="s">
        <v>66</v>
      </c>
      <c r="D123" s="39" t="s">
        <v>64</v>
      </c>
      <c r="E123" s="41">
        <v>5055.9799999999996</v>
      </c>
      <c r="F123" s="39">
        <v>16</v>
      </c>
      <c r="G123" s="39" t="s">
        <v>75</v>
      </c>
      <c r="H123" s="41">
        <v>2915.88</v>
      </c>
      <c r="I123" s="41">
        <v>3397.36</v>
      </c>
      <c r="J123" s="39" t="s">
        <v>143</v>
      </c>
      <c r="K123" s="42">
        <v>0.2</v>
      </c>
      <c r="L123" s="39" t="s">
        <v>63</v>
      </c>
      <c r="M123" s="39" t="s">
        <v>140</v>
      </c>
      <c r="N123" s="39" t="s">
        <v>139</v>
      </c>
      <c r="O123" s="43">
        <f t="shared" si="21"/>
        <v>54357.760000000002</v>
      </c>
      <c r="P123" s="43">
        <f t="shared" si="22"/>
        <v>43486.21</v>
      </c>
      <c r="Q123" s="43">
        <f t="shared" si="23"/>
        <v>46654.080000000002</v>
      </c>
      <c r="R123" s="43">
        <f t="shared" si="24"/>
        <v>-3167.8700000000026</v>
      </c>
      <c r="S123" s="44">
        <f t="shared" si="25"/>
        <v>-7.2847691256607616E-2</v>
      </c>
      <c r="T123" s="39" t="str">
        <f t="shared" si="26"/>
        <v>Loss</v>
      </c>
      <c r="U123" s="39" t="str">
        <f t="shared" si="27"/>
        <v>20%+</v>
      </c>
      <c r="V123" s="39" t="str">
        <f>IF(E123&gt;=Analysis!$B$4,"High",IF(E123&gt;=Analysis!$B$5,"Mid","Low"))</f>
        <v>Mid</v>
      </c>
      <c r="W123" s="39" t="str">
        <f t="shared" si="28"/>
        <v>2023-05</v>
      </c>
      <c r="X123" s="40">
        <f t="shared" si="29"/>
        <v>45077</v>
      </c>
      <c r="Y123" s="39" t="str">
        <f t="shared" si="30"/>
        <v>2023-Q2</v>
      </c>
      <c r="Z123" s="39" t="str">
        <f t="shared" si="31"/>
        <v>Fri</v>
      </c>
      <c r="AA123" s="39">
        <f t="shared" si="32"/>
        <v>5</v>
      </c>
      <c r="AB123" s="39">
        <f t="shared" si="33"/>
        <v>20</v>
      </c>
      <c r="AC123" s="39" t="str">
        <f t="shared" si="34"/>
        <v>Weekday</v>
      </c>
      <c r="AD123" s="39">
        <f t="shared" ca="1" si="35"/>
        <v>1261</v>
      </c>
      <c r="AE123" s="39">
        <f t="shared" ca="1" si="36"/>
        <v>41</v>
      </c>
      <c r="AF123" s="39" t="str">
        <f t="shared" si="37"/>
        <v>BOB</v>
      </c>
      <c r="AG123" s="39" t="str">
        <f t="shared" si="38"/>
        <v>NR-230512-0122</v>
      </c>
      <c r="AH123" s="39" t="str">
        <f>IF(AND(OR(Filter!$B$4="All",D123=Filter!$B$4),OR(Filter!$B$5="All",M123=Filter!$B$5),E123&gt;=Filter!$B$6),MAX(AH$1:AH122)+1,"")</f>
        <v/>
      </c>
      <c r="AI123" s="39">
        <f t="shared" si="39"/>
        <v>16</v>
      </c>
      <c r="AJ123" s="42">
        <f t="shared" si="40"/>
        <v>0.2</v>
      </c>
      <c r="AK123" s="41">
        <f t="shared" si="41"/>
        <v>3397.36</v>
      </c>
      <c r="AL123" s="39">
        <f>RANK(E123,$E$2:$E$1001,0)+COUNTIF($E$2:E123,E123)-1</f>
        <v>495</v>
      </c>
    </row>
    <row r="124" spans="1:38" x14ac:dyDescent="0.2">
      <c r="A124" s="39">
        <v>1005</v>
      </c>
      <c r="B124" s="40">
        <v>45015</v>
      </c>
      <c r="C124" s="39" t="s">
        <v>61</v>
      </c>
      <c r="D124" s="39" t="s">
        <v>59</v>
      </c>
      <c r="E124" s="41">
        <v>6828.24</v>
      </c>
      <c r="F124" s="39">
        <v>12</v>
      </c>
      <c r="G124" s="39" t="s">
        <v>65</v>
      </c>
      <c r="H124" s="41">
        <v>319.83</v>
      </c>
      <c r="I124" s="41">
        <v>802.43</v>
      </c>
      <c r="J124" s="39" t="s">
        <v>143</v>
      </c>
      <c r="K124" s="42">
        <v>0.04</v>
      </c>
      <c r="L124" s="39" t="s">
        <v>73</v>
      </c>
      <c r="M124" s="39" t="s">
        <v>140</v>
      </c>
      <c r="N124" s="39" t="s">
        <v>159</v>
      </c>
      <c r="O124" s="43">
        <f t="shared" si="21"/>
        <v>9629.16</v>
      </c>
      <c r="P124" s="43">
        <f t="shared" si="22"/>
        <v>9243.99</v>
      </c>
      <c r="Q124" s="43">
        <f t="shared" si="23"/>
        <v>3837.96</v>
      </c>
      <c r="R124" s="43">
        <f t="shared" si="24"/>
        <v>5406.03</v>
      </c>
      <c r="S124" s="44">
        <f t="shared" si="25"/>
        <v>0.58481564778845496</v>
      </c>
      <c r="T124" s="39" t="str">
        <f t="shared" si="26"/>
        <v>OK</v>
      </c>
      <c r="U124" s="39" t="str">
        <f t="shared" si="27"/>
        <v>0-9%</v>
      </c>
      <c r="V124" s="39" t="str">
        <f>IF(E124&gt;=Analysis!$B$4,"High",IF(E124&gt;=Analysis!$B$5,"Mid","Low"))</f>
        <v>Mid</v>
      </c>
      <c r="W124" s="39" t="str">
        <f t="shared" si="28"/>
        <v>2023-03</v>
      </c>
      <c r="X124" s="40">
        <f t="shared" si="29"/>
        <v>45016</v>
      </c>
      <c r="Y124" s="39" t="str">
        <f t="shared" si="30"/>
        <v>2023-Q1</v>
      </c>
      <c r="Z124" s="39" t="str">
        <f t="shared" si="31"/>
        <v>Thu</v>
      </c>
      <c r="AA124" s="39">
        <f t="shared" si="32"/>
        <v>4</v>
      </c>
      <c r="AB124" s="39">
        <f t="shared" si="33"/>
        <v>14</v>
      </c>
      <c r="AC124" s="39" t="str">
        <f t="shared" si="34"/>
        <v>Weekday</v>
      </c>
      <c r="AD124" s="39">
        <f t="shared" ca="1" si="35"/>
        <v>1304</v>
      </c>
      <c r="AE124" s="39">
        <f t="shared" ca="1" si="36"/>
        <v>42</v>
      </c>
      <c r="AF124" s="39" t="str">
        <f t="shared" si="37"/>
        <v>ALI</v>
      </c>
      <c r="AG124" s="39" t="str">
        <f t="shared" si="38"/>
        <v>ER-230330-0123</v>
      </c>
      <c r="AH124" s="39" t="str">
        <f>IF(AND(OR(Filter!$B$4="All",D124=Filter!$B$4),OR(Filter!$B$5="All",M124=Filter!$B$5),E124&gt;=Filter!$B$6),MAX(AH$1:AH123)+1,"")</f>
        <v/>
      </c>
      <c r="AI124" s="39">
        <f t="shared" si="39"/>
        <v>12</v>
      </c>
      <c r="AJ124" s="42">
        <f t="shared" si="40"/>
        <v>0.04</v>
      </c>
      <c r="AK124" s="41">
        <f t="shared" si="41"/>
        <v>802.43</v>
      </c>
      <c r="AL124" s="39">
        <f>RANK(E124,$E$2:$E$1001,0)+COUNTIF($E$2:E124,E124)-1</f>
        <v>316</v>
      </c>
    </row>
    <row r="125" spans="1:38" x14ac:dyDescent="0.2">
      <c r="A125" s="39">
        <v>1041</v>
      </c>
      <c r="B125" s="40">
        <v>45163</v>
      </c>
      <c r="C125" s="39" t="s">
        <v>66</v>
      </c>
      <c r="D125" s="39" t="s">
        <v>69</v>
      </c>
      <c r="E125" s="41">
        <v>854.77</v>
      </c>
      <c r="F125" s="39">
        <v>31</v>
      </c>
      <c r="G125" s="39" t="s">
        <v>70</v>
      </c>
      <c r="H125" s="41">
        <v>1604.52</v>
      </c>
      <c r="I125" s="41">
        <v>1756.34</v>
      </c>
      <c r="J125" s="39" t="s">
        <v>137</v>
      </c>
      <c r="K125" s="42">
        <v>0.17</v>
      </c>
      <c r="L125" s="39" t="s">
        <v>68</v>
      </c>
      <c r="M125" s="39" t="s">
        <v>140</v>
      </c>
      <c r="N125" s="39" t="s">
        <v>144</v>
      </c>
      <c r="O125" s="43">
        <f t="shared" si="21"/>
        <v>54446.54</v>
      </c>
      <c r="P125" s="43">
        <f t="shared" si="22"/>
        <v>45190.63</v>
      </c>
      <c r="Q125" s="43">
        <f t="shared" si="23"/>
        <v>49740.12</v>
      </c>
      <c r="R125" s="43">
        <f t="shared" si="24"/>
        <v>-4549.4900000000052</v>
      </c>
      <c r="S125" s="44">
        <f t="shared" si="25"/>
        <v>-0.1006733032931828</v>
      </c>
      <c r="T125" s="39" t="str">
        <f t="shared" si="26"/>
        <v>Loss</v>
      </c>
      <c r="U125" s="39" t="str">
        <f t="shared" si="27"/>
        <v>10-19%</v>
      </c>
      <c r="V125" s="39" t="str">
        <f>IF(E125&gt;=Analysis!$B$4,"High",IF(E125&gt;=Analysis!$B$5,"Mid","Low"))</f>
        <v>Low</v>
      </c>
      <c r="W125" s="39" t="str">
        <f t="shared" si="28"/>
        <v>2023-08</v>
      </c>
      <c r="X125" s="40">
        <f t="shared" si="29"/>
        <v>45169</v>
      </c>
      <c r="Y125" s="39" t="str">
        <f t="shared" si="30"/>
        <v>2023-Q3</v>
      </c>
      <c r="Z125" s="39" t="str">
        <f t="shared" si="31"/>
        <v>Fri</v>
      </c>
      <c r="AA125" s="39">
        <f t="shared" si="32"/>
        <v>5</v>
      </c>
      <c r="AB125" s="39">
        <f t="shared" si="33"/>
        <v>35</v>
      </c>
      <c r="AC125" s="39" t="str">
        <f t="shared" si="34"/>
        <v>Weekday</v>
      </c>
      <c r="AD125" s="39">
        <f t="shared" ca="1" si="35"/>
        <v>1156</v>
      </c>
      <c r="AE125" s="39">
        <f t="shared" ca="1" si="36"/>
        <v>37</v>
      </c>
      <c r="AF125" s="39" t="str">
        <f t="shared" si="37"/>
        <v>BOB</v>
      </c>
      <c r="AG125" s="39" t="str">
        <f t="shared" si="38"/>
        <v>SR-230825-0124</v>
      </c>
      <c r="AH125" s="39" t="str">
        <f>IF(AND(OR(Filter!$B$4="All",D125=Filter!$B$4),OR(Filter!$B$5="All",M125=Filter!$B$5),E125&gt;=Filter!$B$6),MAX(AH$1:AH124)+1,"")</f>
        <v/>
      </c>
      <c r="AI125" s="39">
        <f t="shared" si="39"/>
        <v>31</v>
      </c>
      <c r="AJ125" s="42">
        <f t="shared" si="40"/>
        <v>0.17</v>
      </c>
      <c r="AK125" s="41">
        <f t="shared" si="41"/>
        <v>1756.34</v>
      </c>
      <c r="AL125" s="39">
        <f>RANK(E125,$E$2:$E$1001,0)+COUNTIF($E$2:E125,E125)-1</f>
        <v>916</v>
      </c>
    </row>
    <row r="126" spans="1:38" x14ac:dyDescent="0.2">
      <c r="A126" s="39">
        <v>1028</v>
      </c>
      <c r="B126" s="40">
        <v>44968</v>
      </c>
      <c r="C126" s="39" t="s">
        <v>61</v>
      </c>
      <c r="D126" s="39" t="s">
        <v>59</v>
      </c>
      <c r="E126" s="41">
        <v>2819.57</v>
      </c>
      <c r="F126" s="39">
        <v>24</v>
      </c>
      <c r="G126" s="39" t="s">
        <v>60</v>
      </c>
      <c r="H126" s="41">
        <v>2521.0300000000002</v>
      </c>
      <c r="I126" s="41">
        <v>2766.05</v>
      </c>
      <c r="J126" s="39" t="s">
        <v>137</v>
      </c>
      <c r="K126" s="42">
        <v>0.16</v>
      </c>
      <c r="L126" s="39" t="s">
        <v>63</v>
      </c>
      <c r="M126" s="39" t="s">
        <v>140</v>
      </c>
      <c r="N126" s="39" t="s">
        <v>159</v>
      </c>
      <c r="O126" s="43">
        <f t="shared" si="21"/>
        <v>66385.2</v>
      </c>
      <c r="P126" s="43">
        <f t="shared" si="22"/>
        <v>55763.57</v>
      </c>
      <c r="Q126" s="43">
        <f t="shared" si="23"/>
        <v>60504.72</v>
      </c>
      <c r="R126" s="43">
        <f t="shared" si="24"/>
        <v>-4741.1500000000015</v>
      </c>
      <c r="S126" s="44">
        <f t="shared" si="25"/>
        <v>-8.5022354200062905E-2</v>
      </c>
      <c r="T126" s="39" t="str">
        <f t="shared" si="26"/>
        <v>Loss</v>
      </c>
      <c r="U126" s="39" t="str">
        <f t="shared" si="27"/>
        <v>10-19%</v>
      </c>
      <c r="V126" s="39" t="str">
        <f>IF(E126&gt;=Analysis!$B$4,"High",IF(E126&gt;=Analysis!$B$5,"Mid","Low"))</f>
        <v>Mid</v>
      </c>
      <c r="W126" s="39" t="str">
        <f t="shared" si="28"/>
        <v>2023-02</v>
      </c>
      <c r="X126" s="40">
        <f t="shared" si="29"/>
        <v>44985</v>
      </c>
      <c r="Y126" s="39" t="str">
        <f t="shared" si="30"/>
        <v>2023-Q1</v>
      </c>
      <c r="Z126" s="39" t="str">
        <f t="shared" si="31"/>
        <v>Sat</v>
      </c>
      <c r="AA126" s="39">
        <f t="shared" si="32"/>
        <v>6</v>
      </c>
      <c r="AB126" s="39">
        <f t="shared" si="33"/>
        <v>7</v>
      </c>
      <c r="AC126" s="39" t="str">
        <f t="shared" si="34"/>
        <v>Weekend</v>
      </c>
      <c r="AD126" s="39">
        <f t="shared" ca="1" si="35"/>
        <v>1351</v>
      </c>
      <c r="AE126" s="39">
        <f t="shared" ca="1" si="36"/>
        <v>44</v>
      </c>
      <c r="AF126" s="39" t="str">
        <f t="shared" si="37"/>
        <v>ALI</v>
      </c>
      <c r="AG126" s="39" t="str">
        <f t="shared" si="38"/>
        <v>ER-230211-0125</v>
      </c>
      <c r="AH126" s="39" t="str">
        <f>IF(AND(OR(Filter!$B$4="All",D126=Filter!$B$4),OR(Filter!$B$5="All",M126=Filter!$B$5),E126&gt;=Filter!$B$6),MAX(AH$1:AH125)+1,"")</f>
        <v/>
      </c>
      <c r="AI126" s="39">
        <f t="shared" si="39"/>
        <v>24</v>
      </c>
      <c r="AJ126" s="42">
        <f t="shared" si="40"/>
        <v>0.16</v>
      </c>
      <c r="AK126" s="41">
        <f t="shared" si="41"/>
        <v>2766.05</v>
      </c>
      <c r="AL126" s="39">
        <f>RANK(E126,$E$2:$E$1001,0)+COUNTIF($E$2:E126,E126)-1</f>
        <v>715</v>
      </c>
    </row>
    <row r="127" spans="1:38" x14ac:dyDescent="0.2">
      <c r="A127" s="39">
        <v>1007</v>
      </c>
      <c r="B127" s="40">
        <v>45015</v>
      </c>
      <c r="C127" s="39" t="s">
        <v>76</v>
      </c>
      <c r="D127" s="39" t="s">
        <v>59</v>
      </c>
      <c r="E127" s="41">
        <v>8088.96</v>
      </c>
      <c r="F127" s="39">
        <v>14</v>
      </c>
      <c r="G127" s="39" t="s">
        <v>75</v>
      </c>
      <c r="H127" s="41">
        <v>1122.07</v>
      </c>
      <c r="I127" s="41">
        <v>1608.76</v>
      </c>
      <c r="J127" s="39" t="s">
        <v>143</v>
      </c>
      <c r="K127" s="42">
        <v>0.22</v>
      </c>
      <c r="L127" s="39" t="s">
        <v>68</v>
      </c>
      <c r="M127" s="39" t="s">
        <v>140</v>
      </c>
      <c r="N127" s="39" t="s">
        <v>157</v>
      </c>
      <c r="O127" s="43">
        <f t="shared" si="21"/>
        <v>22522.639999999999</v>
      </c>
      <c r="P127" s="43">
        <f t="shared" si="22"/>
        <v>17567.66</v>
      </c>
      <c r="Q127" s="43">
        <f t="shared" si="23"/>
        <v>15708.98</v>
      </c>
      <c r="R127" s="43">
        <f t="shared" si="24"/>
        <v>1858.6800000000003</v>
      </c>
      <c r="S127" s="44">
        <f t="shared" si="25"/>
        <v>0.10580122793815455</v>
      </c>
      <c r="T127" s="39" t="str">
        <f t="shared" si="26"/>
        <v>OK</v>
      </c>
      <c r="U127" s="39" t="str">
        <f t="shared" si="27"/>
        <v>20%+</v>
      </c>
      <c r="V127" s="39" t="str">
        <f>IF(E127&gt;=Analysis!$B$4,"High",IF(E127&gt;=Analysis!$B$5,"Mid","Low"))</f>
        <v>High</v>
      </c>
      <c r="W127" s="39" t="str">
        <f t="shared" si="28"/>
        <v>2023-03</v>
      </c>
      <c r="X127" s="40">
        <f t="shared" si="29"/>
        <v>45016</v>
      </c>
      <c r="Y127" s="39" t="str">
        <f t="shared" si="30"/>
        <v>2023-Q1</v>
      </c>
      <c r="Z127" s="39" t="str">
        <f t="shared" si="31"/>
        <v>Thu</v>
      </c>
      <c r="AA127" s="39">
        <f t="shared" si="32"/>
        <v>4</v>
      </c>
      <c r="AB127" s="39">
        <f t="shared" si="33"/>
        <v>14</v>
      </c>
      <c r="AC127" s="39" t="str">
        <f t="shared" si="34"/>
        <v>Weekday</v>
      </c>
      <c r="AD127" s="39">
        <f t="shared" ca="1" si="35"/>
        <v>1304</v>
      </c>
      <c r="AE127" s="39">
        <f t="shared" ca="1" si="36"/>
        <v>42</v>
      </c>
      <c r="AF127" s="39" t="str">
        <f t="shared" si="37"/>
        <v>DAV</v>
      </c>
      <c r="AG127" s="39" t="str">
        <f t="shared" si="38"/>
        <v>ER-230330-0126</v>
      </c>
      <c r="AH127" s="39" t="str">
        <f>IF(AND(OR(Filter!$B$4="All",D127=Filter!$B$4),OR(Filter!$B$5="All",M127=Filter!$B$5),E127&gt;=Filter!$B$6),MAX(AH$1:AH126)+1,"")</f>
        <v/>
      </c>
      <c r="AI127" s="39">
        <f t="shared" si="39"/>
        <v>14</v>
      </c>
      <c r="AJ127" s="42">
        <f t="shared" si="40"/>
        <v>0.22</v>
      </c>
      <c r="AK127" s="41">
        <f t="shared" si="41"/>
        <v>1608.76</v>
      </c>
      <c r="AL127" s="39">
        <f>RANK(E127,$E$2:$E$1001,0)+COUNTIF($E$2:E127,E127)-1</f>
        <v>181</v>
      </c>
    </row>
    <row r="128" spans="1:38" x14ac:dyDescent="0.2">
      <c r="A128" s="39">
        <v>1073</v>
      </c>
      <c r="B128" s="40">
        <v>45222</v>
      </c>
      <c r="C128" s="39" t="s">
        <v>71</v>
      </c>
      <c r="D128" s="39" t="s">
        <v>69</v>
      </c>
      <c r="E128" s="41">
        <v>4650.68</v>
      </c>
      <c r="F128" s="39">
        <v>45</v>
      </c>
      <c r="G128" s="39" t="s">
        <v>60</v>
      </c>
      <c r="H128" s="41">
        <v>4369.5</v>
      </c>
      <c r="I128" s="41">
        <v>4381.8900000000003</v>
      </c>
      <c r="J128" s="39" t="s">
        <v>137</v>
      </c>
      <c r="K128" s="42">
        <v>0.02</v>
      </c>
      <c r="L128" s="39" t="s">
        <v>73</v>
      </c>
      <c r="M128" s="39" t="s">
        <v>140</v>
      </c>
      <c r="N128" s="39" t="s">
        <v>151</v>
      </c>
      <c r="O128" s="43">
        <f t="shared" si="21"/>
        <v>197185.05</v>
      </c>
      <c r="P128" s="43">
        <f t="shared" si="22"/>
        <v>193241.35</v>
      </c>
      <c r="Q128" s="43">
        <f t="shared" si="23"/>
        <v>196627.5</v>
      </c>
      <c r="R128" s="43">
        <f t="shared" si="24"/>
        <v>-3386.1499999999942</v>
      </c>
      <c r="S128" s="44">
        <f t="shared" si="25"/>
        <v>-1.7522905941197337E-2</v>
      </c>
      <c r="T128" s="39" t="str">
        <f t="shared" si="26"/>
        <v>Loss</v>
      </c>
      <c r="U128" s="39" t="str">
        <f t="shared" si="27"/>
        <v>0-9%</v>
      </c>
      <c r="V128" s="39" t="str">
        <f>IF(E128&gt;=Analysis!$B$4,"High",IF(E128&gt;=Analysis!$B$5,"Mid","Low"))</f>
        <v>Mid</v>
      </c>
      <c r="W128" s="39" t="str">
        <f t="shared" si="28"/>
        <v>2023-10</v>
      </c>
      <c r="X128" s="40">
        <f t="shared" si="29"/>
        <v>45230</v>
      </c>
      <c r="Y128" s="39" t="str">
        <f t="shared" si="30"/>
        <v>2023-Q4</v>
      </c>
      <c r="Z128" s="39" t="str">
        <f t="shared" si="31"/>
        <v>Mon</v>
      </c>
      <c r="AA128" s="39">
        <f t="shared" si="32"/>
        <v>1</v>
      </c>
      <c r="AB128" s="39">
        <f t="shared" si="33"/>
        <v>44</v>
      </c>
      <c r="AC128" s="39" t="str">
        <f t="shared" si="34"/>
        <v>Weekday</v>
      </c>
      <c r="AD128" s="39">
        <f t="shared" ca="1" si="35"/>
        <v>1097</v>
      </c>
      <c r="AE128" s="39">
        <f t="shared" ca="1" si="36"/>
        <v>36</v>
      </c>
      <c r="AF128" s="39" t="str">
        <f t="shared" si="37"/>
        <v>CHA</v>
      </c>
      <c r="AG128" s="39" t="str">
        <f t="shared" si="38"/>
        <v>SR-231023-0127</v>
      </c>
      <c r="AH128" s="39" t="str">
        <f>IF(AND(OR(Filter!$B$4="All",D128=Filter!$B$4),OR(Filter!$B$5="All",M128=Filter!$B$5),E128&gt;=Filter!$B$6),MAX(AH$1:AH127)+1,"")</f>
        <v/>
      </c>
      <c r="AI128" s="39">
        <f t="shared" si="39"/>
        <v>45</v>
      </c>
      <c r="AJ128" s="42">
        <f t="shared" si="40"/>
        <v>0.02</v>
      </c>
      <c r="AK128" s="41">
        <f t="shared" si="41"/>
        <v>4381.8900000000003</v>
      </c>
      <c r="AL128" s="39">
        <f>RANK(E128,$E$2:$E$1001,0)+COUNTIF($E$2:E128,E128)-1</f>
        <v>533</v>
      </c>
    </row>
    <row r="129" spans="1:38" x14ac:dyDescent="0.2">
      <c r="A129" s="39">
        <v>1072</v>
      </c>
      <c r="B129" s="40">
        <v>45254</v>
      </c>
      <c r="C129" s="39" t="s">
        <v>61</v>
      </c>
      <c r="D129" s="39" t="s">
        <v>59</v>
      </c>
      <c r="E129" s="41">
        <v>5511.11</v>
      </c>
      <c r="F129" s="39">
        <v>25</v>
      </c>
      <c r="G129" s="39" t="s">
        <v>60</v>
      </c>
      <c r="H129" s="41">
        <v>481.19</v>
      </c>
      <c r="I129" s="41">
        <v>693.4</v>
      </c>
      <c r="J129" s="39" t="s">
        <v>143</v>
      </c>
      <c r="K129" s="42">
        <v>0.27</v>
      </c>
      <c r="L129" s="39" t="s">
        <v>73</v>
      </c>
      <c r="M129" s="39" t="s">
        <v>140</v>
      </c>
      <c r="N129" s="39" t="s">
        <v>159</v>
      </c>
      <c r="O129" s="43">
        <f t="shared" si="21"/>
        <v>17335</v>
      </c>
      <c r="P129" s="43">
        <f t="shared" si="22"/>
        <v>12654.55</v>
      </c>
      <c r="Q129" s="43">
        <f t="shared" si="23"/>
        <v>12029.75</v>
      </c>
      <c r="R129" s="43">
        <f t="shared" si="24"/>
        <v>624.79999999999927</v>
      </c>
      <c r="S129" s="44">
        <f t="shared" si="25"/>
        <v>4.9373545483640216E-2</v>
      </c>
      <c r="T129" s="39" t="str">
        <f t="shared" si="26"/>
        <v>OK</v>
      </c>
      <c r="U129" s="39" t="str">
        <f t="shared" si="27"/>
        <v>20%+</v>
      </c>
      <c r="V129" s="39" t="str">
        <f>IF(E129&gt;=Analysis!$B$4,"High",IF(E129&gt;=Analysis!$B$5,"Mid","Low"))</f>
        <v>Mid</v>
      </c>
      <c r="W129" s="39" t="str">
        <f t="shared" si="28"/>
        <v>2023-11</v>
      </c>
      <c r="X129" s="40">
        <f t="shared" si="29"/>
        <v>45260</v>
      </c>
      <c r="Y129" s="39" t="str">
        <f t="shared" si="30"/>
        <v>2023-Q4</v>
      </c>
      <c r="Z129" s="39" t="str">
        <f t="shared" si="31"/>
        <v>Fri</v>
      </c>
      <c r="AA129" s="39">
        <f t="shared" si="32"/>
        <v>5</v>
      </c>
      <c r="AB129" s="39">
        <f t="shared" si="33"/>
        <v>48</v>
      </c>
      <c r="AC129" s="39" t="str">
        <f t="shared" si="34"/>
        <v>Weekday</v>
      </c>
      <c r="AD129" s="39">
        <f t="shared" ca="1" si="35"/>
        <v>1065</v>
      </c>
      <c r="AE129" s="39">
        <f t="shared" ca="1" si="36"/>
        <v>35</v>
      </c>
      <c r="AF129" s="39" t="str">
        <f t="shared" si="37"/>
        <v>ALI</v>
      </c>
      <c r="AG129" s="39" t="str">
        <f t="shared" si="38"/>
        <v>ER-231124-0128</v>
      </c>
      <c r="AH129" s="39" t="str">
        <f>IF(AND(OR(Filter!$B$4="All",D129=Filter!$B$4),OR(Filter!$B$5="All",M129=Filter!$B$5),E129&gt;=Filter!$B$6),MAX(AH$1:AH128)+1,"")</f>
        <v/>
      </c>
      <c r="AI129" s="39">
        <f t="shared" si="39"/>
        <v>25</v>
      </c>
      <c r="AJ129" s="42">
        <f t="shared" si="40"/>
        <v>0.27</v>
      </c>
      <c r="AK129" s="41">
        <f t="shared" si="41"/>
        <v>693.4</v>
      </c>
      <c r="AL129" s="39">
        <f>RANK(E129,$E$2:$E$1001,0)+COUNTIF($E$2:E129,E129)-1</f>
        <v>454</v>
      </c>
    </row>
    <row r="130" spans="1:38" x14ac:dyDescent="0.2">
      <c r="A130" s="39">
        <v>1012</v>
      </c>
      <c r="B130" s="40">
        <v>45221</v>
      </c>
      <c r="C130" s="39" t="s">
        <v>76</v>
      </c>
      <c r="D130" s="39" t="s">
        <v>64</v>
      </c>
      <c r="E130" s="41">
        <v>4384.88</v>
      </c>
      <c r="F130" s="39">
        <v>34</v>
      </c>
      <c r="G130" s="39" t="s">
        <v>75</v>
      </c>
      <c r="H130" s="41">
        <v>2462.5500000000002</v>
      </c>
      <c r="I130" s="41">
        <v>2521.77</v>
      </c>
      <c r="J130" s="39" t="s">
        <v>143</v>
      </c>
      <c r="K130" s="42">
        <v>0.21</v>
      </c>
      <c r="L130" s="39" t="s">
        <v>63</v>
      </c>
      <c r="M130" s="39" t="s">
        <v>140</v>
      </c>
      <c r="N130" s="39" t="s">
        <v>152</v>
      </c>
      <c r="O130" s="43">
        <f t="shared" ref="O130:O193" si="42">ROUND(F130*I130,2)</f>
        <v>85740.18</v>
      </c>
      <c r="P130" s="43">
        <f t="shared" ref="P130:P193" si="43">ROUND(F130*I130*(1-K130),2)</f>
        <v>67734.740000000005</v>
      </c>
      <c r="Q130" s="43">
        <f t="shared" ref="Q130:Q193" si="44">ROUND(F130*H130,2)</f>
        <v>83726.7</v>
      </c>
      <c r="R130" s="43">
        <f t="shared" ref="R130:R193" si="45">P130-Q130</f>
        <v>-15991.959999999992</v>
      </c>
      <c r="S130" s="44">
        <f t="shared" ref="S130:S193" si="46">IF(P130=0,0,R130/P130)</f>
        <v>-0.23609686846070407</v>
      </c>
      <c r="T130" s="39" t="str">
        <f t="shared" ref="T130:T193" si="47">IF(R130&lt;0,"Loss","OK")</f>
        <v>Loss</v>
      </c>
      <c r="U130" s="39" t="str">
        <f t="shared" ref="U130:U193" si="48">IF(K130&lt;0.1,"0-9%",IF(K130&lt;0.2,"10-19%","20%+"))</f>
        <v>20%+</v>
      </c>
      <c r="V130" s="39" t="str">
        <f>IF(E130&gt;=Analysis!$B$4,"High",IF(E130&gt;=Analysis!$B$5,"Mid","Low"))</f>
        <v>Mid</v>
      </c>
      <c r="W130" s="39" t="str">
        <f t="shared" ref="W130:W193" si="49">TEXT(B130,"yyyy-mm")</f>
        <v>2023-10</v>
      </c>
      <c r="X130" s="40">
        <f t="shared" ref="X130:X193" si="50">EOMONTH(B130,0)</f>
        <v>45230</v>
      </c>
      <c r="Y130" s="39" t="str">
        <f t="shared" ref="Y130:Y193" si="51">YEAR(B130)&amp;"-Q"&amp;ROUNDUP(MONTH(B130)/3,0)</f>
        <v>2023-Q4</v>
      </c>
      <c r="Z130" s="39" t="str">
        <f t="shared" ref="Z130:Z193" si="52">TEXT(B130,"ddd")</f>
        <v>Sun</v>
      </c>
      <c r="AA130" s="39">
        <f t="shared" ref="AA130:AA193" si="53">WEEKDAY(B130,2)</f>
        <v>7</v>
      </c>
      <c r="AB130" s="39">
        <f t="shared" ref="AB130:AB193" si="54">WEEKNUM(B130,2)</f>
        <v>43</v>
      </c>
      <c r="AC130" s="39" t="str">
        <f t="shared" ref="AC130:AC193" si="55">IF(AA130&gt;5,"Weekend","Weekday")</f>
        <v>Weekend</v>
      </c>
      <c r="AD130" s="39">
        <f t="shared" ref="AD130:AD193" ca="1" si="56">TODAY()-B130</f>
        <v>1098</v>
      </c>
      <c r="AE130" s="39">
        <f t="shared" ref="AE130:AE193" ca="1" si="57">DATEDIF(B130,TODAY(),"M")</f>
        <v>36</v>
      </c>
      <c r="AF130" s="39" t="str">
        <f t="shared" ref="AF130:AF193" si="58">UPPER(LEFT(C130,3))</f>
        <v>DAV</v>
      </c>
      <c r="AG130" s="39" t="str">
        <f t="shared" ref="AG130:AG193" si="59">UPPER(LEFT(D130,1))&amp;UPPER(LEFT(M130,1))&amp;"-"&amp;TEXT(B130,"yymmdd")&amp;"-"&amp;TEXT(ROW()-1,"0000")</f>
        <v>NR-231022-0129</v>
      </c>
      <c r="AH130" s="39" t="str">
        <f>IF(AND(OR(Filter!$B$4="All",D130=Filter!$B$4),OR(Filter!$B$5="All",M130=Filter!$B$5),E130&gt;=Filter!$B$6),MAX(AH$1:AH129)+1,"")</f>
        <v/>
      </c>
      <c r="AI130" s="39">
        <f t="shared" ref="AI130:AI193" si="60">F130</f>
        <v>34</v>
      </c>
      <c r="AJ130" s="42">
        <f t="shared" ref="AJ130:AJ193" si="61">K130</f>
        <v>0.21</v>
      </c>
      <c r="AK130" s="41">
        <f t="shared" ref="AK130:AK193" si="62">I130</f>
        <v>2521.77</v>
      </c>
      <c r="AL130" s="39">
        <f>RANK(E130,$E$2:$E$1001,0)+COUNTIF($E$2:E130,E130)-1</f>
        <v>560</v>
      </c>
    </row>
    <row r="131" spans="1:38" x14ac:dyDescent="0.2">
      <c r="A131" s="39">
        <v>1034</v>
      </c>
      <c r="B131" s="40">
        <v>45030</v>
      </c>
      <c r="C131" s="39" t="s">
        <v>61</v>
      </c>
      <c r="D131" s="39" t="s">
        <v>74</v>
      </c>
      <c r="E131" s="41">
        <v>534.61</v>
      </c>
      <c r="F131" s="39">
        <v>3</v>
      </c>
      <c r="G131" s="39" t="s">
        <v>60</v>
      </c>
      <c r="H131" s="41">
        <v>3472.51</v>
      </c>
      <c r="I131" s="41">
        <v>3732</v>
      </c>
      <c r="J131" s="39" t="s">
        <v>143</v>
      </c>
      <c r="K131" s="42">
        <v>0.06</v>
      </c>
      <c r="L131" s="39" t="s">
        <v>68</v>
      </c>
      <c r="M131" s="39" t="s">
        <v>138</v>
      </c>
      <c r="N131" s="39" t="s">
        <v>158</v>
      </c>
      <c r="O131" s="43">
        <f t="shared" si="42"/>
        <v>11196</v>
      </c>
      <c r="P131" s="43">
        <f t="shared" si="43"/>
        <v>10524.24</v>
      </c>
      <c r="Q131" s="43">
        <f t="shared" si="44"/>
        <v>10417.530000000001</v>
      </c>
      <c r="R131" s="43">
        <f t="shared" si="45"/>
        <v>106.70999999999913</v>
      </c>
      <c r="S131" s="44">
        <f t="shared" si="46"/>
        <v>1.0139449499441207E-2</v>
      </c>
      <c r="T131" s="39" t="str">
        <f t="shared" si="47"/>
        <v>OK</v>
      </c>
      <c r="U131" s="39" t="str">
        <f t="shared" si="48"/>
        <v>0-9%</v>
      </c>
      <c r="V131" s="39" t="str">
        <f>IF(E131&gt;=Analysis!$B$4,"High",IF(E131&gt;=Analysis!$B$5,"Mid","Low"))</f>
        <v>Low</v>
      </c>
      <c r="W131" s="39" t="str">
        <f t="shared" si="49"/>
        <v>2023-04</v>
      </c>
      <c r="X131" s="40">
        <f t="shared" si="50"/>
        <v>45046</v>
      </c>
      <c r="Y131" s="39" t="str">
        <f t="shared" si="51"/>
        <v>2023-Q2</v>
      </c>
      <c r="Z131" s="39" t="str">
        <f t="shared" si="52"/>
        <v>Fri</v>
      </c>
      <c r="AA131" s="39">
        <f t="shared" si="53"/>
        <v>5</v>
      </c>
      <c r="AB131" s="39">
        <f t="shared" si="54"/>
        <v>16</v>
      </c>
      <c r="AC131" s="39" t="str">
        <f t="shared" si="55"/>
        <v>Weekday</v>
      </c>
      <c r="AD131" s="39">
        <f t="shared" ca="1" si="56"/>
        <v>1289</v>
      </c>
      <c r="AE131" s="39">
        <f t="shared" ca="1" si="57"/>
        <v>42</v>
      </c>
      <c r="AF131" s="39" t="str">
        <f t="shared" si="58"/>
        <v>ALI</v>
      </c>
      <c r="AG131" s="39" t="str">
        <f t="shared" si="59"/>
        <v>WO-230414-0130</v>
      </c>
      <c r="AH131" s="39" t="str">
        <f>IF(AND(OR(Filter!$B$4="All",D131=Filter!$B$4),OR(Filter!$B$5="All",M131=Filter!$B$5),E131&gt;=Filter!$B$6),MAX(AH$1:AH130)+1,"")</f>
        <v/>
      </c>
      <c r="AI131" s="39">
        <f t="shared" si="60"/>
        <v>3</v>
      </c>
      <c r="AJ131" s="42">
        <f t="shared" si="61"/>
        <v>0.06</v>
      </c>
      <c r="AK131" s="41">
        <f t="shared" si="62"/>
        <v>3732</v>
      </c>
      <c r="AL131" s="39">
        <f>RANK(E131,$E$2:$E$1001,0)+COUNTIF($E$2:E131,E131)-1</f>
        <v>956</v>
      </c>
    </row>
    <row r="132" spans="1:38" x14ac:dyDescent="0.2">
      <c r="A132" s="39">
        <v>1033</v>
      </c>
      <c r="B132" s="40">
        <v>44940</v>
      </c>
      <c r="C132" s="39" t="s">
        <v>61</v>
      </c>
      <c r="D132" s="39" t="s">
        <v>74</v>
      </c>
      <c r="E132" s="41">
        <v>1740.92</v>
      </c>
      <c r="F132" s="39">
        <v>24</v>
      </c>
      <c r="G132" s="39" t="s">
        <v>60</v>
      </c>
      <c r="H132" s="41">
        <v>1345.67</v>
      </c>
      <c r="I132" s="41">
        <v>1367.76</v>
      </c>
      <c r="J132" s="39" t="s">
        <v>143</v>
      </c>
      <c r="K132" s="42">
        <v>0.06</v>
      </c>
      <c r="L132" s="39" t="s">
        <v>63</v>
      </c>
      <c r="M132" s="39" t="s">
        <v>138</v>
      </c>
      <c r="N132" s="39" t="s">
        <v>158</v>
      </c>
      <c r="O132" s="43">
        <f t="shared" si="42"/>
        <v>32826.239999999998</v>
      </c>
      <c r="P132" s="43">
        <f t="shared" si="43"/>
        <v>30856.67</v>
      </c>
      <c r="Q132" s="43">
        <f t="shared" si="44"/>
        <v>32296.080000000002</v>
      </c>
      <c r="R132" s="43">
        <f t="shared" si="45"/>
        <v>-1439.4100000000035</v>
      </c>
      <c r="S132" s="44">
        <f t="shared" si="46"/>
        <v>-4.664826113770551E-2</v>
      </c>
      <c r="T132" s="39" t="str">
        <f t="shared" si="47"/>
        <v>Loss</v>
      </c>
      <c r="U132" s="39" t="str">
        <f t="shared" si="48"/>
        <v>0-9%</v>
      </c>
      <c r="V132" s="39" t="str">
        <f>IF(E132&gt;=Analysis!$B$4,"High",IF(E132&gt;=Analysis!$B$5,"Mid","Low"))</f>
        <v>Low</v>
      </c>
      <c r="W132" s="39" t="str">
        <f t="shared" si="49"/>
        <v>2023-01</v>
      </c>
      <c r="X132" s="40">
        <f t="shared" si="50"/>
        <v>44957</v>
      </c>
      <c r="Y132" s="39" t="str">
        <f t="shared" si="51"/>
        <v>2023-Q1</v>
      </c>
      <c r="Z132" s="39" t="str">
        <f t="shared" si="52"/>
        <v>Sat</v>
      </c>
      <c r="AA132" s="39">
        <f t="shared" si="53"/>
        <v>6</v>
      </c>
      <c r="AB132" s="39">
        <f t="shared" si="54"/>
        <v>3</v>
      </c>
      <c r="AC132" s="39" t="str">
        <f t="shared" si="55"/>
        <v>Weekend</v>
      </c>
      <c r="AD132" s="39">
        <f t="shared" ca="1" si="56"/>
        <v>1379</v>
      </c>
      <c r="AE132" s="39">
        <f t="shared" ca="1" si="57"/>
        <v>45</v>
      </c>
      <c r="AF132" s="39" t="str">
        <f t="shared" si="58"/>
        <v>ALI</v>
      </c>
      <c r="AG132" s="39" t="str">
        <f t="shared" si="59"/>
        <v>WO-230114-0131</v>
      </c>
      <c r="AH132" s="39" t="str">
        <f>IF(AND(OR(Filter!$B$4="All",D132=Filter!$B$4),OR(Filter!$B$5="All",M132=Filter!$B$5),E132&gt;=Filter!$B$6),MAX(AH$1:AH131)+1,"")</f>
        <v/>
      </c>
      <c r="AI132" s="39">
        <f t="shared" si="60"/>
        <v>24</v>
      </c>
      <c r="AJ132" s="42">
        <f t="shared" si="61"/>
        <v>0.06</v>
      </c>
      <c r="AK132" s="41">
        <f t="shared" si="62"/>
        <v>1367.76</v>
      </c>
      <c r="AL132" s="39">
        <f>RANK(E132,$E$2:$E$1001,0)+COUNTIF($E$2:E132,E132)-1</f>
        <v>843</v>
      </c>
    </row>
    <row r="133" spans="1:38" x14ac:dyDescent="0.2">
      <c r="A133" s="39">
        <v>1048</v>
      </c>
      <c r="B133" s="40">
        <v>45214</v>
      </c>
      <c r="C133" s="39" t="s">
        <v>71</v>
      </c>
      <c r="D133" s="39" t="s">
        <v>64</v>
      </c>
      <c r="E133" s="41">
        <v>4510.8599999999997</v>
      </c>
      <c r="F133" s="39">
        <v>42</v>
      </c>
      <c r="G133" s="39" t="s">
        <v>65</v>
      </c>
      <c r="H133" s="41">
        <v>3139.99</v>
      </c>
      <c r="I133" s="41">
        <v>3349.37</v>
      </c>
      <c r="J133" s="39" t="s">
        <v>137</v>
      </c>
      <c r="K133" s="42">
        <v>0.13</v>
      </c>
      <c r="L133" s="39" t="s">
        <v>73</v>
      </c>
      <c r="M133" s="39" t="s">
        <v>140</v>
      </c>
      <c r="N133" s="39" t="s">
        <v>160</v>
      </c>
      <c r="O133" s="43">
        <f t="shared" si="42"/>
        <v>140673.54</v>
      </c>
      <c r="P133" s="43">
        <f t="shared" si="43"/>
        <v>122385.98</v>
      </c>
      <c r="Q133" s="43">
        <f t="shared" si="44"/>
        <v>131879.57999999999</v>
      </c>
      <c r="R133" s="43">
        <f t="shared" si="45"/>
        <v>-9493.5999999999913</v>
      </c>
      <c r="S133" s="44">
        <f t="shared" si="46"/>
        <v>-7.7570976675596273E-2</v>
      </c>
      <c r="T133" s="39" t="str">
        <f t="shared" si="47"/>
        <v>Loss</v>
      </c>
      <c r="U133" s="39" t="str">
        <f t="shared" si="48"/>
        <v>10-19%</v>
      </c>
      <c r="V133" s="39" t="str">
        <f>IF(E133&gt;=Analysis!$B$4,"High",IF(E133&gt;=Analysis!$B$5,"Mid","Low"))</f>
        <v>Mid</v>
      </c>
      <c r="W133" s="39" t="str">
        <f t="shared" si="49"/>
        <v>2023-10</v>
      </c>
      <c r="X133" s="40">
        <f t="shared" si="50"/>
        <v>45230</v>
      </c>
      <c r="Y133" s="39" t="str">
        <f t="shared" si="51"/>
        <v>2023-Q4</v>
      </c>
      <c r="Z133" s="39" t="str">
        <f t="shared" si="52"/>
        <v>Sun</v>
      </c>
      <c r="AA133" s="39">
        <f t="shared" si="53"/>
        <v>7</v>
      </c>
      <c r="AB133" s="39">
        <f t="shared" si="54"/>
        <v>42</v>
      </c>
      <c r="AC133" s="39" t="str">
        <f t="shared" si="55"/>
        <v>Weekend</v>
      </c>
      <c r="AD133" s="39">
        <f t="shared" ca="1" si="56"/>
        <v>1105</v>
      </c>
      <c r="AE133" s="39">
        <f t="shared" ca="1" si="57"/>
        <v>36</v>
      </c>
      <c r="AF133" s="39" t="str">
        <f t="shared" si="58"/>
        <v>CHA</v>
      </c>
      <c r="AG133" s="39" t="str">
        <f t="shared" si="59"/>
        <v>NR-231015-0132</v>
      </c>
      <c r="AH133" s="39" t="str">
        <f>IF(AND(OR(Filter!$B$4="All",D133=Filter!$B$4),OR(Filter!$B$5="All",M133=Filter!$B$5),E133&gt;=Filter!$B$6),MAX(AH$1:AH132)+1,"")</f>
        <v/>
      </c>
      <c r="AI133" s="39">
        <f t="shared" si="60"/>
        <v>42</v>
      </c>
      <c r="AJ133" s="42">
        <f t="shared" si="61"/>
        <v>0.13</v>
      </c>
      <c r="AK133" s="41">
        <f t="shared" si="62"/>
        <v>3349.37</v>
      </c>
      <c r="AL133" s="39">
        <f>RANK(E133,$E$2:$E$1001,0)+COUNTIF($E$2:E133,E133)-1</f>
        <v>547</v>
      </c>
    </row>
    <row r="134" spans="1:38" x14ac:dyDescent="0.2">
      <c r="A134" s="39">
        <v>1023</v>
      </c>
      <c r="B134" s="40">
        <v>45105</v>
      </c>
      <c r="C134" s="39" t="s">
        <v>79</v>
      </c>
      <c r="D134" s="39" t="s">
        <v>59</v>
      </c>
      <c r="E134" s="41">
        <v>2170.94</v>
      </c>
      <c r="F134" s="39">
        <v>9</v>
      </c>
      <c r="G134" s="39" t="s">
        <v>60</v>
      </c>
      <c r="H134" s="41">
        <v>4155.46</v>
      </c>
      <c r="I134" s="41">
        <v>4273.6000000000004</v>
      </c>
      <c r="J134" s="39" t="s">
        <v>137</v>
      </c>
      <c r="K134" s="42">
        <v>0.25</v>
      </c>
      <c r="L134" s="39" t="s">
        <v>68</v>
      </c>
      <c r="M134" s="39" t="s">
        <v>140</v>
      </c>
      <c r="N134" s="39" t="s">
        <v>155</v>
      </c>
      <c r="O134" s="43">
        <f t="shared" si="42"/>
        <v>38462.400000000001</v>
      </c>
      <c r="P134" s="43">
        <f t="shared" si="43"/>
        <v>28846.799999999999</v>
      </c>
      <c r="Q134" s="43">
        <f t="shared" si="44"/>
        <v>37399.14</v>
      </c>
      <c r="R134" s="43">
        <f t="shared" si="45"/>
        <v>-8552.34</v>
      </c>
      <c r="S134" s="44">
        <f t="shared" si="46"/>
        <v>-0.29647447897167106</v>
      </c>
      <c r="T134" s="39" t="str">
        <f t="shared" si="47"/>
        <v>Loss</v>
      </c>
      <c r="U134" s="39" t="str">
        <f t="shared" si="48"/>
        <v>20%+</v>
      </c>
      <c r="V134" s="39" t="str">
        <f>IF(E134&gt;=Analysis!$B$4,"High",IF(E134&gt;=Analysis!$B$5,"Mid","Low"))</f>
        <v>Low</v>
      </c>
      <c r="W134" s="39" t="str">
        <f t="shared" si="49"/>
        <v>2023-06</v>
      </c>
      <c r="X134" s="40">
        <f t="shared" si="50"/>
        <v>45107</v>
      </c>
      <c r="Y134" s="39" t="str">
        <f t="shared" si="51"/>
        <v>2023-Q2</v>
      </c>
      <c r="Z134" s="39" t="str">
        <f t="shared" si="52"/>
        <v>Wed</v>
      </c>
      <c r="AA134" s="39">
        <f t="shared" si="53"/>
        <v>3</v>
      </c>
      <c r="AB134" s="39">
        <f t="shared" si="54"/>
        <v>27</v>
      </c>
      <c r="AC134" s="39" t="str">
        <f t="shared" si="55"/>
        <v>Weekday</v>
      </c>
      <c r="AD134" s="39">
        <f t="shared" ca="1" si="56"/>
        <v>1214</v>
      </c>
      <c r="AE134" s="39">
        <f t="shared" ca="1" si="57"/>
        <v>39</v>
      </c>
      <c r="AF134" s="39" t="str">
        <f t="shared" si="58"/>
        <v>EVE</v>
      </c>
      <c r="AG134" s="39" t="str">
        <f t="shared" si="59"/>
        <v>ER-230628-0133</v>
      </c>
      <c r="AH134" s="39" t="str">
        <f>IF(AND(OR(Filter!$B$4="All",D134=Filter!$B$4),OR(Filter!$B$5="All",M134=Filter!$B$5),E134&gt;=Filter!$B$6),MAX(AH$1:AH133)+1,"")</f>
        <v/>
      </c>
      <c r="AI134" s="39">
        <f t="shared" si="60"/>
        <v>9</v>
      </c>
      <c r="AJ134" s="42">
        <f t="shared" si="61"/>
        <v>0.25</v>
      </c>
      <c r="AK134" s="41">
        <f t="shared" si="62"/>
        <v>4273.6000000000004</v>
      </c>
      <c r="AL134" s="39">
        <f>RANK(E134,$E$2:$E$1001,0)+COUNTIF($E$2:E134,E134)-1</f>
        <v>795</v>
      </c>
    </row>
    <row r="135" spans="1:38" x14ac:dyDescent="0.2">
      <c r="A135" s="39">
        <v>1062</v>
      </c>
      <c r="B135" s="40">
        <v>45051</v>
      </c>
      <c r="C135" s="39" t="s">
        <v>79</v>
      </c>
      <c r="D135" s="39" t="s">
        <v>69</v>
      </c>
      <c r="E135" s="41">
        <v>594.79</v>
      </c>
      <c r="F135" s="39">
        <v>26</v>
      </c>
      <c r="G135" s="39" t="s">
        <v>60</v>
      </c>
      <c r="H135" s="41">
        <v>992.17</v>
      </c>
      <c r="I135" s="41">
        <v>1263.49</v>
      </c>
      <c r="J135" s="39" t="s">
        <v>137</v>
      </c>
      <c r="K135" s="42">
        <v>0.25</v>
      </c>
      <c r="L135" s="39" t="s">
        <v>63</v>
      </c>
      <c r="M135" s="39" t="s">
        <v>140</v>
      </c>
      <c r="N135" s="39" t="s">
        <v>147</v>
      </c>
      <c r="O135" s="43">
        <f t="shared" si="42"/>
        <v>32850.74</v>
      </c>
      <c r="P135" s="43">
        <f t="shared" si="43"/>
        <v>24638.06</v>
      </c>
      <c r="Q135" s="43">
        <f t="shared" si="44"/>
        <v>25796.42</v>
      </c>
      <c r="R135" s="43">
        <f t="shared" si="45"/>
        <v>-1158.3599999999969</v>
      </c>
      <c r="S135" s="44">
        <f t="shared" si="46"/>
        <v>-4.7015065309525053E-2</v>
      </c>
      <c r="T135" s="39" t="str">
        <f t="shared" si="47"/>
        <v>Loss</v>
      </c>
      <c r="U135" s="39" t="str">
        <f t="shared" si="48"/>
        <v>20%+</v>
      </c>
      <c r="V135" s="39" t="str">
        <f>IF(E135&gt;=Analysis!$B$4,"High",IF(E135&gt;=Analysis!$B$5,"Mid","Low"))</f>
        <v>Low</v>
      </c>
      <c r="W135" s="39" t="str">
        <f t="shared" si="49"/>
        <v>2023-05</v>
      </c>
      <c r="X135" s="40">
        <f t="shared" si="50"/>
        <v>45077</v>
      </c>
      <c r="Y135" s="39" t="str">
        <f t="shared" si="51"/>
        <v>2023-Q2</v>
      </c>
      <c r="Z135" s="39" t="str">
        <f t="shared" si="52"/>
        <v>Fri</v>
      </c>
      <c r="AA135" s="39">
        <f t="shared" si="53"/>
        <v>5</v>
      </c>
      <c r="AB135" s="39">
        <f t="shared" si="54"/>
        <v>19</v>
      </c>
      <c r="AC135" s="39" t="str">
        <f t="shared" si="55"/>
        <v>Weekday</v>
      </c>
      <c r="AD135" s="39">
        <f t="shared" ca="1" si="56"/>
        <v>1268</v>
      </c>
      <c r="AE135" s="39">
        <f t="shared" ca="1" si="57"/>
        <v>41</v>
      </c>
      <c r="AF135" s="39" t="str">
        <f t="shared" si="58"/>
        <v>EVE</v>
      </c>
      <c r="AG135" s="39" t="str">
        <f t="shared" si="59"/>
        <v>SR-230505-0134</v>
      </c>
      <c r="AH135" s="39" t="str">
        <f>IF(AND(OR(Filter!$B$4="All",D135=Filter!$B$4),OR(Filter!$B$5="All",M135=Filter!$B$5),E135&gt;=Filter!$B$6),MAX(AH$1:AH134)+1,"")</f>
        <v/>
      </c>
      <c r="AI135" s="39">
        <f t="shared" si="60"/>
        <v>26</v>
      </c>
      <c r="AJ135" s="42">
        <f t="shared" si="61"/>
        <v>0.25</v>
      </c>
      <c r="AK135" s="41">
        <f t="shared" si="62"/>
        <v>1263.49</v>
      </c>
      <c r="AL135" s="39">
        <f>RANK(E135,$E$2:$E$1001,0)+COUNTIF($E$2:E135,E135)-1</f>
        <v>954</v>
      </c>
    </row>
    <row r="136" spans="1:38" x14ac:dyDescent="0.2">
      <c r="A136" s="39">
        <v>1088</v>
      </c>
      <c r="B136" s="40">
        <v>45279</v>
      </c>
      <c r="C136" s="39" t="s">
        <v>61</v>
      </c>
      <c r="D136" s="39" t="s">
        <v>59</v>
      </c>
      <c r="E136" s="41">
        <v>8452.1299999999992</v>
      </c>
      <c r="F136" s="39">
        <v>20</v>
      </c>
      <c r="G136" s="39" t="s">
        <v>60</v>
      </c>
      <c r="H136" s="41">
        <v>4590.24</v>
      </c>
      <c r="I136" s="41">
        <v>5088.28</v>
      </c>
      <c r="J136" s="39" t="s">
        <v>143</v>
      </c>
      <c r="K136" s="42">
        <v>0.16</v>
      </c>
      <c r="L136" s="39" t="s">
        <v>63</v>
      </c>
      <c r="M136" s="39" t="s">
        <v>140</v>
      </c>
      <c r="N136" s="39" t="s">
        <v>159</v>
      </c>
      <c r="O136" s="43">
        <f t="shared" si="42"/>
        <v>101765.6</v>
      </c>
      <c r="P136" s="43">
        <f t="shared" si="43"/>
        <v>85483.1</v>
      </c>
      <c r="Q136" s="43">
        <f t="shared" si="44"/>
        <v>91804.800000000003</v>
      </c>
      <c r="R136" s="43">
        <f t="shared" si="45"/>
        <v>-6321.6999999999971</v>
      </c>
      <c r="S136" s="44">
        <f t="shared" si="46"/>
        <v>-7.3952629233146633E-2</v>
      </c>
      <c r="T136" s="39" t="str">
        <f t="shared" si="47"/>
        <v>Loss</v>
      </c>
      <c r="U136" s="39" t="str">
        <f t="shared" si="48"/>
        <v>10-19%</v>
      </c>
      <c r="V136" s="39" t="str">
        <f>IF(E136&gt;=Analysis!$B$4,"High",IF(E136&gt;=Analysis!$B$5,"Mid","Low"))</f>
        <v>High</v>
      </c>
      <c r="W136" s="39" t="str">
        <f t="shared" si="49"/>
        <v>2023-12</v>
      </c>
      <c r="X136" s="40">
        <f t="shared" si="50"/>
        <v>45291</v>
      </c>
      <c r="Y136" s="39" t="str">
        <f t="shared" si="51"/>
        <v>2023-Q4</v>
      </c>
      <c r="Z136" s="39" t="str">
        <f t="shared" si="52"/>
        <v>Tue</v>
      </c>
      <c r="AA136" s="39">
        <f t="shared" si="53"/>
        <v>2</v>
      </c>
      <c r="AB136" s="39">
        <f t="shared" si="54"/>
        <v>52</v>
      </c>
      <c r="AC136" s="39" t="str">
        <f t="shared" si="55"/>
        <v>Weekday</v>
      </c>
      <c r="AD136" s="39">
        <f t="shared" ca="1" si="56"/>
        <v>1040</v>
      </c>
      <c r="AE136" s="39">
        <f t="shared" ca="1" si="57"/>
        <v>34</v>
      </c>
      <c r="AF136" s="39" t="str">
        <f t="shared" si="58"/>
        <v>ALI</v>
      </c>
      <c r="AG136" s="39" t="str">
        <f t="shared" si="59"/>
        <v>ER-231219-0135</v>
      </c>
      <c r="AH136" s="39" t="str">
        <f>IF(AND(OR(Filter!$B$4="All",D136=Filter!$B$4),OR(Filter!$B$5="All",M136=Filter!$B$5),E136&gt;=Filter!$B$6),MAX(AH$1:AH135)+1,"")</f>
        <v/>
      </c>
      <c r="AI136" s="39">
        <f t="shared" si="60"/>
        <v>20</v>
      </c>
      <c r="AJ136" s="42">
        <f t="shared" si="61"/>
        <v>0.16</v>
      </c>
      <c r="AK136" s="41">
        <f t="shared" si="62"/>
        <v>5088.28</v>
      </c>
      <c r="AL136" s="39">
        <f>RANK(E136,$E$2:$E$1001,0)+COUNTIF($E$2:E136,E136)-1</f>
        <v>146</v>
      </c>
    </row>
    <row r="137" spans="1:38" x14ac:dyDescent="0.2">
      <c r="A137" s="39">
        <v>1037</v>
      </c>
      <c r="B137" s="40">
        <v>44949</v>
      </c>
      <c r="C137" s="39" t="s">
        <v>66</v>
      </c>
      <c r="D137" s="39" t="s">
        <v>64</v>
      </c>
      <c r="E137" s="41">
        <v>9813.81</v>
      </c>
      <c r="F137" s="39">
        <v>40</v>
      </c>
      <c r="G137" s="39" t="s">
        <v>60</v>
      </c>
      <c r="H137" s="41">
        <v>2790.11</v>
      </c>
      <c r="I137" s="41">
        <v>3192.37</v>
      </c>
      <c r="J137" s="39" t="s">
        <v>137</v>
      </c>
      <c r="K137" s="42">
        <v>0.26</v>
      </c>
      <c r="L137" s="39" t="s">
        <v>63</v>
      </c>
      <c r="M137" s="39" t="s">
        <v>138</v>
      </c>
      <c r="N137" s="39" t="s">
        <v>139</v>
      </c>
      <c r="O137" s="43">
        <f t="shared" si="42"/>
        <v>127694.8</v>
      </c>
      <c r="P137" s="43">
        <f t="shared" si="43"/>
        <v>94494.15</v>
      </c>
      <c r="Q137" s="43">
        <f t="shared" si="44"/>
        <v>111604.4</v>
      </c>
      <c r="R137" s="43">
        <f t="shared" si="45"/>
        <v>-17110.25</v>
      </c>
      <c r="S137" s="44">
        <f t="shared" si="46"/>
        <v>-0.18107205578334745</v>
      </c>
      <c r="T137" s="39" t="str">
        <f t="shared" si="47"/>
        <v>Loss</v>
      </c>
      <c r="U137" s="39" t="str">
        <f t="shared" si="48"/>
        <v>20%+</v>
      </c>
      <c r="V137" s="39" t="str">
        <f>IF(E137&gt;=Analysis!$B$4,"High",IF(E137&gt;=Analysis!$B$5,"Mid","Low"))</f>
        <v>High</v>
      </c>
      <c r="W137" s="39" t="str">
        <f t="shared" si="49"/>
        <v>2023-01</v>
      </c>
      <c r="X137" s="40">
        <f t="shared" si="50"/>
        <v>44957</v>
      </c>
      <c r="Y137" s="39" t="str">
        <f t="shared" si="51"/>
        <v>2023-Q1</v>
      </c>
      <c r="Z137" s="39" t="str">
        <f t="shared" si="52"/>
        <v>Mon</v>
      </c>
      <c r="AA137" s="39">
        <f t="shared" si="53"/>
        <v>1</v>
      </c>
      <c r="AB137" s="39">
        <f t="shared" si="54"/>
        <v>5</v>
      </c>
      <c r="AC137" s="39" t="str">
        <f t="shared" si="55"/>
        <v>Weekday</v>
      </c>
      <c r="AD137" s="39">
        <f t="shared" ca="1" si="56"/>
        <v>1370</v>
      </c>
      <c r="AE137" s="39">
        <f t="shared" ca="1" si="57"/>
        <v>45</v>
      </c>
      <c r="AF137" s="39" t="str">
        <f t="shared" si="58"/>
        <v>BOB</v>
      </c>
      <c r="AG137" s="39" t="str">
        <f t="shared" si="59"/>
        <v>NO-230123-0136</v>
      </c>
      <c r="AH137" s="39">
        <f>IF(AND(OR(Filter!$B$4="All",D137=Filter!$B$4),OR(Filter!$B$5="All",M137=Filter!$B$5),E137&gt;=Filter!$B$6),MAX(AH$1:AH136)+1,"")</f>
        <v>10</v>
      </c>
      <c r="AI137" s="39">
        <f t="shared" si="60"/>
        <v>40</v>
      </c>
      <c r="AJ137" s="42">
        <f t="shared" si="61"/>
        <v>0.26</v>
      </c>
      <c r="AK137" s="41">
        <f t="shared" si="62"/>
        <v>3192.37</v>
      </c>
      <c r="AL137" s="39">
        <f>RANK(E137,$E$2:$E$1001,0)+COUNTIF($E$2:E137,E137)-1</f>
        <v>13</v>
      </c>
    </row>
    <row r="138" spans="1:38" x14ac:dyDescent="0.2">
      <c r="A138" s="39">
        <v>1099</v>
      </c>
      <c r="B138" s="40">
        <v>44989</v>
      </c>
      <c r="C138" s="39" t="s">
        <v>76</v>
      </c>
      <c r="D138" s="39" t="s">
        <v>59</v>
      </c>
      <c r="E138" s="41">
        <v>7952.11</v>
      </c>
      <c r="F138" s="39">
        <v>10</v>
      </c>
      <c r="G138" s="39" t="s">
        <v>75</v>
      </c>
      <c r="H138" s="41">
        <v>1531.2</v>
      </c>
      <c r="I138" s="41">
        <v>1955.56</v>
      </c>
      <c r="J138" s="39" t="s">
        <v>143</v>
      </c>
      <c r="K138" s="42">
        <v>0</v>
      </c>
      <c r="L138" s="39" t="s">
        <v>73</v>
      </c>
      <c r="M138" s="39" t="s">
        <v>138</v>
      </c>
      <c r="N138" s="39" t="s">
        <v>157</v>
      </c>
      <c r="O138" s="43">
        <f t="shared" si="42"/>
        <v>19555.599999999999</v>
      </c>
      <c r="P138" s="43">
        <f t="shared" si="43"/>
        <v>19555.599999999999</v>
      </c>
      <c r="Q138" s="43">
        <f t="shared" si="44"/>
        <v>15312</v>
      </c>
      <c r="R138" s="43">
        <f t="shared" si="45"/>
        <v>4243.5999999999985</v>
      </c>
      <c r="S138" s="44">
        <f t="shared" si="46"/>
        <v>0.21700177954141006</v>
      </c>
      <c r="T138" s="39" t="str">
        <f t="shared" si="47"/>
        <v>OK</v>
      </c>
      <c r="U138" s="39" t="str">
        <f t="shared" si="48"/>
        <v>0-9%</v>
      </c>
      <c r="V138" s="39" t="str">
        <f>IF(E138&gt;=Analysis!$B$4,"High",IF(E138&gt;=Analysis!$B$5,"Mid","Low"))</f>
        <v>High</v>
      </c>
      <c r="W138" s="39" t="str">
        <f t="shared" si="49"/>
        <v>2023-03</v>
      </c>
      <c r="X138" s="40">
        <f t="shared" si="50"/>
        <v>45016</v>
      </c>
      <c r="Y138" s="39" t="str">
        <f t="shared" si="51"/>
        <v>2023-Q1</v>
      </c>
      <c r="Z138" s="39" t="str">
        <f t="shared" si="52"/>
        <v>Sat</v>
      </c>
      <c r="AA138" s="39">
        <f t="shared" si="53"/>
        <v>6</v>
      </c>
      <c r="AB138" s="39">
        <f t="shared" si="54"/>
        <v>10</v>
      </c>
      <c r="AC138" s="39" t="str">
        <f t="shared" si="55"/>
        <v>Weekend</v>
      </c>
      <c r="AD138" s="39">
        <f t="shared" ca="1" si="56"/>
        <v>1330</v>
      </c>
      <c r="AE138" s="39">
        <f t="shared" ca="1" si="57"/>
        <v>43</v>
      </c>
      <c r="AF138" s="39" t="str">
        <f t="shared" si="58"/>
        <v>DAV</v>
      </c>
      <c r="AG138" s="39" t="str">
        <f t="shared" si="59"/>
        <v>EO-230304-0137</v>
      </c>
      <c r="AH138" s="39" t="str">
        <f>IF(AND(OR(Filter!$B$4="All",D138=Filter!$B$4),OR(Filter!$B$5="All",M138=Filter!$B$5),E138&gt;=Filter!$B$6),MAX(AH$1:AH137)+1,"")</f>
        <v/>
      </c>
      <c r="AI138" s="39">
        <f t="shared" si="60"/>
        <v>10</v>
      </c>
      <c r="AJ138" s="42">
        <f t="shared" si="61"/>
        <v>0</v>
      </c>
      <c r="AK138" s="41">
        <f t="shared" si="62"/>
        <v>1955.56</v>
      </c>
      <c r="AL138" s="39">
        <f>RANK(E138,$E$2:$E$1001,0)+COUNTIF($E$2:E138,E138)-1</f>
        <v>199</v>
      </c>
    </row>
    <row r="139" spans="1:38" x14ac:dyDescent="0.2">
      <c r="A139" s="39">
        <v>1044</v>
      </c>
      <c r="B139" s="40">
        <v>45069</v>
      </c>
      <c r="C139" s="39" t="s">
        <v>66</v>
      </c>
      <c r="D139" s="39" t="s">
        <v>74</v>
      </c>
      <c r="E139" s="41">
        <v>8552.4699999999993</v>
      </c>
      <c r="F139" s="39">
        <v>19</v>
      </c>
      <c r="G139" s="39" t="s">
        <v>70</v>
      </c>
      <c r="H139" s="41">
        <v>2182.75</v>
      </c>
      <c r="I139" s="41">
        <v>2504.0300000000002</v>
      </c>
      <c r="J139" s="39" t="s">
        <v>143</v>
      </c>
      <c r="K139" s="42">
        <v>0.01</v>
      </c>
      <c r="L139" s="39" t="s">
        <v>63</v>
      </c>
      <c r="M139" s="39" t="s">
        <v>138</v>
      </c>
      <c r="N139" s="39" t="s">
        <v>141</v>
      </c>
      <c r="O139" s="43">
        <f t="shared" si="42"/>
        <v>47576.57</v>
      </c>
      <c r="P139" s="43">
        <f t="shared" si="43"/>
        <v>47100.800000000003</v>
      </c>
      <c r="Q139" s="43">
        <f t="shared" si="44"/>
        <v>41472.25</v>
      </c>
      <c r="R139" s="43">
        <f t="shared" si="45"/>
        <v>5628.5500000000029</v>
      </c>
      <c r="S139" s="44">
        <f t="shared" si="46"/>
        <v>0.11950009341667238</v>
      </c>
      <c r="T139" s="39" t="str">
        <f t="shared" si="47"/>
        <v>OK</v>
      </c>
      <c r="U139" s="39" t="str">
        <f t="shared" si="48"/>
        <v>0-9%</v>
      </c>
      <c r="V139" s="39" t="str">
        <f>IF(E139&gt;=Analysis!$B$4,"High",IF(E139&gt;=Analysis!$B$5,"Mid","Low"))</f>
        <v>High</v>
      </c>
      <c r="W139" s="39" t="str">
        <f t="shared" si="49"/>
        <v>2023-05</v>
      </c>
      <c r="X139" s="40">
        <f t="shared" si="50"/>
        <v>45077</v>
      </c>
      <c r="Y139" s="39" t="str">
        <f t="shared" si="51"/>
        <v>2023-Q2</v>
      </c>
      <c r="Z139" s="39" t="str">
        <f t="shared" si="52"/>
        <v>Tue</v>
      </c>
      <c r="AA139" s="39">
        <f t="shared" si="53"/>
        <v>2</v>
      </c>
      <c r="AB139" s="39">
        <f t="shared" si="54"/>
        <v>22</v>
      </c>
      <c r="AC139" s="39" t="str">
        <f t="shared" si="55"/>
        <v>Weekday</v>
      </c>
      <c r="AD139" s="39">
        <f t="shared" ca="1" si="56"/>
        <v>1250</v>
      </c>
      <c r="AE139" s="39">
        <f t="shared" ca="1" si="57"/>
        <v>41</v>
      </c>
      <c r="AF139" s="39" t="str">
        <f t="shared" si="58"/>
        <v>BOB</v>
      </c>
      <c r="AG139" s="39" t="str">
        <f t="shared" si="59"/>
        <v>WO-230523-0138</v>
      </c>
      <c r="AH139" s="39" t="str">
        <f>IF(AND(OR(Filter!$B$4="All",D139=Filter!$B$4),OR(Filter!$B$5="All",M139=Filter!$B$5),E139&gt;=Filter!$B$6),MAX(AH$1:AH138)+1,"")</f>
        <v/>
      </c>
      <c r="AI139" s="39">
        <f t="shared" si="60"/>
        <v>19</v>
      </c>
      <c r="AJ139" s="42">
        <f t="shared" si="61"/>
        <v>0.01</v>
      </c>
      <c r="AK139" s="41">
        <f t="shared" si="62"/>
        <v>2504.0300000000002</v>
      </c>
      <c r="AL139" s="39">
        <f>RANK(E139,$E$2:$E$1001,0)+COUNTIF($E$2:E139,E139)-1</f>
        <v>137</v>
      </c>
    </row>
    <row r="140" spans="1:38" x14ac:dyDescent="0.2">
      <c r="A140" s="39">
        <v>1086</v>
      </c>
      <c r="B140" s="40">
        <v>45079</v>
      </c>
      <c r="C140" s="39" t="s">
        <v>66</v>
      </c>
      <c r="D140" s="39" t="s">
        <v>59</v>
      </c>
      <c r="E140" s="41">
        <v>2495.5700000000002</v>
      </c>
      <c r="F140" s="39">
        <v>3</v>
      </c>
      <c r="G140" s="39" t="s">
        <v>65</v>
      </c>
      <c r="H140" s="41">
        <v>1595.35</v>
      </c>
      <c r="I140" s="41">
        <v>1625.71</v>
      </c>
      <c r="J140" s="39" t="s">
        <v>143</v>
      </c>
      <c r="K140" s="42">
        <v>0.27</v>
      </c>
      <c r="L140" s="39" t="s">
        <v>68</v>
      </c>
      <c r="M140" s="39" t="s">
        <v>138</v>
      </c>
      <c r="N140" s="39" t="s">
        <v>153</v>
      </c>
      <c r="O140" s="43">
        <f t="shared" si="42"/>
        <v>4877.13</v>
      </c>
      <c r="P140" s="43">
        <f t="shared" si="43"/>
        <v>3560.3</v>
      </c>
      <c r="Q140" s="43">
        <f t="shared" si="44"/>
        <v>4786.05</v>
      </c>
      <c r="R140" s="43">
        <f t="shared" si="45"/>
        <v>-1225.75</v>
      </c>
      <c r="S140" s="44">
        <f t="shared" si="46"/>
        <v>-0.34428278515855404</v>
      </c>
      <c r="T140" s="39" t="str">
        <f t="shared" si="47"/>
        <v>Loss</v>
      </c>
      <c r="U140" s="39" t="str">
        <f t="shared" si="48"/>
        <v>20%+</v>
      </c>
      <c r="V140" s="39" t="str">
        <f>IF(E140&gt;=Analysis!$B$4,"High",IF(E140&gt;=Analysis!$B$5,"Mid","Low"))</f>
        <v>Low</v>
      </c>
      <c r="W140" s="39" t="str">
        <f t="shared" si="49"/>
        <v>2023-06</v>
      </c>
      <c r="X140" s="40">
        <f t="shared" si="50"/>
        <v>45107</v>
      </c>
      <c r="Y140" s="39" t="str">
        <f t="shared" si="51"/>
        <v>2023-Q2</v>
      </c>
      <c r="Z140" s="39" t="str">
        <f t="shared" si="52"/>
        <v>Fri</v>
      </c>
      <c r="AA140" s="39">
        <f t="shared" si="53"/>
        <v>5</v>
      </c>
      <c r="AB140" s="39">
        <f t="shared" si="54"/>
        <v>23</v>
      </c>
      <c r="AC140" s="39" t="str">
        <f t="shared" si="55"/>
        <v>Weekday</v>
      </c>
      <c r="AD140" s="39">
        <f t="shared" ca="1" si="56"/>
        <v>1240</v>
      </c>
      <c r="AE140" s="39">
        <f t="shared" ca="1" si="57"/>
        <v>40</v>
      </c>
      <c r="AF140" s="39" t="str">
        <f t="shared" si="58"/>
        <v>BOB</v>
      </c>
      <c r="AG140" s="39" t="str">
        <f t="shared" si="59"/>
        <v>EO-230602-0139</v>
      </c>
      <c r="AH140" s="39" t="str">
        <f>IF(AND(OR(Filter!$B$4="All",D140=Filter!$B$4),OR(Filter!$B$5="All",M140=Filter!$B$5),E140&gt;=Filter!$B$6),MAX(AH$1:AH139)+1,"")</f>
        <v/>
      </c>
      <c r="AI140" s="39">
        <f t="shared" si="60"/>
        <v>3</v>
      </c>
      <c r="AJ140" s="42">
        <f t="shared" si="61"/>
        <v>0.27</v>
      </c>
      <c r="AK140" s="41">
        <f t="shared" si="62"/>
        <v>1625.71</v>
      </c>
      <c r="AL140" s="39">
        <f>RANK(E140,$E$2:$E$1001,0)+COUNTIF($E$2:E140,E140)-1</f>
        <v>756</v>
      </c>
    </row>
    <row r="141" spans="1:38" x14ac:dyDescent="0.2">
      <c r="A141" s="39">
        <v>1091</v>
      </c>
      <c r="B141" s="40">
        <v>45071</v>
      </c>
      <c r="C141" s="39" t="s">
        <v>61</v>
      </c>
      <c r="D141" s="39" t="s">
        <v>64</v>
      </c>
      <c r="E141" s="41">
        <v>9610.2099999999991</v>
      </c>
      <c r="F141" s="39">
        <v>24</v>
      </c>
      <c r="G141" s="39" t="s">
        <v>60</v>
      </c>
      <c r="H141" s="41">
        <v>3639.3</v>
      </c>
      <c r="I141" s="41">
        <v>3750.63</v>
      </c>
      <c r="J141" s="39" t="s">
        <v>143</v>
      </c>
      <c r="K141" s="42">
        <v>0.23</v>
      </c>
      <c r="L141" s="39" t="s">
        <v>63</v>
      </c>
      <c r="M141" s="39" t="s">
        <v>140</v>
      </c>
      <c r="N141" s="39" t="s">
        <v>156</v>
      </c>
      <c r="O141" s="43">
        <f t="shared" si="42"/>
        <v>90015.12</v>
      </c>
      <c r="P141" s="43">
        <f t="shared" si="43"/>
        <v>69311.64</v>
      </c>
      <c r="Q141" s="43">
        <f t="shared" si="44"/>
        <v>87343.2</v>
      </c>
      <c r="R141" s="43">
        <f t="shared" si="45"/>
        <v>-18031.559999999998</v>
      </c>
      <c r="S141" s="44">
        <f t="shared" si="46"/>
        <v>-0.26015197447355159</v>
      </c>
      <c r="T141" s="39" t="str">
        <f t="shared" si="47"/>
        <v>Loss</v>
      </c>
      <c r="U141" s="39" t="str">
        <f t="shared" si="48"/>
        <v>20%+</v>
      </c>
      <c r="V141" s="39" t="str">
        <f>IF(E141&gt;=Analysis!$B$4,"High",IF(E141&gt;=Analysis!$B$5,"Mid","Low"))</f>
        <v>High</v>
      </c>
      <c r="W141" s="39" t="str">
        <f t="shared" si="49"/>
        <v>2023-05</v>
      </c>
      <c r="X141" s="40">
        <f t="shared" si="50"/>
        <v>45077</v>
      </c>
      <c r="Y141" s="39" t="str">
        <f t="shared" si="51"/>
        <v>2023-Q2</v>
      </c>
      <c r="Z141" s="39" t="str">
        <f t="shared" si="52"/>
        <v>Thu</v>
      </c>
      <c r="AA141" s="39">
        <f t="shared" si="53"/>
        <v>4</v>
      </c>
      <c r="AB141" s="39">
        <f t="shared" si="54"/>
        <v>22</v>
      </c>
      <c r="AC141" s="39" t="str">
        <f t="shared" si="55"/>
        <v>Weekday</v>
      </c>
      <c r="AD141" s="39">
        <f t="shared" ca="1" si="56"/>
        <v>1248</v>
      </c>
      <c r="AE141" s="39">
        <f t="shared" ca="1" si="57"/>
        <v>40</v>
      </c>
      <c r="AF141" s="39" t="str">
        <f t="shared" si="58"/>
        <v>ALI</v>
      </c>
      <c r="AG141" s="39" t="str">
        <f t="shared" si="59"/>
        <v>NR-230525-0140</v>
      </c>
      <c r="AH141" s="39">
        <f>IF(AND(OR(Filter!$B$4="All",D141=Filter!$B$4),OR(Filter!$B$5="All",M141=Filter!$B$5),E141&gt;=Filter!$B$6),MAX(AH$1:AH140)+1,"")</f>
        <v>11</v>
      </c>
      <c r="AI141" s="39">
        <f t="shared" si="60"/>
        <v>24</v>
      </c>
      <c r="AJ141" s="42">
        <f t="shared" si="61"/>
        <v>0.23</v>
      </c>
      <c r="AK141" s="41">
        <f t="shared" si="62"/>
        <v>3750.63</v>
      </c>
      <c r="AL141" s="39">
        <f>RANK(E141,$E$2:$E$1001,0)+COUNTIF($E$2:E141,E141)-1</f>
        <v>39</v>
      </c>
    </row>
    <row r="142" spans="1:38" x14ac:dyDescent="0.2">
      <c r="A142" s="39">
        <v>1035</v>
      </c>
      <c r="B142" s="40">
        <v>45151</v>
      </c>
      <c r="C142" s="39" t="s">
        <v>61</v>
      </c>
      <c r="D142" s="39" t="s">
        <v>74</v>
      </c>
      <c r="E142" s="41">
        <v>2049.56</v>
      </c>
      <c r="F142" s="39">
        <v>5</v>
      </c>
      <c r="G142" s="39" t="s">
        <v>60</v>
      </c>
      <c r="H142" s="41">
        <v>3991.69</v>
      </c>
      <c r="I142" s="41">
        <v>4454.97</v>
      </c>
      <c r="J142" s="39" t="s">
        <v>143</v>
      </c>
      <c r="K142" s="42">
        <v>0.14000000000000001</v>
      </c>
      <c r="L142" s="39" t="s">
        <v>73</v>
      </c>
      <c r="M142" s="39" t="s">
        <v>140</v>
      </c>
      <c r="N142" s="39" t="s">
        <v>158</v>
      </c>
      <c r="O142" s="43">
        <f t="shared" si="42"/>
        <v>22274.85</v>
      </c>
      <c r="P142" s="43">
        <f t="shared" si="43"/>
        <v>19156.37</v>
      </c>
      <c r="Q142" s="43">
        <f t="shared" si="44"/>
        <v>19958.45</v>
      </c>
      <c r="R142" s="43">
        <f t="shared" si="45"/>
        <v>-802.08000000000175</v>
      </c>
      <c r="S142" s="44">
        <f t="shared" si="46"/>
        <v>-4.1870145544275969E-2</v>
      </c>
      <c r="T142" s="39" t="str">
        <f t="shared" si="47"/>
        <v>Loss</v>
      </c>
      <c r="U142" s="39" t="str">
        <f t="shared" si="48"/>
        <v>10-19%</v>
      </c>
      <c r="V142" s="39" t="str">
        <f>IF(E142&gt;=Analysis!$B$4,"High",IF(E142&gt;=Analysis!$B$5,"Mid","Low"))</f>
        <v>Low</v>
      </c>
      <c r="W142" s="39" t="str">
        <f t="shared" si="49"/>
        <v>2023-08</v>
      </c>
      <c r="X142" s="40">
        <f t="shared" si="50"/>
        <v>45169</v>
      </c>
      <c r="Y142" s="39" t="str">
        <f t="shared" si="51"/>
        <v>2023-Q3</v>
      </c>
      <c r="Z142" s="39" t="str">
        <f t="shared" si="52"/>
        <v>Sun</v>
      </c>
      <c r="AA142" s="39">
        <f t="shared" si="53"/>
        <v>7</v>
      </c>
      <c r="AB142" s="39">
        <f t="shared" si="54"/>
        <v>33</v>
      </c>
      <c r="AC142" s="39" t="str">
        <f t="shared" si="55"/>
        <v>Weekend</v>
      </c>
      <c r="AD142" s="39">
        <f t="shared" ca="1" si="56"/>
        <v>1168</v>
      </c>
      <c r="AE142" s="39">
        <f t="shared" ca="1" si="57"/>
        <v>38</v>
      </c>
      <c r="AF142" s="39" t="str">
        <f t="shared" si="58"/>
        <v>ALI</v>
      </c>
      <c r="AG142" s="39" t="str">
        <f t="shared" si="59"/>
        <v>WR-230813-0141</v>
      </c>
      <c r="AH142" s="39" t="str">
        <f>IF(AND(OR(Filter!$B$4="All",D142=Filter!$B$4),OR(Filter!$B$5="All",M142=Filter!$B$5),E142&gt;=Filter!$B$6),MAX(AH$1:AH141)+1,"")</f>
        <v/>
      </c>
      <c r="AI142" s="39">
        <f t="shared" si="60"/>
        <v>5</v>
      </c>
      <c r="AJ142" s="42">
        <f t="shared" si="61"/>
        <v>0.14000000000000001</v>
      </c>
      <c r="AK142" s="41">
        <f t="shared" si="62"/>
        <v>4454.97</v>
      </c>
      <c r="AL142" s="39">
        <f>RANK(E142,$E$2:$E$1001,0)+COUNTIF($E$2:E142,E142)-1</f>
        <v>810</v>
      </c>
    </row>
    <row r="143" spans="1:38" x14ac:dyDescent="0.2">
      <c r="A143" s="39">
        <v>1065</v>
      </c>
      <c r="B143" s="40">
        <v>45235</v>
      </c>
      <c r="C143" s="39" t="s">
        <v>61</v>
      </c>
      <c r="D143" s="39" t="s">
        <v>59</v>
      </c>
      <c r="E143" s="41">
        <v>9519.16</v>
      </c>
      <c r="F143" s="39">
        <v>3</v>
      </c>
      <c r="G143" s="39" t="s">
        <v>75</v>
      </c>
      <c r="H143" s="41">
        <v>4173.04</v>
      </c>
      <c r="I143" s="41">
        <v>4362.4399999999996</v>
      </c>
      <c r="J143" s="39" t="s">
        <v>143</v>
      </c>
      <c r="K143" s="42">
        <v>0.23</v>
      </c>
      <c r="L143" s="39" t="s">
        <v>63</v>
      </c>
      <c r="M143" s="39" t="s">
        <v>140</v>
      </c>
      <c r="N143" s="39" t="s">
        <v>159</v>
      </c>
      <c r="O143" s="43">
        <f t="shared" si="42"/>
        <v>13087.32</v>
      </c>
      <c r="P143" s="43">
        <f t="shared" si="43"/>
        <v>10077.24</v>
      </c>
      <c r="Q143" s="43">
        <f t="shared" si="44"/>
        <v>12519.12</v>
      </c>
      <c r="R143" s="43">
        <f t="shared" si="45"/>
        <v>-2441.880000000001</v>
      </c>
      <c r="S143" s="44">
        <f t="shared" si="46"/>
        <v>-0.24231634852400072</v>
      </c>
      <c r="T143" s="39" t="str">
        <f t="shared" si="47"/>
        <v>Loss</v>
      </c>
      <c r="U143" s="39" t="str">
        <f t="shared" si="48"/>
        <v>20%+</v>
      </c>
      <c r="V143" s="39" t="str">
        <f>IF(E143&gt;=Analysis!$B$4,"High",IF(E143&gt;=Analysis!$B$5,"Mid","Low"))</f>
        <v>High</v>
      </c>
      <c r="W143" s="39" t="str">
        <f t="shared" si="49"/>
        <v>2023-11</v>
      </c>
      <c r="X143" s="40">
        <f t="shared" si="50"/>
        <v>45260</v>
      </c>
      <c r="Y143" s="39" t="str">
        <f t="shared" si="51"/>
        <v>2023-Q4</v>
      </c>
      <c r="Z143" s="39" t="str">
        <f t="shared" si="52"/>
        <v>Sun</v>
      </c>
      <c r="AA143" s="39">
        <f t="shared" si="53"/>
        <v>7</v>
      </c>
      <c r="AB143" s="39">
        <f t="shared" si="54"/>
        <v>45</v>
      </c>
      <c r="AC143" s="39" t="str">
        <f t="shared" si="55"/>
        <v>Weekend</v>
      </c>
      <c r="AD143" s="39">
        <f t="shared" ca="1" si="56"/>
        <v>1084</v>
      </c>
      <c r="AE143" s="39">
        <f t="shared" ca="1" si="57"/>
        <v>35</v>
      </c>
      <c r="AF143" s="39" t="str">
        <f t="shared" si="58"/>
        <v>ALI</v>
      </c>
      <c r="AG143" s="39" t="str">
        <f t="shared" si="59"/>
        <v>ER-231105-0142</v>
      </c>
      <c r="AH143" s="39">
        <f>IF(AND(OR(Filter!$B$4="All",D143=Filter!$B$4),OR(Filter!$B$5="All",M143=Filter!$B$5),E143&gt;=Filter!$B$6),MAX(AH$1:AH142)+1,"")</f>
        <v>12</v>
      </c>
      <c r="AI143" s="39">
        <f t="shared" si="60"/>
        <v>3</v>
      </c>
      <c r="AJ143" s="42">
        <f t="shared" si="61"/>
        <v>0.23</v>
      </c>
      <c r="AK143" s="41">
        <f t="shared" si="62"/>
        <v>4362.4399999999996</v>
      </c>
      <c r="AL143" s="39">
        <f>RANK(E143,$E$2:$E$1001,0)+COUNTIF($E$2:E143,E143)-1</f>
        <v>49</v>
      </c>
    </row>
    <row r="144" spans="1:38" x14ac:dyDescent="0.2">
      <c r="A144" s="39">
        <v>1099</v>
      </c>
      <c r="B144" s="40">
        <v>45030</v>
      </c>
      <c r="C144" s="39" t="s">
        <v>61</v>
      </c>
      <c r="D144" s="39" t="s">
        <v>59</v>
      </c>
      <c r="E144" s="41">
        <v>9948.7099999999991</v>
      </c>
      <c r="F144" s="39">
        <v>27</v>
      </c>
      <c r="G144" s="39" t="s">
        <v>70</v>
      </c>
      <c r="H144" s="41">
        <v>4929.55</v>
      </c>
      <c r="I144" s="41">
        <v>4990.33</v>
      </c>
      <c r="J144" s="39" t="s">
        <v>137</v>
      </c>
      <c r="K144" s="42">
        <v>0.28999999999999998</v>
      </c>
      <c r="L144" s="39" t="s">
        <v>73</v>
      </c>
      <c r="M144" s="39" t="s">
        <v>138</v>
      </c>
      <c r="N144" s="39" t="s">
        <v>159</v>
      </c>
      <c r="O144" s="43">
        <f t="shared" si="42"/>
        <v>134738.91</v>
      </c>
      <c r="P144" s="43">
        <f t="shared" si="43"/>
        <v>95664.63</v>
      </c>
      <c r="Q144" s="43">
        <f t="shared" si="44"/>
        <v>133097.85</v>
      </c>
      <c r="R144" s="43">
        <f t="shared" si="45"/>
        <v>-37433.22</v>
      </c>
      <c r="S144" s="44">
        <f t="shared" si="46"/>
        <v>-0.39129634432287042</v>
      </c>
      <c r="T144" s="39" t="str">
        <f t="shared" si="47"/>
        <v>Loss</v>
      </c>
      <c r="U144" s="39" t="str">
        <f t="shared" si="48"/>
        <v>20%+</v>
      </c>
      <c r="V144" s="39" t="str">
        <f>IF(E144&gt;=Analysis!$B$4,"High",IF(E144&gt;=Analysis!$B$5,"Mid","Low"))</f>
        <v>High</v>
      </c>
      <c r="W144" s="39" t="str">
        <f t="shared" si="49"/>
        <v>2023-04</v>
      </c>
      <c r="X144" s="40">
        <f t="shared" si="50"/>
        <v>45046</v>
      </c>
      <c r="Y144" s="39" t="str">
        <f t="shared" si="51"/>
        <v>2023-Q2</v>
      </c>
      <c r="Z144" s="39" t="str">
        <f t="shared" si="52"/>
        <v>Fri</v>
      </c>
      <c r="AA144" s="39">
        <f t="shared" si="53"/>
        <v>5</v>
      </c>
      <c r="AB144" s="39">
        <f t="shared" si="54"/>
        <v>16</v>
      </c>
      <c r="AC144" s="39" t="str">
        <f t="shared" si="55"/>
        <v>Weekday</v>
      </c>
      <c r="AD144" s="39">
        <f t="shared" ca="1" si="56"/>
        <v>1289</v>
      </c>
      <c r="AE144" s="39">
        <f t="shared" ca="1" si="57"/>
        <v>42</v>
      </c>
      <c r="AF144" s="39" t="str">
        <f t="shared" si="58"/>
        <v>ALI</v>
      </c>
      <c r="AG144" s="39" t="str">
        <f t="shared" si="59"/>
        <v>EO-230414-0143</v>
      </c>
      <c r="AH144" s="39">
        <f>IF(AND(OR(Filter!$B$4="All",D144=Filter!$B$4),OR(Filter!$B$5="All",M144=Filter!$B$5),E144&gt;=Filter!$B$6),MAX(AH$1:AH143)+1,"")</f>
        <v>13</v>
      </c>
      <c r="AI144" s="39">
        <f t="shared" si="60"/>
        <v>27</v>
      </c>
      <c r="AJ144" s="42">
        <f t="shared" si="61"/>
        <v>0.28999999999999998</v>
      </c>
      <c r="AK144" s="41">
        <f t="shared" si="62"/>
        <v>4990.33</v>
      </c>
      <c r="AL144" s="39">
        <f>RANK(E144,$E$2:$E$1001,0)+COUNTIF($E$2:E144,E144)-1</f>
        <v>7</v>
      </c>
    </row>
    <row r="145" spans="1:38" x14ac:dyDescent="0.2">
      <c r="A145" s="39">
        <v>1047</v>
      </c>
      <c r="B145" s="40">
        <v>45030</v>
      </c>
      <c r="C145" s="39" t="s">
        <v>79</v>
      </c>
      <c r="D145" s="39" t="s">
        <v>74</v>
      </c>
      <c r="E145" s="41">
        <v>7146.06</v>
      </c>
      <c r="F145" s="39">
        <v>16</v>
      </c>
      <c r="G145" s="39" t="s">
        <v>60</v>
      </c>
      <c r="H145" s="41">
        <v>3966.86</v>
      </c>
      <c r="I145" s="41">
        <v>4321.04</v>
      </c>
      <c r="J145" s="39" t="s">
        <v>137</v>
      </c>
      <c r="K145" s="42">
        <v>0.23</v>
      </c>
      <c r="L145" s="39" t="s">
        <v>73</v>
      </c>
      <c r="M145" s="39" t="s">
        <v>140</v>
      </c>
      <c r="N145" s="39" t="s">
        <v>149</v>
      </c>
      <c r="O145" s="43">
        <f t="shared" si="42"/>
        <v>69136.639999999999</v>
      </c>
      <c r="P145" s="43">
        <f t="shared" si="43"/>
        <v>53235.21</v>
      </c>
      <c r="Q145" s="43">
        <f t="shared" si="44"/>
        <v>63469.760000000002</v>
      </c>
      <c r="R145" s="43">
        <f t="shared" si="45"/>
        <v>-10234.550000000003</v>
      </c>
      <c r="S145" s="44">
        <f t="shared" si="46"/>
        <v>-0.19225151924825698</v>
      </c>
      <c r="T145" s="39" t="str">
        <f t="shared" si="47"/>
        <v>Loss</v>
      </c>
      <c r="U145" s="39" t="str">
        <f t="shared" si="48"/>
        <v>20%+</v>
      </c>
      <c r="V145" s="39" t="str">
        <f>IF(E145&gt;=Analysis!$B$4,"High",IF(E145&gt;=Analysis!$B$5,"Mid","Low"))</f>
        <v>Mid</v>
      </c>
      <c r="W145" s="39" t="str">
        <f t="shared" si="49"/>
        <v>2023-04</v>
      </c>
      <c r="X145" s="40">
        <f t="shared" si="50"/>
        <v>45046</v>
      </c>
      <c r="Y145" s="39" t="str">
        <f t="shared" si="51"/>
        <v>2023-Q2</v>
      </c>
      <c r="Z145" s="39" t="str">
        <f t="shared" si="52"/>
        <v>Fri</v>
      </c>
      <c r="AA145" s="39">
        <f t="shared" si="53"/>
        <v>5</v>
      </c>
      <c r="AB145" s="39">
        <f t="shared" si="54"/>
        <v>16</v>
      </c>
      <c r="AC145" s="39" t="str">
        <f t="shared" si="55"/>
        <v>Weekday</v>
      </c>
      <c r="AD145" s="39">
        <f t="shared" ca="1" si="56"/>
        <v>1289</v>
      </c>
      <c r="AE145" s="39">
        <f t="shared" ca="1" si="57"/>
        <v>42</v>
      </c>
      <c r="AF145" s="39" t="str">
        <f t="shared" si="58"/>
        <v>EVE</v>
      </c>
      <c r="AG145" s="39" t="str">
        <f t="shared" si="59"/>
        <v>WR-230414-0144</v>
      </c>
      <c r="AH145" s="39" t="str">
        <f>IF(AND(OR(Filter!$B$4="All",D145=Filter!$B$4),OR(Filter!$B$5="All",M145=Filter!$B$5),E145&gt;=Filter!$B$6),MAX(AH$1:AH144)+1,"")</f>
        <v/>
      </c>
      <c r="AI145" s="39">
        <f t="shared" si="60"/>
        <v>16</v>
      </c>
      <c r="AJ145" s="42">
        <f t="shared" si="61"/>
        <v>0.23</v>
      </c>
      <c r="AK145" s="41">
        <f t="shared" si="62"/>
        <v>4321.04</v>
      </c>
      <c r="AL145" s="39">
        <f>RANK(E145,$E$2:$E$1001,0)+COUNTIF($E$2:E145,E145)-1</f>
        <v>285</v>
      </c>
    </row>
    <row r="146" spans="1:38" x14ac:dyDescent="0.2">
      <c r="A146" s="39">
        <v>1078</v>
      </c>
      <c r="B146" s="40">
        <v>44965</v>
      </c>
      <c r="C146" s="39" t="s">
        <v>61</v>
      </c>
      <c r="D146" s="39" t="s">
        <v>69</v>
      </c>
      <c r="E146" s="41">
        <v>9813.32</v>
      </c>
      <c r="F146" s="39">
        <v>49</v>
      </c>
      <c r="G146" s="39" t="s">
        <v>75</v>
      </c>
      <c r="H146" s="41">
        <v>3026.85</v>
      </c>
      <c r="I146" s="41">
        <v>3183.58</v>
      </c>
      <c r="J146" s="39" t="s">
        <v>137</v>
      </c>
      <c r="K146" s="42">
        <v>0.25</v>
      </c>
      <c r="L146" s="39" t="s">
        <v>68</v>
      </c>
      <c r="M146" s="39" t="s">
        <v>140</v>
      </c>
      <c r="N146" s="39" t="s">
        <v>150</v>
      </c>
      <c r="O146" s="43">
        <f t="shared" si="42"/>
        <v>155995.42000000001</v>
      </c>
      <c r="P146" s="43">
        <f t="shared" si="43"/>
        <v>116996.57</v>
      </c>
      <c r="Q146" s="43">
        <f t="shared" si="44"/>
        <v>148315.65</v>
      </c>
      <c r="R146" s="43">
        <f t="shared" si="45"/>
        <v>-31319.079999999987</v>
      </c>
      <c r="S146" s="44">
        <f t="shared" si="46"/>
        <v>-0.26769229217574486</v>
      </c>
      <c r="T146" s="39" t="str">
        <f t="shared" si="47"/>
        <v>Loss</v>
      </c>
      <c r="U146" s="39" t="str">
        <f t="shared" si="48"/>
        <v>20%+</v>
      </c>
      <c r="V146" s="39" t="str">
        <f>IF(E146&gt;=Analysis!$B$4,"High",IF(E146&gt;=Analysis!$B$5,"Mid","Low"))</f>
        <v>High</v>
      </c>
      <c r="W146" s="39" t="str">
        <f t="shared" si="49"/>
        <v>2023-02</v>
      </c>
      <c r="X146" s="40">
        <f t="shared" si="50"/>
        <v>44985</v>
      </c>
      <c r="Y146" s="39" t="str">
        <f t="shared" si="51"/>
        <v>2023-Q1</v>
      </c>
      <c r="Z146" s="39" t="str">
        <f t="shared" si="52"/>
        <v>Wed</v>
      </c>
      <c r="AA146" s="39">
        <f t="shared" si="53"/>
        <v>3</v>
      </c>
      <c r="AB146" s="39">
        <f t="shared" si="54"/>
        <v>7</v>
      </c>
      <c r="AC146" s="39" t="str">
        <f t="shared" si="55"/>
        <v>Weekday</v>
      </c>
      <c r="AD146" s="39">
        <f t="shared" ca="1" si="56"/>
        <v>1354</v>
      </c>
      <c r="AE146" s="39">
        <f t="shared" ca="1" si="57"/>
        <v>44</v>
      </c>
      <c r="AF146" s="39" t="str">
        <f t="shared" si="58"/>
        <v>ALI</v>
      </c>
      <c r="AG146" s="39" t="str">
        <f t="shared" si="59"/>
        <v>SR-230208-0145</v>
      </c>
      <c r="AH146" s="39">
        <f>IF(AND(OR(Filter!$B$4="All",D146=Filter!$B$4),OR(Filter!$B$5="All",M146=Filter!$B$5),E146&gt;=Filter!$B$6),MAX(AH$1:AH145)+1,"")</f>
        <v>14</v>
      </c>
      <c r="AI146" s="39">
        <f t="shared" si="60"/>
        <v>49</v>
      </c>
      <c r="AJ146" s="42">
        <f t="shared" si="61"/>
        <v>0.25</v>
      </c>
      <c r="AK146" s="41">
        <f t="shared" si="62"/>
        <v>3183.58</v>
      </c>
      <c r="AL146" s="39">
        <f>RANK(E146,$E$2:$E$1001,0)+COUNTIF($E$2:E146,E146)-1</f>
        <v>15</v>
      </c>
    </row>
    <row r="147" spans="1:38" x14ac:dyDescent="0.2">
      <c r="A147" s="39">
        <v>1003</v>
      </c>
      <c r="B147" s="40">
        <v>45124</v>
      </c>
      <c r="C147" s="39" t="s">
        <v>79</v>
      </c>
      <c r="D147" s="39" t="s">
        <v>74</v>
      </c>
      <c r="E147" s="41">
        <v>5738.44</v>
      </c>
      <c r="F147" s="39">
        <v>15</v>
      </c>
      <c r="G147" s="39" t="s">
        <v>65</v>
      </c>
      <c r="H147" s="41">
        <v>1729.14</v>
      </c>
      <c r="I147" s="41">
        <v>1870.88</v>
      </c>
      <c r="J147" s="39" t="s">
        <v>137</v>
      </c>
      <c r="K147" s="42">
        <v>0.23</v>
      </c>
      <c r="L147" s="39" t="s">
        <v>68</v>
      </c>
      <c r="M147" s="39" t="s">
        <v>138</v>
      </c>
      <c r="N147" s="39" t="s">
        <v>149</v>
      </c>
      <c r="O147" s="43">
        <f t="shared" si="42"/>
        <v>28063.200000000001</v>
      </c>
      <c r="P147" s="43">
        <f t="shared" si="43"/>
        <v>21608.66</v>
      </c>
      <c r="Q147" s="43">
        <f t="shared" si="44"/>
        <v>25937.1</v>
      </c>
      <c r="R147" s="43">
        <f t="shared" si="45"/>
        <v>-4328.4399999999987</v>
      </c>
      <c r="S147" s="44">
        <f t="shared" si="46"/>
        <v>-0.20031043109568103</v>
      </c>
      <c r="T147" s="39" t="str">
        <f t="shared" si="47"/>
        <v>Loss</v>
      </c>
      <c r="U147" s="39" t="str">
        <f t="shared" si="48"/>
        <v>20%+</v>
      </c>
      <c r="V147" s="39" t="str">
        <f>IF(E147&gt;=Analysis!$B$4,"High",IF(E147&gt;=Analysis!$B$5,"Mid","Low"))</f>
        <v>Mid</v>
      </c>
      <c r="W147" s="39" t="str">
        <f t="shared" si="49"/>
        <v>2023-07</v>
      </c>
      <c r="X147" s="40">
        <f t="shared" si="50"/>
        <v>45138</v>
      </c>
      <c r="Y147" s="39" t="str">
        <f t="shared" si="51"/>
        <v>2023-Q3</v>
      </c>
      <c r="Z147" s="39" t="str">
        <f t="shared" si="52"/>
        <v>Mon</v>
      </c>
      <c r="AA147" s="39">
        <f t="shared" si="53"/>
        <v>1</v>
      </c>
      <c r="AB147" s="39">
        <f t="shared" si="54"/>
        <v>30</v>
      </c>
      <c r="AC147" s="39" t="str">
        <f t="shared" si="55"/>
        <v>Weekday</v>
      </c>
      <c r="AD147" s="39">
        <f t="shared" ca="1" si="56"/>
        <v>1195</v>
      </c>
      <c r="AE147" s="39">
        <f t="shared" ca="1" si="57"/>
        <v>39</v>
      </c>
      <c r="AF147" s="39" t="str">
        <f t="shared" si="58"/>
        <v>EVE</v>
      </c>
      <c r="AG147" s="39" t="str">
        <f t="shared" si="59"/>
        <v>WO-230717-0146</v>
      </c>
      <c r="AH147" s="39" t="str">
        <f>IF(AND(OR(Filter!$B$4="All",D147=Filter!$B$4),OR(Filter!$B$5="All",M147=Filter!$B$5),E147&gt;=Filter!$B$6),MAX(AH$1:AH146)+1,"")</f>
        <v/>
      </c>
      <c r="AI147" s="39">
        <f t="shared" si="60"/>
        <v>15</v>
      </c>
      <c r="AJ147" s="42">
        <f t="shared" si="61"/>
        <v>0.23</v>
      </c>
      <c r="AK147" s="41">
        <f t="shared" si="62"/>
        <v>1870.88</v>
      </c>
      <c r="AL147" s="39">
        <f>RANK(E147,$E$2:$E$1001,0)+COUNTIF($E$2:E147,E147)-1</f>
        <v>436</v>
      </c>
    </row>
    <row r="148" spans="1:38" x14ac:dyDescent="0.2">
      <c r="A148" s="39">
        <v>1001</v>
      </c>
      <c r="B148" s="40">
        <v>45060</v>
      </c>
      <c r="C148" s="39" t="s">
        <v>79</v>
      </c>
      <c r="D148" s="39" t="s">
        <v>69</v>
      </c>
      <c r="E148" s="41">
        <v>2669.46</v>
      </c>
      <c r="F148" s="39">
        <v>35</v>
      </c>
      <c r="G148" s="39" t="s">
        <v>65</v>
      </c>
      <c r="H148" s="41">
        <v>2745.75</v>
      </c>
      <c r="I148" s="41">
        <v>3244.76</v>
      </c>
      <c r="J148" s="39" t="s">
        <v>143</v>
      </c>
      <c r="K148" s="42">
        <v>0.05</v>
      </c>
      <c r="L148" s="39" t="s">
        <v>63</v>
      </c>
      <c r="M148" s="39" t="s">
        <v>138</v>
      </c>
      <c r="N148" s="39" t="s">
        <v>147</v>
      </c>
      <c r="O148" s="43">
        <f t="shared" si="42"/>
        <v>113566.6</v>
      </c>
      <c r="P148" s="43">
        <f t="shared" si="43"/>
        <v>107888.27</v>
      </c>
      <c r="Q148" s="43">
        <f t="shared" si="44"/>
        <v>96101.25</v>
      </c>
      <c r="R148" s="43">
        <f t="shared" si="45"/>
        <v>11787.020000000004</v>
      </c>
      <c r="S148" s="44">
        <f t="shared" si="46"/>
        <v>0.10925209941729536</v>
      </c>
      <c r="T148" s="39" t="str">
        <f t="shared" si="47"/>
        <v>OK</v>
      </c>
      <c r="U148" s="39" t="str">
        <f t="shared" si="48"/>
        <v>0-9%</v>
      </c>
      <c r="V148" s="39" t="str">
        <f>IF(E148&gt;=Analysis!$B$4,"High",IF(E148&gt;=Analysis!$B$5,"Mid","Low"))</f>
        <v>Mid</v>
      </c>
      <c r="W148" s="39" t="str">
        <f t="shared" si="49"/>
        <v>2023-05</v>
      </c>
      <c r="X148" s="40">
        <f t="shared" si="50"/>
        <v>45077</v>
      </c>
      <c r="Y148" s="39" t="str">
        <f t="shared" si="51"/>
        <v>2023-Q2</v>
      </c>
      <c r="Z148" s="39" t="str">
        <f t="shared" si="52"/>
        <v>Sun</v>
      </c>
      <c r="AA148" s="39">
        <f t="shared" si="53"/>
        <v>7</v>
      </c>
      <c r="AB148" s="39">
        <f t="shared" si="54"/>
        <v>20</v>
      </c>
      <c r="AC148" s="39" t="str">
        <f t="shared" si="55"/>
        <v>Weekend</v>
      </c>
      <c r="AD148" s="39">
        <f t="shared" ca="1" si="56"/>
        <v>1259</v>
      </c>
      <c r="AE148" s="39">
        <f t="shared" ca="1" si="57"/>
        <v>41</v>
      </c>
      <c r="AF148" s="39" t="str">
        <f t="shared" si="58"/>
        <v>EVE</v>
      </c>
      <c r="AG148" s="39" t="str">
        <f t="shared" si="59"/>
        <v>SO-230514-0147</v>
      </c>
      <c r="AH148" s="39" t="str">
        <f>IF(AND(OR(Filter!$B$4="All",D148=Filter!$B$4),OR(Filter!$B$5="All",M148=Filter!$B$5),E148&gt;=Filter!$B$6),MAX(AH$1:AH147)+1,"")</f>
        <v/>
      </c>
      <c r="AI148" s="39">
        <f t="shared" si="60"/>
        <v>35</v>
      </c>
      <c r="AJ148" s="42">
        <f t="shared" si="61"/>
        <v>0.05</v>
      </c>
      <c r="AK148" s="41">
        <f t="shared" si="62"/>
        <v>3244.76</v>
      </c>
      <c r="AL148" s="39">
        <f>RANK(E148,$E$2:$E$1001,0)+COUNTIF($E$2:E148,E148)-1</f>
        <v>737</v>
      </c>
    </row>
    <row r="149" spans="1:38" x14ac:dyDescent="0.2">
      <c r="A149" s="39">
        <v>1005</v>
      </c>
      <c r="B149" s="40">
        <v>44993</v>
      </c>
      <c r="C149" s="39" t="s">
        <v>61</v>
      </c>
      <c r="D149" s="39" t="s">
        <v>64</v>
      </c>
      <c r="E149" s="41">
        <v>4426.26</v>
      </c>
      <c r="F149" s="39">
        <v>12</v>
      </c>
      <c r="G149" s="39" t="s">
        <v>60</v>
      </c>
      <c r="H149" s="41">
        <v>253.29</v>
      </c>
      <c r="I149" s="41">
        <v>683.78</v>
      </c>
      <c r="J149" s="39" t="s">
        <v>143</v>
      </c>
      <c r="K149" s="42">
        <v>0.25</v>
      </c>
      <c r="L149" s="39" t="s">
        <v>73</v>
      </c>
      <c r="M149" s="39" t="s">
        <v>138</v>
      </c>
      <c r="N149" s="39" t="s">
        <v>156</v>
      </c>
      <c r="O149" s="43">
        <f t="shared" si="42"/>
        <v>8205.36</v>
      </c>
      <c r="P149" s="43">
        <f t="shared" si="43"/>
        <v>6154.02</v>
      </c>
      <c r="Q149" s="43">
        <f t="shared" si="44"/>
        <v>3039.48</v>
      </c>
      <c r="R149" s="43">
        <f t="shared" si="45"/>
        <v>3114.5400000000004</v>
      </c>
      <c r="S149" s="44">
        <f t="shared" si="46"/>
        <v>0.50609845271871068</v>
      </c>
      <c r="T149" s="39" t="str">
        <f t="shared" si="47"/>
        <v>OK</v>
      </c>
      <c r="U149" s="39" t="str">
        <f t="shared" si="48"/>
        <v>20%+</v>
      </c>
      <c r="V149" s="39" t="str">
        <f>IF(E149&gt;=Analysis!$B$4,"High",IF(E149&gt;=Analysis!$B$5,"Mid","Low"))</f>
        <v>Mid</v>
      </c>
      <c r="W149" s="39" t="str">
        <f t="shared" si="49"/>
        <v>2023-03</v>
      </c>
      <c r="X149" s="40">
        <f t="shared" si="50"/>
        <v>45016</v>
      </c>
      <c r="Y149" s="39" t="str">
        <f t="shared" si="51"/>
        <v>2023-Q1</v>
      </c>
      <c r="Z149" s="39" t="str">
        <f t="shared" si="52"/>
        <v>Wed</v>
      </c>
      <c r="AA149" s="39">
        <f t="shared" si="53"/>
        <v>3</v>
      </c>
      <c r="AB149" s="39">
        <f t="shared" si="54"/>
        <v>11</v>
      </c>
      <c r="AC149" s="39" t="str">
        <f t="shared" si="55"/>
        <v>Weekday</v>
      </c>
      <c r="AD149" s="39">
        <f t="shared" ca="1" si="56"/>
        <v>1326</v>
      </c>
      <c r="AE149" s="39">
        <f t="shared" ca="1" si="57"/>
        <v>43</v>
      </c>
      <c r="AF149" s="39" t="str">
        <f t="shared" si="58"/>
        <v>ALI</v>
      </c>
      <c r="AG149" s="39" t="str">
        <f t="shared" si="59"/>
        <v>NO-230308-0148</v>
      </c>
      <c r="AH149" s="39" t="str">
        <f>IF(AND(OR(Filter!$B$4="All",D149=Filter!$B$4),OR(Filter!$B$5="All",M149=Filter!$B$5),E149&gt;=Filter!$B$6),MAX(AH$1:AH148)+1,"")</f>
        <v/>
      </c>
      <c r="AI149" s="39">
        <f t="shared" si="60"/>
        <v>12</v>
      </c>
      <c r="AJ149" s="42">
        <f t="shared" si="61"/>
        <v>0.25</v>
      </c>
      <c r="AK149" s="41">
        <f t="shared" si="62"/>
        <v>683.78</v>
      </c>
      <c r="AL149" s="39">
        <f>RANK(E149,$E$2:$E$1001,0)+COUNTIF($E$2:E149,E149)-1</f>
        <v>554</v>
      </c>
    </row>
    <row r="150" spans="1:38" x14ac:dyDescent="0.2">
      <c r="A150" s="39">
        <v>1090</v>
      </c>
      <c r="B150" s="40">
        <v>45105</v>
      </c>
      <c r="C150" s="39" t="s">
        <v>71</v>
      </c>
      <c r="D150" s="39" t="s">
        <v>64</v>
      </c>
      <c r="E150" s="41">
        <v>5976.25</v>
      </c>
      <c r="F150" s="39">
        <v>41</v>
      </c>
      <c r="G150" s="39" t="s">
        <v>60</v>
      </c>
      <c r="H150" s="41">
        <v>3736.88</v>
      </c>
      <c r="I150" s="41">
        <v>3946.77</v>
      </c>
      <c r="J150" s="39" t="s">
        <v>137</v>
      </c>
      <c r="K150" s="42">
        <v>0.06</v>
      </c>
      <c r="L150" s="39" t="s">
        <v>73</v>
      </c>
      <c r="M150" s="39" t="s">
        <v>138</v>
      </c>
      <c r="N150" s="39" t="s">
        <v>160</v>
      </c>
      <c r="O150" s="43">
        <f t="shared" si="42"/>
        <v>161817.57</v>
      </c>
      <c r="P150" s="43">
        <f t="shared" si="43"/>
        <v>152108.51999999999</v>
      </c>
      <c r="Q150" s="43">
        <f t="shared" si="44"/>
        <v>153212.07999999999</v>
      </c>
      <c r="R150" s="43">
        <f t="shared" si="45"/>
        <v>-1103.5599999999977</v>
      </c>
      <c r="S150" s="44">
        <f t="shared" si="46"/>
        <v>-7.2550834101863439E-3</v>
      </c>
      <c r="T150" s="39" t="str">
        <f t="shared" si="47"/>
        <v>Loss</v>
      </c>
      <c r="U150" s="39" t="str">
        <f t="shared" si="48"/>
        <v>0-9%</v>
      </c>
      <c r="V150" s="39" t="str">
        <f>IF(E150&gt;=Analysis!$B$4,"High",IF(E150&gt;=Analysis!$B$5,"Mid","Low"))</f>
        <v>Mid</v>
      </c>
      <c r="W150" s="39" t="str">
        <f t="shared" si="49"/>
        <v>2023-06</v>
      </c>
      <c r="X150" s="40">
        <f t="shared" si="50"/>
        <v>45107</v>
      </c>
      <c r="Y150" s="39" t="str">
        <f t="shared" si="51"/>
        <v>2023-Q2</v>
      </c>
      <c r="Z150" s="39" t="str">
        <f t="shared" si="52"/>
        <v>Wed</v>
      </c>
      <c r="AA150" s="39">
        <f t="shared" si="53"/>
        <v>3</v>
      </c>
      <c r="AB150" s="39">
        <f t="shared" si="54"/>
        <v>27</v>
      </c>
      <c r="AC150" s="39" t="str">
        <f t="shared" si="55"/>
        <v>Weekday</v>
      </c>
      <c r="AD150" s="39">
        <f t="shared" ca="1" si="56"/>
        <v>1214</v>
      </c>
      <c r="AE150" s="39">
        <f t="shared" ca="1" si="57"/>
        <v>39</v>
      </c>
      <c r="AF150" s="39" t="str">
        <f t="shared" si="58"/>
        <v>CHA</v>
      </c>
      <c r="AG150" s="39" t="str">
        <f t="shared" si="59"/>
        <v>NO-230628-0149</v>
      </c>
      <c r="AH150" s="39" t="str">
        <f>IF(AND(OR(Filter!$B$4="All",D150=Filter!$B$4),OR(Filter!$B$5="All",M150=Filter!$B$5),E150&gt;=Filter!$B$6),MAX(AH$1:AH149)+1,"")</f>
        <v/>
      </c>
      <c r="AI150" s="39">
        <f t="shared" si="60"/>
        <v>41</v>
      </c>
      <c r="AJ150" s="42">
        <f t="shared" si="61"/>
        <v>0.06</v>
      </c>
      <c r="AK150" s="41">
        <f t="shared" si="62"/>
        <v>3946.77</v>
      </c>
      <c r="AL150" s="39">
        <f>RANK(E150,$E$2:$E$1001,0)+COUNTIF($E$2:E150,E150)-1</f>
        <v>409</v>
      </c>
    </row>
    <row r="151" spans="1:38" x14ac:dyDescent="0.2">
      <c r="A151" s="39">
        <v>1014</v>
      </c>
      <c r="B151" s="40">
        <v>44968</v>
      </c>
      <c r="C151" s="39" t="s">
        <v>76</v>
      </c>
      <c r="D151" s="39" t="s">
        <v>74</v>
      </c>
      <c r="E151" s="41">
        <v>823.51</v>
      </c>
      <c r="F151" s="39">
        <v>44</v>
      </c>
      <c r="G151" s="39" t="s">
        <v>70</v>
      </c>
      <c r="H151" s="41">
        <v>2257.48</v>
      </c>
      <c r="I151" s="41">
        <v>2747.81</v>
      </c>
      <c r="J151" s="39" t="s">
        <v>137</v>
      </c>
      <c r="K151" s="42">
        <v>0.27</v>
      </c>
      <c r="L151" s="39" t="s">
        <v>68</v>
      </c>
      <c r="M151" s="39" t="s">
        <v>138</v>
      </c>
      <c r="N151" s="39" t="s">
        <v>154</v>
      </c>
      <c r="O151" s="43">
        <f t="shared" si="42"/>
        <v>120903.64</v>
      </c>
      <c r="P151" s="43">
        <f t="shared" si="43"/>
        <v>88259.66</v>
      </c>
      <c r="Q151" s="43">
        <f t="shared" si="44"/>
        <v>99329.12</v>
      </c>
      <c r="R151" s="43">
        <f t="shared" si="45"/>
        <v>-11069.459999999992</v>
      </c>
      <c r="S151" s="44">
        <f t="shared" si="46"/>
        <v>-0.1254192458933106</v>
      </c>
      <c r="T151" s="39" t="str">
        <f t="shared" si="47"/>
        <v>Loss</v>
      </c>
      <c r="U151" s="39" t="str">
        <f t="shared" si="48"/>
        <v>20%+</v>
      </c>
      <c r="V151" s="39" t="str">
        <f>IF(E151&gt;=Analysis!$B$4,"High",IF(E151&gt;=Analysis!$B$5,"Mid","Low"))</f>
        <v>Low</v>
      </c>
      <c r="W151" s="39" t="str">
        <f t="shared" si="49"/>
        <v>2023-02</v>
      </c>
      <c r="X151" s="40">
        <f t="shared" si="50"/>
        <v>44985</v>
      </c>
      <c r="Y151" s="39" t="str">
        <f t="shared" si="51"/>
        <v>2023-Q1</v>
      </c>
      <c r="Z151" s="39" t="str">
        <f t="shared" si="52"/>
        <v>Sat</v>
      </c>
      <c r="AA151" s="39">
        <f t="shared" si="53"/>
        <v>6</v>
      </c>
      <c r="AB151" s="39">
        <f t="shared" si="54"/>
        <v>7</v>
      </c>
      <c r="AC151" s="39" t="str">
        <f t="shared" si="55"/>
        <v>Weekend</v>
      </c>
      <c r="AD151" s="39">
        <f t="shared" ca="1" si="56"/>
        <v>1351</v>
      </c>
      <c r="AE151" s="39">
        <f t="shared" ca="1" si="57"/>
        <v>44</v>
      </c>
      <c r="AF151" s="39" t="str">
        <f t="shared" si="58"/>
        <v>DAV</v>
      </c>
      <c r="AG151" s="39" t="str">
        <f t="shared" si="59"/>
        <v>WO-230211-0150</v>
      </c>
      <c r="AH151" s="39" t="str">
        <f>IF(AND(OR(Filter!$B$4="All",D151=Filter!$B$4),OR(Filter!$B$5="All",M151=Filter!$B$5),E151&gt;=Filter!$B$6),MAX(AH$1:AH150)+1,"")</f>
        <v/>
      </c>
      <c r="AI151" s="39">
        <f t="shared" si="60"/>
        <v>44</v>
      </c>
      <c r="AJ151" s="42">
        <f t="shared" si="61"/>
        <v>0.27</v>
      </c>
      <c r="AK151" s="41">
        <f t="shared" si="62"/>
        <v>2747.81</v>
      </c>
      <c r="AL151" s="39">
        <f>RANK(E151,$E$2:$E$1001,0)+COUNTIF($E$2:E151,E151)-1</f>
        <v>921</v>
      </c>
    </row>
    <row r="152" spans="1:38" x14ac:dyDescent="0.2">
      <c r="A152" s="39">
        <v>1027</v>
      </c>
      <c r="B152" s="40">
        <v>44941</v>
      </c>
      <c r="C152" s="39" t="s">
        <v>66</v>
      </c>
      <c r="D152" s="39" t="s">
        <v>74</v>
      </c>
      <c r="E152" s="41">
        <v>6261.2</v>
      </c>
      <c r="F152" s="39">
        <v>26</v>
      </c>
      <c r="G152" s="39" t="s">
        <v>70</v>
      </c>
      <c r="H152" s="41">
        <v>149.11000000000001</v>
      </c>
      <c r="I152" s="41">
        <v>477.67</v>
      </c>
      <c r="J152" s="39" t="s">
        <v>137</v>
      </c>
      <c r="K152" s="42">
        <v>0.14000000000000001</v>
      </c>
      <c r="L152" s="39" t="s">
        <v>68</v>
      </c>
      <c r="M152" s="39" t="s">
        <v>140</v>
      </c>
      <c r="N152" s="39" t="s">
        <v>141</v>
      </c>
      <c r="O152" s="43">
        <f t="shared" si="42"/>
        <v>12419.42</v>
      </c>
      <c r="P152" s="43">
        <f t="shared" si="43"/>
        <v>10680.7</v>
      </c>
      <c r="Q152" s="43">
        <f t="shared" si="44"/>
        <v>3876.86</v>
      </c>
      <c r="R152" s="43">
        <f t="shared" si="45"/>
        <v>6803.84</v>
      </c>
      <c r="S152" s="44">
        <f t="shared" si="46"/>
        <v>0.63702191803907982</v>
      </c>
      <c r="T152" s="39" t="str">
        <f t="shared" si="47"/>
        <v>OK</v>
      </c>
      <c r="U152" s="39" t="str">
        <f t="shared" si="48"/>
        <v>10-19%</v>
      </c>
      <c r="V152" s="39" t="str">
        <f>IF(E152&gt;=Analysis!$B$4,"High",IF(E152&gt;=Analysis!$B$5,"Mid","Low"))</f>
        <v>Mid</v>
      </c>
      <c r="W152" s="39" t="str">
        <f t="shared" si="49"/>
        <v>2023-01</v>
      </c>
      <c r="X152" s="40">
        <f t="shared" si="50"/>
        <v>44957</v>
      </c>
      <c r="Y152" s="39" t="str">
        <f t="shared" si="51"/>
        <v>2023-Q1</v>
      </c>
      <c r="Z152" s="39" t="str">
        <f t="shared" si="52"/>
        <v>Sun</v>
      </c>
      <c r="AA152" s="39">
        <f t="shared" si="53"/>
        <v>7</v>
      </c>
      <c r="AB152" s="39">
        <f t="shared" si="54"/>
        <v>3</v>
      </c>
      <c r="AC152" s="39" t="str">
        <f t="shared" si="55"/>
        <v>Weekend</v>
      </c>
      <c r="AD152" s="39">
        <f t="shared" ca="1" si="56"/>
        <v>1378</v>
      </c>
      <c r="AE152" s="39">
        <f t="shared" ca="1" si="57"/>
        <v>45</v>
      </c>
      <c r="AF152" s="39" t="str">
        <f t="shared" si="58"/>
        <v>BOB</v>
      </c>
      <c r="AG152" s="39" t="str">
        <f t="shared" si="59"/>
        <v>WR-230115-0151</v>
      </c>
      <c r="AH152" s="39" t="str">
        <f>IF(AND(OR(Filter!$B$4="All",D152=Filter!$B$4),OR(Filter!$B$5="All",M152=Filter!$B$5),E152&gt;=Filter!$B$6),MAX(AH$1:AH151)+1,"")</f>
        <v/>
      </c>
      <c r="AI152" s="39">
        <f t="shared" si="60"/>
        <v>26</v>
      </c>
      <c r="AJ152" s="42">
        <f t="shared" si="61"/>
        <v>0.14000000000000001</v>
      </c>
      <c r="AK152" s="41">
        <f t="shared" si="62"/>
        <v>477.67</v>
      </c>
      <c r="AL152" s="39">
        <f>RANK(E152,$E$2:$E$1001,0)+COUNTIF($E$2:E152,E152)-1</f>
        <v>385</v>
      </c>
    </row>
    <row r="153" spans="1:38" x14ac:dyDescent="0.2">
      <c r="A153" s="39">
        <v>1009</v>
      </c>
      <c r="B153" s="40">
        <v>45037</v>
      </c>
      <c r="C153" s="39" t="s">
        <v>79</v>
      </c>
      <c r="D153" s="39" t="s">
        <v>64</v>
      </c>
      <c r="E153" s="41">
        <v>9813.66</v>
      </c>
      <c r="F153" s="39">
        <v>47</v>
      </c>
      <c r="G153" s="39" t="s">
        <v>60</v>
      </c>
      <c r="H153" s="41">
        <v>359.41</v>
      </c>
      <c r="I153" s="41">
        <v>733</v>
      </c>
      <c r="J153" s="39" t="s">
        <v>137</v>
      </c>
      <c r="K153" s="42">
        <v>0.2</v>
      </c>
      <c r="L153" s="39" t="s">
        <v>63</v>
      </c>
      <c r="M153" s="39" t="s">
        <v>140</v>
      </c>
      <c r="N153" s="39" t="s">
        <v>148</v>
      </c>
      <c r="O153" s="43">
        <f t="shared" si="42"/>
        <v>34451</v>
      </c>
      <c r="P153" s="43">
        <f t="shared" si="43"/>
        <v>27560.799999999999</v>
      </c>
      <c r="Q153" s="43">
        <f t="shared" si="44"/>
        <v>16892.27</v>
      </c>
      <c r="R153" s="43">
        <f t="shared" si="45"/>
        <v>10668.529999999999</v>
      </c>
      <c r="S153" s="44">
        <f t="shared" si="46"/>
        <v>0.3870907230559345</v>
      </c>
      <c r="T153" s="39" t="str">
        <f t="shared" si="47"/>
        <v>OK</v>
      </c>
      <c r="U153" s="39" t="str">
        <f t="shared" si="48"/>
        <v>20%+</v>
      </c>
      <c r="V153" s="39" t="str">
        <f>IF(E153&gt;=Analysis!$B$4,"High",IF(E153&gt;=Analysis!$B$5,"Mid","Low"))</f>
        <v>High</v>
      </c>
      <c r="W153" s="39" t="str">
        <f t="shared" si="49"/>
        <v>2023-04</v>
      </c>
      <c r="X153" s="40">
        <f t="shared" si="50"/>
        <v>45046</v>
      </c>
      <c r="Y153" s="39" t="str">
        <f t="shared" si="51"/>
        <v>2023-Q2</v>
      </c>
      <c r="Z153" s="39" t="str">
        <f t="shared" si="52"/>
        <v>Fri</v>
      </c>
      <c r="AA153" s="39">
        <f t="shared" si="53"/>
        <v>5</v>
      </c>
      <c r="AB153" s="39">
        <f t="shared" si="54"/>
        <v>17</v>
      </c>
      <c r="AC153" s="39" t="str">
        <f t="shared" si="55"/>
        <v>Weekday</v>
      </c>
      <c r="AD153" s="39">
        <f t="shared" ca="1" si="56"/>
        <v>1282</v>
      </c>
      <c r="AE153" s="39">
        <f t="shared" ca="1" si="57"/>
        <v>42</v>
      </c>
      <c r="AF153" s="39" t="str">
        <f t="shared" si="58"/>
        <v>EVE</v>
      </c>
      <c r="AG153" s="39" t="str">
        <f t="shared" si="59"/>
        <v>NR-230421-0152</v>
      </c>
      <c r="AH153" s="39">
        <f>IF(AND(OR(Filter!$B$4="All",D153=Filter!$B$4),OR(Filter!$B$5="All",M153=Filter!$B$5),E153&gt;=Filter!$B$6),MAX(AH$1:AH152)+1,"")</f>
        <v>15</v>
      </c>
      <c r="AI153" s="39">
        <f t="shared" si="60"/>
        <v>47</v>
      </c>
      <c r="AJ153" s="42">
        <f t="shared" si="61"/>
        <v>0.2</v>
      </c>
      <c r="AK153" s="41">
        <f t="shared" si="62"/>
        <v>733</v>
      </c>
      <c r="AL153" s="39">
        <f>RANK(E153,$E$2:$E$1001,0)+COUNTIF($E$2:E153,E153)-1</f>
        <v>14</v>
      </c>
    </row>
    <row r="154" spans="1:38" x14ac:dyDescent="0.2">
      <c r="A154" s="39">
        <v>1079</v>
      </c>
      <c r="B154" s="40">
        <v>45083</v>
      </c>
      <c r="C154" s="39" t="s">
        <v>76</v>
      </c>
      <c r="D154" s="39" t="s">
        <v>69</v>
      </c>
      <c r="E154" s="41">
        <v>1982.07</v>
      </c>
      <c r="F154" s="39">
        <v>34</v>
      </c>
      <c r="G154" s="39" t="s">
        <v>75</v>
      </c>
      <c r="H154" s="41">
        <v>1967.96</v>
      </c>
      <c r="I154" s="41">
        <v>1993.4</v>
      </c>
      <c r="J154" s="39" t="s">
        <v>137</v>
      </c>
      <c r="K154" s="42">
        <v>0.15</v>
      </c>
      <c r="L154" s="39" t="s">
        <v>73</v>
      </c>
      <c r="M154" s="39" t="s">
        <v>138</v>
      </c>
      <c r="N154" s="39" t="s">
        <v>142</v>
      </c>
      <c r="O154" s="43">
        <f t="shared" si="42"/>
        <v>67775.600000000006</v>
      </c>
      <c r="P154" s="43">
        <f t="shared" si="43"/>
        <v>57609.26</v>
      </c>
      <c r="Q154" s="43">
        <f t="shared" si="44"/>
        <v>66910.64</v>
      </c>
      <c r="R154" s="43">
        <f t="shared" si="45"/>
        <v>-9301.3799999999974</v>
      </c>
      <c r="S154" s="44">
        <f t="shared" si="46"/>
        <v>-0.1614563353183151</v>
      </c>
      <c r="T154" s="39" t="str">
        <f t="shared" si="47"/>
        <v>Loss</v>
      </c>
      <c r="U154" s="39" t="str">
        <f t="shared" si="48"/>
        <v>10-19%</v>
      </c>
      <c r="V154" s="39" t="str">
        <f>IF(E154&gt;=Analysis!$B$4,"High",IF(E154&gt;=Analysis!$B$5,"Mid","Low"))</f>
        <v>Low</v>
      </c>
      <c r="W154" s="39" t="str">
        <f t="shared" si="49"/>
        <v>2023-06</v>
      </c>
      <c r="X154" s="40">
        <f t="shared" si="50"/>
        <v>45107</v>
      </c>
      <c r="Y154" s="39" t="str">
        <f t="shared" si="51"/>
        <v>2023-Q2</v>
      </c>
      <c r="Z154" s="39" t="str">
        <f t="shared" si="52"/>
        <v>Tue</v>
      </c>
      <c r="AA154" s="39">
        <f t="shared" si="53"/>
        <v>2</v>
      </c>
      <c r="AB154" s="39">
        <f t="shared" si="54"/>
        <v>24</v>
      </c>
      <c r="AC154" s="39" t="str">
        <f t="shared" si="55"/>
        <v>Weekday</v>
      </c>
      <c r="AD154" s="39">
        <f t="shared" ca="1" si="56"/>
        <v>1236</v>
      </c>
      <c r="AE154" s="39">
        <f t="shared" ca="1" si="57"/>
        <v>40</v>
      </c>
      <c r="AF154" s="39" t="str">
        <f t="shared" si="58"/>
        <v>DAV</v>
      </c>
      <c r="AG154" s="39" t="str">
        <f t="shared" si="59"/>
        <v>SO-230606-0153</v>
      </c>
      <c r="AH154" s="39" t="str">
        <f>IF(AND(OR(Filter!$B$4="All",D154=Filter!$B$4),OR(Filter!$B$5="All",M154=Filter!$B$5),E154&gt;=Filter!$B$6),MAX(AH$1:AH153)+1,"")</f>
        <v/>
      </c>
      <c r="AI154" s="39">
        <f t="shared" si="60"/>
        <v>34</v>
      </c>
      <c r="AJ154" s="42">
        <f t="shared" si="61"/>
        <v>0.15</v>
      </c>
      <c r="AK154" s="41">
        <f t="shared" si="62"/>
        <v>1993.4</v>
      </c>
      <c r="AL154" s="39">
        <f>RANK(E154,$E$2:$E$1001,0)+COUNTIF($E$2:E154,E154)-1</f>
        <v>820</v>
      </c>
    </row>
    <row r="155" spans="1:38" x14ac:dyDescent="0.2">
      <c r="A155" s="39">
        <v>1015</v>
      </c>
      <c r="B155" s="40">
        <v>45215</v>
      </c>
      <c r="C155" s="39" t="s">
        <v>71</v>
      </c>
      <c r="D155" s="39" t="s">
        <v>64</v>
      </c>
      <c r="E155" s="41">
        <v>7946.69</v>
      </c>
      <c r="F155" s="39">
        <v>23</v>
      </c>
      <c r="G155" s="39" t="s">
        <v>70</v>
      </c>
      <c r="H155" s="41">
        <v>2937.94</v>
      </c>
      <c r="I155" s="41">
        <v>3007.53</v>
      </c>
      <c r="J155" s="39" t="s">
        <v>137</v>
      </c>
      <c r="K155" s="42">
        <v>0.03</v>
      </c>
      <c r="L155" s="39" t="s">
        <v>68</v>
      </c>
      <c r="M155" s="39" t="s">
        <v>140</v>
      </c>
      <c r="N155" s="39" t="s">
        <v>160</v>
      </c>
      <c r="O155" s="43">
        <f t="shared" si="42"/>
        <v>69173.19</v>
      </c>
      <c r="P155" s="43">
        <f t="shared" si="43"/>
        <v>67097.990000000005</v>
      </c>
      <c r="Q155" s="43">
        <f t="shared" si="44"/>
        <v>67572.62</v>
      </c>
      <c r="R155" s="43">
        <f t="shared" si="45"/>
        <v>-474.6299999999901</v>
      </c>
      <c r="S155" s="44">
        <f t="shared" si="46"/>
        <v>-7.0736843234795862E-3</v>
      </c>
      <c r="T155" s="39" t="str">
        <f t="shared" si="47"/>
        <v>Loss</v>
      </c>
      <c r="U155" s="39" t="str">
        <f t="shared" si="48"/>
        <v>0-9%</v>
      </c>
      <c r="V155" s="39" t="str">
        <f>IF(E155&gt;=Analysis!$B$4,"High",IF(E155&gt;=Analysis!$B$5,"Mid","Low"))</f>
        <v>High</v>
      </c>
      <c r="W155" s="39" t="str">
        <f t="shared" si="49"/>
        <v>2023-10</v>
      </c>
      <c r="X155" s="40">
        <f t="shared" si="50"/>
        <v>45230</v>
      </c>
      <c r="Y155" s="39" t="str">
        <f t="shared" si="51"/>
        <v>2023-Q4</v>
      </c>
      <c r="Z155" s="39" t="str">
        <f t="shared" si="52"/>
        <v>Mon</v>
      </c>
      <c r="AA155" s="39">
        <f t="shared" si="53"/>
        <v>1</v>
      </c>
      <c r="AB155" s="39">
        <f t="shared" si="54"/>
        <v>43</v>
      </c>
      <c r="AC155" s="39" t="str">
        <f t="shared" si="55"/>
        <v>Weekday</v>
      </c>
      <c r="AD155" s="39">
        <f t="shared" ca="1" si="56"/>
        <v>1104</v>
      </c>
      <c r="AE155" s="39">
        <f t="shared" ca="1" si="57"/>
        <v>36</v>
      </c>
      <c r="AF155" s="39" t="str">
        <f t="shared" si="58"/>
        <v>CHA</v>
      </c>
      <c r="AG155" s="39" t="str">
        <f t="shared" si="59"/>
        <v>NR-231016-0154</v>
      </c>
      <c r="AH155" s="39" t="str">
        <f>IF(AND(OR(Filter!$B$4="All",D155=Filter!$B$4),OR(Filter!$B$5="All",M155=Filter!$B$5),E155&gt;=Filter!$B$6),MAX(AH$1:AH154)+1,"")</f>
        <v/>
      </c>
      <c r="AI155" s="39">
        <f t="shared" si="60"/>
        <v>23</v>
      </c>
      <c r="AJ155" s="42">
        <f t="shared" si="61"/>
        <v>0.03</v>
      </c>
      <c r="AK155" s="41">
        <f t="shared" si="62"/>
        <v>3007.53</v>
      </c>
      <c r="AL155" s="39">
        <f>RANK(E155,$E$2:$E$1001,0)+COUNTIF($E$2:E155,E155)-1</f>
        <v>201</v>
      </c>
    </row>
    <row r="156" spans="1:38" x14ac:dyDescent="0.2">
      <c r="A156" s="39">
        <v>1090</v>
      </c>
      <c r="B156" s="40">
        <v>45157</v>
      </c>
      <c r="C156" s="39" t="s">
        <v>66</v>
      </c>
      <c r="D156" s="39" t="s">
        <v>74</v>
      </c>
      <c r="E156" s="41">
        <v>9088.2000000000007</v>
      </c>
      <c r="F156" s="39">
        <v>31</v>
      </c>
      <c r="G156" s="39" t="s">
        <v>60</v>
      </c>
      <c r="H156" s="41">
        <v>2347.81</v>
      </c>
      <c r="I156" s="41">
        <v>2668.02</v>
      </c>
      <c r="J156" s="39" t="s">
        <v>137</v>
      </c>
      <c r="K156" s="42">
        <v>0.09</v>
      </c>
      <c r="L156" s="39" t="s">
        <v>63</v>
      </c>
      <c r="M156" s="39" t="s">
        <v>140</v>
      </c>
      <c r="N156" s="39" t="s">
        <v>141</v>
      </c>
      <c r="O156" s="43">
        <f t="shared" si="42"/>
        <v>82708.62</v>
      </c>
      <c r="P156" s="43">
        <f t="shared" si="43"/>
        <v>75264.84</v>
      </c>
      <c r="Q156" s="43">
        <f t="shared" si="44"/>
        <v>72782.11</v>
      </c>
      <c r="R156" s="43">
        <f t="shared" si="45"/>
        <v>2482.7299999999959</v>
      </c>
      <c r="S156" s="44">
        <f t="shared" si="46"/>
        <v>3.298658443969317E-2</v>
      </c>
      <c r="T156" s="39" t="str">
        <f t="shared" si="47"/>
        <v>OK</v>
      </c>
      <c r="U156" s="39" t="str">
        <f t="shared" si="48"/>
        <v>0-9%</v>
      </c>
      <c r="V156" s="39" t="str">
        <f>IF(E156&gt;=Analysis!$B$4,"High",IF(E156&gt;=Analysis!$B$5,"Mid","Low"))</f>
        <v>High</v>
      </c>
      <c r="W156" s="39" t="str">
        <f t="shared" si="49"/>
        <v>2023-08</v>
      </c>
      <c r="X156" s="40">
        <f t="shared" si="50"/>
        <v>45169</v>
      </c>
      <c r="Y156" s="39" t="str">
        <f t="shared" si="51"/>
        <v>2023-Q3</v>
      </c>
      <c r="Z156" s="39" t="str">
        <f t="shared" si="52"/>
        <v>Sat</v>
      </c>
      <c r="AA156" s="39">
        <f t="shared" si="53"/>
        <v>6</v>
      </c>
      <c r="AB156" s="39">
        <f t="shared" si="54"/>
        <v>34</v>
      </c>
      <c r="AC156" s="39" t="str">
        <f t="shared" si="55"/>
        <v>Weekend</v>
      </c>
      <c r="AD156" s="39">
        <f t="shared" ca="1" si="56"/>
        <v>1162</v>
      </c>
      <c r="AE156" s="39">
        <f t="shared" ca="1" si="57"/>
        <v>38</v>
      </c>
      <c r="AF156" s="39" t="str">
        <f t="shared" si="58"/>
        <v>BOB</v>
      </c>
      <c r="AG156" s="39" t="str">
        <f t="shared" si="59"/>
        <v>WR-230819-0155</v>
      </c>
      <c r="AH156" s="39">
        <f>IF(AND(OR(Filter!$B$4="All",D156=Filter!$B$4),OR(Filter!$B$5="All",M156=Filter!$B$5),E156&gt;=Filter!$B$6),MAX(AH$1:AH155)+1,"")</f>
        <v>16</v>
      </c>
      <c r="AI156" s="39">
        <f t="shared" si="60"/>
        <v>31</v>
      </c>
      <c r="AJ156" s="42">
        <f t="shared" si="61"/>
        <v>0.09</v>
      </c>
      <c r="AK156" s="41">
        <f t="shared" si="62"/>
        <v>2668.02</v>
      </c>
      <c r="AL156" s="39">
        <f>RANK(E156,$E$2:$E$1001,0)+COUNTIF($E$2:E156,E156)-1</f>
        <v>85</v>
      </c>
    </row>
    <row r="157" spans="1:38" x14ac:dyDescent="0.2">
      <c r="A157" s="39">
        <v>1042</v>
      </c>
      <c r="B157" s="40">
        <v>45083</v>
      </c>
      <c r="C157" s="39" t="s">
        <v>66</v>
      </c>
      <c r="D157" s="39" t="s">
        <v>64</v>
      </c>
      <c r="E157" s="41">
        <v>9442.65</v>
      </c>
      <c r="F157" s="39">
        <v>20</v>
      </c>
      <c r="G157" s="39" t="s">
        <v>70</v>
      </c>
      <c r="H157" s="41">
        <v>3115.06</v>
      </c>
      <c r="I157" s="41">
        <v>3565.58</v>
      </c>
      <c r="J157" s="39" t="s">
        <v>137</v>
      </c>
      <c r="K157" s="42">
        <v>0.3</v>
      </c>
      <c r="L157" s="39" t="s">
        <v>73</v>
      </c>
      <c r="M157" s="39" t="s">
        <v>140</v>
      </c>
      <c r="N157" s="39" t="s">
        <v>139</v>
      </c>
      <c r="O157" s="43">
        <f t="shared" si="42"/>
        <v>71311.600000000006</v>
      </c>
      <c r="P157" s="43">
        <f t="shared" si="43"/>
        <v>49918.12</v>
      </c>
      <c r="Q157" s="43">
        <f t="shared" si="44"/>
        <v>62301.2</v>
      </c>
      <c r="R157" s="43">
        <f t="shared" si="45"/>
        <v>-12383.079999999994</v>
      </c>
      <c r="S157" s="44">
        <f t="shared" si="46"/>
        <v>-0.24806783588805015</v>
      </c>
      <c r="T157" s="39" t="str">
        <f t="shared" si="47"/>
        <v>Loss</v>
      </c>
      <c r="U157" s="39" t="str">
        <f t="shared" si="48"/>
        <v>20%+</v>
      </c>
      <c r="V157" s="39" t="str">
        <f>IF(E157&gt;=Analysis!$B$4,"High",IF(E157&gt;=Analysis!$B$5,"Mid","Low"))</f>
        <v>High</v>
      </c>
      <c r="W157" s="39" t="str">
        <f t="shared" si="49"/>
        <v>2023-06</v>
      </c>
      <c r="X157" s="40">
        <f t="shared" si="50"/>
        <v>45107</v>
      </c>
      <c r="Y157" s="39" t="str">
        <f t="shared" si="51"/>
        <v>2023-Q2</v>
      </c>
      <c r="Z157" s="39" t="str">
        <f t="shared" si="52"/>
        <v>Tue</v>
      </c>
      <c r="AA157" s="39">
        <f t="shared" si="53"/>
        <v>2</v>
      </c>
      <c r="AB157" s="39">
        <f t="shared" si="54"/>
        <v>24</v>
      </c>
      <c r="AC157" s="39" t="str">
        <f t="shared" si="55"/>
        <v>Weekday</v>
      </c>
      <c r="AD157" s="39">
        <f t="shared" ca="1" si="56"/>
        <v>1236</v>
      </c>
      <c r="AE157" s="39">
        <f t="shared" ca="1" si="57"/>
        <v>40</v>
      </c>
      <c r="AF157" s="39" t="str">
        <f t="shared" si="58"/>
        <v>BOB</v>
      </c>
      <c r="AG157" s="39" t="str">
        <f t="shared" si="59"/>
        <v>NR-230606-0156</v>
      </c>
      <c r="AH157" s="39">
        <f>IF(AND(OR(Filter!$B$4="All",D157=Filter!$B$4),OR(Filter!$B$5="All",M157=Filter!$B$5),E157&gt;=Filter!$B$6),MAX(AH$1:AH156)+1,"")</f>
        <v>17</v>
      </c>
      <c r="AI157" s="39">
        <f t="shared" si="60"/>
        <v>20</v>
      </c>
      <c r="AJ157" s="42">
        <f t="shared" si="61"/>
        <v>0.3</v>
      </c>
      <c r="AK157" s="41">
        <f t="shared" si="62"/>
        <v>3565.58</v>
      </c>
      <c r="AL157" s="39">
        <f>RANK(E157,$E$2:$E$1001,0)+COUNTIF($E$2:E157,E157)-1</f>
        <v>58</v>
      </c>
    </row>
    <row r="158" spans="1:38" x14ac:dyDescent="0.2">
      <c r="A158" s="39">
        <v>1077</v>
      </c>
      <c r="B158" s="40">
        <v>44964</v>
      </c>
      <c r="C158" s="39" t="s">
        <v>79</v>
      </c>
      <c r="D158" s="39" t="s">
        <v>74</v>
      </c>
      <c r="E158" s="41">
        <v>9605.34</v>
      </c>
      <c r="F158" s="39">
        <v>12</v>
      </c>
      <c r="G158" s="39" t="s">
        <v>60</v>
      </c>
      <c r="H158" s="41">
        <v>2427.46</v>
      </c>
      <c r="I158" s="41">
        <v>2743.09</v>
      </c>
      <c r="J158" s="39" t="s">
        <v>143</v>
      </c>
      <c r="K158" s="42">
        <v>0.28999999999999998</v>
      </c>
      <c r="L158" s="39" t="s">
        <v>73</v>
      </c>
      <c r="M158" s="39" t="s">
        <v>140</v>
      </c>
      <c r="N158" s="39" t="s">
        <v>149</v>
      </c>
      <c r="O158" s="43">
        <f t="shared" si="42"/>
        <v>32917.08</v>
      </c>
      <c r="P158" s="43">
        <f t="shared" si="43"/>
        <v>23371.13</v>
      </c>
      <c r="Q158" s="43">
        <f t="shared" si="44"/>
        <v>29129.52</v>
      </c>
      <c r="R158" s="43">
        <f t="shared" si="45"/>
        <v>-5758.3899999999994</v>
      </c>
      <c r="S158" s="44">
        <f t="shared" si="46"/>
        <v>-0.24638902783048997</v>
      </c>
      <c r="T158" s="39" t="str">
        <f t="shared" si="47"/>
        <v>Loss</v>
      </c>
      <c r="U158" s="39" t="str">
        <f t="shared" si="48"/>
        <v>20%+</v>
      </c>
      <c r="V158" s="39" t="str">
        <f>IF(E158&gt;=Analysis!$B$4,"High",IF(E158&gt;=Analysis!$B$5,"Mid","Low"))</f>
        <v>High</v>
      </c>
      <c r="W158" s="39" t="str">
        <f t="shared" si="49"/>
        <v>2023-02</v>
      </c>
      <c r="X158" s="40">
        <f t="shared" si="50"/>
        <v>44985</v>
      </c>
      <c r="Y158" s="39" t="str">
        <f t="shared" si="51"/>
        <v>2023-Q1</v>
      </c>
      <c r="Z158" s="39" t="str">
        <f t="shared" si="52"/>
        <v>Tue</v>
      </c>
      <c r="AA158" s="39">
        <f t="shared" si="53"/>
        <v>2</v>
      </c>
      <c r="AB158" s="39">
        <f t="shared" si="54"/>
        <v>7</v>
      </c>
      <c r="AC158" s="39" t="str">
        <f t="shared" si="55"/>
        <v>Weekday</v>
      </c>
      <c r="AD158" s="39">
        <f t="shared" ca="1" si="56"/>
        <v>1355</v>
      </c>
      <c r="AE158" s="39">
        <f t="shared" ca="1" si="57"/>
        <v>44</v>
      </c>
      <c r="AF158" s="39" t="str">
        <f t="shared" si="58"/>
        <v>EVE</v>
      </c>
      <c r="AG158" s="39" t="str">
        <f t="shared" si="59"/>
        <v>WR-230207-0157</v>
      </c>
      <c r="AH158" s="39">
        <f>IF(AND(OR(Filter!$B$4="All",D158=Filter!$B$4),OR(Filter!$B$5="All",M158=Filter!$B$5),E158&gt;=Filter!$B$6),MAX(AH$1:AH157)+1,"")</f>
        <v>18</v>
      </c>
      <c r="AI158" s="39">
        <f t="shared" si="60"/>
        <v>12</v>
      </c>
      <c r="AJ158" s="42">
        <f t="shared" si="61"/>
        <v>0.28999999999999998</v>
      </c>
      <c r="AK158" s="41">
        <f t="shared" si="62"/>
        <v>2743.09</v>
      </c>
      <c r="AL158" s="39">
        <f>RANK(E158,$E$2:$E$1001,0)+COUNTIF($E$2:E158,E158)-1</f>
        <v>40</v>
      </c>
    </row>
    <row r="159" spans="1:38" x14ac:dyDescent="0.2">
      <c r="A159" s="39">
        <v>1051</v>
      </c>
      <c r="B159" s="40">
        <v>45023</v>
      </c>
      <c r="C159" s="39" t="s">
        <v>61</v>
      </c>
      <c r="D159" s="39" t="s">
        <v>74</v>
      </c>
      <c r="E159" s="41">
        <v>5262.45</v>
      </c>
      <c r="F159" s="39">
        <v>23</v>
      </c>
      <c r="G159" s="39" t="s">
        <v>65</v>
      </c>
      <c r="H159" s="41">
        <v>3325.43</v>
      </c>
      <c r="I159" s="41">
        <v>3401.1</v>
      </c>
      <c r="J159" s="39" t="s">
        <v>143</v>
      </c>
      <c r="K159" s="42">
        <v>0.1</v>
      </c>
      <c r="L159" s="39" t="s">
        <v>68</v>
      </c>
      <c r="M159" s="39" t="s">
        <v>138</v>
      </c>
      <c r="N159" s="39" t="s">
        <v>158</v>
      </c>
      <c r="O159" s="43">
        <f t="shared" si="42"/>
        <v>78225.3</v>
      </c>
      <c r="P159" s="43">
        <f t="shared" si="43"/>
        <v>70402.77</v>
      </c>
      <c r="Q159" s="43">
        <f t="shared" si="44"/>
        <v>76484.89</v>
      </c>
      <c r="R159" s="43">
        <f t="shared" si="45"/>
        <v>-6082.1199999999953</v>
      </c>
      <c r="S159" s="44">
        <f t="shared" si="46"/>
        <v>-8.6390350834207166E-2</v>
      </c>
      <c r="T159" s="39" t="str">
        <f t="shared" si="47"/>
        <v>Loss</v>
      </c>
      <c r="U159" s="39" t="str">
        <f t="shared" si="48"/>
        <v>10-19%</v>
      </c>
      <c r="V159" s="39" t="str">
        <f>IF(E159&gt;=Analysis!$B$4,"High",IF(E159&gt;=Analysis!$B$5,"Mid","Low"))</f>
        <v>Mid</v>
      </c>
      <c r="W159" s="39" t="str">
        <f t="shared" si="49"/>
        <v>2023-04</v>
      </c>
      <c r="X159" s="40">
        <f t="shared" si="50"/>
        <v>45046</v>
      </c>
      <c r="Y159" s="39" t="str">
        <f t="shared" si="51"/>
        <v>2023-Q2</v>
      </c>
      <c r="Z159" s="39" t="str">
        <f t="shared" si="52"/>
        <v>Fri</v>
      </c>
      <c r="AA159" s="39">
        <f t="shared" si="53"/>
        <v>5</v>
      </c>
      <c r="AB159" s="39">
        <f t="shared" si="54"/>
        <v>15</v>
      </c>
      <c r="AC159" s="39" t="str">
        <f t="shared" si="55"/>
        <v>Weekday</v>
      </c>
      <c r="AD159" s="39">
        <f t="shared" ca="1" si="56"/>
        <v>1296</v>
      </c>
      <c r="AE159" s="39">
        <f t="shared" ca="1" si="57"/>
        <v>42</v>
      </c>
      <c r="AF159" s="39" t="str">
        <f t="shared" si="58"/>
        <v>ALI</v>
      </c>
      <c r="AG159" s="39" t="str">
        <f t="shared" si="59"/>
        <v>WO-230407-0158</v>
      </c>
      <c r="AH159" s="39" t="str">
        <f>IF(AND(OR(Filter!$B$4="All",D159=Filter!$B$4),OR(Filter!$B$5="All",M159=Filter!$B$5),E159&gt;=Filter!$B$6),MAX(AH$1:AH158)+1,"")</f>
        <v/>
      </c>
      <c r="AI159" s="39">
        <f t="shared" si="60"/>
        <v>23</v>
      </c>
      <c r="AJ159" s="42">
        <f t="shared" si="61"/>
        <v>0.1</v>
      </c>
      <c r="AK159" s="41">
        <f t="shared" si="62"/>
        <v>3401.1</v>
      </c>
      <c r="AL159" s="39">
        <f>RANK(E159,$E$2:$E$1001,0)+COUNTIF($E$2:E159,E159)-1</f>
        <v>472</v>
      </c>
    </row>
    <row r="160" spans="1:38" x14ac:dyDescent="0.2">
      <c r="A160" s="39">
        <v>1063</v>
      </c>
      <c r="B160" s="40">
        <v>45215</v>
      </c>
      <c r="C160" s="39" t="s">
        <v>71</v>
      </c>
      <c r="D160" s="39" t="s">
        <v>64</v>
      </c>
      <c r="E160" s="41">
        <v>9775.35</v>
      </c>
      <c r="F160" s="39">
        <v>4</v>
      </c>
      <c r="G160" s="39" t="s">
        <v>60</v>
      </c>
      <c r="H160" s="41">
        <v>1134.67</v>
      </c>
      <c r="I160" s="41">
        <v>1201.3900000000001</v>
      </c>
      <c r="J160" s="39" t="s">
        <v>143</v>
      </c>
      <c r="K160" s="42">
        <v>0.3</v>
      </c>
      <c r="L160" s="39" t="s">
        <v>63</v>
      </c>
      <c r="M160" s="39" t="s">
        <v>140</v>
      </c>
      <c r="N160" s="39" t="s">
        <v>160</v>
      </c>
      <c r="O160" s="43">
        <f t="shared" si="42"/>
        <v>4805.5600000000004</v>
      </c>
      <c r="P160" s="43">
        <f t="shared" si="43"/>
        <v>3363.89</v>
      </c>
      <c r="Q160" s="43">
        <f t="shared" si="44"/>
        <v>4538.68</v>
      </c>
      <c r="R160" s="43">
        <f t="shared" si="45"/>
        <v>-1174.7900000000004</v>
      </c>
      <c r="S160" s="44">
        <f t="shared" si="46"/>
        <v>-0.34923555764308595</v>
      </c>
      <c r="T160" s="39" t="str">
        <f t="shared" si="47"/>
        <v>Loss</v>
      </c>
      <c r="U160" s="39" t="str">
        <f t="shared" si="48"/>
        <v>20%+</v>
      </c>
      <c r="V160" s="39" t="str">
        <f>IF(E160&gt;=Analysis!$B$4,"High",IF(E160&gt;=Analysis!$B$5,"Mid","Low"))</f>
        <v>High</v>
      </c>
      <c r="W160" s="39" t="str">
        <f t="shared" si="49"/>
        <v>2023-10</v>
      </c>
      <c r="X160" s="40">
        <f t="shared" si="50"/>
        <v>45230</v>
      </c>
      <c r="Y160" s="39" t="str">
        <f t="shared" si="51"/>
        <v>2023-Q4</v>
      </c>
      <c r="Z160" s="39" t="str">
        <f t="shared" si="52"/>
        <v>Mon</v>
      </c>
      <c r="AA160" s="39">
        <f t="shared" si="53"/>
        <v>1</v>
      </c>
      <c r="AB160" s="39">
        <f t="shared" si="54"/>
        <v>43</v>
      </c>
      <c r="AC160" s="39" t="str">
        <f t="shared" si="55"/>
        <v>Weekday</v>
      </c>
      <c r="AD160" s="39">
        <f t="shared" ca="1" si="56"/>
        <v>1104</v>
      </c>
      <c r="AE160" s="39">
        <f t="shared" ca="1" si="57"/>
        <v>36</v>
      </c>
      <c r="AF160" s="39" t="str">
        <f t="shared" si="58"/>
        <v>CHA</v>
      </c>
      <c r="AG160" s="39" t="str">
        <f t="shared" si="59"/>
        <v>NR-231016-0159</v>
      </c>
      <c r="AH160" s="39">
        <f>IF(AND(OR(Filter!$B$4="All",D160=Filter!$B$4),OR(Filter!$B$5="All",M160=Filter!$B$5),E160&gt;=Filter!$B$6),MAX(AH$1:AH159)+1,"")</f>
        <v>19</v>
      </c>
      <c r="AI160" s="39">
        <f t="shared" si="60"/>
        <v>4</v>
      </c>
      <c r="AJ160" s="42">
        <f t="shared" si="61"/>
        <v>0.3</v>
      </c>
      <c r="AK160" s="41">
        <f t="shared" si="62"/>
        <v>1201.3900000000001</v>
      </c>
      <c r="AL160" s="39">
        <f>RANK(E160,$E$2:$E$1001,0)+COUNTIF($E$2:E160,E160)-1</f>
        <v>19</v>
      </c>
    </row>
    <row r="161" spans="1:38" x14ac:dyDescent="0.2">
      <c r="A161" s="39">
        <v>1096</v>
      </c>
      <c r="B161" s="40">
        <v>45180</v>
      </c>
      <c r="C161" s="39" t="s">
        <v>79</v>
      </c>
      <c r="D161" s="39" t="s">
        <v>69</v>
      </c>
      <c r="E161" s="41">
        <v>7597.37</v>
      </c>
      <c r="F161" s="39">
        <v>23</v>
      </c>
      <c r="G161" s="39" t="s">
        <v>65</v>
      </c>
      <c r="H161" s="41">
        <v>608.57000000000005</v>
      </c>
      <c r="I161" s="41">
        <v>1032.22</v>
      </c>
      <c r="J161" s="39" t="s">
        <v>143</v>
      </c>
      <c r="K161" s="42">
        <v>0.25</v>
      </c>
      <c r="L161" s="39" t="s">
        <v>68</v>
      </c>
      <c r="M161" s="39" t="s">
        <v>140</v>
      </c>
      <c r="N161" s="39" t="s">
        <v>147</v>
      </c>
      <c r="O161" s="43">
        <f t="shared" si="42"/>
        <v>23741.06</v>
      </c>
      <c r="P161" s="43">
        <f t="shared" si="43"/>
        <v>17805.8</v>
      </c>
      <c r="Q161" s="43">
        <f t="shared" si="44"/>
        <v>13997.11</v>
      </c>
      <c r="R161" s="43">
        <f t="shared" si="45"/>
        <v>3808.6899999999987</v>
      </c>
      <c r="S161" s="44">
        <f t="shared" si="46"/>
        <v>0.21390165002414938</v>
      </c>
      <c r="T161" s="39" t="str">
        <f t="shared" si="47"/>
        <v>OK</v>
      </c>
      <c r="U161" s="39" t="str">
        <f t="shared" si="48"/>
        <v>20%+</v>
      </c>
      <c r="V161" s="39" t="str">
        <f>IF(E161&gt;=Analysis!$B$4,"High",IF(E161&gt;=Analysis!$B$5,"Mid","Low"))</f>
        <v>High</v>
      </c>
      <c r="W161" s="39" t="str">
        <f t="shared" si="49"/>
        <v>2023-09</v>
      </c>
      <c r="X161" s="40">
        <f t="shared" si="50"/>
        <v>45199</v>
      </c>
      <c r="Y161" s="39" t="str">
        <f t="shared" si="51"/>
        <v>2023-Q3</v>
      </c>
      <c r="Z161" s="39" t="str">
        <f t="shared" si="52"/>
        <v>Mon</v>
      </c>
      <c r="AA161" s="39">
        <f t="shared" si="53"/>
        <v>1</v>
      </c>
      <c r="AB161" s="39">
        <f t="shared" si="54"/>
        <v>38</v>
      </c>
      <c r="AC161" s="39" t="str">
        <f t="shared" si="55"/>
        <v>Weekday</v>
      </c>
      <c r="AD161" s="39">
        <f t="shared" ca="1" si="56"/>
        <v>1139</v>
      </c>
      <c r="AE161" s="39">
        <f t="shared" ca="1" si="57"/>
        <v>37</v>
      </c>
      <c r="AF161" s="39" t="str">
        <f t="shared" si="58"/>
        <v>EVE</v>
      </c>
      <c r="AG161" s="39" t="str">
        <f t="shared" si="59"/>
        <v>SR-230911-0160</v>
      </c>
      <c r="AH161" s="39" t="str">
        <f>IF(AND(OR(Filter!$B$4="All",D161=Filter!$B$4),OR(Filter!$B$5="All",M161=Filter!$B$5),E161&gt;=Filter!$B$6),MAX(AH$1:AH160)+1,"")</f>
        <v/>
      </c>
      <c r="AI161" s="39">
        <f t="shared" si="60"/>
        <v>23</v>
      </c>
      <c r="AJ161" s="42">
        <f t="shared" si="61"/>
        <v>0.25</v>
      </c>
      <c r="AK161" s="41">
        <f t="shared" si="62"/>
        <v>1032.22</v>
      </c>
      <c r="AL161" s="39">
        <f>RANK(E161,$E$2:$E$1001,0)+COUNTIF($E$2:E161,E161)-1</f>
        <v>241</v>
      </c>
    </row>
    <row r="162" spans="1:38" x14ac:dyDescent="0.2">
      <c r="A162" s="39">
        <v>1052</v>
      </c>
      <c r="B162" s="40">
        <v>45122</v>
      </c>
      <c r="C162" s="39" t="s">
        <v>71</v>
      </c>
      <c r="D162" s="39" t="s">
        <v>59</v>
      </c>
      <c r="E162" s="41">
        <v>1700.55</v>
      </c>
      <c r="F162" s="39">
        <v>48</v>
      </c>
      <c r="G162" s="39" t="s">
        <v>70</v>
      </c>
      <c r="H162" s="41">
        <v>3002.35</v>
      </c>
      <c r="I162" s="41">
        <v>3080.61</v>
      </c>
      <c r="J162" s="39" t="s">
        <v>137</v>
      </c>
      <c r="K162" s="42">
        <v>0.18</v>
      </c>
      <c r="L162" s="39" t="s">
        <v>63</v>
      </c>
      <c r="M162" s="39" t="s">
        <v>140</v>
      </c>
      <c r="N162" s="39" t="s">
        <v>145</v>
      </c>
      <c r="O162" s="43">
        <f t="shared" si="42"/>
        <v>147869.28</v>
      </c>
      <c r="P162" s="43">
        <f t="shared" si="43"/>
        <v>121252.81</v>
      </c>
      <c r="Q162" s="43">
        <f t="shared" si="44"/>
        <v>144112.79999999999</v>
      </c>
      <c r="R162" s="43">
        <f t="shared" si="45"/>
        <v>-22859.989999999991</v>
      </c>
      <c r="S162" s="44">
        <f t="shared" si="46"/>
        <v>-0.18853163073086712</v>
      </c>
      <c r="T162" s="39" t="str">
        <f t="shared" si="47"/>
        <v>Loss</v>
      </c>
      <c r="U162" s="39" t="str">
        <f t="shared" si="48"/>
        <v>10-19%</v>
      </c>
      <c r="V162" s="39" t="str">
        <f>IF(E162&gt;=Analysis!$B$4,"High",IF(E162&gt;=Analysis!$B$5,"Mid","Low"))</f>
        <v>Low</v>
      </c>
      <c r="W162" s="39" t="str">
        <f t="shared" si="49"/>
        <v>2023-07</v>
      </c>
      <c r="X162" s="40">
        <f t="shared" si="50"/>
        <v>45138</v>
      </c>
      <c r="Y162" s="39" t="str">
        <f t="shared" si="51"/>
        <v>2023-Q3</v>
      </c>
      <c r="Z162" s="39" t="str">
        <f t="shared" si="52"/>
        <v>Sat</v>
      </c>
      <c r="AA162" s="39">
        <f t="shared" si="53"/>
        <v>6</v>
      </c>
      <c r="AB162" s="39">
        <f t="shared" si="54"/>
        <v>29</v>
      </c>
      <c r="AC162" s="39" t="str">
        <f t="shared" si="55"/>
        <v>Weekend</v>
      </c>
      <c r="AD162" s="39">
        <f t="shared" ca="1" si="56"/>
        <v>1197</v>
      </c>
      <c r="AE162" s="39">
        <f t="shared" ca="1" si="57"/>
        <v>39</v>
      </c>
      <c r="AF162" s="39" t="str">
        <f t="shared" si="58"/>
        <v>CHA</v>
      </c>
      <c r="AG162" s="39" t="str">
        <f t="shared" si="59"/>
        <v>ER-230715-0161</v>
      </c>
      <c r="AH162" s="39" t="str">
        <f>IF(AND(OR(Filter!$B$4="All",D162=Filter!$B$4),OR(Filter!$B$5="All",M162=Filter!$B$5),E162&gt;=Filter!$B$6),MAX(AH$1:AH161)+1,"")</f>
        <v/>
      </c>
      <c r="AI162" s="39">
        <f t="shared" si="60"/>
        <v>48</v>
      </c>
      <c r="AJ162" s="42">
        <f t="shared" si="61"/>
        <v>0.18</v>
      </c>
      <c r="AK162" s="41">
        <f t="shared" si="62"/>
        <v>3080.61</v>
      </c>
      <c r="AL162" s="39">
        <f>RANK(E162,$E$2:$E$1001,0)+COUNTIF($E$2:E162,E162)-1</f>
        <v>848</v>
      </c>
    </row>
    <row r="163" spans="1:38" x14ac:dyDescent="0.2">
      <c r="A163" s="39">
        <v>1096</v>
      </c>
      <c r="B163" s="40">
        <v>45012</v>
      </c>
      <c r="C163" s="39" t="s">
        <v>61</v>
      </c>
      <c r="D163" s="39" t="s">
        <v>64</v>
      </c>
      <c r="E163" s="41">
        <v>4821.3100000000004</v>
      </c>
      <c r="F163" s="39">
        <v>48</v>
      </c>
      <c r="G163" s="39" t="s">
        <v>60</v>
      </c>
      <c r="H163" s="41">
        <v>2449.21</v>
      </c>
      <c r="I163" s="41">
        <v>2714.12</v>
      </c>
      <c r="J163" s="39" t="s">
        <v>143</v>
      </c>
      <c r="K163" s="42">
        <v>0.01</v>
      </c>
      <c r="L163" s="39" t="s">
        <v>73</v>
      </c>
      <c r="M163" s="39" t="s">
        <v>138</v>
      </c>
      <c r="N163" s="39" t="s">
        <v>156</v>
      </c>
      <c r="O163" s="43">
        <f t="shared" si="42"/>
        <v>130277.75999999999</v>
      </c>
      <c r="P163" s="43">
        <f t="shared" si="43"/>
        <v>128974.98</v>
      </c>
      <c r="Q163" s="43">
        <f t="shared" si="44"/>
        <v>117562.08</v>
      </c>
      <c r="R163" s="43">
        <f t="shared" si="45"/>
        <v>11412.899999999994</v>
      </c>
      <c r="S163" s="44">
        <f t="shared" si="46"/>
        <v>8.8489255823106114E-2</v>
      </c>
      <c r="T163" s="39" t="str">
        <f t="shared" si="47"/>
        <v>OK</v>
      </c>
      <c r="U163" s="39" t="str">
        <f t="shared" si="48"/>
        <v>0-9%</v>
      </c>
      <c r="V163" s="39" t="str">
        <f>IF(E163&gt;=Analysis!$B$4,"High",IF(E163&gt;=Analysis!$B$5,"Mid","Low"))</f>
        <v>Mid</v>
      </c>
      <c r="W163" s="39" t="str">
        <f t="shared" si="49"/>
        <v>2023-03</v>
      </c>
      <c r="X163" s="40">
        <f t="shared" si="50"/>
        <v>45016</v>
      </c>
      <c r="Y163" s="39" t="str">
        <f t="shared" si="51"/>
        <v>2023-Q1</v>
      </c>
      <c r="Z163" s="39" t="str">
        <f t="shared" si="52"/>
        <v>Mon</v>
      </c>
      <c r="AA163" s="39">
        <f t="shared" si="53"/>
        <v>1</v>
      </c>
      <c r="AB163" s="39">
        <f t="shared" si="54"/>
        <v>14</v>
      </c>
      <c r="AC163" s="39" t="str">
        <f t="shared" si="55"/>
        <v>Weekday</v>
      </c>
      <c r="AD163" s="39">
        <f t="shared" ca="1" si="56"/>
        <v>1307</v>
      </c>
      <c r="AE163" s="39">
        <f t="shared" ca="1" si="57"/>
        <v>42</v>
      </c>
      <c r="AF163" s="39" t="str">
        <f t="shared" si="58"/>
        <v>ALI</v>
      </c>
      <c r="AG163" s="39" t="str">
        <f t="shared" si="59"/>
        <v>NO-230327-0162</v>
      </c>
      <c r="AH163" s="39" t="str">
        <f>IF(AND(OR(Filter!$B$4="All",D163=Filter!$B$4),OR(Filter!$B$5="All",M163=Filter!$B$5),E163&gt;=Filter!$B$6),MAX(AH$1:AH162)+1,"")</f>
        <v/>
      </c>
      <c r="AI163" s="39">
        <f t="shared" si="60"/>
        <v>48</v>
      </c>
      <c r="AJ163" s="42">
        <f t="shared" si="61"/>
        <v>0.01</v>
      </c>
      <c r="AK163" s="41">
        <f t="shared" si="62"/>
        <v>2714.12</v>
      </c>
      <c r="AL163" s="39">
        <f>RANK(E163,$E$2:$E$1001,0)+COUNTIF($E$2:E163,E163)-1</f>
        <v>518</v>
      </c>
    </row>
    <row r="164" spans="1:38" x14ac:dyDescent="0.2">
      <c r="A164" s="39">
        <v>1004</v>
      </c>
      <c r="B164" s="40">
        <v>45248</v>
      </c>
      <c r="C164" s="39" t="s">
        <v>61</v>
      </c>
      <c r="D164" s="39" t="s">
        <v>59</v>
      </c>
      <c r="E164" s="41">
        <v>7211.48</v>
      </c>
      <c r="F164" s="39">
        <v>1</v>
      </c>
      <c r="G164" s="39" t="s">
        <v>70</v>
      </c>
      <c r="H164" s="41">
        <v>182.99</v>
      </c>
      <c r="I164" s="41">
        <v>211.18</v>
      </c>
      <c r="J164" s="39" t="s">
        <v>137</v>
      </c>
      <c r="K164" s="42">
        <v>0.27</v>
      </c>
      <c r="L164" s="39" t="s">
        <v>63</v>
      </c>
      <c r="M164" s="39" t="s">
        <v>140</v>
      </c>
      <c r="N164" s="39" t="s">
        <v>159</v>
      </c>
      <c r="O164" s="43">
        <f t="shared" si="42"/>
        <v>211.18</v>
      </c>
      <c r="P164" s="43">
        <f t="shared" si="43"/>
        <v>154.16</v>
      </c>
      <c r="Q164" s="43">
        <f t="shared" si="44"/>
        <v>182.99</v>
      </c>
      <c r="R164" s="43">
        <f t="shared" si="45"/>
        <v>-28.830000000000013</v>
      </c>
      <c r="S164" s="44">
        <f t="shared" si="46"/>
        <v>-0.18701349247535037</v>
      </c>
      <c r="T164" s="39" t="str">
        <f t="shared" si="47"/>
        <v>Loss</v>
      </c>
      <c r="U164" s="39" t="str">
        <f t="shared" si="48"/>
        <v>20%+</v>
      </c>
      <c r="V164" s="39" t="str">
        <f>IF(E164&gt;=Analysis!$B$4,"High",IF(E164&gt;=Analysis!$B$5,"Mid","Low"))</f>
        <v>Mid</v>
      </c>
      <c r="W164" s="39" t="str">
        <f t="shared" si="49"/>
        <v>2023-11</v>
      </c>
      <c r="X164" s="40">
        <f t="shared" si="50"/>
        <v>45260</v>
      </c>
      <c r="Y164" s="39" t="str">
        <f t="shared" si="51"/>
        <v>2023-Q4</v>
      </c>
      <c r="Z164" s="39" t="str">
        <f t="shared" si="52"/>
        <v>Sat</v>
      </c>
      <c r="AA164" s="39">
        <f t="shared" si="53"/>
        <v>6</v>
      </c>
      <c r="AB164" s="39">
        <f t="shared" si="54"/>
        <v>47</v>
      </c>
      <c r="AC164" s="39" t="str">
        <f t="shared" si="55"/>
        <v>Weekend</v>
      </c>
      <c r="AD164" s="39">
        <f t="shared" ca="1" si="56"/>
        <v>1071</v>
      </c>
      <c r="AE164" s="39">
        <f t="shared" ca="1" si="57"/>
        <v>35</v>
      </c>
      <c r="AF164" s="39" t="str">
        <f t="shared" si="58"/>
        <v>ALI</v>
      </c>
      <c r="AG164" s="39" t="str">
        <f t="shared" si="59"/>
        <v>ER-231118-0163</v>
      </c>
      <c r="AH164" s="39" t="str">
        <f>IF(AND(OR(Filter!$B$4="All",D164=Filter!$B$4),OR(Filter!$B$5="All",M164=Filter!$B$5),E164&gt;=Filter!$B$6),MAX(AH$1:AH163)+1,"")</f>
        <v/>
      </c>
      <c r="AI164" s="39">
        <f t="shared" si="60"/>
        <v>1</v>
      </c>
      <c r="AJ164" s="42">
        <f t="shared" si="61"/>
        <v>0.27</v>
      </c>
      <c r="AK164" s="41">
        <f t="shared" si="62"/>
        <v>211.18</v>
      </c>
      <c r="AL164" s="39">
        <f>RANK(E164,$E$2:$E$1001,0)+COUNTIF($E$2:E164,E164)-1</f>
        <v>277</v>
      </c>
    </row>
    <row r="165" spans="1:38" x14ac:dyDescent="0.2">
      <c r="A165" s="39">
        <v>1094</v>
      </c>
      <c r="B165" s="40">
        <v>44936</v>
      </c>
      <c r="C165" s="39" t="s">
        <v>79</v>
      </c>
      <c r="D165" s="39" t="s">
        <v>64</v>
      </c>
      <c r="E165" s="41">
        <v>2548.67</v>
      </c>
      <c r="F165" s="39">
        <v>25</v>
      </c>
      <c r="G165" s="39" t="s">
        <v>65</v>
      </c>
      <c r="H165" s="41">
        <v>1933.39</v>
      </c>
      <c r="I165" s="41">
        <v>1982.92</v>
      </c>
      <c r="J165" s="39" t="s">
        <v>143</v>
      </c>
      <c r="K165" s="42">
        <v>0.17</v>
      </c>
      <c r="L165" s="39" t="s">
        <v>63</v>
      </c>
      <c r="M165" s="39" t="s">
        <v>138</v>
      </c>
      <c r="N165" s="39" t="s">
        <v>148</v>
      </c>
      <c r="O165" s="43">
        <f t="shared" si="42"/>
        <v>49573</v>
      </c>
      <c r="P165" s="43">
        <f t="shared" si="43"/>
        <v>41145.589999999997</v>
      </c>
      <c r="Q165" s="43">
        <f t="shared" si="44"/>
        <v>48334.75</v>
      </c>
      <c r="R165" s="43">
        <f t="shared" si="45"/>
        <v>-7189.1600000000035</v>
      </c>
      <c r="S165" s="44">
        <f t="shared" si="46"/>
        <v>-0.17472492191751302</v>
      </c>
      <c r="T165" s="39" t="str">
        <f t="shared" si="47"/>
        <v>Loss</v>
      </c>
      <c r="U165" s="39" t="str">
        <f t="shared" si="48"/>
        <v>10-19%</v>
      </c>
      <c r="V165" s="39" t="str">
        <f>IF(E165&gt;=Analysis!$B$4,"High",IF(E165&gt;=Analysis!$B$5,"Mid","Low"))</f>
        <v>Low</v>
      </c>
      <c r="W165" s="39" t="str">
        <f t="shared" si="49"/>
        <v>2023-01</v>
      </c>
      <c r="X165" s="40">
        <f t="shared" si="50"/>
        <v>44957</v>
      </c>
      <c r="Y165" s="39" t="str">
        <f t="shared" si="51"/>
        <v>2023-Q1</v>
      </c>
      <c r="Z165" s="39" t="str">
        <f t="shared" si="52"/>
        <v>Tue</v>
      </c>
      <c r="AA165" s="39">
        <f t="shared" si="53"/>
        <v>2</v>
      </c>
      <c r="AB165" s="39">
        <f t="shared" si="54"/>
        <v>3</v>
      </c>
      <c r="AC165" s="39" t="str">
        <f t="shared" si="55"/>
        <v>Weekday</v>
      </c>
      <c r="AD165" s="39">
        <f t="shared" ca="1" si="56"/>
        <v>1383</v>
      </c>
      <c r="AE165" s="39">
        <f t="shared" ca="1" si="57"/>
        <v>45</v>
      </c>
      <c r="AF165" s="39" t="str">
        <f t="shared" si="58"/>
        <v>EVE</v>
      </c>
      <c r="AG165" s="39" t="str">
        <f t="shared" si="59"/>
        <v>NO-230110-0164</v>
      </c>
      <c r="AH165" s="39" t="str">
        <f>IF(AND(OR(Filter!$B$4="All",D165=Filter!$B$4),OR(Filter!$B$5="All",M165=Filter!$B$5),E165&gt;=Filter!$B$6),MAX(AH$1:AH164)+1,"")</f>
        <v/>
      </c>
      <c r="AI165" s="39">
        <f t="shared" si="60"/>
        <v>25</v>
      </c>
      <c r="AJ165" s="42">
        <f t="shared" si="61"/>
        <v>0.17</v>
      </c>
      <c r="AK165" s="41">
        <f t="shared" si="62"/>
        <v>1982.92</v>
      </c>
      <c r="AL165" s="39">
        <f>RANK(E165,$E$2:$E$1001,0)+COUNTIF($E$2:E165,E165)-1</f>
        <v>751</v>
      </c>
    </row>
    <row r="166" spans="1:38" x14ac:dyDescent="0.2">
      <c r="A166" s="39">
        <v>1023</v>
      </c>
      <c r="B166" s="40">
        <v>44931</v>
      </c>
      <c r="C166" s="39" t="s">
        <v>61</v>
      </c>
      <c r="D166" s="39" t="s">
        <v>59</v>
      </c>
      <c r="E166" s="41">
        <v>6442.09</v>
      </c>
      <c r="F166" s="39">
        <v>2</v>
      </c>
      <c r="G166" s="39" t="s">
        <v>60</v>
      </c>
      <c r="H166" s="41">
        <v>575.32000000000005</v>
      </c>
      <c r="I166" s="41">
        <v>914.77</v>
      </c>
      <c r="J166" s="39" t="s">
        <v>137</v>
      </c>
      <c r="K166" s="42">
        <v>0.26</v>
      </c>
      <c r="L166" s="39" t="s">
        <v>63</v>
      </c>
      <c r="M166" s="39" t="s">
        <v>138</v>
      </c>
      <c r="N166" s="39" t="s">
        <v>159</v>
      </c>
      <c r="O166" s="43">
        <f t="shared" si="42"/>
        <v>1829.54</v>
      </c>
      <c r="P166" s="43">
        <f t="shared" si="43"/>
        <v>1353.86</v>
      </c>
      <c r="Q166" s="43">
        <f t="shared" si="44"/>
        <v>1150.6400000000001</v>
      </c>
      <c r="R166" s="43">
        <f t="shared" si="45"/>
        <v>203.2199999999998</v>
      </c>
      <c r="S166" s="44">
        <f t="shared" si="46"/>
        <v>0.15010414666213628</v>
      </c>
      <c r="T166" s="39" t="str">
        <f t="shared" si="47"/>
        <v>OK</v>
      </c>
      <c r="U166" s="39" t="str">
        <f t="shared" si="48"/>
        <v>20%+</v>
      </c>
      <c r="V166" s="39" t="str">
        <f>IF(E166&gt;=Analysis!$B$4,"High",IF(E166&gt;=Analysis!$B$5,"Mid","Low"))</f>
        <v>Mid</v>
      </c>
      <c r="W166" s="39" t="str">
        <f t="shared" si="49"/>
        <v>2023-01</v>
      </c>
      <c r="X166" s="40">
        <f t="shared" si="50"/>
        <v>44957</v>
      </c>
      <c r="Y166" s="39" t="str">
        <f t="shared" si="51"/>
        <v>2023-Q1</v>
      </c>
      <c r="Z166" s="39" t="str">
        <f t="shared" si="52"/>
        <v>Thu</v>
      </c>
      <c r="AA166" s="39">
        <f t="shared" si="53"/>
        <v>4</v>
      </c>
      <c r="AB166" s="39">
        <f t="shared" si="54"/>
        <v>2</v>
      </c>
      <c r="AC166" s="39" t="str">
        <f t="shared" si="55"/>
        <v>Weekday</v>
      </c>
      <c r="AD166" s="39">
        <f t="shared" ca="1" si="56"/>
        <v>1388</v>
      </c>
      <c r="AE166" s="39">
        <f t="shared" ca="1" si="57"/>
        <v>45</v>
      </c>
      <c r="AF166" s="39" t="str">
        <f t="shared" si="58"/>
        <v>ALI</v>
      </c>
      <c r="AG166" s="39" t="str">
        <f t="shared" si="59"/>
        <v>EO-230105-0165</v>
      </c>
      <c r="AH166" s="39" t="str">
        <f>IF(AND(OR(Filter!$B$4="All",D166=Filter!$B$4),OR(Filter!$B$5="All",M166=Filter!$B$5),E166&gt;=Filter!$B$6),MAX(AH$1:AH165)+1,"")</f>
        <v/>
      </c>
      <c r="AI166" s="39">
        <f t="shared" si="60"/>
        <v>2</v>
      </c>
      <c r="AJ166" s="42">
        <f t="shared" si="61"/>
        <v>0.26</v>
      </c>
      <c r="AK166" s="41">
        <f t="shared" si="62"/>
        <v>914.77</v>
      </c>
      <c r="AL166" s="39">
        <f>RANK(E166,$E$2:$E$1001,0)+COUNTIF($E$2:E166,E166)-1</f>
        <v>365</v>
      </c>
    </row>
    <row r="167" spans="1:38" x14ac:dyDescent="0.2">
      <c r="A167" s="39">
        <v>1015</v>
      </c>
      <c r="B167" s="40">
        <v>45049</v>
      </c>
      <c r="C167" s="39" t="s">
        <v>76</v>
      </c>
      <c r="D167" s="39" t="s">
        <v>69</v>
      </c>
      <c r="E167" s="41">
        <v>6699.34</v>
      </c>
      <c r="F167" s="39">
        <v>30</v>
      </c>
      <c r="G167" s="39" t="s">
        <v>70</v>
      </c>
      <c r="H167" s="41">
        <v>2680.22</v>
      </c>
      <c r="I167" s="41">
        <v>3027.92</v>
      </c>
      <c r="J167" s="39" t="s">
        <v>137</v>
      </c>
      <c r="K167" s="42">
        <v>0.25</v>
      </c>
      <c r="L167" s="39" t="s">
        <v>63</v>
      </c>
      <c r="M167" s="39" t="s">
        <v>138</v>
      </c>
      <c r="N167" s="39" t="s">
        <v>142</v>
      </c>
      <c r="O167" s="43">
        <f t="shared" si="42"/>
        <v>90837.6</v>
      </c>
      <c r="P167" s="43">
        <f t="shared" si="43"/>
        <v>68128.2</v>
      </c>
      <c r="Q167" s="43">
        <f t="shared" si="44"/>
        <v>80406.600000000006</v>
      </c>
      <c r="R167" s="43">
        <f t="shared" si="45"/>
        <v>-12278.400000000009</v>
      </c>
      <c r="S167" s="44">
        <f t="shared" si="46"/>
        <v>-0.18022492888407457</v>
      </c>
      <c r="T167" s="39" t="str">
        <f t="shared" si="47"/>
        <v>Loss</v>
      </c>
      <c r="U167" s="39" t="str">
        <f t="shared" si="48"/>
        <v>20%+</v>
      </c>
      <c r="V167" s="39" t="str">
        <f>IF(E167&gt;=Analysis!$B$4,"High",IF(E167&gt;=Analysis!$B$5,"Mid","Low"))</f>
        <v>Mid</v>
      </c>
      <c r="W167" s="39" t="str">
        <f t="shared" si="49"/>
        <v>2023-05</v>
      </c>
      <c r="X167" s="40">
        <f t="shared" si="50"/>
        <v>45077</v>
      </c>
      <c r="Y167" s="39" t="str">
        <f t="shared" si="51"/>
        <v>2023-Q2</v>
      </c>
      <c r="Z167" s="39" t="str">
        <f t="shared" si="52"/>
        <v>Wed</v>
      </c>
      <c r="AA167" s="39">
        <f t="shared" si="53"/>
        <v>3</v>
      </c>
      <c r="AB167" s="39">
        <f t="shared" si="54"/>
        <v>19</v>
      </c>
      <c r="AC167" s="39" t="str">
        <f t="shared" si="55"/>
        <v>Weekday</v>
      </c>
      <c r="AD167" s="39">
        <f t="shared" ca="1" si="56"/>
        <v>1270</v>
      </c>
      <c r="AE167" s="39">
        <f t="shared" ca="1" si="57"/>
        <v>41</v>
      </c>
      <c r="AF167" s="39" t="str">
        <f t="shared" si="58"/>
        <v>DAV</v>
      </c>
      <c r="AG167" s="39" t="str">
        <f t="shared" si="59"/>
        <v>SO-230503-0166</v>
      </c>
      <c r="AH167" s="39" t="str">
        <f>IF(AND(OR(Filter!$B$4="All",D167=Filter!$B$4),OR(Filter!$B$5="All",M167=Filter!$B$5),E167&gt;=Filter!$B$6),MAX(AH$1:AH166)+1,"")</f>
        <v/>
      </c>
      <c r="AI167" s="39">
        <f t="shared" si="60"/>
        <v>30</v>
      </c>
      <c r="AJ167" s="42">
        <f t="shared" si="61"/>
        <v>0.25</v>
      </c>
      <c r="AK167" s="41">
        <f t="shared" si="62"/>
        <v>3027.92</v>
      </c>
      <c r="AL167" s="39">
        <f>RANK(E167,$E$2:$E$1001,0)+COUNTIF($E$2:E167,E167)-1</f>
        <v>336</v>
      </c>
    </row>
    <row r="168" spans="1:38" x14ac:dyDescent="0.2">
      <c r="A168" s="39">
        <v>1043</v>
      </c>
      <c r="B168" s="40">
        <v>45256</v>
      </c>
      <c r="C168" s="39" t="s">
        <v>66</v>
      </c>
      <c r="D168" s="39" t="s">
        <v>69</v>
      </c>
      <c r="E168" s="41">
        <v>1710.73</v>
      </c>
      <c r="F168" s="39">
        <v>3</v>
      </c>
      <c r="G168" s="39" t="s">
        <v>65</v>
      </c>
      <c r="H168" s="41">
        <v>2009.1</v>
      </c>
      <c r="I168" s="41">
        <v>2186.42</v>
      </c>
      <c r="J168" s="39" t="s">
        <v>143</v>
      </c>
      <c r="K168" s="42">
        <v>0.25</v>
      </c>
      <c r="L168" s="39" t="s">
        <v>63</v>
      </c>
      <c r="M168" s="39" t="s">
        <v>138</v>
      </c>
      <c r="N168" s="39" t="s">
        <v>144</v>
      </c>
      <c r="O168" s="43">
        <f t="shared" si="42"/>
        <v>6559.26</v>
      </c>
      <c r="P168" s="43">
        <f t="shared" si="43"/>
        <v>4919.45</v>
      </c>
      <c r="Q168" s="43">
        <f t="shared" si="44"/>
        <v>6027.3</v>
      </c>
      <c r="R168" s="43">
        <f t="shared" si="45"/>
        <v>-1107.8500000000004</v>
      </c>
      <c r="S168" s="44">
        <f t="shared" si="46"/>
        <v>-0.22519793879397096</v>
      </c>
      <c r="T168" s="39" t="str">
        <f t="shared" si="47"/>
        <v>Loss</v>
      </c>
      <c r="U168" s="39" t="str">
        <f t="shared" si="48"/>
        <v>20%+</v>
      </c>
      <c r="V168" s="39" t="str">
        <f>IF(E168&gt;=Analysis!$B$4,"High",IF(E168&gt;=Analysis!$B$5,"Mid","Low"))</f>
        <v>Low</v>
      </c>
      <c r="W168" s="39" t="str">
        <f t="shared" si="49"/>
        <v>2023-11</v>
      </c>
      <c r="X168" s="40">
        <f t="shared" si="50"/>
        <v>45260</v>
      </c>
      <c r="Y168" s="39" t="str">
        <f t="shared" si="51"/>
        <v>2023-Q4</v>
      </c>
      <c r="Z168" s="39" t="str">
        <f t="shared" si="52"/>
        <v>Sun</v>
      </c>
      <c r="AA168" s="39">
        <f t="shared" si="53"/>
        <v>7</v>
      </c>
      <c r="AB168" s="39">
        <f t="shared" si="54"/>
        <v>48</v>
      </c>
      <c r="AC168" s="39" t="str">
        <f t="shared" si="55"/>
        <v>Weekend</v>
      </c>
      <c r="AD168" s="39">
        <f t="shared" ca="1" si="56"/>
        <v>1063</v>
      </c>
      <c r="AE168" s="39">
        <f t="shared" ca="1" si="57"/>
        <v>34</v>
      </c>
      <c r="AF168" s="39" t="str">
        <f t="shared" si="58"/>
        <v>BOB</v>
      </c>
      <c r="AG168" s="39" t="str">
        <f t="shared" si="59"/>
        <v>SO-231126-0167</v>
      </c>
      <c r="AH168" s="39" t="str">
        <f>IF(AND(OR(Filter!$B$4="All",D168=Filter!$B$4),OR(Filter!$B$5="All",M168=Filter!$B$5),E168&gt;=Filter!$B$6),MAX(AH$1:AH167)+1,"")</f>
        <v/>
      </c>
      <c r="AI168" s="39">
        <f t="shared" si="60"/>
        <v>3</v>
      </c>
      <c r="AJ168" s="42">
        <f t="shared" si="61"/>
        <v>0.25</v>
      </c>
      <c r="AK168" s="41">
        <f t="shared" si="62"/>
        <v>2186.42</v>
      </c>
      <c r="AL168" s="39">
        <f>RANK(E168,$E$2:$E$1001,0)+COUNTIF($E$2:E168,E168)-1</f>
        <v>847</v>
      </c>
    </row>
    <row r="169" spans="1:38" x14ac:dyDescent="0.2">
      <c r="A169" s="39">
        <v>1029</v>
      </c>
      <c r="B169" s="40">
        <v>45279</v>
      </c>
      <c r="C169" s="39" t="s">
        <v>79</v>
      </c>
      <c r="D169" s="39" t="s">
        <v>64</v>
      </c>
      <c r="E169" s="41">
        <v>5694.34</v>
      </c>
      <c r="F169" s="39">
        <v>21</v>
      </c>
      <c r="G169" s="39" t="s">
        <v>70</v>
      </c>
      <c r="H169" s="41">
        <v>3085.1</v>
      </c>
      <c r="I169" s="41">
        <v>3200.75</v>
      </c>
      <c r="J169" s="39" t="s">
        <v>143</v>
      </c>
      <c r="K169" s="42">
        <v>0.21</v>
      </c>
      <c r="L169" s="39" t="s">
        <v>68</v>
      </c>
      <c r="M169" s="39" t="s">
        <v>140</v>
      </c>
      <c r="N169" s="39" t="s">
        <v>148</v>
      </c>
      <c r="O169" s="43">
        <f t="shared" si="42"/>
        <v>67215.75</v>
      </c>
      <c r="P169" s="43">
        <f t="shared" si="43"/>
        <v>53100.44</v>
      </c>
      <c r="Q169" s="43">
        <f t="shared" si="44"/>
        <v>64787.1</v>
      </c>
      <c r="R169" s="43">
        <f t="shared" si="45"/>
        <v>-11686.659999999996</v>
      </c>
      <c r="S169" s="44">
        <f t="shared" si="46"/>
        <v>-0.22008593525778686</v>
      </c>
      <c r="T169" s="39" t="str">
        <f t="shared" si="47"/>
        <v>Loss</v>
      </c>
      <c r="U169" s="39" t="str">
        <f t="shared" si="48"/>
        <v>20%+</v>
      </c>
      <c r="V169" s="39" t="str">
        <f>IF(E169&gt;=Analysis!$B$4,"High",IF(E169&gt;=Analysis!$B$5,"Mid","Low"))</f>
        <v>Mid</v>
      </c>
      <c r="W169" s="39" t="str">
        <f t="shared" si="49"/>
        <v>2023-12</v>
      </c>
      <c r="X169" s="40">
        <f t="shared" si="50"/>
        <v>45291</v>
      </c>
      <c r="Y169" s="39" t="str">
        <f t="shared" si="51"/>
        <v>2023-Q4</v>
      </c>
      <c r="Z169" s="39" t="str">
        <f t="shared" si="52"/>
        <v>Tue</v>
      </c>
      <c r="AA169" s="39">
        <f t="shared" si="53"/>
        <v>2</v>
      </c>
      <c r="AB169" s="39">
        <f t="shared" si="54"/>
        <v>52</v>
      </c>
      <c r="AC169" s="39" t="str">
        <f t="shared" si="55"/>
        <v>Weekday</v>
      </c>
      <c r="AD169" s="39">
        <f t="shared" ca="1" si="56"/>
        <v>1040</v>
      </c>
      <c r="AE169" s="39">
        <f t="shared" ca="1" si="57"/>
        <v>34</v>
      </c>
      <c r="AF169" s="39" t="str">
        <f t="shared" si="58"/>
        <v>EVE</v>
      </c>
      <c r="AG169" s="39" t="str">
        <f t="shared" si="59"/>
        <v>NR-231219-0168</v>
      </c>
      <c r="AH169" s="39" t="str">
        <f>IF(AND(OR(Filter!$B$4="All",D169=Filter!$B$4),OR(Filter!$B$5="All",M169=Filter!$B$5),E169&gt;=Filter!$B$6),MAX(AH$1:AH168)+1,"")</f>
        <v/>
      </c>
      <c r="AI169" s="39">
        <f t="shared" si="60"/>
        <v>21</v>
      </c>
      <c r="AJ169" s="42">
        <f t="shared" si="61"/>
        <v>0.21</v>
      </c>
      <c r="AK169" s="41">
        <f t="shared" si="62"/>
        <v>3200.75</v>
      </c>
      <c r="AL169" s="39">
        <f>RANK(E169,$E$2:$E$1001,0)+COUNTIF($E$2:E169,E169)-1</f>
        <v>439</v>
      </c>
    </row>
    <row r="170" spans="1:38" x14ac:dyDescent="0.2">
      <c r="A170" s="39">
        <v>1036</v>
      </c>
      <c r="B170" s="40">
        <v>45044</v>
      </c>
      <c r="C170" s="39" t="s">
        <v>71</v>
      </c>
      <c r="D170" s="39" t="s">
        <v>74</v>
      </c>
      <c r="E170" s="41">
        <v>7739.11</v>
      </c>
      <c r="F170" s="39">
        <v>25</v>
      </c>
      <c r="G170" s="39" t="s">
        <v>75</v>
      </c>
      <c r="H170" s="41">
        <v>4037.73</v>
      </c>
      <c r="I170" s="41">
        <v>4446.45</v>
      </c>
      <c r="J170" s="39" t="s">
        <v>137</v>
      </c>
      <c r="K170" s="42">
        <v>0.09</v>
      </c>
      <c r="L170" s="39" t="s">
        <v>63</v>
      </c>
      <c r="M170" s="39" t="s">
        <v>138</v>
      </c>
      <c r="N170" s="39" t="s">
        <v>146</v>
      </c>
      <c r="O170" s="43">
        <f t="shared" si="42"/>
        <v>111161.25</v>
      </c>
      <c r="P170" s="43">
        <f t="shared" si="43"/>
        <v>101156.74</v>
      </c>
      <c r="Q170" s="43">
        <f t="shared" si="44"/>
        <v>100943.25</v>
      </c>
      <c r="R170" s="43">
        <f t="shared" si="45"/>
        <v>213.49000000000524</v>
      </c>
      <c r="S170" s="44">
        <f t="shared" si="46"/>
        <v>2.11048715093038E-3</v>
      </c>
      <c r="T170" s="39" t="str">
        <f t="shared" si="47"/>
        <v>OK</v>
      </c>
      <c r="U170" s="39" t="str">
        <f t="shared" si="48"/>
        <v>0-9%</v>
      </c>
      <c r="V170" s="39" t="str">
        <f>IF(E170&gt;=Analysis!$B$4,"High",IF(E170&gt;=Analysis!$B$5,"Mid","Low"))</f>
        <v>High</v>
      </c>
      <c r="W170" s="39" t="str">
        <f t="shared" si="49"/>
        <v>2023-04</v>
      </c>
      <c r="X170" s="40">
        <f t="shared" si="50"/>
        <v>45046</v>
      </c>
      <c r="Y170" s="39" t="str">
        <f t="shared" si="51"/>
        <v>2023-Q2</v>
      </c>
      <c r="Z170" s="39" t="str">
        <f t="shared" si="52"/>
        <v>Fri</v>
      </c>
      <c r="AA170" s="39">
        <f t="shared" si="53"/>
        <v>5</v>
      </c>
      <c r="AB170" s="39">
        <f t="shared" si="54"/>
        <v>18</v>
      </c>
      <c r="AC170" s="39" t="str">
        <f t="shared" si="55"/>
        <v>Weekday</v>
      </c>
      <c r="AD170" s="39">
        <f t="shared" ca="1" si="56"/>
        <v>1275</v>
      </c>
      <c r="AE170" s="39">
        <f t="shared" ca="1" si="57"/>
        <v>41</v>
      </c>
      <c r="AF170" s="39" t="str">
        <f t="shared" si="58"/>
        <v>CHA</v>
      </c>
      <c r="AG170" s="39" t="str">
        <f t="shared" si="59"/>
        <v>WO-230428-0169</v>
      </c>
      <c r="AH170" s="39" t="str">
        <f>IF(AND(OR(Filter!$B$4="All",D170=Filter!$B$4),OR(Filter!$B$5="All",M170=Filter!$B$5),E170&gt;=Filter!$B$6),MAX(AH$1:AH169)+1,"")</f>
        <v/>
      </c>
      <c r="AI170" s="39">
        <f t="shared" si="60"/>
        <v>25</v>
      </c>
      <c r="AJ170" s="42">
        <f t="shared" si="61"/>
        <v>0.09</v>
      </c>
      <c r="AK170" s="41">
        <f t="shared" si="62"/>
        <v>4446.45</v>
      </c>
      <c r="AL170" s="39">
        <f>RANK(E170,$E$2:$E$1001,0)+COUNTIF($E$2:E170,E170)-1</f>
        <v>224</v>
      </c>
    </row>
    <row r="171" spans="1:38" x14ac:dyDescent="0.2">
      <c r="A171" s="39">
        <v>1013</v>
      </c>
      <c r="B171" s="40">
        <v>45220</v>
      </c>
      <c r="C171" s="39" t="s">
        <v>76</v>
      </c>
      <c r="D171" s="39" t="s">
        <v>59</v>
      </c>
      <c r="E171" s="41">
        <v>5039.07</v>
      </c>
      <c r="F171" s="39">
        <v>20</v>
      </c>
      <c r="G171" s="39" t="s">
        <v>65</v>
      </c>
      <c r="H171" s="41">
        <v>1533.36</v>
      </c>
      <c r="I171" s="41">
        <v>1649.74</v>
      </c>
      <c r="J171" s="39" t="s">
        <v>137</v>
      </c>
      <c r="K171" s="42">
        <v>0.1</v>
      </c>
      <c r="L171" s="39" t="s">
        <v>63</v>
      </c>
      <c r="M171" s="39" t="s">
        <v>138</v>
      </c>
      <c r="N171" s="39" t="s">
        <v>157</v>
      </c>
      <c r="O171" s="43">
        <f t="shared" si="42"/>
        <v>32994.800000000003</v>
      </c>
      <c r="P171" s="43">
        <f t="shared" si="43"/>
        <v>29695.32</v>
      </c>
      <c r="Q171" s="43">
        <f t="shared" si="44"/>
        <v>30667.200000000001</v>
      </c>
      <c r="R171" s="43">
        <f t="shared" si="45"/>
        <v>-971.88000000000102</v>
      </c>
      <c r="S171" s="44">
        <f t="shared" si="46"/>
        <v>-3.2728389524005835E-2</v>
      </c>
      <c r="T171" s="39" t="str">
        <f t="shared" si="47"/>
        <v>Loss</v>
      </c>
      <c r="U171" s="39" t="str">
        <f t="shared" si="48"/>
        <v>10-19%</v>
      </c>
      <c r="V171" s="39" t="str">
        <f>IF(E171&gt;=Analysis!$B$4,"High",IF(E171&gt;=Analysis!$B$5,"Mid","Low"))</f>
        <v>Mid</v>
      </c>
      <c r="W171" s="39" t="str">
        <f t="shared" si="49"/>
        <v>2023-10</v>
      </c>
      <c r="X171" s="40">
        <f t="shared" si="50"/>
        <v>45230</v>
      </c>
      <c r="Y171" s="39" t="str">
        <f t="shared" si="51"/>
        <v>2023-Q4</v>
      </c>
      <c r="Z171" s="39" t="str">
        <f t="shared" si="52"/>
        <v>Sat</v>
      </c>
      <c r="AA171" s="39">
        <f t="shared" si="53"/>
        <v>6</v>
      </c>
      <c r="AB171" s="39">
        <f t="shared" si="54"/>
        <v>43</v>
      </c>
      <c r="AC171" s="39" t="str">
        <f t="shared" si="55"/>
        <v>Weekend</v>
      </c>
      <c r="AD171" s="39">
        <f t="shared" ca="1" si="56"/>
        <v>1099</v>
      </c>
      <c r="AE171" s="39">
        <f t="shared" ca="1" si="57"/>
        <v>36</v>
      </c>
      <c r="AF171" s="39" t="str">
        <f t="shared" si="58"/>
        <v>DAV</v>
      </c>
      <c r="AG171" s="39" t="str">
        <f t="shared" si="59"/>
        <v>EO-231021-0170</v>
      </c>
      <c r="AH171" s="39" t="str">
        <f>IF(AND(OR(Filter!$B$4="All",D171=Filter!$B$4),OR(Filter!$B$5="All",M171=Filter!$B$5),E171&gt;=Filter!$B$6),MAX(AH$1:AH170)+1,"")</f>
        <v/>
      </c>
      <c r="AI171" s="39">
        <f t="shared" si="60"/>
        <v>20</v>
      </c>
      <c r="AJ171" s="42">
        <f t="shared" si="61"/>
        <v>0.1</v>
      </c>
      <c r="AK171" s="41">
        <f t="shared" si="62"/>
        <v>1649.74</v>
      </c>
      <c r="AL171" s="39">
        <f>RANK(E171,$E$2:$E$1001,0)+COUNTIF($E$2:E171,E171)-1</f>
        <v>499</v>
      </c>
    </row>
    <row r="172" spans="1:38" x14ac:dyDescent="0.2">
      <c r="A172" s="39">
        <v>1032</v>
      </c>
      <c r="B172" s="40">
        <v>45085</v>
      </c>
      <c r="C172" s="39" t="s">
        <v>79</v>
      </c>
      <c r="D172" s="39" t="s">
        <v>74</v>
      </c>
      <c r="E172" s="41">
        <v>219.82</v>
      </c>
      <c r="F172" s="39">
        <v>49</v>
      </c>
      <c r="G172" s="39" t="s">
        <v>65</v>
      </c>
      <c r="H172" s="41">
        <v>4812.41</v>
      </c>
      <c r="I172" s="41">
        <v>5088</v>
      </c>
      <c r="J172" s="39" t="s">
        <v>137</v>
      </c>
      <c r="K172" s="42">
        <v>0.09</v>
      </c>
      <c r="L172" s="39" t="s">
        <v>73</v>
      </c>
      <c r="M172" s="39" t="s">
        <v>138</v>
      </c>
      <c r="N172" s="39" t="s">
        <v>149</v>
      </c>
      <c r="O172" s="43">
        <f t="shared" si="42"/>
        <v>249312</v>
      </c>
      <c r="P172" s="43">
        <f t="shared" si="43"/>
        <v>226873.92</v>
      </c>
      <c r="Q172" s="43">
        <f t="shared" si="44"/>
        <v>235808.09</v>
      </c>
      <c r="R172" s="43">
        <f t="shared" si="45"/>
        <v>-8934.1699999999837</v>
      </c>
      <c r="S172" s="44">
        <f t="shared" si="46"/>
        <v>-3.9379449167184943E-2</v>
      </c>
      <c r="T172" s="39" t="str">
        <f t="shared" si="47"/>
        <v>Loss</v>
      </c>
      <c r="U172" s="39" t="str">
        <f t="shared" si="48"/>
        <v>0-9%</v>
      </c>
      <c r="V172" s="39" t="str">
        <f>IF(E172&gt;=Analysis!$B$4,"High",IF(E172&gt;=Analysis!$B$5,"Mid","Low"))</f>
        <v>Low</v>
      </c>
      <c r="W172" s="39" t="str">
        <f t="shared" si="49"/>
        <v>2023-06</v>
      </c>
      <c r="X172" s="40">
        <f t="shared" si="50"/>
        <v>45107</v>
      </c>
      <c r="Y172" s="39" t="str">
        <f t="shared" si="51"/>
        <v>2023-Q2</v>
      </c>
      <c r="Z172" s="39" t="str">
        <f t="shared" si="52"/>
        <v>Thu</v>
      </c>
      <c r="AA172" s="39">
        <f t="shared" si="53"/>
        <v>4</v>
      </c>
      <c r="AB172" s="39">
        <f t="shared" si="54"/>
        <v>24</v>
      </c>
      <c r="AC172" s="39" t="str">
        <f t="shared" si="55"/>
        <v>Weekday</v>
      </c>
      <c r="AD172" s="39">
        <f t="shared" ca="1" si="56"/>
        <v>1234</v>
      </c>
      <c r="AE172" s="39">
        <f t="shared" ca="1" si="57"/>
        <v>40</v>
      </c>
      <c r="AF172" s="39" t="str">
        <f t="shared" si="58"/>
        <v>EVE</v>
      </c>
      <c r="AG172" s="39" t="str">
        <f t="shared" si="59"/>
        <v>WO-230608-0171</v>
      </c>
      <c r="AH172" s="39" t="str">
        <f>IF(AND(OR(Filter!$B$4="All",D172=Filter!$B$4),OR(Filter!$B$5="All",M172=Filter!$B$5),E172&gt;=Filter!$B$6),MAX(AH$1:AH171)+1,"")</f>
        <v/>
      </c>
      <c r="AI172" s="39">
        <f t="shared" si="60"/>
        <v>49</v>
      </c>
      <c r="AJ172" s="42">
        <f t="shared" si="61"/>
        <v>0.09</v>
      </c>
      <c r="AK172" s="41">
        <f t="shared" si="62"/>
        <v>5088</v>
      </c>
      <c r="AL172" s="39">
        <f>RANK(E172,$E$2:$E$1001,0)+COUNTIF($E$2:E172,E172)-1</f>
        <v>986</v>
      </c>
    </row>
    <row r="173" spans="1:38" x14ac:dyDescent="0.2">
      <c r="A173" s="39">
        <v>1071</v>
      </c>
      <c r="B173" s="40">
        <v>45229</v>
      </c>
      <c r="C173" s="39" t="s">
        <v>61</v>
      </c>
      <c r="D173" s="39" t="s">
        <v>74</v>
      </c>
      <c r="E173" s="41">
        <v>189.48</v>
      </c>
      <c r="F173" s="39">
        <v>22</v>
      </c>
      <c r="G173" s="39" t="s">
        <v>65</v>
      </c>
      <c r="H173" s="41">
        <v>2701.39</v>
      </c>
      <c r="I173" s="41">
        <v>3185.81</v>
      </c>
      <c r="J173" s="39" t="s">
        <v>143</v>
      </c>
      <c r="K173" s="42">
        <v>0.01</v>
      </c>
      <c r="L173" s="39" t="s">
        <v>63</v>
      </c>
      <c r="M173" s="39" t="s">
        <v>138</v>
      </c>
      <c r="N173" s="39" t="s">
        <v>158</v>
      </c>
      <c r="O173" s="43">
        <f t="shared" si="42"/>
        <v>70087.820000000007</v>
      </c>
      <c r="P173" s="43">
        <f t="shared" si="43"/>
        <v>69386.94</v>
      </c>
      <c r="Q173" s="43">
        <f t="shared" si="44"/>
        <v>59430.58</v>
      </c>
      <c r="R173" s="43">
        <f t="shared" si="45"/>
        <v>9956.36</v>
      </c>
      <c r="S173" s="44">
        <f t="shared" si="46"/>
        <v>0.14349040323726628</v>
      </c>
      <c r="T173" s="39" t="str">
        <f t="shared" si="47"/>
        <v>OK</v>
      </c>
      <c r="U173" s="39" t="str">
        <f t="shared" si="48"/>
        <v>0-9%</v>
      </c>
      <c r="V173" s="39" t="str">
        <f>IF(E173&gt;=Analysis!$B$4,"High",IF(E173&gt;=Analysis!$B$5,"Mid","Low"))</f>
        <v>Low</v>
      </c>
      <c r="W173" s="39" t="str">
        <f t="shared" si="49"/>
        <v>2023-10</v>
      </c>
      <c r="X173" s="40">
        <f t="shared" si="50"/>
        <v>45230</v>
      </c>
      <c r="Y173" s="39" t="str">
        <f t="shared" si="51"/>
        <v>2023-Q4</v>
      </c>
      <c r="Z173" s="39" t="str">
        <f t="shared" si="52"/>
        <v>Mon</v>
      </c>
      <c r="AA173" s="39">
        <f t="shared" si="53"/>
        <v>1</v>
      </c>
      <c r="AB173" s="39">
        <f t="shared" si="54"/>
        <v>45</v>
      </c>
      <c r="AC173" s="39" t="str">
        <f t="shared" si="55"/>
        <v>Weekday</v>
      </c>
      <c r="AD173" s="39">
        <f t="shared" ca="1" si="56"/>
        <v>1090</v>
      </c>
      <c r="AE173" s="39">
        <f t="shared" ca="1" si="57"/>
        <v>35</v>
      </c>
      <c r="AF173" s="39" t="str">
        <f t="shared" si="58"/>
        <v>ALI</v>
      </c>
      <c r="AG173" s="39" t="str">
        <f t="shared" si="59"/>
        <v>WO-231030-0172</v>
      </c>
      <c r="AH173" s="39" t="str">
        <f>IF(AND(OR(Filter!$B$4="All",D173=Filter!$B$4),OR(Filter!$B$5="All",M173=Filter!$B$5),E173&gt;=Filter!$B$6),MAX(AH$1:AH172)+1,"")</f>
        <v/>
      </c>
      <c r="AI173" s="39">
        <f t="shared" si="60"/>
        <v>22</v>
      </c>
      <c r="AJ173" s="42">
        <f t="shared" si="61"/>
        <v>0.01</v>
      </c>
      <c r="AK173" s="41">
        <f t="shared" si="62"/>
        <v>3185.81</v>
      </c>
      <c r="AL173" s="39">
        <f>RANK(E173,$E$2:$E$1001,0)+COUNTIF($E$2:E173,E173)-1</f>
        <v>991</v>
      </c>
    </row>
    <row r="174" spans="1:38" x14ac:dyDescent="0.2">
      <c r="A174" s="39">
        <v>1059</v>
      </c>
      <c r="B174" s="40">
        <v>45154</v>
      </c>
      <c r="C174" s="39" t="s">
        <v>61</v>
      </c>
      <c r="D174" s="39" t="s">
        <v>74</v>
      </c>
      <c r="E174" s="41">
        <v>3634.59</v>
      </c>
      <c r="F174" s="39">
        <v>21</v>
      </c>
      <c r="G174" s="39" t="s">
        <v>60</v>
      </c>
      <c r="H174" s="41">
        <v>3110.54</v>
      </c>
      <c r="I174" s="41">
        <v>3192.99</v>
      </c>
      <c r="J174" s="39" t="s">
        <v>143</v>
      </c>
      <c r="K174" s="42">
        <v>0.17</v>
      </c>
      <c r="L174" s="39" t="s">
        <v>73</v>
      </c>
      <c r="M174" s="39" t="s">
        <v>138</v>
      </c>
      <c r="N174" s="39" t="s">
        <v>158</v>
      </c>
      <c r="O174" s="43">
        <f t="shared" si="42"/>
        <v>67052.789999999994</v>
      </c>
      <c r="P174" s="43">
        <f t="shared" si="43"/>
        <v>55653.82</v>
      </c>
      <c r="Q174" s="43">
        <f t="shared" si="44"/>
        <v>65321.34</v>
      </c>
      <c r="R174" s="43">
        <f t="shared" si="45"/>
        <v>-9667.5199999999968</v>
      </c>
      <c r="S174" s="44">
        <f t="shared" si="46"/>
        <v>-0.17370811203974851</v>
      </c>
      <c r="T174" s="39" t="str">
        <f t="shared" si="47"/>
        <v>Loss</v>
      </c>
      <c r="U174" s="39" t="str">
        <f t="shared" si="48"/>
        <v>10-19%</v>
      </c>
      <c r="V174" s="39" t="str">
        <f>IF(E174&gt;=Analysis!$B$4,"High",IF(E174&gt;=Analysis!$B$5,"Mid","Low"))</f>
        <v>Mid</v>
      </c>
      <c r="W174" s="39" t="str">
        <f t="shared" si="49"/>
        <v>2023-08</v>
      </c>
      <c r="X174" s="40">
        <f t="shared" si="50"/>
        <v>45169</v>
      </c>
      <c r="Y174" s="39" t="str">
        <f t="shared" si="51"/>
        <v>2023-Q3</v>
      </c>
      <c r="Z174" s="39" t="str">
        <f t="shared" si="52"/>
        <v>Wed</v>
      </c>
      <c r="AA174" s="39">
        <f t="shared" si="53"/>
        <v>3</v>
      </c>
      <c r="AB174" s="39">
        <f t="shared" si="54"/>
        <v>34</v>
      </c>
      <c r="AC174" s="39" t="str">
        <f t="shared" si="55"/>
        <v>Weekday</v>
      </c>
      <c r="AD174" s="39">
        <f t="shared" ca="1" si="56"/>
        <v>1165</v>
      </c>
      <c r="AE174" s="39">
        <f t="shared" ca="1" si="57"/>
        <v>38</v>
      </c>
      <c r="AF174" s="39" t="str">
        <f t="shared" si="58"/>
        <v>ALI</v>
      </c>
      <c r="AG174" s="39" t="str">
        <f t="shared" si="59"/>
        <v>WO-230816-0173</v>
      </c>
      <c r="AH174" s="39" t="str">
        <f>IF(AND(OR(Filter!$B$4="All",D174=Filter!$B$4),OR(Filter!$B$5="All",M174=Filter!$B$5),E174&gt;=Filter!$B$6),MAX(AH$1:AH173)+1,"")</f>
        <v/>
      </c>
      <c r="AI174" s="39">
        <f t="shared" si="60"/>
        <v>21</v>
      </c>
      <c r="AJ174" s="42">
        <f t="shared" si="61"/>
        <v>0.17</v>
      </c>
      <c r="AK174" s="41">
        <f t="shared" si="62"/>
        <v>3192.99</v>
      </c>
      <c r="AL174" s="39">
        <f>RANK(E174,$E$2:$E$1001,0)+COUNTIF($E$2:E174,E174)-1</f>
        <v>635</v>
      </c>
    </row>
    <row r="175" spans="1:38" x14ac:dyDescent="0.2">
      <c r="A175" s="39">
        <v>1086</v>
      </c>
      <c r="B175" s="40">
        <v>45291</v>
      </c>
      <c r="C175" s="39" t="s">
        <v>61</v>
      </c>
      <c r="D175" s="39" t="s">
        <v>69</v>
      </c>
      <c r="E175" s="41">
        <v>9269.32</v>
      </c>
      <c r="F175" s="39">
        <v>33</v>
      </c>
      <c r="G175" s="39" t="s">
        <v>60</v>
      </c>
      <c r="H175" s="41">
        <v>3419.33</v>
      </c>
      <c r="I175" s="41">
        <v>3890.36</v>
      </c>
      <c r="J175" s="39" t="s">
        <v>137</v>
      </c>
      <c r="K175" s="42">
        <v>0.21</v>
      </c>
      <c r="L175" s="39" t="s">
        <v>68</v>
      </c>
      <c r="M175" s="39" t="s">
        <v>140</v>
      </c>
      <c r="N175" s="39" t="s">
        <v>150</v>
      </c>
      <c r="O175" s="43">
        <f t="shared" si="42"/>
        <v>128381.88</v>
      </c>
      <c r="P175" s="43">
        <f t="shared" si="43"/>
        <v>101421.69</v>
      </c>
      <c r="Q175" s="43">
        <f t="shared" si="44"/>
        <v>112837.89</v>
      </c>
      <c r="R175" s="43">
        <f t="shared" si="45"/>
        <v>-11416.199999999997</v>
      </c>
      <c r="S175" s="44">
        <f t="shared" si="46"/>
        <v>-0.11256172126494833</v>
      </c>
      <c r="T175" s="39" t="str">
        <f t="shared" si="47"/>
        <v>Loss</v>
      </c>
      <c r="U175" s="39" t="str">
        <f t="shared" si="48"/>
        <v>20%+</v>
      </c>
      <c r="V175" s="39" t="str">
        <f>IF(E175&gt;=Analysis!$B$4,"High",IF(E175&gt;=Analysis!$B$5,"Mid","Low"))</f>
        <v>High</v>
      </c>
      <c r="W175" s="39" t="str">
        <f t="shared" si="49"/>
        <v>2023-12</v>
      </c>
      <c r="X175" s="40">
        <f t="shared" si="50"/>
        <v>45291</v>
      </c>
      <c r="Y175" s="39" t="str">
        <f t="shared" si="51"/>
        <v>2023-Q4</v>
      </c>
      <c r="Z175" s="39" t="str">
        <f t="shared" si="52"/>
        <v>Sun</v>
      </c>
      <c r="AA175" s="39">
        <f t="shared" si="53"/>
        <v>7</v>
      </c>
      <c r="AB175" s="39">
        <f t="shared" si="54"/>
        <v>53</v>
      </c>
      <c r="AC175" s="39" t="str">
        <f t="shared" si="55"/>
        <v>Weekend</v>
      </c>
      <c r="AD175" s="39">
        <f t="shared" ca="1" si="56"/>
        <v>1028</v>
      </c>
      <c r="AE175" s="39">
        <f t="shared" ca="1" si="57"/>
        <v>33</v>
      </c>
      <c r="AF175" s="39" t="str">
        <f t="shared" si="58"/>
        <v>ALI</v>
      </c>
      <c r="AG175" s="39" t="str">
        <f t="shared" si="59"/>
        <v>SR-231231-0174</v>
      </c>
      <c r="AH175" s="39">
        <f>IF(AND(OR(Filter!$B$4="All",D175=Filter!$B$4),OR(Filter!$B$5="All",M175=Filter!$B$5),E175&gt;=Filter!$B$6),MAX(AH$1:AH174)+1,"")</f>
        <v>20</v>
      </c>
      <c r="AI175" s="39">
        <f t="shared" si="60"/>
        <v>33</v>
      </c>
      <c r="AJ175" s="42">
        <f t="shared" si="61"/>
        <v>0.21</v>
      </c>
      <c r="AK175" s="41">
        <f t="shared" si="62"/>
        <v>3890.36</v>
      </c>
      <c r="AL175" s="39">
        <f>RANK(E175,$E$2:$E$1001,0)+COUNTIF($E$2:E175,E175)-1</f>
        <v>72</v>
      </c>
    </row>
    <row r="176" spans="1:38" x14ac:dyDescent="0.2">
      <c r="A176" s="39">
        <v>1028</v>
      </c>
      <c r="B176" s="40">
        <v>45142</v>
      </c>
      <c r="C176" s="39" t="s">
        <v>61</v>
      </c>
      <c r="D176" s="39" t="s">
        <v>64</v>
      </c>
      <c r="E176" s="41">
        <v>2363.9</v>
      </c>
      <c r="F176" s="39">
        <v>38</v>
      </c>
      <c r="G176" s="39" t="s">
        <v>60</v>
      </c>
      <c r="H176" s="41">
        <v>3350.32</v>
      </c>
      <c r="I176" s="41">
        <v>3449.94</v>
      </c>
      <c r="J176" s="39" t="s">
        <v>143</v>
      </c>
      <c r="K176" s="42">
        <v>0.26</v>
      </c>
      <c r="L176" s="39" t="s">
        <v>68</v>
      </c>
      <c r="M176" s="39" t="s">
        <v>138</v>
      </c>
      <c r="N176" s="39" t="s">
        <v>156</v>
      </c>
      <c r="O176" s="43">
        <f t="shared" si="42"/>
        <v>131097.72</v>
      </c>
      <c r="P176" s="43">
        <f t="shared" si="43"/>
        <v>97012.31</v>
      </c>
      <c r="Q176" s="43">
        <f t="shared" si="44"/>
        <v>127312.16</v>
      </c>
      <c r="R176" s="43">
        <f t="shared" si="45"/>
        <v>-30299.850000000006</v>
      </c>
      <c r="S176" s="44">
        <f t="shared" si="46"/>
        <v>-0.31232995070419423</v>
      </c>
      <c r="T176" s="39" t="str">
        <f t="shared" si="47"/>
        <v>Loss</v>
      </c>
      <c r="U176" s="39" t="str">
        <f t="shared" si="48"/>
        <v>20%+</v>
      </c>
      <c r="V176" s="39" t="str">
        <f>IF(E176&gt;=Analysis!$B$4,"High",IF(E176&gt;=Analysis!$B$5,"Mid","Low"))</f>
        <v>Low</v>
      </c>
      <c r="W176" s="39" t="str">
        <f t="shared" si="49"/>
        <v>2023-08</v>
      </c>
      <c r="X176" s="40">
        <f t="shared" si="50"/>
        <v>45169</v>
      </c>
      <c r="Y176" s="39" t="str">
        <f t="shared" si="51"/>
        <v>2023-Q3</v>
      </c>
      <c r="Z176" s="39" t="str">
        <f t="shared" si="52"/>
        <v>Fri</v>
      </c>
      <c r="AA176" s="39">
        <f t="shared" si="53"/>
        <v>5</v>
      </c>
      <c r="AB176" s="39">
        <f t="shared" si="54"/>
        <v>32</v>
      </c>
      <c r="AC176" s="39" t="str">
        <f t="shared" si="55"/>
        <v>Weekday</v>
      </c>
      <c r="AD176" s="39">
        <f t="shared" ca="1" si="56"/>
        <v>1177</v>
      </c>
      <c r="AE176" s="39">
        <f t="shared" ca="1" si="57"/>
        <v>38</v>
      </c>
      <c r="AF176" s="39" t="str">
        <f t="shared" si="58"/>
        <v>ALI</v>
      </c>
      <c r="AG176" s="39" t="str">
        <f t="shared" si="59"/>
        <v>NO-230804-0175</v>
      </c>
      <c r="AH176" s="39" t="str">
        <f>IF(AND(OR(Filter!$B$4="All",D176=Filter!$B$4),OR(Filter!$B$5="All",M176=Filter!$B$5),E176&gt;=Filter!$B$6),MAX(AH$1:AH175)+1,"")</f>
        <v/>
      </c>
      <c r="AI176" s="39">
        <f t="shared" si="60"/>
        <v>38</v>
      </c>
      <c r="AJ176" s="42">
        <f t="shared" si="61"/>
        <v>0.26</v>
      </c>
      <c r="AK176" s="41">
        <f t="shared" si="62"/>
        <v>3449.94</v>
      </c>
      <c r="AL176" s="39">
        <f>RANK(E176,$E$2:$E$1001,0)+COUNTIF($E$2:E176,E176)-1</f>
        <v>772</v>
      </c>
    </row>
    <row r="177" spans="1:38" x14ac:dyDescent="0.2">
      <c r="A177" s="39">
        <v>1066</v>
      </c>
      <c r="B177" s="40">
        <v>45110</v>
      </c>
      <c r="C177" s="39" t="s">
        <v>71</v>
      </c>
      <c r="D177" s="39" t="s">
        <v>64</v>
      </c>
      <c r="E177" s="41">
        <v>6380.2</v>
      </c>
      <c r="F177" s="39">
        <v>15</v>
      </c>
      <c r="G177" s="39" t="s">
        <v>75</v>
      </c>
      <c r="H177" s="41">
        <v>2579.31</v>
      </c>
      <c r="I177" s="41">
        <v>2867.36</v>
      </c>
      <c r="J177" s="39" t="s">
        <v>137</v>
      </c>
      <c r="K177" s="42">
        <v>0.04</v>
      </c>
      <c r="L177" s="39" t="s">
        <v>63</v>
      </c>
      <c r="M177" s="39" t="s">
        <v>140</v>
      </c>
      <c r="N177" s="39" t="s">
        <v>160</v>
      </c>
      <c r="O177" s="43">
        <f t="shared" si="42"/>
        <v>43010.400000000001</v>
      </c>
      <c r="P177" s="43">
        <f t="shared" si="43"/>
        <v>41289.980000000003</v>
      </c>
      <c r="Q177" s="43">
        <f t="shared" si="44"/>
        <v>38689.65</v>
      </c>
      <c r="R177" s="43">
        <f t="shared" si="45"/>
        <v>2600.3300000000017</v>
      </c>
      <c r="S177" s="44">
        <f t="shared" si="46"/>
        <v>6.2977264701993108E-2</v>
      </c>
      <c r="T177" s="39" t="str">
        <f t="shared" si="47"/>
        <v>OK</v>
      </c>
      <c r="U177" s="39" t="str">
        <f t="shared" si="48"/>
        <v>0-9%</v>
      </c>
      <c r="V177" s="39" t="str">
        <f>IF(E177&gt;=Analysis!$B$4,"High",IF(E177&gt;=Analysis!$B$5,"Mid","Low"))</f>
        <v>Mid</v>
      </c>
      <c r="W177" s="39" t="str">
        <f t="shared" si="49"/>
        <v>2023-07</v>
      </c>
      <c r="X177" s="40">
        <f t="shared" si="50"/>
        <v>45138</v>
      </c>
      <c r="Y177" s="39" t="str">
        <f t="shared" si="51"/>
        <v>2023-Q3</v>
      </c>
      <c r="Z177" s="39" t="str">
        <f t="shared" si="52"/>
        <v>Mon</v>
      </c>
      <c r="AA177" s="39">
        <f t="shared" si="53"/>
        <v>1</v>
      </c>
      <c r="AB177" s="39">
        <f t="shared" si="54"/>
        <v>28</v>
      </c>
      <c r="AC177" s="39" t="str">
        <f t="shared" si="55"/>
        <v>Weekday</v>
      </c>
      <c r="AD177" s="39">
        <f t="shared" ca="1" si="56"/>
        <v>1209</v>
      </c>
      <c r="AE177" s="39">
        <f t="shared" ca="1" si="57"/>
        <v>39</v>
      </c>
      <c r="AF177" s="39" t="str">
        <f t="shared" si="58"/>
        <v>CHA</v>
      </c>
      <c r="AG177" s="39" t="str">
        <f t="shared" si="59"/>
        <v>NR-230703-0176</v>
      </c>
      <c r="AH177" s="39" t="str">
        <f>IF(AND(OR(Filter!$B$4="All",D177=Filter!$B$4),OR(Filter!$B$5="All",M177=Filter!$B$5),E177&gt;=Filter!$B$6),MAX(AH$1:AH176)+1,"")</f>
        <v/>
      </c>
      <c r="AI177" s="39">
        <f t="shared" si="60"/>
        <v>15</v>
      </c>
      <c r="AJ177" s="42">
        <f t="shared" si="61"/>
        <v>0.04</v>
      </c>
      <c r="AK177" s="41">
        <f t="shared" si="62"/>
        <v>2867.36</v>
      </c>
      <c r="AL177" s="39">
        <f>RANK(E177,$E$2:$E$1001,0)+COUNTIF($E$2:E177,E177)-1</f>
        <v>370</v>
      </c>
    </row>
    <row r="178" spans="1:38" x14ac:dyDescent="0.2">
      <c r="A178" s="39">
        <v>1042</v>
      </c>
      <c r="B178" s="40">
        <v>44941</v>
      </c>
      <c r="C178" s="39" t="s">
        <v>76</v>
      </c>
      <c r="D178" s="39" t="s">
        <v>69</v>
      </c>
      <c r="E178" s="41">
        <v>2298.5500000000002</v>
      </c>
      <c r="F178" s="39">
        <v>46</v>
      </c>
      <c r="G178" s="39" t="s">
        <v>75</v>
      </c>
      <c r="H178" s="41">
        <v>2172.38</v>
      </c>
      <c r="I178" s="41">
        <v>2367.11</v>
      </c>
      <c r="J178" s="39" t="s">
        <v>143</v>
      </c>
      <c r="K178" s="42">
        <v>0.16</v>
      </c>
      <c r="L178" s="39" t="s">
        <v>68</v>
      </c>
      <c r="M178" s="39" t="s">
        <v>140</v>
      </c>
      <c r="N178" s="39" t="s">
        <v>142</v>
      </c>
      <c r="O178" s="43">
        <f t="shared" si="42"/>
        <v>108887.06</v>
      </c>
      <c r="P178" s="43">
        <f t="shared" si="43"/>
        <v>91465.13</v>
      </c>
      <c r="Q178" s="43">
        <f t="shared" si="44"/>
        <v>99929.48</v>
      </c>
      <c r="R178" s="43">
        <f t="shared" si="45"/>
        <v>-8464.3499999999913</v>
      </c>
      <c r="S178" s="44">
        <f t="shared" si="46"/>
        <v>-9.2541824408930384E-2</v>
      </c>
      <c r="T178" s="39" t="str">
        <f t="shared" si="47"/>
        <v>Loss</v>
      </c>
      <c r="U178" s="39" t="str">
        <f t="shared" si="48"/>
        <v>10-19%</v>
      </c>
      <c r="V178" s="39" t="str">
        <f>IF(E178&gt;=Analysis!$B$4,"High",IF(E178&gt;=Analysis!$B$5,"Mid","Low"))</f>
        <v>Low</v>
      </c>
      <c r="W178" s="39" t="str">
        <f t="shared" si="49"/>
        <v>2023-01</v>
      </c>
      <c r="X178" s="40">
        <f t="shared" si="50"/>
        <v>44957</v>
      </c>
      <c r="Y178" s="39" t="str">
        <f t="shared" si="51"/>
        <v>2023-Q1</v>
      </c>
      <c r="Z178" s="39" t="str">
        <f t="shared" si="52"/>
        <v>Sun</v>
      </c>
      <c r="AA178" s="39">
        <f t="shared" si="53"/>
        <v>7</v>
      </c>
      <c r="AB178" s="39">
        <f t="shared" si="54"/>
        <v>3</v>
      </c>
      <c r="AC178" s="39" t="str">
        <f t="shared" si="55"/>
        <v>Weekend</v>
      </c>
      <c r="AD178" s="39">
        <f t="shared" ca="1" si="56"/>
        <v>1378</v>
      </c>
      <c r="AE178" s="39">
        <f t="shared" ca="1" si="57"/>
        <v>45</v>
      </c>
      <c r="AF178" s="39" t="str">
        <f t="shared" si="58"/>
        <v>DAV</v>
      </c>
      <c r="AG178" s="39" t="str">
        <f t="shared" si="59"/>
        <v>SR-230115-0177</v>
      </c>
      <c r="AH178" s="39" t="str">
        <f>IF(AND(OR(Filter!$B$4="All",D178=Filter!$B$4),OR(Filter!$B$5="All",M178=Filter!$B$5),E178&gt;=Filter!$B$6),MAX(AH$1:AH177)+1,"")</f>
        <v/>
      </c>
      <c r="AI178" s="39">
        <f t="shared" si="60"/>
        <v>46</v>
      </c>
      <c r="AJ178" s="42">
        <f t="shared" si="61"/>
        <v>0.16</v>
      </c>
      <c r="AK178" s="41">
        <f t="shared" si="62"/>
        <v>2367.11</v>
      </c>
      <c r="AL178" s="39">
        <f>RANK(E178,$E$2:$E$1001,0)+COUNTIF($E$2:E178,E178)-1</f>
        <v>778</v>
      </c>
    </row>
    <row r="179" spans="1:38" x14ac:dyDescent="0.2">
      <c r="A179" s="39">
        <v>1045</v>
      </c>
      <c r="B179" s="40">
        <v>45083</v>
      </c>
      <c r="C179" s="39" t="s">
        <v>66</v>
      </c>
      <c r="D179" s="39" t="s">
        <v>69</v>
      </c>
      <c r="E179" s="41">
        <v>3284.53</v>
      </c>
      <c r="F179" s="39">
        <v>15</v>
      </c>
      <c r="G179" s="39" t="s">
        <v>65</v>
      </c>
      <c r="H179" s="41">
        <v>316.22000000000003</v>
      </c>
      <c r="I179" s="41">
        <v>799.04</v>
      </c>
      <c r="J179" s="39" t="s">
        <v>143</v>
      </c>
      <c r="K179" s="42">
        <v>0</v>
      </c>
      <c r="L179" s="39" t="s">
        <v>63</v>
      </c>
      <c r="M179" s="39" t="s">
        <v>138</v>
      </c>
      <c r="N179" s="39" t="s">
        <v>144</v>
      </c>
      <c r="O179" s="43">
        <f t="shared" si="42"/>
        <v>11985.6</v>
      </c>
      <c r="P179" s="43">
        <f t="shared" si="43"/>
        <v>11985.6</v>
      </c>
      <c r="Q179" s="43">
        <f t="shared" si="44"/>
        <v>4743.3</v>
      </c>
      <c r="R179" s="43">
        <f t="shared" si="45"/>
        <v>7242.3</v>
      </c>
      <c r="S179" s="44">
        <f t="shared" si="46"/>
        <v>0.60425010012014413</v>
      </c>
      <c r="T179" s="39" t="str">
        <f t="shared" si="47"/>
        <v>OK</v>
      </c>
      <c r="U179" s="39" t="str">
        <f t="shared" si="48"/>
        <v>0-9%</v>
      </c>
      <c r="V179" s="39" t="str">
        <f>IF(E179&gt;=Analysis!$B$4,"High",IF(E179&gt;=Analysis!$B$5,"Mid","Low"))</f>
        <v>Mid</v>
      </c>
      <c r="W179" s="39" t="str">
        <f t="shared" si="49"/>
        <v>2023-06</v>
      </c>
      <c r="X179" s="40">
        <f t="shared" si="50"/>
        <v>45107</v>
      </c>
      <c r="Y179" s="39" t="str">
        <f t="shared" si="51"/>
        <v>2023-Q2</v>
      </c>
      <c r="Z179" s="39" t="str">
        <f t="shared" si="52"/>
        <v>Tue</v>
      </c>
      <c r="AA179" s="39">
        <f t="shared" si="53"/>
        <v>2</v>
      </c>
      <c r="AB179" s="39">
        <f t="shared" si="54"/>
        <v>24</v>
      </c>
      <c r="AC179" s="39" t="str">
        <f t="shared" si="55"/>
        <v>Weekday</v>
      </c>
      <c r="AD179" s="39">
        <f t="shared" ca="1" si="56"/>
        <v>1236</v>
      </c>
      <c r="AE179" s="39">
        <f t="shared" ca="1" si="57"/>
        <v>40</v>
      </c>
      <c r="AF179" s="39" t="str">
        <f t="shared" si="58"/>
        <v>BOB</v>
      </c>
      <c r="AG179" s="39" t="str">
        <f t="shared" si="59"/>
        <v>SO-230606-0178</v>
      </c>
      <c r="AH179" s="39" t="str">
        <f>IF(AND(OR(Filter!$B$4="All",D179=Filter!$B$4),OR(Filter!$B$5="All",M179=Filter!$B$5),E179&gt;=Filter!$B$6),MAX(AH$1:AH178)+1,"")</f>
        <v/>
      </c>
      <c r="AI179" s="39">
        <f t="shared" si="60"/>
        <v>15</v>
      </c>
      <c r="AJ179" s="42">
        <f t="shared" si="61"/>
        <v>0</v>
      </c>
      <c r="AK179" s="41">
        <f t="shared" si="62"/>
        <v>799.04</v>
      </c>
      <c r="AL179" s="39">
        <f>RANK(E179,$E$2:$E$1001,0)+COUNTIF($E$2:E179,E179)-1</f>
        <v>669</v>
      </c>
    </row>
    <row r="180" spans="1:38" x14ac:dyDescent="0.2">
      <c r="A180" s="39">
        <v>1062</v>
      </c>
      <c r="B180" s="40">
        <v>45062</v>
      </c>
      <c r="C180" s="39" t="s">
        <v>71</v>
      </c>
      <c r="D180" s="39" t="s">
        <v>64</v>
      </c>
      <c r="E180" s="41">
        <v>8495.6200000000008</v>
      </c>
      <c r="F180" s="39">
        <v>46</v>
      </c>
      <c r="G180" s="39" t="s">
        <v>75</v>
      </c>
      <c r="H180" s="41">
        <v>159.32</v>
      </c>
      <c r="I180" s="41">
        <v>303.36</v>
      </c>
      <c r="J180" s="39" t="s">
        <v>143</v>
      </c>
      <c r="K180" s="42">
        <v>0.03</v>
      </c>
      <c r="L180" s="39" t="s">
        <v>68</v>
      </c>
      <c r="M180" s="39" t="s">
        <v>140</v>
      </c>
      <c r="N180" s="39" t="s">
        <v>160</v>
      </c>
      <c r="O180" s="43">
        <f t="shared" si="42"/>
        <v>13954.56</v>
      </c>
      <c r="P180" s="43">
        <f t="shared" si="43"/>
        <v>13535.92</v>
      </c>
      <c r="Q180" s="43">
        <f t="shared" si="44"/>
        <v>7328.72</v>
      </c>
      <c r="R180" s="43">
        <f t="shared" si="45"/>
        <v>6207.2</v>
      </c>
      <c r="S180" s="44">
        <f t="shared" si="46"/>
        <v>0.458572450191786</v>
      </c>
      <c r="T180" s="39" t="str">
        <f t="shared" si="47"/>
        <v>OK</v>
      </c>
      <c r="U180" s="39" t="str">
        <f t="shared" si="48"/>
        <v>0-9%</v>
      </c>
      <c r="V180" s="39" t="str">
        <f>IF(E180&gt;=Analysis!$B$4,"High",IF(E180&gt;=Analysis!$B$5,"Mid","Low"))</f>
        <v>High</v>
      </c>
      <c r="W180" s="39" t="str">
        <f t="shared" si="49"/>
        <v>2023-05</v>
      </c>
      <c r="X180" s="40">
        <f t="shared" si="50"/>
        <v>45077</v>
      </c>
      <c r="Y180" s="39" t="str">
        <f t="shared" si="51"/>
        <v>2023-Q2</v>
      </c>
      <c r="Z180" s="39" t="str">
        <f t="shared" si="52"/>
        <v>Tue</v>
      </c>
      <c r="AA180" s="39">
        <f t="shared" si="53"/>
        <v>2</v>
      </c>
      <c r="AB180" s="39">
        <f t="shared" si="54"/>
        <v>21</v>
      </c>
      <c r="AC180" s="39" t="str">
        <f t="shared" si="55"/>
        <v>Weekday</v>
      </c>
      <c r="AD180" s="39">
        <f t="shared" ca="1" si="56"/>
        <v>1257</v>
      </c>
      <c r="AE180" s="39">
        <f t="shared" ca="1" si="57"/>
        <v>41</v>
      </c>
      <c r="AF180" s="39" t="str">
        <f t="shared" si="58"/>
        <v>CHA</v>
      </c>
      <c r="AG180" s="39" t="str">
        <f t="shared" si="59"/>
        <v>NR-230516-0179</v>
      </c>
      <c r="AH180" s="39" t="str">
        <f>IF(AND(OR(Filter!$B$4="All",D180=Filter!$B$4),OR(Filter!$B$5="All",M180=Filter!$B$5),E180&gt;=Filter!$B$6),MAX(AH$1:AH179)+1,"")</f>
        <v/>
      </c>
      <c r="AI180" s="39">
        <f t="shared" si="60"/>
        <v>46</v>
      </c>
      <c r="AJ180" s="42">
        <f t="shared" si="61"/>
        <v>0.03</v>
      </c>
      <c r="AK180" s="41">
        <f t="shared" si="62"/>
        <v>303.36</v>
      </c>
      <c r="AL180" s="39">
        <f>RANK(E180,$E$2:$E$1001,0)+COUNTIF($E$2:E180,E180)-1</f>
        <v>141</v>
      </c>
    </row>
    <row r="181" spans="1:38" x14ac:dyDescent="0.2">
      <c r="A181" s="39">
        <v>1057</v>
      </c>
      <c r="B181" s="40">
        <v>45187</v>
      </c>
      <c r="C181" s="39" t="s">
        <v>71</v>
      </c>
      <c r="D181" s="39" t="s">
        <v>74</v>
      </c>
      <c r="E181" s="41">
        <v>7315.73</v>
      </c>
      <c r="F181" s="39">
        <v>25</v>
      </c>
      <c r="G181" s="39" t="s">
        <v>70</v>
      </c>
      <c r="H181" s="41">
        <v>1821.91</v>
      </c>
      <c r="I181" s="41">
        <v>2027.74</v>
      </c>
      <c r="J181" s="39" t="s">
        <v>143</v>
      </c>
      <c r="K181" s="42">
        <v>0.02</v>
      </c>
      <c r="L181" s="39" t="s">
        <v>63</v>
      </c>
      <c r="M181" s="39" t="s">
        <v>140</v>
      </c>
      <c r="N181" s="39" t="s">
        <v>146</v>
      </c>
      <c r="O181" s="43">
        <f t="shared" si="42"/>
        <v>50693.5</v>
      </c>
      <c r="P181" s="43">
        <f t="shared" si="43"/>
        <v>49679.63</v>
      </c>
      <c r="Q181" s="43">
        <f t="shared" si="44"/>
        <v>45547.75</v>
      </c>
      <c r="R181" s="43">
        <f t="shared" si="45"/>
        <v>4131.8799999999974</v>
      </c>
      <c r="S181" s="44">
        <f t="shared" si="46"/>
        <v>8.3170506704659392E-2</v>
      </c>
      <c r="T181" s="39" t="str">
        <f t="shared" si="47"/>
        <v>OK</v>
      </c>
      <c r="U181" s="39" t="str">
        <f t="shared" si="48"/>
        <v>0-9%</v>
      </c>
      <c r="V181" s="39" t="str">
        <f>IF(E181&gt;=Analysis!$B$4,"High",IF(E181&gt;=Analysis!$B$5,"Mid","Low"))</f>
        <v>Mid</v>
      </c>
      <c r="W181" s="39" t="str">
        <f t="shared" si="49"/>
        <v>2023-09</v>
      </c>
      <c r="X181" s="40">
        <f t="shared" si="50"/>
        <v>45199</v>
      </c>
      <c r="Y181" s="39" t="str">
        <f t="shared" si="51"/>
        <v>2023-Q3</v>
      </c>
      <c r="Z181" s="39" t="str">
        <f t="shared" si="52"/>
        <v>Mon</v>
      </c>
      <c r="AA181" s="39">
        <f t="shared" si="53"/>
        <v>1</v>
      </c>
      <c r="AB181" s="39">
        <f t="shared" si="54"/>
        <v>39</v>
      </c>
      <c r="AC181" s="39" t="str">
        <f t="shared" si="55"/>
        <v>Weekday</v>
      </c>
      <c r="AD181" s="39">
        <f t="shared" ca="1" si="56"/>
        <v>1132</v>
      </c>
      <c r="AE181" s="39">
        <f t="shared" ca="1" si="57"/>
        <v>37</v>
      </c>
      <c r="AF181" s="39" t="str">
        <f t="shared" si="58"/>
        <v>CHA</v>
      </c>
      <c r="AG181" s="39" t="str">
        <f t="shared" si="59"/>
        <v>WR-230918-0180</v>
      </c>
      <c r="AH181" s="39" t="str">
        <f>IF(AND(OR(Filter!$B$4="All",D181=Filter!$B$4),OR(Filter!$B$5="All",M181=Filter!$B$5),E181&gt;=Filter!$B$6),MAX(AH$1:AH180)+1,"")</f>
        <v/>
      </c>
      <c r="AI181" s="39">
        <f t="shared" si="60"/>
        <v>25</v>
      </c>
      <c r="AJ181" s="42">
        <f t="shared" si="61"/>
        <v>0.02</v>
      </c>
      <c r="AK181" s="41">
        <f t="shared" si="62"/>
        <v>2027.74</v>
      </c>
      <c r="AL181" s="39">
        <f>RANK(E181,$E$2:$E$1001,0)+COUNTIF($E$2:E181,E181)-1</f>
        <v>269</v>
      </c>
    </row>
    <row r="182" spans="1:38" x14ac:dyDescent="0.2">
      <c r="A182" s="39">
        <v>1006</v>
      </c>
      <c r="B182" s="40">
        <v>45083</v>
      </c>
      <c r="C182" s="39" t="s">
        <v>66</v>
      </c>
      <c r="D182" s="39" t="s">
        <v>59</v>
      </c>
      <c r="E182" s="41">
        <v>1044.45</v>
      </c>
      <c r="F182" s="39">
        <v>21</v>
      </c>
      <c r="G182" s="39" t="s">
        <v>65</v>
      </c>
      <c r="H182" s="41">
        <v>1701.62</v>
      </c>
      <c r="I182" s="41">
        <v>2193.2199999999998</v>
      </c>
      <c r="J182" s="39" t="s">
        <v>143</v>
      </c>
      <c r="K182" s="42">
        <v>0.22</v>
      </c>
      <c r="L182" s="39" t="s">
        <v>63</v>
      </c>
      <c r="M182" s="39" t="s">
        <v>140</v>
      </c>
      <c r="N182" s="39" t="s">
        <v>153</v>
      </c>
      <c r="O182" s="43">
        <f t="shared" si="42"/>
        <v>46057.62</v>
      </c>
      <c r="P182" s="43">
        <f t="shared" si="43"/>
        <v>35924.94</v>
      </c>
      <c r="Q182" s="43">
        <f t="shared" si="44"/>
        <v>35734.019999999997</v>
      </c>
      <c r="R182" s="43">
        <f t="shared" si="45"/>
        <v>190.92000000000553</v>
      </c>
      <c r="S182" s="44">
        <f t="shared" si="46"/>
        <v>5.3144138862863937E-3</v>
      </c>
      <c r="T182" s="39" t="str">
        <f t="shared" si="47"/>
        <v>OK</v>
      </c>
      <c r="U182" s="39" t="str">
        <f t="shared" si="48"/>
        <v>20%+</v>
      </c>
      <c r="V182" s="39" t="str">
        <f>IF(E182&gt;=Analysis!$B$4,"High",IF(E182&gt;=Analysis!$B$5,"Mid","Low"))</f>
        <v>Low</v>
      </c>
      <c r="W182" s="39" t="str">
        <f t="shared" si="49"/>
        <v>2023-06</v>
      </c>
      <c r="X182" s="40">
        <f t="shared" si="50"/>
        <v>45107</v>
      </c>
      <c r="Y182" s="39" t="str">
        <f t="shared" si="51"/>
        <v>2023-Q2</v>
      </c>
      <c r="Z182" s="39" t="str">
        <f t="shared" si="52"/>
        <v>Tue</v>
      </c>
      <c r="AA182" s="39">
        <f t="shared" si="53"/>
        <v>2</v>
      </c>
      <c r="AB182" s="39">
        <f t="shared" si="54"/>
        <v>24</v>
      </c>
      <c r="AC182" s="39" t="str">
        <f t="shared" si="55"/>
        <v>Weekday</v>
      </c>
      <c r="AD182" s="39">
        <f t="shared" ca="1" si="56"/>
        <v>1236</v>
      </c>
      <c r="AE182" s="39">
        <f t="shared" ca="1" si="57"/>
        <v>40</v>
      </c>
      <c r="AF182" s="39" t="str">
        <f t="shared" si="58"/>
        <v>BOB</v>
      </c>
      <c r="AG182" s="39" t="str">
        <f t="shared" si="59"/>
        <v>ER-230606-0181</v>
      </c>
      <c r="AH182" s="39" t="str">
        <f>IF(AND(OR(Filter!$B$4="All",D182=Filter!$B$4),OR(Filter!$B$5="All",M182=Filter!$B$5),E182&gt;=Filter!$B$6),MAX(AH$1:AH181)+1,"")</f>
        <v/>
      </c>
      <c r="AI182" s="39">
        <f t="shared" si="60"/>
        <v>21</v>
      </c>
      <c r="AJ182" s="42">
        <f t="shared" si="61"/>
        <v>0.22</v>
      </c>
      <c r="AK182" s="41">
        <f t="shared" si="62"/>
        <v>2193.2199999999998</v>
      </c>
      <c r="AL182" s="39">
        <f>RANK(E182,$E$2:$E$1001,0)+COUNTIF($E$2:E182,E182)-1</f>
        <v>899</v>
      </c>
    </row>
    <row r="183" spans="1:38" x14ac:dyDescent="0.2">
      <c r="A183" s="39">
        <v>1028</v>
      </c>
      <c r="B183" s="40">
        <v>44973</v>
      </c>
      <c r="C183" s="39" t="s">
        <v>66</v>
      </c>
      <c r="D183" s="39" t="s">
        <v>59</v>
      </c>
      <c r="E183" s="41">
        <v>4344.1499999999996</v>
      </c>
      <c r="F183" s="39">
        <v>24</v>
      </c>
      <c r="G183" s="39" t="s">
        <v>65</v>
      </c>
      <c r="H183" s="41">
        <v>1969.09</v>
      </c>
      <c r="I183" s="41">
        <v>2241.96</v>
      </c>
      <c r="J183" s="39" t="s">
        <v>137</v>
      </c>
      <c r="K183" s="42">
        <v>0.02</v>
      </c>
      <c r="L183" s="39" t="s">
        <v>73</v>
      </c>
      <c r="M183" s="39" t="s">
        <v>138</v>
      </c>
      <c r="N183" s="39" t="s">
        <v>153</v>
      </c>
      <c r="O183" s="43">
        <f t="shared" si="42"/>
        <v>53807.040000000001</v>
      </c>
      <c r="P183" s="43">
        <f t="shared" si="43"/>
        <v>52730.9</v>
      </c>
      <c r="Q183" s="43">
        <f t="shared" si="44"/>
        <v>47258.16</v>
      </c>
      <c r="R183" s="43">
        <f t="shared" si="45"/>
        <v>5472.739999999998</v>
      </c>
      <c r="S183" s="44">
        <f t="shared" si="46"/>
        <v>0.10378620505244548</v>
      </c>
      <c r="T183" s="39" t="str">
        <f t="shared" si="47"/>
        <v>OK</v>
      </c>
      <c r="U183" s="39" t="str">
        <f t="shared" si="48"/>
        <v>0-9%</v>
      </c>
      <c r="V183" s="39" t="str">
        <f>IF(E183&gt;=Analysis!$B$4,"High",IF(E183&gt;=Analysis!$B$5,"Mid","Low"))</f>
        <v>Mid</v>
      </c>
      <c r="W183" s="39" t="str">
        <f t="shared" si="49"/>
        <v>2023-02</v>
      </c>
      <c r="X183" s="40">
        <f t="shared" si="50"/>
        <v>44985</v>
      </c>
      <c r="Y183" s="39" t="str">
        <f t="shared" si="51"/>
        <v>2023-Q1</v>
      </c>
      <c r="Z183" s="39" t="str">
        <f t="shared" si="52"/>
        <v>Thu</v>
      </c>
      <c r="AA183" s="39">
        <f t="shared" si="53"/>
        <v>4</v>
      </c>
      <c r="AB183" s="39">
        <f t="shared" si="54"/>
        <v>8</v>
      </c>
      <c r="AC183" s="39" t="str">
        <f t="shared" si="55"/>
        <v>Weekday</v>
      </c>
      <c r="AD183" s="39">
        <f t="shared" ca="1" si="56"/>
        <v>1346</v>
      </c>
      <c r="AE183" s="39">
        <f t="shared" ca="1" si="57"/>
        <v>44</v>
      </c>
      <c r="AF183" s="39" t="str">
        <f t="shared" si="58"/>
        <v>BOB</v>
      </c>
      <c r="AG183" s="39" t="str">
        <f t="shared" si="59"/>
        <v>EO-230216-0182</v>
      </c>
      <c r="AH183" s="39" t="str">
        <f>IF(AND(OR(Filter!$B$4="All",D183=Filter!$B$4),OR(Filter!$B$5="All",M183=Filter!$B$5),E183&gt;=Filter!$B$6),MAX(AH$1:AH182)+1,"")</f>
        <v/>
      </c>
      <c r="AI183" s="39">
        <f t="shared" si="60"/>
        <v>24</v>
      </c>
      <c r="AJ183" s="42">
        <f t="shared" si="61"/>
        <v>0.02</v>
      </c>
      <c r="AK183" s="41">
        <f t="shared" si="62"/>
        <v>2241.96</v>
      </c>
      <c r="AL183" s="39">
        <f>RANK(E183,$E$2:$E$1001,0)+COUNTIF($E$2:E183,E183)-1</f>
        <v>566</v>
      </c>
    </row>
    <row r="184" spans="1:38" x14ac:dyDescent="0.2">
      <c r="A184" s="39">
        <v>1028</v>
      </c>
      <c r="B184" s="40">
        <v>45250</v>
      </c>
      <c r="C184" s="39" t="s">
        <v>61</v>
      </c>
      <c r="D184" s="39" t="s">
        <v>59</v>
      </c>
      <c r="E184" s="41">
        <v>388.78</v>
      </c>
      <c r="F184" s="39">
        <v>5</v>
      </c>
      <c r="G184" s="39" t="s">
        <v>70</v>
      </c>
      <c r="H184" s="41">
        <v>734.92</v>
      </c>
      <c r="I184" s="41">
        <v>991.21</v>
      </c>
      <c r="J184" s="39" t="s">
        <v>137</v>
      </c>
      <c r="K184" s="42">
        <v>0.21</v>
      </c>
      <c r="L184" s="39" t="s">
        <v>73</v>
      </c>
      <c r="M184" s="39" t="s">
        <v>138</v>
      </c>
      <c r="N184" s="39" t="s">
        <v>159</v>
      </c>
      <c r="O184" s="43">
        <f t="shared" si="42"/>
        <v>4956.05</v>
      </c>
      <c r="P184" s="43">
        <f t="shared" si="43"/>
        <v>3915.28</v>
      </c>
      <c r="Q184" s="43">
        <f t="shared" si="44"/>
        <v>3674.6</v>
      </c>
      <c r="R184" s="43">
        <f t="shared" si="45"/>
        <v>240.68000000000029</v>
      </c>
      <c r="S184" s="44">
        <f t="shared" si="46"/>
        <v>6.1471976461453658E-2</v>
      </c>
      <c r="T184" s="39" t="str">
        <f t="shared" si="47"/>
        <v>OK</v>
      </c>
      <c r="U184" s="39" t="str">
        <f t="shared" si="48"/>
        <v>20%+</v>
      </c>
      <c r="V184" s="39" t="str">
        <f>IF(E184&gt;=Analysis!$B$4,"High",IF(E184&gt;=Analysis!$B$5,"Mid","Low"))</f>
        <v>Low</v>
      </c>
      <c r="W184" s="39" t="str">
        <f t="shared" si="49"/>
        <v>2023-11</v>
      </c>
      <c r="X184" s="40">
        <f t="shared" si="50"/>
        <v>45260</v>
      </c>
      <c r="Y184" s="39" t="str">
        <f t="shared" si="51"/>
        <v>2023-Q4</v>
      </c>
      <c r="Z184" s="39" t="str">
        <f t="shared" si="52"/>
        <v>Mon</v>
      </c>
      <c r="AA184" s="39">
        <f t="shared" si="53"/>
        <v>1</v>
      </c>
      <c r="AB184" s="39">
        <f t="shared" si="54"/>
        <v>48</v>
      </c>
      <c r="AC184" s="39" t="str">
        <f t="shared" si="55"/>
        <v>Weekday</v>
      </c>
      <c r="AD184" s="39">
        <f t="shared" ca="1" si="56"/>
        <v>1069</v>
      </c>
      <c r="AE184" s="39">
        <f t="shared" ca="1" si="57"/>
        <v>35</v>
      </c>
      <c r="AF184" s="39" t="str">
        <f t="shared" si="58"/>
        <v>ALI</v>
      </c>
      <c r="AG184" s="39" t="str">
        <f t="shared" si="59"/>
        <v>EO-231120-0183</v>
      </c>
      <c r="AH184" s="39" t="str">
        <f>IF(AND(OR(Filter!$B$4="All",D184=Filter!$B$4),OR(Filter!$B$5="All",M184=Filter!$B$5),E184&gt;=Filter!$B$6),MAX(AH$1:AH183)+1,"")</f>
        <v/>
      </c>
      <c r="AI184" s="39">
        <f t="shared" si="60"/>
        <v>5</v>
      </c>
      <c r="AJ184" s="42">
        <f t="shared" si="61"/>
        <v>0.21</v>
      </c>
      <c r="AK184" s="41">
        <f t="shared" si="62"/>
        <v>991.21</v>
      </c>
      <c r="AL184" s="39">
        <f>RANK(E184,$E$2:$E$1001,0)+COUNTIF($E$2:E184,E184)-1</f>
        <v>969</v>
      </c>
    </row>
    <row r="185" spans="1:38" x14ac:dyDescent="0.2">
      <c r="A185" s="39">
        <v>1044</v>
      </c>
      <c r="B185" s="40">
        <v>45258</v>
      </c>
      <c r="C185" s="39" t="s">
        <v>71</v>
      </c>
      <c r="D185" s="39" t="s">
        <v>74</v>
      </c>
      <c r="E185" s="41">
        <v>4860.8100000000004</v>
      </c>
      <c r="F185" s="39">
        <v>6</v>
      </c>
      <c r="G185" s="39" t="s">
        <v>65</v>
      </c>
      <c r="H185" s="41">
        <v>3703.93</v>
      </c>
      <c r="I185" s="41">
        <v>3840.24</v>
      </c>
      <c r="J185" s="39" t="s">
        <v>143</v>
      </c>
      <c r="K185" s="42">
        <v>7.0000000000000007E-2</v>
      </c>
      <c r="L185" s="39" t="s">
        <v>73</v>
      </c>
      <c r="M185" s="39" t="s">
        <v>138</v>
      </c>
      <c r="N185" s="39" t="s">
        <v>146</v>
      </c>
      <c r="O185" s="43">
        <f t="shared" si="42"/>
        <v>23041.439999999999</v>
      </c>
      <c r="P185" s="43">
        <f t="shared" si="43"/>
        <v>21428.54</v>
      </c>
      <c r="Q185" s="43">
        <f t="shared" si="44"/>
        <v>22223.58</v>
      </c>
      <c r="R185" s="43">
        <f t="shared" si="45"/>
        <v>-795.04000000000087</v>
      </c>
      <c r="S185" s="44">
        <f t="shared" si="46"/>
        <v>-3.7101921082817631E-2</v>
      </c>
      <c r="T185" s="39" t="str">
        <f t="shared" si="47"/>
        <v>Loss</v>
      </c>
      <c r="U185" s="39" t="str">
        <f t="shared" si="48"/>
        <v>0-9%</v>
      </c>
      <c r="V185" s="39" t="str">
        <f>IF(E185&gt;=Analysis!$B$4,"High",IF(E185&gt;=Analysis!$B$5,"Mid","Low"))</f>
        <v>Mid</v>
      </c>
      <c r="W185" s="39" t="str">
        <f t="shared" si="49"/>
        <v>2023-11</v>
      </c>
      <c r="X185" s="40">
        <f t="shared" si="50"/>
        <v>45260</v>
      </c>
      <c r="Y185" s="39" t="str">
        <f t="shared" si="51"/>
        <v>2023-Q4</v>
      </c>
      <c r="Z185" s="39" t="str">
        <f t="shared" si="52"/>
        <v>Tue</v>
      </c>
      <c r="AA185" s="39">
        <f t="shared" si="53"/>
        <v>2</v>
      </c>
      <c r="AB185" s="39">
        <f t="shared" si="54"/>
        <v>49</v>
      </c>
      <c r="AC185" s="39" t="str">
        <f t="shared" si="55"/>
        <v>Weekday</v>
      </c>
      <c r="AD185" s="39">
        <f t="shared" ca="1" si="56"/>
        <v>1061</v>
      </c>
      <c r="AE185" s="39">
        <f t="shared" ca="1" si="57"/>
        <v>34</v>
      </c>
      <c r="AF185" s="39" t="str">
        <f t="shared" si="58"/>
        <v>CHA</v>
      </c>
      <c r="AG185" s="39" t="str">
        <f t="shared" si="59"/>
        <v>WO-231128-0184</v>
      </c>
      <c r="AH185" s="39" t="str">
        <f>IF(AND(OR(Filter!$B$4="All",D185=Filter!$B$4),OR(Filter!$B$5="All",M185=Filter!$B$5),E185&gt;=Filter!$B$6),MAX(AH$1:AH184)+1,"")</f>
        <v/>
      </c>
      <c r="AI185" s="39">
        <f t="shared" si="60"/>
        <v>6</v>
      </c>
      <c r="AJ185" s="42">
        <f t="shared" si="61"/>
        <v>7.0000000000000007E-2</v>
      </c>
      <c r="AK185" s="41">
        <f t="shared" si="62"/>
        <v>3840.24</v>
      </c>
      <c r="AL185" s="39">
        <f>RANK(E185,$E$2:$E$1001,0)+COUNTIF($E$2:E185,E185)-1</f>
        <v>517</v>
      </c>
    </row>
    <row r="186" spans="1:38" x14ac:dyDescent="0.2">
      <c r="A186" s="39">
        <v>1084</v>
      </c>
      <c r="B186" s="40">
        <v>45099</v>
      </c>
      <c r="C186" s="39" t="s">
        <v>79</v>
      </c>
      <c r="D186" s="39" t="s">
        <v>64</v>
      </c>
      <c r="E186" s="41">
        <v>6658.1</v>
      </c>
      <c r="F186" s="39">
        <v>49</v>
      </c>
      <c r="G186" s="39" t="s">
        <v>75</v>
      </c>
      <c r="H186" s="41">
        <v>4291.97</v>
      </c>
      <c r="I186" s="41">
        <v>4645.6400000000003</v>
      </c>
      <c r="J186" s="39" t="s">
        <v>137</v>
      </c>
      <c r="K186" s="42">
        <v>0.26</v>
      </c>
      <c r="L186" s="39" t="s">
        <v>73</v>
      </c>
      <c r="M186" s="39" t="s">
        <v>138</v>
      </c>
      <c r="N186" s="39" t="s">
        <v>148</v>
      </c>
      <c r="O186" s="43">
        <f t="shared" si="42"/>
        <v>227636.36</v>
      </c>
      <c r="P186" s="43">
        <f t="shared" si="43"/>
        <v>168450.91</v>
      </c>
      <c r="Q186" s="43">
        <f t="shared" si="44"/>
        <v>210306.53</v>
      </c>
      <c r="R186" s="43">
        <f t="shared" si="45"/>
        <v>-41855.619999999995</v>
      </c>
      <c r="S186" s="44">
        <f t="shared" si="46"/>
        <v>-0.24847369479927414</v>
      </c>
      <c r="T186" s="39" t="str">
        <f t="shared" si="47"/>
        <v>Loss</v>
      </c>
      <c r="U186" s="39" t="str">
        <f t="shared" si="48"/>
        <v>20%+</v>
      </c>
      <c r="V186" s="39" t="str">
        <f>IF(E186&gt;=Analysis!$B$4,"High",IF(E186&gt;=Analysis!$B$5,"Mid","Low"))</f>
        <v>Mid</v>
      </c>
      <c r="W186" s="39" t="str">
        <f t="shared" si="49"/>
        <v>2023-06</v>
      </c>
      <c r="X186" s="40">
        <f t="shared" si="50"/>
        <v>45107</v>
      </c>
      <c r="Y186" s="39" t="str">
        <f t="shared" si="51"/>
        <v>2023-Q2</v>
      </c>
      <c r="Z186" s="39" t="str">
        <f t="shared" si="52"/>
        <v>Thu</v>
      </c>
      <c r="AA186" s="39">
        <f t="shared" si="53"/>
        <v>4</v>
      </c>
      <c r="AB186" s="39">
        <f t="shared" si="54"/>
        <v>26</v>
      </c>
      <c r="AC186" s="39" t="str">
        <f t="shared" si="55"/>
        <v>Weekday</v>
      </c>
      <c r="AD186" s="39">
        <f t="shared" ca="1" si="56"/>
        <v>1220</v>
      </c>
      <c r="AE186" s="39">
        <f t="shared" ca="1" si="57"/>
        <v>40</v>
      </c>
      <c r="AF186" s="39" t="str">
        <f t="shared" si="58"/>
        <v>EVE</v>
      </c>
      <c r="AG186" s="39" t="str">
        <f t="shared" si="59"/>
        <v>NO-230622-0185</v>
      </c>
      <c r="AH186" s="39" t="str">
        <f>IF(AND(OR(Filter!$B$4="All",D186=Filter!$B$4),OR(Filter!$B$5="All",M186=Filter!$B$5),E186&gt;=Filter!$B$6),MAX(AH$1:AH185)+1,"")</f>
        <v/>
      </c>
      <c r="AI186" s="39">
        <f t="shared" si="60"/>
        <v>49</v>
      </c>
      <c r="AJ186" s="42">
        <f t="shared" si="61"/>
        <v>0.26</v>
      </c>
      <c r="AK186" s="41">
        <f t="shared" si="62"/>
        <v>4645.6400000000003</v>
      </c>
      <c r="AL186" s="39">
        <f>RANK(E186,$E$2:$E$1001,0)+COUNTIF($E$2:E186,E186)-1</f>
        <v>340</v>
      </c>
    </row>
    <row r="187" spans="1:38" x14ac:dyDescent="0.2">
      <c r="A187" s="39">
        <v>1030</v>
      </c>
      <c r="B187" s="40">
        <v>45056</v>
      </c>
      <c r="C187" s="39" t="s">
        <v>66</v>
      </c>
      <c r="D187" s="39" t="s">
        <v>69</v>
      </c>
      <c r="E187" s="41">
        <v>1273.18</v>
      </c>
      <c r="F187" s="39">
        <v>43</v>
      </c>
      <c r="G187" s="39" t="s">
        <v>60</v>
      </c>
      <c r="H187" s="41">
        <v>4696.6400000000003</v>
      </c>
      <c r="I187" s="41">
        <v>4713.68</v>
      </c>
      <c r="J187" s="39" t="s">
        <v>137</v>
      </c>
      <c r="K187" s="42">
        <v>0.24</v>
      </c>
      <c r="L187" s="39" t="s">
        <v>63</v>
      </c>
      <c r="M187" s="39" t="s">
        <v>138</v>
      </c>
      <c r="N187" s="39" t="s">
        <v>144</v>
      </c>
      <c r="O187" s="43">
        <f t="shared" si="42"/>
        <v>202688.24</v>
      </c>
      <c r="P187" s="43">
        <f t="shared" si="43"/>
        <v>154043.06</v>
      </c>
      <c r="Q187" s="43">
        <f t="shared" si="44"/>
        <v>201955.52</v>
      </c>
      <c r="R187" s="43">
        <f t="shared" si="45"/>
        <v>-47912.459999999992</v>
      </c>
      <c r="S187" s="44">
        <f t="shared" si="46"/>
        <v>-0.31103290209893253</v>
      </c>
      <c r="T187" s="39" t="str">
        <f t="shared" si="47"/>
        <v>Loss</v>
      </c>
      <c r="U187" s="39" t="str">
        <f t="shared" si="48"/>
        <v>20%+</v>
      </c>
      <c r="V187" s="39" t="str">
        <f>IF(E187&gt;=Analysis!$B$4,"High",IF(E187&gt;=Analysis!$B$5,"Mid","Low"))</f>
        <v>Low</v>
      </c>
      <c r="W187" s="39" t="str">
        <f t="shared" si="49"/>
        <v>2023-05</v>
      </c>
      <c r="X187" s="40">
        <f t="shared" si="50"/>
        <v>45077</v>
      </c>
      <c r="Y187" s="39" t="str">
        <f t="shared" si="51"/>
        <v>2023-Q2</v>
      </c>
      <c r="Z187" s="39" t="str">
        <f t="shared" si="52"/>
        <v>Wed</v>
      </c>
      <c r="AA187" s="39">
        <f t="shared" si="53"/>
        <v>3</v>
      </c>
      <c r="AB187" s="39">
        <f t="shared" si="54"/>
        <v>20</v>
      </c>
      <c r="AC187" s="39" t="str">
        <f t="shared" si="55"/>
        <v>Weekday</v>
      </c>
      <c r="AD187" s="39">
        <f t="shared" ca="1" si="56"/>
        <v>1263</v>
      </c>
      <c r="AE187" s="39">
        <f t="shared" ca="1" si="57"/>
        <v>41</v>
      </c>
      <c r="AF187" s="39" t="str">
        <f t="shared" si="58"/>
        <v>BOB</v>
      </c>
      <c r="AG187" s="39" t="str">
        <f t="shared" si="59"/>
        <v>SO-230510-0186</v>
      </c>
      <c r="AH187" s="39" t="str">
        <f>IF(AND(OR(Filter!$B$4="All",D187=Filter!$B$4),OR(Filter!$B$5="All",M187=Filter!$B$5),E187&gt;=Filter!$B$6),MAX(AH$1:AH186)+1,"")</f>
        <v/>
      </c>
      <c r="AI187" s="39">
        <f t="shared" si="60"/>
        <v>43</v>
      </c>
      <c r="AJ187" s="42">
        <f t="shared" si="61"/>
        <v>0.24</v>
      </c>
      <c r="AK187" s="41">
        <f t="shared" si="62"/>
        <v>4713.68</v>
      </c>
      <c r="AL187" s="39">
        <f>RANK(E187,$E$2:$E$1001,0)+COUNTIF($E$2:E187,E187)-1</f>
        <v>883</v>
      </c>
    </row>
    <row r="188" spans="1:38" x14ac:dyDescent="0.2">
      <c r="A188" s="39">
        <v>1062</v>
      </c>
      <c r="B188" s="40">
        <v>45021</v>
      </c>
      <c r="C188" s="39" t="s">
        <v>66</v>
      </c>
      <c r="D188" s="39" t="s">
        <v>64</v>
      </c>
      <c r="E188" s="41">
        <v>2959.96</v>
      </c>
      <c r="F188" s="39">
        <v>48</v>
      </c>
      <c r="G188" s="39" t="s">
        <v>70</v>
      </c>
      <c r="H188" s="41">
        <v>2487.19</v>
      </c>
      <c r="I188" s="41">
        <v>2521.4499999999998</v>
      </c>
      <c r="J188" s="39" t="s">
        <v>143</v>
      </c>
      <c r="K188" s="42">
        <v>0.28999999999999998</v>
      </c>
      <c r="L188" s="39" t="s">
        <v>68</v>
      </c>
      <c r="M188" s="39" t="s">
        <v>138</v>
      </c>
      <c r="N188" s="39" t="s">
        <v>139</v>
      </c>
      <c r="O188" s="43">
        <f t="shared" si="42"/>
        <v>121029.6</v>
      </c>
      <c r="P188" s="43">
        <f t="shared" si="43"/>
        <v>85931.02</v>
      </c>
      <c r="Q188" s="43">
        <f t="shared" si="44"/>
        <v>119385.12</v>
      </c>
      <c r="R188" s="43">
        <f t="shared" si="45"/>
        <v>-33454.099999999991</v>
      </c>
      <c r="S188" s="44">
        <f t="shared" si="46"/>
        <v>-0.38931342837545729</v>
      </c>
      <c r="T188" s="39" t="str">
        <f t="shared" si="47"/>
        <v>Loss</v>
      </c>
      <c r="U188" s="39" t="str">
        <f t="shared" si="48"/>
        <v>20%+</v>
      </c>
      <c r="V188" s="39" t="str">
        <f>IF(E188&gt;=Analysis!$B$4,"High",IF(E188&gt;=Analysis!$B$5,"Mid","Low"))</f>
        <v>Mid</v>
      </c>
      <c r="W188" s="39" t="str">
        <f t="shared" si="49"/>
        <v>2023-04</v>
      </c>
      <c r="X188" s="40">
        <f t="shared" si="50"/>
        <v>45046</v>
      </c>
      <c r="Y188" s="39" t="str">
        <f t="shared" si="51"/>
        <v>2023-Q2</v>
      </c>
      <c r="Z188" s="39" t="str">
        <f t="shared" si="52"/>
        <v>Wed</v>
      </c>
      <c r="AA188" s="39">
        <f t="shared" si="53"/>
        <v>3</v>
      </c>
      <c r="AB188" s="39">
        <f t="shared" si="54"/>
        <v>15</v>
      </c>
      <c r="AC188" s="39" t="str">
        <f t="shared" si="55"/>
        <v>Weekday</v>
      </c>
      <c r="AD188" s="39">
        <f t="shared" ca="1" si="56"/>
        <v>1298</v>
      </c>
      <c r="AE188" s="39">
        <f t="shared" ca="1" si="57"/>
        <v>42</v>
      </c>
      <c r="AF188" s="39" t="str">
        <f t="shared" si="58"/>
        <v>BOB</v>
      </c>
      <c r="AG188" s="39" t="str">
        <f t="shared" si="59"/>
        <v>NO-230405-0187</v>
      </c>
      <c r="AH188" s="39" t="str">
        <f>IF(AND(OR(Filter!$B$4="All",D188=Filter!$B$4),OR(Filter!$B$5="All",M188=Filter!$B$5),E188&gt;=Filter!$B$6),MAX(AH$1:AH187)+1,"")</f>
        <v/>
      </c>
      <c r="AI188" s="39">
        <f t="shared" si="60"/>
        <v>48</v>
      </c>
      <c r="AJ188" s="42">
        <f t="shared" si="61"/>
        <v>0.28999999999999998</v>
      </c>
      <c r="AK188" s="41">
        <f t="shared" si="62"/>
        <v>2521.4499999999998</v>
      </c>
      <c r="AL188" s="39">
        <f>RANK(E188,$E$2:$E$1001,0)+COUNTIF($E$2:E188,E188)-1</f>
        <v>699</v>
      </c>
    </row>
    <row r="189" spans="1:38" x14ac:dyDescent="0.2">
      <c r="A189" s="39">
        <v>1075</v>
      </c>
      <c r="B189" s="40">
        <v>45041</v>
      </c>
      <c r="C189" s="39" t="s">
        <v>76</v>
      </c>
      <c r="D189" s="39" t="s">
        <v>74</v>
      </c>
      <c r="E189" s="41">
        <v>4038.58</v>
      </c>
      <c r="F189" s="39">
        <v>44</v>
      </c>
      <c r="G189" s="39" t="s">
        <v>75</v>
      </c>
      <c r="H189" s="41">
        <v>3519.29</v>
      </c>
      <c r="I189" s="41">
        <v>3822.98</v>
      </c>
      <c r="J189" s="39" t="s">
        <v>137</v>
      </c>
      <c r="K189" s="42">
        <v>0.27</v>
      </c>
      <c r="L189" s="39" t="s">
        <v>63</v>
      </c>
      <c r="M189" s="39" t="s">
        <v>138</v>
      </c>
      <c r="N189" s="39" t="s">
        <v>154</v>
      </c>
      <c r="O189" s="43">
        <f t="shared" si="42"/>
        <v>168211.12</v>
      </c>
      <c r="P189" s="43">
        <f t="shared" si="43"/>
        <v>122794.12</v>
      </c>
      <c r="Q189" s="43">
        <f t="shared" si="44"/>
        <v>154848.76</v>
      </c>
      <c r="R189" s="43">
        <f t="shared" si="45"/>
        <v>-32054.640000000014</v>
      </c>
      <c r="S189" s="44">
        <f t="shared" si="46"/>
        <v>-0.26104376984826322</v>
      </c>
      <c r="T189" s="39" t="str">
        <f t="shared" si="47"/>
        <v>Loss</v>
      </c>
      <c r="U189" s="39" t="str">
        <f t="shared" si="48"/>
        <v>20%+</v>
      </c>
      <c r="V189" s="39" t="str">
        <f>IF(E189&gt;=Analysis!$B$4,"High",IF(E189&gt;=Analysis!$B$5,"Mid","Low"))</f>
        <v>Mid</v>
      </c>
      <c r="W189" s="39" t="str">
        <f t="shared" si="49"/>
        <v>2023-04</v>
      </c>
      <c r="X189" s="40">
        <f t="shared" si="50"/>
        <v>45046</v>
      </c>
      <c r="Y189" s="39" t="str">
        <f t="shared" si="51"/>
        <v>2023-Q2</v>
      </c>
      <c r="Z189" s="39" t="str">
        <f t="shared" si="52"/>
        <v>Tue</v>
      </c>
      <c r="AA189" s="39">
        <f t="shared" si="53"/>
        <v>2</v>
      </c>
      <c r="AB189" s="39">
        <f t="shared" si="54"/>
        <v>18</v>
      </c>
      <c r="AC189" s="39" t="str">
        <f t="shared" si="55"/>
        <v>Weekday</v>
      </c>
      <c r="AD189" s="39">
        <f t="shared" ca="1" si="56"/>
        <v>1278</v>
      </c>
      <c r="AE189" s="39">
        <f t="shared" ca="1" si="57"/>
        <v>41</v>
      </c>
      <c r="AF189" s="39" t="str">
        <f t="shared" si="58"/>
        <v>DAV</v>
      </c>
      <c r="AG189" s="39" t="str">
        <f t="shared" si="59"/>
        <v>WO-230425-0188</v>
      </c>
      <c r="AH189" s="39" t="str">
        <f>IF(AND(OR(Filter!$B$4="All",D189=Filter!$B$4),OR(Filter!$B$5="All",M189=Filter!$B$5),E189&gt;=Filter!$B$6),MAX(AH$1:AH188)+1,"")</f>
        <v/>
      </c>
      <c r="AI189" s="39">
        <f t="shared" si="60"/>
        <v>44</v>
      </c>
      <c r="AJ189" s="42">
        <f t="shared" si="61"/>
        <v>0.27</v>
      </c>
      <c r="AK189" s="41">
        <f t="shared" si="62"/>
        <v>3822.98</v>
      </c>
      <c r="AL189" s="39">
        <f>RANK(E189,$E$2:$E$1001,0)+COUNTIF($E$2:E189,E189)-1</f>
        <v>593</v>
      </c>
    </row>
    <row r="190" spans="1:38" x14ac:dyDescent="0.2">
      <c r="A190" s="39">
        <v>1092</v>
      </c>
      <c r="B190" s="40">
        <v>45169</v>
      </c>
      <c r="C190" s="39" t="s">
        <v>79</v>
      </c>
      <c r="D190" s="39" t="s">
        <v>69</v>
      </c>
      <c r="E190" s="41">
        <v>9203.36</v>
      </c>
      <c r="F190" s="39">
        <v>47</v>
      </c>
      <c r="G190" s="39" t="s">
        <v>70</v>
      </c>
      <c r="H190" s="41">
        <v>4284.9799999999996</v>
      </c>
      <c r="I190" s="41">
        <v>4462.3999999999996</v>
      </c>
      <c r="J190" s="39" t="s">
        <v>143</v>
      </c>
      <c r="K190" s="42">
        <v>0.28000000000000003</v>
      </c>
      <c r="L190" s="39" t="s">
        <v>73</v>
      </c>
      <c r="M190" s="39" t="s">
        <v>140</v>
      </c>
      <c r="N190" s="39" t="s">
        <v>147</v>
      </c>
      <c r="O190" s="43">
        <f t="shared" si="42"/>
        <v>209732.8</v>
      </c>
      <c r="P190" s="43">
        <f t="shared" si="43"/>
        <v>151007.62</v>
      </c>
      <c r="Q190" s="43">
        <f t="shared" si="44"/>
        <v>201394.06</v>
      </c>
      <c r="R190" s="43">
        <f t="shared" si="45"/>
        <v>-50386.44</v>
      </c>
      <c r="S190" s="44">
        <f t="shared" si="46"/>
        <v>-0.33366819502221151</v>
      </c>
      <c r="T190" s="39" t="str">
        <f t="shared" si="47"/>
        <v>Loss</v>
      </c>
      <c r="U190" s="39" t="str">
        <f t="shared" si="48"/>
        <v>20%+</v>
      </c>
      <c r="V190" s="39" t="str">
        <f>IF(E190&gt;=Analysis!$B$4,"High",IF(E190&gt;=Analysis!$B$5,"Mid","Low"))</f>
        <v>High</v>
      </c>
      <c r="W190" s="39" t="str">
        <f t="shared" si="49"/>
        <v>2023-08</v>
      </c>
      <c r="X190" s="40">
        <f t="shared" si="50"/>
        <v>45169</v>
      </c>
      <c r="Y190" s="39" t="str">
        <f t="shared" si="51"/>
        <v>2023-Q3</v>
      </c>
      <c r="Z190" s="39" t="str">
        <f t="shared" si="52"/>
        <v>Thu</v>
      </c>
      <c r="AA190" s="39">
        <f t="shared" si="53"/>
        <v>4</v>
      </c>
      <c r="AB190" s="39">
        <f t="shared" si="54"/>
        <v>36</v>
      </c>
      <c r="AC190" s="39" t="str">
        <f t="shared" si="55"/>
        <v>Weekday</v>
      </c>
      <c r="AD190" s="39">
        <f t="shared" ca="1" si="56"/>
        <v>1150</v>
      </c>
      <c r="AE190" s="39">
        <f t="shared" ca="1" si="57"/>
        <v>37</v>
      </c>
      <c r="AF190" s="39" t="str">
        <f t="shared" si="58"/>
        <v>EVE</v>
      </c>
      <c r="AG190" s="39" t="str">
        <f t="shared" si="59"/>
        <v>SR-230831-0189</v>
      </c>
      <c r="AH190" s="39">
        <f>IF(AND(OR(Filter!$B$4="All",D190=Filter!$B$4),OR(Filter!$B$5="All",M190=Filter!$B$5),E190&gt;=Filter!$B$6),MAX(AH$1:AH189)+1,"")</f>
        <v>21</v>
      </c>
      <c r="AI190" s="39">
        <f t="shared" si="60"/>
        <v>47</v>
      </c>
      <c r="AJ190" s="42">
        <f t="shared" si="61"/>
        <v>0.28000000000000003</v>
      </c>
      <c r="AK190" s="41">
        <f t="shared" si="62"/>
        <v>4462.3999999999996</v>
      </c>
      <c r="AL190" s="39">
        <f>RANK(E190,$E$2:$E$1001,0)+COUNTIF($E$2:E190,E190)-1</f>
        <v>77</v>
      </c>
    </row>
    <row r="191" spans="1:38" x14ac:dyDescent="0.2">
      <c r="A191" s="39">
        <v>1089</v>
      </c>
      <c r="B191" s="40">
        <v>45218</v>
      </c>
      <c r="C191" s="39" t="s">
        <v>79</v>
      </c>
      <c r="D191" s="39" t="s">
        <v>74</v>
      </c>
      <c r="E191" s="41">
        <v>9933.2199999999993</v>
      </c>
      <c r="F191" s="39">
        <v>23</v>
      </c>
      <c r="G191" s="39" t="s">
        <v>70</v>
      </c>
      <c r="H191" s="41">
        <v>2120.54</v>
      </c>
      <c r="I191" s="41">
        <v>2597.67</v>
      </c>
      <c r="J191" s="39" t="s">
        <v>137</v>
      </c>
      <c r="K191" s="42">
        <v>0.26</v>
      </c>
      <c r="L191" s="39" t="s">
        <v>73</v>
      </c>
      <c r="M191" s="39" t="s">
        <v>140</v>
      </c>
      <c r="N191" s="39" t="s">
        <v>149</v>
      </c>
      <c r="O191" s="43">
        <f t="shared" si="42"/>
        <v>59746.41</v>
      </c>
      <c r="P191" s="43">
        <f t="shared" si="43"/>
        <v>44212.34</v>
      </c>
      <c r="Q191" s="43">
        <f t="shared" si="44"/>
        <v>48772.42</v>
      </c>
      <c r="R191" s="43">
        <f t="shared" si="45"/>
        <v>-4560.0800000000017</v>
      </c>
      <c r="S191" s="44">
        <f t="shared" si="46"/>
        <v>-0.10314043545308849</v>
      </c>
      <c r="T191" s="39" t="str">
        <f t="shared" si="47"/>
        <v>Loss</v>
      </c>
      <c r="U191" s="39" t="str">
        <f t="shared" si="48"/>
        <v>20%+</v>
      </c>
      <c r="V191" s="39" t="str">
        <f>IF(E191&gt;=Analysis!$B$4,"High",IF(E191&gt;=Analysis!$B$5,"Mid","Low"))</f>
        <v>High</v>
      </c>
      <c r="W191" s="39" t="str">
        <f t="shared" si="49"/>
        <v>2023-10</v>
      </c>
      <c r="X191" s="40">
        <f t="shared" si="50"/>
        <v>45230</v>
      </c>
      <c r="Y191" s="39" t="str">
        <f t="shared" si="51"/>
        <v>2023-Q4</v>
      </c>
      <c r="Z191" s="39" t="str">
        <f t="shared" si="52"/>
        <v>Thu</v>
      </c>
      <c r="AA191" s="39">
        <f t="shared" si="53"/>
        <v>4</v>
      </c>
      <c r="AB191" s="39">
        <f t="shared" si="54"/>
        <v>43</v>
      </c>
      <c r="AC191" s="39" t="str">
        <f t="shared" si="55"/>
        <v>Weekday</v>
      </c>
      <c r="AD191" s="39">
        <f t="shared" ca="1" si="56"/>
        <v>1101</v>
      </c>
      <c r="AE191" s="39">
        <f t="shared" ca="1" si="57"/>
        <v>36</v>
      </c>
      <c r="AF191" s="39" t="str">
        <f t="shared" si="58"/>
        <v>EVE</v>
      </c>
      <c r="AG191" s="39" t="str">
        <f t="shared" si="59"/>
        <v>WR-231019-0190</v>
      </c>
      <c r="AH191" s="39">
        <f>IF(AND(OR(Filter!$B$4="All",D191=Filter!$B$4),OR(Filter!$B$5="All",M191=Filter!$B$5),E191&gt;=Filter!$B$6),MAX(AH$1:AH190)+1,"")</f>
        <v>22</v>
      </c>
      <c r="AI191" s="39">
        <f t="shared" si="60"/>
        <v>23</v>
      </c>
      <c r="AJ191" s="42">
        <f t="shared" si="61"/>
        <v>0.26</v>
      </c>
      <c r="AK191" s="41">
        <f t="shared" si="62"/>
        <v>2597.67</v>
      </c>
      <c r="AL191" s="39">
        <f>RANK(E191,$E$2:$E$1001,0)+COUNTIF($E$2:E191,E191)-1</f>
        <v>8</v>
      </c>
    </row>
    <row r="192" spans="1:38" x14ac:dyDescent="0.2">
      <c r="A192" s="39">
        <v>1062</v>
      </c>
      <c r="B192" s="40">
        <v>45208</v>
      </c>
      <c r="C192" s="39" t="s">
        <v>66</v>
      </c>
      <c r="D192" s="39" t="s">
        <v>59</v>
      </c>
      <c r="E192" s="41">
        <v>544.62</v>
      </c>
      <c r="F192" s="39">
        <v>4</v>
      </c>
      <c r="G192" s="39" t="s">
        <v>65</v>
      </c>
      <c r="H192" s="41">
        <v>1581.59</v>
      </c>
      <c r="I192" s="41">
        <v>2034.15</v>
      </c>
      <c r="J192" s="39" t="s">
        <v>137</v>
      </c>
      <c r="K192" s="42">
        <v>0.21</v>
      </c>
      <c r="L192" s="39" t="s">
        <v>68</v>
      </c>
      <c r="M192" s="39" t="s">
        <v>138</v>
      </c>
      <c r="N192" s="39" t="s">
        <v>153</v>
      </c>
      <c r="O192" s="43">
        <f t="shared" si="42"/>
        <v>8136.6</v>
      </c>
      <c r="P192" s="43">
        <f t="shared" si="43"/>
        <v>6427.91</v>
      </c>
      <c r="Q192" s="43">
        <f t="shared" si="44"/>
        <v>6326.36</v>
      </c>
      <c r="R192" s="43">
        <f t="shared" si="45"/>
        <v>101.55000000000018</v>
      </c>
      <c r="S192" s="44">
        <f t="shared" si="46"/>
        <v>1.5798292135390846E-2</v>
      </c>
      <c r="T192" s="39" t="str">
        <f t="shared" si="47"/>
        <v>OK</v>
      </c>
      <c r="U192" s="39" t="str">
        <f t="shared" si="48"/>
        <v>20%+</v>
      </c>
      <c r="V192" s="39" t="str">
        <f>IF(E192&gt;=Analysis!$B$4,"High",IF(E192&gt;=Analysis!$B$5,"Mid","Low"))</f>
        <v>Low</v>
      </c>
      <c r="W192" s="39" t="str">
        <f t="shared" si="49"/>
        <v>2023-10</v>
      </c>
      <c r="X192" s="40">
        <f t="shared" si="50"/>
        <v>45230</v>
      </c>
      <c r="Y192" s="39" t="str">
        <f t="shared" si="51"/>
        <v>2023-Q4</v>
      </c>
      <c r="Z192" s="39" t="str">
        <f t="shared" si="52"/>
        <v>Mon</v>
      </c>
      <c r="AA192" s="39">
        <f t="shared" si="53"/>
        <v>1</v>
      </c>
      <c r="AB192" s="39">
        <f t="shared" si="54"/>
        <v>42</v>
      </c>
      <c r="AC192" s="39" t="str">
        <f t="shared" si="55"/>
        <v>Weekday</v>
      </c>
      <c r="AD192" s="39">
        <f t="shared" ca="1" si="56"/>
        <v>1111</v>
      </c>
      <c r="AE192" s="39">
        <f t="shared" ca="1" si="57"/>
        <v>36</v>
      </c>
      <c r="AF192" s="39" t="str">
        <f t="shared" si="58"/>
        <v>BOB</v>
      </c>
      <c r="AG192" s="39" t="str">
        <f t="shared" si="59"/>
        <v>EO-231009-0191</v>
      </c>
      <c r="AH192" s="39" t="str">
        <f>IF(AND(OR(Filter!$B$4="All",D192=Filter!$B$4),OR(Filter!$B$5="All",M192=Filter!$B$5),E192&gt;=Filter!$B$6),MAX(AH$1:AH191)+1,"")</f>
        <v/>
      </c>
      <c r="AI192" s="39">
        <f t="shared" si="60"/>
        <v>4</v>
      </c>
      <c r="AJ192" s="42">
        <f t="shared" si="61"/>
        <v>0.21</v>
      </c>
      <c r="AK192" s="41">
        <f t="shared" si="62"/>
        <v>2034.15</v>
      </c>
      <c r="AL192" s="39">
        <f>RANK(E192,$E$2:$E$1001,0)+COUNTIF($E$2:E192,E192)-1</f>
        <v>955</v>
      </c>
    </row>
    <row r="193" spans="1:38" x14ac:dyDescent="0.2">
      <c r="A193" s="39">
        <v>1097</v>
      </c>
      <c r="B193" s="40">
        <v>45225</v>
      </c>
      <c r="C193" s="39" t="s">
        <v>61</v>
      </c>
      <c r="D193" s="39" t="s">
        <v>59</v>
      </c>
      <c r="E193" s="41">
        <v>7633.98</v>
      </c>
      <c r="F193" s="39">
        <v>27</v>
      </c>
      <c r="G193" s="39" t="s">
        <v>65</v>
      </c>
      <c r="H193" s="41">
        <v>4686.79</v>
      </c>
      <c r="I193" s="41">
        <v>5046.51</v>
      </c>
      <c r="J193" s="39" t="s">
        <v>137</v>
      </c>
      <c r="K193" s="42">
        <v>0.05</v>
      </c>
      <c r="L193" s="39" t="s">
        <v>73</v>
      </c>
      <c r="M193" s="39" t="s">
        <v>140</v>
      </c>
      <c r="N193" s="39" t="s">
        <v>159</v>
      </c>
      <c r="O193" s="43">
        <f t="shared" si="42"/>
        <v>136255.76999999999</v>
      </c>
      <c r="P193" s="43">
        <f t="shared" si="43"/>
        <v>129442.98</v>
      </c>
      <c r="Q193" s="43">
        <f t="shared" si="44"/>
        <v>126543.33</v>
      </c>
      <c r="R193" s="43">
        <f t="shared" si="45"/>
        <v>2899.6499999999942</v>
      </c>
      <c r="S193" s="44">
        <f t="shared" si="46"/>
        <v>2.2400983042881076E-2</v>
      </c>
      <c r="T193" s="39" t="str">
        <f t="shared" si="47"/>
        <v>OK</v>
      </c>
      <c r="U193" s="39" t="str">
        <f t="shared" si="48"/>
        <v>0-9%</v>
      </c>
      <c r="V193" s="39" t="str">
        <f>IF(E193&gt;=Analysis!$B$4,"High",IF(E193&gt;=Analysis!$B$5,"Mid","Low"))</f>
        <v>High</v>
      </c>
      <c r="W193" s="39" t="str">
        <f t="shared" si="49"/>
        <v>2023-10</v>
      </c>
      <c r="X193" s="40">
        <f t="shared" si="50"/>
        <v>45230</v>
      </c>
      <c r="Y193" s="39" t="str">
        <f t="shared" si="51"/>
        <v>2023-Q4</v>
      </c>
      <c r="Z193" s="39" t="str">
        <f t="shared" si="52"/>
        <v>Thu</v>
      </c>
      <c r="AA193" s="39">
        <f t="shared" si="53"/>
        <v>4</v>
      </c>
      <c r="AB193" s="39">
        <f t="shared" si="54"/>
        <v>44</v>
      </c>
      <c r="AC193" s="39" t="str">
        <f t="shared" si="55"/>
        <v>Weekday</v>
      </c>
      <c r="AD193" s="39">
        <f t="shared" ca="1" si="56"/>
        <v>1094</v>
      </c>
      <c r="AE193" s="39">
        <f t="shared" ca="1" si="57"/>
        <v>35</v>
      </c>
      <c r="AF193" s="39" t="str">
        <f t="shared" si="58"/>
        <v>ALI</v>
      </c>
      <c r="AG193" s="39" t="str">
        <f t="shared" si="59"/>
        <v>ER-231026-0192</v>
      </c>
      <c r="AH193" s="39" t="str">
        <f>IF(AND(OR(Filter!$B$4="All",D193=Filter!$B$4),OR(Filter!$B$5="All",M193=Filter!$B$5),E193&gt;=Filter!$B$6),MAX(AH$1:AH192)+1,"")</f>
        <v/>
      </c>
      <c r="AI193" s="39">
        <f t="shared" si="60"/>
        <v>27</v>
      </c>
      <c r="AJ193" s="42">
        <f t="shared" si="61"/>
        <v>0.05</v>
      </c>
      <c r="AK193" s="41">
        <f t="shared" si="62"/>
        <v>5046.51</v>
      </c>
      <c r="AL193" s="39">
        <f>RANK(E193,$E$2:$E$1001,0)+COUNTIF($E$2:E193,E193)-1</f>
        <v>234</v>
      </c>
    </row>
    <row r="194" spans="1:38" x14ac:dyDescent="0.2">
      <c r="A194" s="39">
        <v>1001</v>
      </c>
      <c r="B194" s="40">
        <v>45209</v>
      </c>
      <c r="C194" s="39" t="s">
        <v>76</v>
      </c>
      <c r="D194" s="39" t="s">
        <v>74</v>
      </c>
      <c r="E194" s="41">
        <v>3780.07</v>
      </c>
      <c r="F194" s="39">
        <v>18</v>
      </c>
      <c r="G194" s="39" t="s">
        <v>75</v>
      </c>
      <c r="H194" s="41">
        <v>2602.6</v>
      </c>
      <c r="I194" s="41">
        <v>3013.49</v>
      </c>
      <c r="J194" s="39" t="s">
        <v>137</v>
      </c>
      <c r="K194" s="42">
        <v>0.08</v>
      </c>
      <c r="L194" s="39" t="s">
        <v>63</v>
      </c>
      <c r="M194" s="39" t="s">
        <v>138</v>
      </c>
      <c r="N194" s="39" t="s">
        <v>154</v>
      </c>
      <c r="O194" s="43">
        <f t="shared" ref="O194:O257" si="63">ROUND(F194*I194,2)</f>
        <v>54242.82</v>
      </c>
      <c r="P194" s="43">
        <f t="shared" ref="P194:P257" si="64">ROUND(F194*I194*(1-K194),2)</f>
        <v>49903.39</v>
      </c>
      <c r="Q194" s="43">
        <f t="shared" ref="Q194:Q257" si="65">ROUND(F194*H194,2)</f>
        <v>46846.8</v>
      </c>
      <c r="R194" s="43">
        <f t="shared" ref="R194:R257" si="66">P194-Q194</f>
        <v>3056.5899999999965</v>
      </c>
      <c r="S194" s="44">
        <f t="shared" ref="S194:S257" si="67">IF(P194=0,0,R194/P194)</f>
        <v>6.125014753506719E-2</v>
      </c>
      <c r="T194" s="39" t="str">
        <f t="shared" ref="T194:T257" si="68">IF(R194&lt;0,"Loss","OK")</f>
        <v>OK</v>
      </c>
      <c r="U194" s="39" t="str">
        <f t="shared" ref="U194:U257" si="69">IF(K194&lt;0.1,"0-9%",IF(K194&lt;0.2,"10-19%","20%+"))</f>
        <v>0-9%</v>
      </c>
      <c r="V194" s="39" t="str">
        <f>IF(E194&gt;=Analysis!$B$4,"High",IF(E194&gt;=Analysis!$B$5,"Mid","Low"))</f>
        <v>Mid</v>
      </c>
      <c r="W194" s="39" t="str">
        <f t="shared" ref="W194:W257" si="70">TEXT(B194,"yyyy-mm")</f>
        <v>2023-10</v>
      </c>
      <c r="X194" s="40">
        <f t="shared" ref="X194:X257" si="71">EOMONTH(B194,0)</f>
        <v>45230</v>
      </c>
      <c r="Y194" s="39" t="str">
        <f t="shared" ref="Y194:Y257" si="72">YEAR(B194)&amp;"-Q"&amp;ROUNDUP(MONTH(B194)/3,0)</f>
        <v>2023-Q4</v>
      </c>
      <c r="Z194" s="39" t="str">
        <f t="shared" ref="Z194:Z257" si="73">TEXT(B194,"ddd")</f>
        <v>Tue</v>
      </c>
      <c r="AA194" s="39">
        <f t="shared" ref="AA194:AA257" si="74">WEEKDAY(B194,2)</f>
        <v>2</v>
      </c>
      <c r="AB194" s="39">
        <f t="shared" ref="AB194:AB257" si="75">WEEKNUM(B194,2)</f>
        <v>42</v>
      </c>
      <c r="AC194" s="39" t="str">
        <f t="shared" ref="AC194:AC257" si="76">IF(AA194&gt;5,"Weekend","Weekday")</f>
        <v>Weekday</v>
      </c>
      <c r="AD194" s="39">
        <f t="shared" ref="AD194:AD257" ca="1" si="77">TODAY()-B194</f>
        <v>1110</v>
      </c>
      <c r="AE194" s="39">
        <f t="shared" ref="AE194:AE257" ca="1" si="78">DATEDIF(B194,TODAY(),"M")</f>
        <v>36</v>
      </c>
      <c r="AF194" s="39" t="str">
        <f t="shared" ref="AF194:AF257" si="79">UPPER(LEFT(C194,3))</f>
        <v>DAV</v>
      </c>
      <c r="AG194" s="39" t="str">
        <f t="shared" ref="AG194:AG257" si="80">UPPER(LEFT(D194,1))&amp;UPPER(LEFT(M194,1))&amp;"-"&amp;TEXT(B194,"yymmdd")&amp;"-"&amp;TEXT(ROW()-1,"0000")</f>
        <v>WO-231010-0193</v>
      </c>
      <c r="AH194" s="39" t="str">
        <f>IF(AND(OR(Filter!$B$4="All",D194=Filter!$B$4),OR(Filter!$B$5="All",M194=Filter!$B$5),E194&gt;=Filter!$B$6),MAX(AH$1:AH193)+1,"")</f>
        <v/>
      </c>
      <c r="AI194" s="39">
        <f t="shared" ref="AI194:AI257" si="81">F194</f>
        <v>18</v>
      </c>
      <c r="AJ194" s="42">
        <f t="shared" ref="AJ194:AJ257" si="82">K194</f>
        <v>0.08</v>
      </c>
      <c r="AK194" s="41">
        <f t="shared" ref="AK194:AK257" si="83">I194</f>
        <v>3013.49</v>
      </c>
      <c r="AL194" s="39">
        <f>RANK(E194,$E$2:$E$1001,0)+COUNTIF($E$2:E194,E194)-1</f>
        <v>618</v>
      </c>
    </row>
    <row r="195" spans="1:38" x14ac:dyDescent="0.2">
      <c r="A195" s="39">
        <v>1027</v>
      </c>
      <c r="B195" s="40">
        <v>44995</v>
      </c>
      <c r="C195" s="39" t="s">
        <v>79</v>
      </c>
      <c r="D195" s="39" t="s">
        <v>69</v>
      </c>
      <c r="E195" s="41">
        <v>3985.34</v>
      </c>
      <c r="F195" s="39">
        <v>21</v>
      </c>
      <c r="G195" s="39" t="s">
        <v>70</v>
      </c>
      <c r="H195" s="41">
        <v>2511.41</v>
      </c>
      <c r="I195" s="41">
        <v>2848.4</v>
      </c>
      <c r="J195" s="39" t="s">
        <v>137</v>
      </c>
      <c r="K195" s="42">
        <v>0.06</v>
      </c>
      <c r="L195" s="39" t="s">
        <v>63</v>
      </c>
      <c r="M195" s="39" t="s">
        <v>138</v>
      </c>
      <c r="N195" s="39" t="s">
        <v>147</v>
      </c>
      <c r="O195" s="43">
        <f t="shared" si="63"/>
        <v>59816.4</v>
      </c>
      <c r="P195" s="43">
        <f t="shared" si="64"/>
        <v>56227.42</v>
      </c>
      <c r="Q195" s="43">
        <f t="shared" si="65"/>
        <v>52739.61</v>
      </c>
      <c r="R195" s="43">
        <f t="shared" si="66"/>
        <v>3487.8099999999977</v>
      </c>
      <c r="S195" s="44">
        <f t="shared" si="67"/>
        <v>6.2030411496739449E-2</v>
      </c>
      <c r="T195" s="39" t="str">
        <f t="shared" si="68"/>
        <v>OK</v>
      </c>
      <c r="U195" s="39" t="str">
        <f t="shared" si="69"/>
        <v>0-9%</v>
      </c>
      <c r="V195" s="39" t="str">
        <f>IF(E195&gt;=Analysis!$B$4,"High",IF(E195&gt;=Analysis!$B$5,"Mid","Low"))</f>
        <v>Mid</v>
      </c>
      <c r="W195" s="39" t="str">
        <f t="shared" si="70"/>
        <v>2023-03</v>
      </c>
      <c r="X195" s="40">
        <f t="shared" si="71"/>
        <v>45016</v>
      </c>
      <c r="Y195" s="39" t="str">
        <f t="shared" si="72"/>
        <v>2023-Q1</v>
      </c>
      <c r="Z195" s="39" t="str">
        <f t="shared" si="73"/>
        <v>Fri</v>
      </c>
      <c r="AA195" s="39">
        <f t="shared" si="74"/>
        <v>5</v>
      </c>
      <c r="AB195" s="39">
        <f t="shared" si="75"/>
        <v>11</v>
      </c>
      <c r="AC195" s="39" t="str">
        <f t="shared" si="76"/>
        <v>Weekday</v>
      </c>
      <c r="AD195" s="39">
        <f t="shared" ca="1" si="77"/>
        <v>1324</v>
      </c>
      <c r="AE195" s="39">
        <f t="shared" ca="1" si="78"/>
        <v>43</v>
      </c>
      <c r="AF195" s="39" t="str">
        <f t="shared" si="79"/>
        <v>EVE</v>
      </c>
      <c r="AG195" s="39" t="str">
        <f t="shared" si="80"/>
        <v>SO-230310-0194</v>
      </c>
      <c r="AH195" s="39" t="str">
        <f>IF(AND(OR(Filter!$B$4="All",D195=Filter!$B$4),OR(Filter!$B$5="All",M195=Filter!$B$5),E195&gt;=Filter!$B$6),MAX(AH$1:AH194)+1,"")</f>
        <v/>
      </c>
      <c r="AI195" s="39">
        <f t="shared" si="81"/>
        <v>21</v>
      </c>
      <c r="AJ195" s="42">
        <f t="shared" si="82"/>
        <v>0.06</v>
      </c>
      <c r="AK195" s="41">
        <f t="shared" si="83"/>
        <v>2848.4</v>
      </c>
      <c r="AL195" s="39">
        <f>RANK(E195,$E$2:$E$1001,0)+COUNTIF($E$2:E195,E195)-1</f>
        <v>599</v>
      </c>
    </row>
    <row r="196" spans="1:38" x14ac:dyDescent="0.2">
      <c r="A196" s="39">
        <v>1062</v>
      </c>
      <c r="B196" s="40">
        <v>45074</v>
      </c>
      <c r="C196" s="39" t="s">
        <v>66</v>
      </c>
      <c r="D196" s="39" t="s">
        <v>69</v>
      </c>
      <c r="E196" s="41">
        <v>7567.22</v>
      </c>
      <c r="F196" s="39">
        <v>28</v>
      </c>
      <c r="G196" s="39" t="s">
        <v>65</v>
      </c>
      <c r="H196" s="41">
        <v>933.16</v>
      </c>
      <c r="I196" s="41">
        <v>1004.7</v>
      </c>
      <c r="J196" s="39" t="s">
        <v>137</v>
      </c>
      <c r="K196" s="42">
        <v>0.18</v>
      </c>
      <c r="L196" s="39" t="s">
        <v>63</v>
      </c>
      <c r="M196" s="39" t="s">
        <v>138</v>
      </c>
      <c r="N196" s="39" t="s">
        <v>144</v>
      </c>
      <c r="O196" s="43">
        <f t="shared" si="63"/>
        <v>28131.599999999999</v>
      </c>
      <c r="P196" s="43">
        <f t="shared" si="64"/>
        <v>23067.91</v>
      </c>
      <c r="Q196" s="43">
        <f t="shared" si="65"/>
        <v>26128.48</v>
      </c>
      <c r="R196" s="43">
        <f t="shared" si="66"/>
        <v>-3060.5699999999997</v>
      </c>
      <c r="S196" s="44">
        <f t="shared" si="67"/>
        <v>-0.13267651902578081</v>
      </c>
      <c r="T196" s="39" t="str">
        <f t="shared" si="68"/>
        <v>Loss</v>
      </c>
      <c r="U196" s="39" t="str">
        <f t="shared" si="69"/>
        <v>10-19%</v>
      </c>
      <c r="V196" s="39" t="str">
        <f>IF(E196&gt;=Analysis!$B$4,"High",IF(E196&gt;=Analysis!$B$5,"Mid","Low"))</f>
        <v>High</v>
      </c>
      <c r="W196" s="39" t="str">
        <f t="shared" si="70"/>
        <v>2023-05</v>
      </c>
      <c r="X196" s="40">
        <f t="shared" si="71"/>
        <v>45077</v>
      </c>
      <c r="Y196" s="39" t="str">
        <f t="shared" si="72"/>
        <v>2023-Q2</v>
      </c>
      <c r="Z196" s="39" t="str">
        <f t="shared" si="73"/>
        <v>Sun</v>
      </c>
      <c r="AA196" s="39">
        <f t="shared" si="74"/>
        <v>7</v>
      </c>
      <c r="AB196" s="39">
        <f t="shared" si="75"/>
        <v>22</v>
      </c>
      <c r="AC196" s="39" t="str">
        <f t="shared" si="76"/>
        <v>Weekend</v>
      </c>
      <c r="AD196" s="39">
        <f t="shared" ca="1" si="77"/>
        <v>1245</v>
      </c>
      <c r="AE196" s="39">
        <f t="shared" ca="1" si="78"/>
        <v>40</v>
      </c>
      <c r="AF196" s="39" t="str">
        <f t="shared" si="79"/>
        <v>BOB</v>
      </c>
      <c r="AG196" s="39" t="str">
        <f t="shared" si="80"/>
        <v>SO-230528-0195</v>
      </c>
      <c r="AH196" s="39" t="str">
        <f>IF(AND(OR(Filter!$B$4="All",D196=Filter!$B$4),OR(Filter!$B$5="All",M196=Filter!$B$5),E196&gt;=Filter!$B$6),MAX(AH$1:AH195)+1,"")</f>
        <v/>
      </c>
      <c r="AI196" s="39">
        <f t="shared" si="81"/>
        <v>28</v>
      </c>
      <c r="AJ196" s="42">
        <f t="shared" si="82"/>
        <v>0.18</v>
      </c>
      <c r="AK196" s="41">
        <f t="shared" si="83"/>
        <v>1004.7</v>
      </c>
      <c r="AL196" s="39">
        <f>RANK(E196,$E$2:$E$1001,0)+COUNTIF($E$2:E196,E196)-1</f>
        <v>243</v>
      </c>
    </row>
    <row r="197" spans="1:38" x14ac:dyDescent="0.2">
      <c r="A197" s="39">
        <v>1077</v>
      </c>
      <c r="B197" s="40">
        <v>44937</v>
      </c>
      <c r="C197" s="39" t="s">
        <v>79</v>
      </c>
      <c r="D197" s="39" t="s">
        <v>64</v>
      </c>
      <c r="E197" s="41">
        <v>9192.42</v>
      </c>
      <c r="F197" s="39">
        <v>35</v>
      </c>
      <c r="G197" s="39" t="s">
        <v>65</v>
      </c>
      <c r="H197" s="41">
        <v>585.37</v>
      </c>
      <c r="I197" s="41">
        <v>970.49</v>
      </c>
      <c r="J197" s="39" t="s">
        <v>137</v>
      </c>
      <c r="K197" s="42">
        <v>0.15</v>
      </c>
      <c r="L197" s="39" t="s">
        <v>63</v>
      </c>
      <c r="M197" s="39" t="s">
        <v>140</v>
      </c>
      <c r="N197" s="39" t="s">
        <v>148</v>
      </c>
      <c r="O197" s="43">
        <f t="shared" si="63"/>
        <v>33967.15</v>
      </c>
      <c r="P197" s="43">
        <f t="shared" si="64"/>
        <v>28872.080000000002</v>
      </c>
      <c r="Q197" s="43">
        <f t="shared" si="65"/>
        <v>20487.95</v>
      </c>
      <c r="R197" s="43">
        <f t="shared" si="66"/>
        <v>8384.130000000001</v>
      </c>
      <c r="S197" s="44">
        <f t="shared" si="67"/>
        <v>0.29038884624869427</v>
      </c>
      <c r="T197" s="39" t="str">
        <f t="shared" si="68"/>
        <v>OK</v>
      </c>
      <c r="U197" s="39" t="str">
        <f t="shared" si="69"/>
        <v>10-19%</v>
      </c>
      <c r="V197" s="39" t="str">
        <f>IF(E197&gt;=Analysis!$B$4,"High",IF(E197&gt;=Analysis!$B$5,"Mid","Low"))</f>
        <v>High</v>
      </c>
      <c r="W197" s="39" t="str">
        <f t="shared" si="70"/>
        <v>2023-01</v>
      </c>
      <c r="X197" s="40">
        <f t="shared" si="71"/>
        <v>44957</v>
      </c>
      <c r="Y197" s="39" t="str">
        <f t="shared" si="72"/>
        <v>2023-Q1</v>
      </c>
      <c r="Z197" s="39" t="str">
        <f t="shared" si="73"/>
        <v>Wed</v>
      </c>
      <c r="AA197" s="39">
        <f t="shared" si="74"/>
        <v>3</v>
      </c>
      <c r="AB197" s="39">
        <f t="shared" si="75"/>
        <v>3</v>
      </c>
      <c r="AC197" s="39" t="str">
        <f t="shared" si="76"/>
        <v>Weekday</v>
      </c>
      <c r="AD197" s="39">
        <f t="shared" ca="1" si="77"/>
        <v>1382</v>
      </c>
      <c r="AE197" s="39">
        <f t="shared" ca="1" si="78"/>
        <v>45</v>
      </c>
      <c r="AF197" s="39" t="str">
        <f t="shared" si="79"/>
        <v>EVE</v>
      </c>
      <c r="AG197" s="39" t="str">
        <f t="shared" si="80"/>
        <v>NR-230111-0196</v>
      </c>
      <c r="AH197" s="39">
        <f>IF(AND(OR(Filter!$B$4="All",D197=Filter!$B$4),OR(Filter!$B$5="All",M197=Filter!$B$5),E197&gt;=Filter!$B$6),MAX(AH$1:AH196)+1,"")</f>
        <v>23</v>
      </c>
      <c r="AI197" s="39">
        <f t="shared" si="81"/>
        <v>35</v>
      </c>
      <c r="AJ197" s="42">
        <f t="shared" si="82"/>
        <v>0.15</v>
      </c>
      <c r="AK197" s="41">
        <f t="shared" si="83"/>
        <v>970.49</v>
      </c>
      <c r="AL197" s="39">
        <f>RANK(E197,$E$2:$E$1001,0)+COUNTIF($E$2:E197,E197)-1</f>
        <v>78</v>
      </c>
    </row>
    <row r="198" spans="1:38" x14ac:dyDescent="0.2">
      <c r="A198" s="39">
        <v>1003</v>
      </c>
      <c r="B198" s="40">
        <v>45180</v>
      </c>
      <c r="C198" s="39" t="s">
        <v>76</v>
      </c>
      <c r="D198" s="39" t="s">
        <v>59</v>
      </c>
      <c r="E198" s="41">
        <v>9514.19</v>
      </c>
      <c r="F198" s="39">
        <v>22</v>
      </c>
      <c r="G198" s="39" t="s">
        <v>70</v>
      </c>
      <c r="H198" s="41">
        <v>4218.43</v>
      </c>
      <c r="I198" s="41">
        <v>4331.42</v>
      </c>
      <c r="J198" s="39" t="s">
        <v>143</v>
      </c>
      <c r="K198" s="42">
        <v>0.26</v>
      </c>
      <c r="L198" s="39" t="s">
        <v>63</v>
      </c>
      <c r="M198" s="39" t="s">
        <v>138</v>
      </c>
      <c r="N198" s="39" t="s">
        <v>157</v>
      </c>
      <c r="O198" s="43">
        <f t="shared" si="63"/>
        <v>95291.24</v>
      </c>
      <c r="P198" s="43">
        <f t="shared" si="64"/>
        <v>70515.520000000004</v>
      </c>
      <c r="Q198" s="43">
        <f t="shared" si="65"/>
        <v>92805.46</v>
      </c>
      <c r="R198" s="43">
        <f t="shared" si="66"/>
        <v>-22289.940000000002</v>
      </c>
      <c r="S198" s="44">
        <f t="shared" si="67"/>
        <v>-0.3160997749147989</v>
      </c>
      <c r="T198" s="39" t="str">
        <f t="shared" si="68"/>
        <v>Loss</v>
      </c>
      <c r="U198" s="39" t="str">
        <f t="shared" si="69"/>
        <v>20%+</v>
      </c>
      <c r="V198" s="39" t="str">
        <f>IF(E198&gt;=Analysis!$B$4,"High",IF(E198&gt;=Analysis!$B$5,"Mid","Low"))</f>
        <v>High</v>
      </c>
      <c r="W198" s="39" t="str">
        <f t="shared" si="70"/>
        <v>2023-09</v>
      </c>
      <c r="X198" s="40">
        <f t="shared" si="71"/>
        <v>45199</v>
      </c>
      <c r="Y198" s="39" t="str">
        <f t="shared" si="72"/>
        <v>2023-Q3</v>
      </c>
      <c r="Z198" s="39" t="str">
        <f t="shared" si="73"/>
        <v>Mon</v>
      </c>
      <c r="AA198" s="39">
        <f t="shared" si="74"/>
        <v>1</v>
      </c>
      <c r="AB198" s="39">
        <f t="shared" si="75"/>
        <v>38</v>
      </c>
      <c r="AC198" s="39" t="str">
        <f t="shared" si="76"/>
        <v>Weekday</v>
      </c>
      <c r="AD198" s="39">
        <f t="shared" ca="1" si="77"/>
        <v>1139</v>
      </c>
      <c r="AE198" s="39">
        <f t="shared" ca="1" si="78"/>
        <v>37</v>
      </c>
      <c r="AF198" s="39" t="str">
        <f t="shared" si="79"/>
        <v>DAV</v>
      </c>
      <c r="AG198" s="39" t="str">
        <f t="shared" si="80"/>
        <v>EO-230911-0197</v>
      </c>
      <c r="AH198" s="39">
        <f>IF(AND(OR(Filter!$B$4="All",D198=Filter!$B$4),OR(Filter!$B$5="All",M198=Filter!$B$5),E198&gt;=Filter!$B$6),MAX(AH$1:AH197)+1,"")</f>
        <v>24</v>
      </c>
      <c r="AI198" s="39">
        <f t="shared" si="81"/>
        <v>22</v>
      </c>
      <c r="AJ198" s="42">
        <f t="shared" si="82"/>
        <v>0.26</v>
      </c>
      <c r="AK198" s="41">
        <f t="shared" si="83"/>
        <v>4331.42</v>
      </c>
      <c r="AL198" s="39">
        <f>RANK(E198,$E$2:$E$1001,0)+COUNTIF($E$2:E198,E198)-1</f>
        <v>51</v>
      </c>
    </row>
    <row r="199" spans="1:38" x14ac:dyDescent="0.2">
      <c r="A199" s="39">
        <v>1070</v>
      </c>
      <c r="B199" s="40">
        <v>45256</v>
      </c>
      <c r="C199" s="39" t="s">
        <v>76</v>
      </c>
      <c r="D199" s="39" t="s">
        <v>64</v>
      </c>
      <c r="E199" s="41">
        <v>5813.51</v>
      </c>
      <c r="F199" s="39">
        <v>40</v>
      </c>
      <c r="G199" s="39" t="s">
        <v>75</v>
      </c>
      <c r="H199" s="41">
        <v>3089.96</v>
      </c>
      <c r="I199" s="41">
        <v>3258.45</v>
      </c>
      <c r="J199" s="39" t="s">
        <v>143</v>
      </c>
      <c r="K199" s="42">
        <v>0.28999999999999998</v>
      </c>
      <c r="L199" s="39" t="s">
        <v>68</v>
      </c>
      <c r="M199" s="39" t="s">
        <v>138</v>
      </c>
      <c r="N199" s="39" t="s">
        <v>152</v>
      </c>
      <c r="O199" s="43">
        <f t="shared" si="63"/>
        <v>130338</v>
      </c>
      <c r="P199" s="43">
        <f t="shared" si="64"/>
        <v>92539.98</v>
      </c>
      <c r="Q199" s="43">
        <f t="shared" si="65"/>
        <v>123598.39999999999</v>
      </c>
      <c r="R199" s="43">
        <f t="shared" si="66"/>
        <v>-31058.42</v>
      </c>
      <c r="S199" s="44">
        <f t="shared" si="67"/>
        <v>-0.33562164158669583</v>
      </c>
      <c r="T199" s="39" t="str">
        <f t="shared" si="68"/>
        <v>Loss</v>
      </c>
      <c r="U199" s="39" t="str">
        <f t="shared" si="69"/>
        <v>20%+</v>
      </c>
      <c r="V199" s="39" t="str">
        <f>IF(E199&gt;=Analysis!$B$4,"High",IF(E199&gt;=Analysis!$B$5,"Mid","Low"))</f>
        <v>Mid</v>
      </c>
      <c r="W199" s="39" t="str">
        <f t="shared" si="70"/>
        <v>2023-11</v>
      </c>
      <c r="X199" s="40">
        <f t="shared" si="71"/>
        <v>45260</v>
      </c>
      <c r="Y199" s="39" t="str">
        <f t="shared" si="72"/>
        <v>2023-Q4</v>
      </c>
      <c r="Z199" s="39" t="str">
        <f t="shared" si="73"/>
        <v>Sun</v>
      </c>
      <c r="AA199" s="39">
        <f t="shared" si="74"/>
        <v>7</v>
      </c>
      <c r="AB199" s="39">
        <f t="shared" si="75"/>
        <v>48</v>
      </c>
      <c r="AC199" s="39" t="str">
        <f t="shared" si="76"/>
        <v>Weekend</v>
      </c>
      <c r="AD199" s="39">
        <f t="shared" ca="1" si="77"/>
        <v>1063</v>
      </c>
      <c r="AE199" s="39">
        <f t="shared" ca="1" si="78"/>
        <v>34</v>
      </c>
      <c r="AF199" s="39" t="str">
        <f t="shared" si="79"/>
        <v>DAV</v>
      </c>
      <c r="AG199" s="39" t="str">
        <f t="shared" si="80"/>
        <v>NO-231126-0198</v>
      </c>
      <c r="AH199" s="39" t="str">
        <f>IF(AND(OR(Filter!$B$4="All",D199=Filter!$B$4),OR(Filter!$B$5="All",M199=Filter!$B$5),E199&gt;=Filter!$B$6),MAX(AH$1:AH198)+1,"")</f>
        <v/>
      </c>
      <c r="AI199" s="39">
        <f t="shared" si="81"/>
        <v>40</v>
      </c>
      <c r="AJ199" s="42">
        <f t="shared" si="82"/>
        <v>0.28999999999999998</v>
      </c>
      <c r="AK199" s="41">
        <f t="shared" si="83"/>
        <v>3258.45</v>
      </c>
      <c r="AL199" s="39">
        <f>RANK(E199,$E$2:$E$1001,0)+COUNTIF($E$2:E199,E199)-1</f>
        <v>429</v>
      </c>
    </row>
    <row r="200" spans="1:38" x14ac:dyDescent="0.2">
      <c r="A200" s="39">
        <v>1072</v>
      </c>
      <c r="B200" s="40">
        <v>45286</v>
      </c>
      <c r="C200" s="39" t="s">
        <v>71</v>
      </c>
      <c r="D200" s="39" t="s">
        <v>64</v>
      </c>
      <c r="E200" s="41">
        <v>3635.5</v>
      </c>
      <c r="F200" s="39">
        <v>23</v>
      </c>
      <c r="G200" s="39" t="s">
        <v>75</v>
      </c>
      <c r="H200" s="41">
        <v>1662.83</v>
      </c>
      <c r="I200" s="41">
        <v>2074.25</v>
      </c>
      <c r="J200" s="39" t="s">
        <v>143</v>
      </c>
      <c r="K200" s="42">
        <v>0.12</v>
      </c>
      <c r="L200" s="39" t="s">
        <v>63</v>
      </c>
      <c r="M200" s="39" t="s">
        <v>138</v>
      </c>
      <c r="N200" s="39" t="s">
        <v>160</v>
      </c>
      <c r="O200" s="43">
        <f t="shared" si="63"/>
        <v>47707.75</v>
      </c>
      <c r="P200" s="43">
        <f t="shared" si="64"/>
        <v>41982.82</v>
      </c>
      <c r="Q200" s="43">
        <f t="shared" si="65"/>
        <v>38245.089999999997</v>
      </c>
      <c r="R200" s="43">
        <f t="shared" si="66"/>
        <v>3737.7300000000032</v>
      </c>
      <c r="S200" s="44">
        <f t="shared" si="67"/>
        <v>8.9029988933568616E-2</v>
      </c>
      <c r="T200" s="39" t="str">
        <f t="shared" si="68"/>
        <v>OK</v>
      </c>
      <c r="U200" s="39" t="str">
        <f t="shared" si="69"/>
        <v>10-19%</v>
      </c>
      <c r="V200" s="39" t="str">
        <f>IF(E200&gt;=Analysis!$B$4,"High",IF(E200&gt;=Analysis!$B$5,"Mid","Low"))</f>
        <v>Mid</v>
      </c>
      <c r="W200" s="39" t="str">
        <f t="shared" si="70"/>
        <v>2023-12</v>
      </c>
      <c r="X200" s="40">
        <f t="shared" si="71"/>
        <v>45291</v>
      </c>
      <c r="Y200" s="39" t="str">
        <f t="shared" si="72"/>
        <v>2023-Q4</v>
      </c>
      <c r="Z200" s="39" t="str">
        <f t="shared" si="73"/>
        <v>Tue</v>
      </c>
      <c r="AA200" s="39">
        <f t="shared" si="74"/>
        <v>2</v>
      </c>
      <c r="AB200" s="39">
        <f t="shared" si="75"/>
        <v>53</v>
      </c>
      <c r="AC200" s="39" t="str">
        <f t="shared" si="76"/>
        <v>Weekday</v>
      </c>
      <c r="AD200" s="39">
        <f t="shared" ca="1" si="77"/>
        <v>1033</v>
      </c>
      <c r="AE200" s="39">
        <f t="shared" ca="1" si="78"/>
        <v>33</v>
      </c>
      <c r="AF200" s="39" t="str">
        <f t="shared" si="79"/>
        <v>CHA</v>
      </c>
      <c r="AG200" s="39" t="str">
        <f t="shared" si="80"/>
        <v>NO-231226-0199</v>
      </c>
      <c r="AH200" s="39" t="str">
        <f>IF(AND(OR(Filter!$B$4="All",D200=Filter!$B$4),OR(Filter!$B$5="All",M200=Filter!$B$5),E200&gt;=Filter!$B$6),MAX(AH$1:AH199)+1,"")</f>
        <v/>
      </c>
      <c r="AI200" s="39">
        <f t="shared" si="81"/>
        <v>23</v>
      </c>
      <c r="AJ200" s="42">
        <f t="shared" si="82"/>
        <v>0.12</v>
      </c>
      <c r="AK200" s="41">
        <f t="shared" si="83"/>
        <v>2074.25</v>
      </c>
      <c r="AL200" s="39">
        <f>RANK(E200,$E$2:$E$1001,0)+COUNTIF($E$2:E200,E200)-1</f>
        <v>634</v>
      </c>
    </row>
    <row r="201" spans="1:38" x14ac:dyDescent="0.2">
      <c r="A201" s="39">
        <v>1027</v>
      </c>
      <c r="B201" s="40">
        <v>44964</v>
      </c>
      <c r="C201" s="39" t="s">
        <v>66</v>
      </c>
      <c r="D201" s="39" t="s">
        <v>74</v>
      </c>
      <c r="E201" s="41">
        <v>7896.74</v>
      </c>
      <c r="F201" s="39">
        <v>3</v>
      </c>
      <c r="G201" s="39" t="s">
        <v>70</v>
      </c>
      <c r="H201" s="41">
        <v>999.09</v>
      </c>
      <c r="I201" s="41">
        <v>1271.99</v>
      </c>
      <c r="J201" s="39" t="s">
        <v>143</v>
      </c>
      <c r="K201" s="42">
        <v>0.15</v>
      </c>
      <c r="L201" s="39" t="s">
        <v>73</v>
      </c>
      <c r="M201" s="39" t="s">
        <v>138</v>
      </c>
      <c r="N201" s="39" t="s">
        <v>141</v>
      </c>
      <c r="O201" s="43">
        <f t="shared" si="63"/>
        <v>3815.97</v>
      </c>
      <c r="P201" s="43">
        <f t="shared" si="64"/>
        <v>3243.57</v>
      </c>
      <c r="Q201" s="43">
        <f t="shared" si="65"/>
        <v>2997.27</v>
      </c>
      <c r="R201" s="43">
        <f t="shared" si="66"/>
        <v>246.30000000000018</v>
      </c>
      <c r="S201" s="44">
        <f t="shared" si="67"/>
        <v>7.593484956390649E-2</v>
      </c>
      <c r="T201" s="39" t="str">
        <f t="shared" si="68"/>
        <v>OK</v>
      </c>
      <c r="U201" s="39" t="str">
        <f t="shared" si="69"/>
        <v>10-19%</v>
      </c>
      <c r="V201" s="39" t="str">
        <f>IF(E201&gt;=Analysis!$B$4,"High",IF(E201&gt;=Analysis!$B$5,"Mid","Low"))</f>
        <v>High</v>
      </c>
      <c r="W201" s="39" t="str">
        <f t="shared" si="70"/>
        <v>2023-02</v>
      </c>
      <c r="X201" s="40">
        <f t="shared" si="71"/>
        <v>44985</v>
      </c>
      <c r="Y201" s="39" t="str">
        <f t="shared" si="72"/>
        <v>2023-Q1</v>
      </c>
      <c r="Z201" s="39" t="str">
        <f t="shared" si="73"/>
        <v>Tue</v>
      </c>
      <c r="AA201" s="39">
        <f t="shared" si="74"/>
        <v>2</v>
      </c>
      <c r="AB201" s="39">
        <f t="shared" si="75"/>
        <v>7</v>
      </c>
      <c r="AC201" s="39" t="str">
        <f t="shared" si="76"/>
        <v>Weekday</v>
      </c>
      <c r="AD201" s="39">
        <f t="shared" ca="1" si="77"/>
        <v>1355</v>
      </c>
      <c r="AE201" s="39">
        <f t="shared" ca="1" si="78"/>
        <v>44</v>
      </c>
      <c r="AF201" s="39" t="str">
        <f t="shared" si="79"/>
        <v>BOB</v>
      </c>
      <c r="AG201" s="39" t="str">
        <f t="shared" si="80"/>
        <v>WO-230207-0200</v>
      </c>
      <c r="AH201" s="39" t="str">
        <f>IF(AND(OR(Filter!$B$4="All",D201=Filter!$B$4),OR(Filter!$B$5="All",M201=Filter!$B$5),E201&gt;=Filter!$B$6),MAX(AH$1:AH200)+1,"")</f>
        <v/>
      </c>
      <c r="AI201" s="39">
        <f t="shared" si="81"/>
        <v>3</v>
      </c>
      <c r="AJ201" s="42">
        <f t="shared" si="82"/>
        <v>0.15</v>
      </c>
      <c r="AK201" s="41">
        <f t="shared" si="83"/>
        <v>1271.99</v>
      </c>
      <c r="AL201" s="39">
        <f>RANK(E201,$E$2:$E$1001,0)+COUNTIF($E$2:E201,E201)-1</f>
        <v>205</v>
      </c>
    </row>
    <row r="202" spans="1:38" x14ac:dyDescent="0.2">
      <c r="A202" s="39">
        <v>1009</v>
      </c>
      <c r="B202" s="40">
        <v>45060</v>
      </c>
      <c r="C202" s="39" t="s">
        <v>76</v>
      </c>
      <c r="D202" s="39" t="s">
        <v>74</v>
      </c>
      <c r="E202" s="41">
        <v>2584.91</v>
      </c>
      <c r="F202" s="39">
        <v>40</v>
      </c>
      <c r="G202" s="39" t="s">
        <v>75</v>
      </c>
      <c r="H202" s="41">
        <v>2799.71</v>
      </c>
      <c r="I202" s="41">
        <v>3231.08</v>
      </c>
      <c r="J202" s="39" t="s">
        <v>137</v>
      </c>
      <c r="K202" s="42">
        <v>0.28999999999999998</v>
      </c>
      <c r="L202" s="39" t="s">
        <v>73</v>
      </c>
      <c r="M202" s="39" t="s">
        <v>140</v>
      </c>
      <c r="N202" s="39" t="s">
        <v>154</v>
      </c>
      <c r="O202" s="43">
        <f t="shared" si="63"/>
        <v>129243.2</v>
      </c>
      <c r="P202" s="43">
        <f t="shared" si="64"/>
        <v>91762.67</v>
      </c>
      <c r="Q202" s="43">
        <f t="shared" si="65"/>
        <v>111988.4</v>
      </c>
      <c r="R202" s="43">
        <f t="shared" si="66"/>
        <v>-20225.729999999996</v>
      </c>
      <c r="S202" s="44">
        <f t="shared" si="67"/>
        <v>-0.220413486224845</v>
      </c>
      <c r="T202" s="39" t="str">
        <f t="shared" si="68"/>
        <v>Loss</v>
      </c>
      <c r="U202" s="39" t="str">
        <f t="shared" si="69"/>
        <v>20%+</v>
      </c>
      <c r="V202" s="39" t="str">
        <f>IF(E202&gt;=Analysis!$B$4,"High",IF(E202&gt;=Analysis!$B$5,"Mid","Low"))</f>
        <v>Mid</v>
      </c>
      <c r="W202" s="39" t="str">
        <f t="shared" si="70"/>
        <v>2023-05</v>
      </c>
      <c r="X202" s="40">
        <f t="shared" si="71"/>
        <v>45077</v>
      </c>
      <c r="Y202" s="39" t="str">
        <f t="shared" si="72"/>
        <v>2023-Q2</v>
      </c>
      <c r="Z202" s="39" t="str">
        <f t="shared" si="73"/>
        <v>Sun</v>
      </c>
      <c r="AA202" s="39">
        <f t="shared" si="74"/>
        <v>7</v>
      </c>
      <c r="AB202" s="39">
        <f t="shared" si="75"/>
        <v>20</v>
      </c>
      <c r="AC202" s="39" t="str">
        <f t="shared" si="76"/>
        <v>Weekend</v>
      </c>
      <c r="AD202" s="39">
        <f t="shared" ca="1" si="77"/>
        <v>1259</v>
      </c>
      <c r="AE202" s="39">
        <f t="shared" ca="1" si="78"/>
        <v>41</v>
      </c>
      <c r="AF202" s="39" t="str">
        <f t="shared" si="79"/>
        <v>DAV</v>
      </c>
      <c r="AG202" s="39" t="str">
        <f t="shared" si="80"/>
        <v>WR-230514-0201</v>
      </c>
      <c r="AH202" s="39" t="str">
        <f>IF(AND(OR(Filter!$B$4="All",D202=Filter!$B$4),OR(Filter!$B$5="All",M202=Filter!$B$5),E202&gt;=Filter!$B$6),MAX(AH$1:AH201)+1,"")</f>
        <v/>
      </c>
      <c r="AI202" s="39">
        <f t="shared" si="81"/>
        <v>40</v>
      </c>
      <c r="AJ202" s="42">
        <f t="shared" si="82"/>
        <v>0.28999999999999998</v>
      </c>
      <c r="AK202" s="41">
        <f t="shared" si="83"/>
        <v>3231.08</v>
      </c>
      <c r="AL202" s="39">
        <f>RANK(E202,$E$2:$E$1001,0)+COUNTIF($E$2:E202,E202)-1</f>
        <v>742</v>
      </c>
    </row>
    <row r="203" spans="1:38" x14ac:dyDescent="0.2">
      <c r="A203" s="39">
        <v>1062</v>
      </c>
      <c r="B203" s="40">
        <v>45126</v>
      </c>
      <c r="C203" s="39" t="s">
        <v>71</v>
      </c>
      <c r="D203" s="39" t="s">
        <v>64</v>
      </c>
      <c r="E203" s="41">
        <v>5684.33</v>
      </c>
      <c r="F203" s="39">
        <v>10</v>
      </c>
      <c r="G203" s="39" t="s">
        <v>65</v>
      </c>
      <c r="H203" s="41">
        <v>2940.4</v>
      </c>
      <c r="I203" s="41">
        <v>3054.79</v>
      </c>
      <c r="J203" s="39" t="s">
        <v>137</v>
      </c>
      <c r="K203" s="42">
        <v>0.08</v>
      </c>
      <c r="L203" s="39" t="s">
        <v>73</v>
      </c>
      <c r="M203" s="39" t="s">
        <v>138</v>
      </c>
      <c r="N203" s="39" t="s">
        <v>160</v>
      </c>
      <c r="O203" s="43">
        <f t="shared" si="63"/>
        <v>30547.9</v>
      </c>
      <c r="P203" s="43">
        <f t="shared" si="64"/>
        <v>28104.07</v>
      </c>
      <c r="Q203" s="43">
        <f t="shared" si="65"/>
        <v>29404</v>
      </c>
      <c r="R203" s="43">
        <f t="shared" si="66"/>
        <v>-1299.9300000000003</v>
      </c>
      <c r="S203" s="44">
        <f t="shared" si="67"/>
        <v>-4.6254154647351803E-2</v>
      </c>
      <c r="T203" s="39" t="str">
        <f t="shared" si="68"/>
        <v>Loss</v>
      </c>
      <c r="U203" s="39" t="str">
        <f t="shared" si="69"/>
        <v>0-9%</v>
      </c>
      <c r="V203" s="39" t="str">
        <f>IF(E203&gt;=Analysis!$B$4,"High",IF(E203&gt;=Analysis!$B$5,"Mid","Low"))</f>
        <v>Mid</v>
      </c>
      <c r="W203" s="39" t="str">
        <f t="shared" si="70"/>
        <v>2023-07</v>
      </c>
      <c r="X203" s="40">
        <f t="shared" si="71"/>
        <v>45138</v>
      </c>
      <c r="Y203" s="39" t="str">
        <f t="shared" si="72"/>
        <v>2023-Q3</v>
      </c>
      <c r="Z203" s="39" t="str">
        <f t="shared" si="73"/>
        <v>Wed</v>
      </c>
      <c r="AA203" s="39">
        <f t="shared" si="74"/>
        <v>3</v>
      </c>
      <c r="AB203" s="39">
        <f t="shared" si="75"/>
        <v>30</v>
      </c>
      <c r="AC203" s="39" t="str">
        <f t="shared" si="76"/>
        <v>Weekday</v>
      </c>
      <c r="AD203" s="39">
        <f t="shared" ca="1" si="77"/>
        <v>1193</v>
      </c>
      <c r="AE203" s="39">
        <f t="shared" ca="1" si="78"/>
        <v>39</v>
      </c>
      <c r="AF203" s="39" t="str">
        <f t="shared" si="79"/>
        <v>CHA</v>
      </c>
      <c r="AG203" s="39" t="str">
        <f t="shared" si="80"/>
        <v>NO-230719-0202</v>
      </c>
      <c r="AH203" s="39" t="str">
        <f>IF(AND(OR(Filter!$B$4="All",D203=Filter!$B$4),OR(Filter!$B$5="All",M203=Filter!$B$5),E203&gt;=Filter!$B$6),MAX(AH$1:AH202)+1,"")</f>
        <v/>
      </c>
      <c r="AI203" s="39">
        <f t="shared" si="81"/>
        <v>10</v>
      </c>
      <c r="AJ203" s="42">
        <f t="shared" si="82"/>
        <v>0.08</v>
      </c>
      <c r="AK203" s="41">
        <f t="shared" si="83"/>
        <v>3054.79</v>
      </c>
      <c r="AL203" s="39">
        <f>RANK(E203,$E$2:$E$1001,0)+COUNTIF($E$2:E203,E203)-1</f>
        <v>440</v>
      </c>
    </row>
    <row r="204" spans="1:38" x14ac:dyDescent="0.2">
      <c r="A204" s="39">
        <v>1037</v>
      </c>
      <c r="B204" s="40">
        <v>44949</v>
      </c>
      <c r="C204" s="39" t="s">
        <v>71</v>
      </c>
      <c r="D204" s="39" t="s">
        <v>59</v>
      </c>
      <c r="E204" s="41">
        <v>3649.93</v>
      </c>
      <c r="F204" s="39">
        <v>25</v>
      </c>
      <c r="G204" s="39" t="s">
        <v>70</v>
      </c>
      <c r="H204" s="41">
        <v>1074.6199999999999</v>
      </c>
      <c r="I204" s="41">
        <v>1382.43</v>
      </c>
      <c r="J204" s="39" t="s">
        <v>137</v>
      </c>
      <c r="K204" s="42">
        <v>0.24</v>
      </c>
      <c r="L204" s="39" t="s">
        <v>73</v>
      </c>
      <c r="M204" s="39" t="s">
        <v>140</v>
      </c>
      <c r="N204" s="39" t="s">
        <v>145</v>
      </c>
      <c r="O204" s="43">
        <f t="shared" si="63"/>
        <v>34560.75</v>
      </c>
      <c r="P204" s="43">
        <f t="shared" si="64"/>
        <v>26266.17</v>
      </c>
      <c r="Q204" s="43">
        <f t="shared" si="65"/>
        <v>26865.5</v>
      </c>
      <c r="R204" s="43">
        <f t="shared" si="66"/>
        <v>-599.33000000000175</v>
      </c>
      <c r="S204" s="44">
        <f t="shared" si="67"/>
        <v>-2.2817563428547131E-2</v>
      </c>
      <c r="T204" s="39" t="str">
        <f t="shared" si="68"/>
        <v>Loss</v>
      </c>
      <c r="U204" s="39" t="str">
        <f t="shared" si="69"/>
        <v>20%+</v>
      </c>
      <c r="V204" s="39" t="str">
        <f>IF(E204&gt;=Analysis!$B$4,"High",IF(E204&gt;=Analysis!$B$5,"Mid","Low"))</f>
        <v>Mid</v>
      </c>
      <c r="W204" s="39" t="str">
        <f t="shared" si="70"/>
        <v>2023-01</v>
      </c>
      <c r="X204" s="40">
        <f t="shared" si="71"/>
        <v>44957</v>
      </c>
      <c r="Y204" s="39" t="str">
        <f t="shared" si="72"/>
        <v>2023-Q1</v>
      </c>
      <c r="Z204" s="39" t="str">
        <f t="shared" si="73"/>
        <v>Mon</v>
      </c>
      <c r="AA204" s="39">
        <f t="shared" si="74"/>
        <v>1</v>
      </c>
      <c r="AB204" s="39">
        <f t="shared" si="75"/>
        <v>5</v>
      </c>
      <c r="AC204" s="39" t="str">
        <f t="shared" si="76"/>
        <v>Weekday</v>
      </c>
      <c r="AD204" s="39">
        <f t="shared" ca="1" si="77"/>
        <v>1370</v>
      </c>
      <c r="AE204" s="39">
        <f t="shared" ca="1" si="78"/>
        <v>45</v>
      </c>
      <c r="AF204" s="39" t="str">
        <f t="shared" si="79"/>
        <v>CHA</v>
      </c>
      <c r="AG204" s="39" t="str">
        <f t="shared" si="80"/>
        <v>ER-230123-0203</v>
      </c>
      <c r="AH204" s="39" t="str">
        <f>IF(AND(OR(Filter!$B$4="All",D204=Filter!$B$4),OR(Filter!$B$5="All",M204=Filter!$B$5),E204&gt;=Filter!$B$6),MAX(AH$1:AH203)+1,"")</f>
        <v/>
      </c>
      <c r="AI204" s="39">
        <f t="shared" si="81"/>
        <v>25</v>
      </c>
      <c r="AJ204" s="42">
        <f t="shared" si="82"/>
        <v>0.24</v>
      </c>
      <c r="AK204" s="41">
        <f t="shared" si="83"/>
        <v>1382.43</v>
      </c>
      <c r="AL204" s="39">
        <f>RANK(E204,$E$2:$E$1001,0)+COUNTIF($E$2:E204,E204)-1</f>
        <v>633</v>
      </c>
    </row>
    <row r="205" spans="1:38" x14ac:dyDescent="0.2">
      <c r="A205" s="39">
        <v>1097</v>
      </c>
      <c r="B205" s="40">
        <v>45229</v>
      </c>
      <c r="C205" s="39" t="s">
        <v>79</v>
      </c>
      <c r="D205" s="39" t="s">
        <v>74</v>
      </c>
      <c r="E205" s="41">
        <v>6600.65</v>
      </c>
      <c r="F205" s="39">
        <v>49</v>
      </c>
      <c r="G205" s="39" t="s">
        <v>65</v>
      </c>
      <c r="H205" s="41">
        <v>4264.46</v>
      </c>
      <c r="I205" s="41">
        <v>4315.5200000000004</v>
      </c>
      <c r="J205" s="39" t="s">
        <v>143</v>
      </c>
      <c r="K205" s="42">
        <v>7.0000000000000007E-2</v>
      </c>
      <c r="L205" s="39" t="s">
        <v>68</v>
      </c>
      <c r="M205" s="39" t="s">
        <v>140</v>
      </c>
      <c r="N205" s="39" t="s">
        <v>149</v>
      </c>
      <c r="O205" s="43">
        <f t="shared" si="63"/>
        <v>211460.48000000001</v>
      </c>
      <c r="P205" s="43">
        <f t="shared" si="64"/>
        <v>196658.25</v>
      </c>
      <c r="Q205" s="43">
        <f t="shared" si="65"/>
        <v>208958.54</v>
      </c>
      <c r="R205" s="43">
        <f t="shared" si="66"/>
        <v>-12300.290000000008</v>
      </c>
      <c r="S205" s="44">
        <f t="shared" si="67"/>
        <v>-6.2546524236842385E-2</v>
      </c>
      <c r="T205" s="39" t="str">
        <f t="shared" si="68"/>
        <v>Loss</v>
      </c>
      <c r="U205" s="39" t="str">
        <f t="shared" si="69"/>
        <v>0-9%</v>
      </c>
      <c r="V205" s="39" t="str">
        <f>IF(E205&gt;=Analysis!$B$4,"High",IF(E205&gt;=Analysis!$B$5,"Mid","Low"))</f>
        <v>Mid</v>
      </c>
      <c r="W205" s="39" t="str">
        <f t="shared" si="70"/>
        <v>2023-10</v>
      </c>
      <c r="X205" s="40">
        <f t="shared" si="71"/>
        <v>45230</v>
      </c>
      <c r="Y205" s="39" t="str">
        <f t="shared" si="72"/>
        <v>2023-Q4</v>
      </c>
      <c r="Z205" s="39" t="str">
        <f t="shared" si="73"/>
        <v>Mon</v>
      </c>
      <c r="AA205" s="39">
        <f t="shared" si="74"/>
        <v>1</v>
      </c>
      <c r="AB205" s="39">
        <f t="shared" si="75"/>
        <v>45</v>
      </c>
      <c r="AC205" s="39" t="str">
        <f t="shared" si="76"/>
        <v>Weekday</v>
      </c>
      <c r="AD205" s="39">
        <f t="shared" ca="1" si="77"/>
        <v>1090</v>
      </c>
      <c r="AE205" s="39">
        <f t="shared" ca="1" si="78"/>
        <v>35</v>
      </c>
      <c r="AF205" s="39" t="str">
        <f t="shared" si="79"/>
        <v>EVE</v>
      </c>
      <c r="AG205" s="39" t="str">
        <f t="shared" si="80"/>
        <v>WR-231030-0204</v>
      </c>
      <c r="AH205" s="39" t="str">
        <f>IF(AND(OR(Filter!$B$4="All",D205=Filter!$B$4),OR(Filter!$B$5="All",M205=Filter!$B$5),E205&gt;=Filter!$B$6),MAX(AH$1:AH204)+1,"")</f>
        <v/>
      </c>
      <c r="AI205" s="39">
        <f t="shared" si="81"/>
        <v>49</v>
      </c>
      <c r="AJ205" s="42">
        <f t="shared" si="82"/>
        <v>7.0000000000000007E-2</v>
      </c>
      <c r="AK205" s="41">
        <f t="shared" si="83"/>
        <v>4315.5200000000004</v>
      </c>
      <c r="AL205" s="39">
        <f>RANK(E205,$E$2:$E$1001,0)+COUNTIF($E$2:E205,E205)-1</f>
        <v>350</v>
      </c>
    </row>
    <row r="206" spans="1:38" x14ac:dyDescent="0.2">
      <c r="A206" s="39">
        <v>1051</v>
      </c>
      <c r="B206" s="40">
        <v>45272</v>
      </c>
      <c r="C206" s="39" t="s">
        <v>79</v>
      </c>
      <c r="D206" s="39" t="s">
        <v>64</v>
      </c>
      <c r="E206" s="41">
        <v>2479.9499999999998</v>
      </c>
      <c r="F206" s="39">
        <v>8</v>
      </c>
      <c r="G206" s="39" t="s">
        <v>60</v>
      </c>
      <c r="H206" s="41">
        <v>467.11</v>
      </c>
      <c r="I206" s="41">
        <v>792.21</v>
      </c>
      <c r="J206" s="39" t="s">
        <v>143</v>
      </c>
      <c r="K206" s="42">
        <v>0.2</v>
      </c>
      <c r="L206" s="39" t="s">
        <v>73</v>
      </c>
      <c r="M206" s="39" t="s">
        <v>138</v>
      </c>
      <c r="N206" s="39" t="s">
        <v>148</v>
      </c>
      <c r="O206" s="43">
        <f t="shared" si="63"/>
        <v>6337.68</v>
      </c>
      <c r="P206" s="43">
        <f t="shared" si="64"/>
        <v>5070.1400000000003</v>
      </c>
      <c r="Q206" s="43">
        <f t="shared" si="65"/>
        <v>3736.88</v>
      </c>
      <c r="R206" s="43">
        <f t="shared" si="66"/>
        <v>1333.2600000000002</v>
      </c>
      <c r="S206" s="44">
        <f t="shared" si="67"/>
        <v>0.26296315289124167</v>
      </c>
      <c r="T206" s="39" t="str">
        <f t="shared" si="68"/>
        <v>OK</v>
      </c>
      <c r="U206" s="39" t="str">
        <f t="shared" si="69"/>
        <v>20%+</v>
      </c>
      <c r="V206" s="39" t="str">
        <f>IF(E206&gt;=Analysis!$B$4,"High",IF(E206&gt;=Analysis!$B$5,"Mid","Low"))</f>
        <v>Low</v>
      </c>
      <c r="W206" s="39" t="str">
        <f t="shared" si="70"/>
        <v>2023-12</v>
      </c>
      <c r="X206" s="40">
        <f t="shared" si="71"/>
        <v>45291</v>
      </c>
      <c r="Y206" s="39" t="str">
        <f t="shared" si="72"/>
        <v>2023-Q4</v>
      </c>
      <c r="Z206" s="39" t="str">
        <f t="shared" si="73"/>
        <v>Tue</v>
      </c>
      <c r="AA206" s="39">
        <f t="shared" si="74"/>
        <v>2</v>
      </c>
      <c r="AB206" s="39">
        <f t="shared" si="75"/>
        <v>51</v>
      </c>
      <c r="AC206" s="39" t="str">
        <f t="shared" si="76"/>
        <v>Weekday</v>
      </c>
      <c r="AD206" s="39">
        <f t="shared" ca="1" si="77"/>
        <v>1047</v>
      </c>
      <c r="AE206" s="39">
        <f t="shared" ca="1" si="78"/>
        <v>34</v>
      </c>
      <c r="AF206" s="39" t="str">
        <f t="shared" si="79"/>
        <v>EVE</v>
      </c>
      <c r="AG206" s="39" t="str">
        <f t="shared" si="80"/>
        <v>NO-231212-0205</v>
      </c>
      <c r="AH206" s="39" t="str">
        <f>IF(AND(OR(Filter!$B$4="All",D206=Filter!$B$4),OR(Filter!$B$5="All",M206=Filter!$B$5),E206&gt;=Filter!$B$6),MAX(AH$1:AH205)+1,"")</f>
        <v/>
      </c>
      <c r="AI206" s="39">
        <f t="shared" si="81"/>
        <v>8</v>
      </c>
      <c r="AJ206" s="42">
        <f t="shared" si="82"/>
        <v>0.2</v>
      </c>
      <c r="AK206" s="41">
        <f t="shared" si="83"/>
        <v>792.21</v>
      </c>
      <c r="AL206" s="39">
        <f>RANK(E206,$E$2:$E$1001,0)+COUNTIF($E$2:E206,E206)-1</f>
        <v>761</v>
      </c>
    </row>
    <row r="207" spans="1:38" x14ac:dyDescent="0.2">
      <c r="A207" s="39">
        <v>1044</v>
      </c>
      <c r="B207" s="40">
        <v>45228</v>
      </c>
      <c r="C207" s="39" t="s">
        <v>71</v>
      </c>
      <c r="D207" s="39" t="s">
        <v>64</v>
      </c>
      <c r="E207" s="41">
        <v>1996.77</v>
      </c>
      <c r="F207" s="39">
        <v>11</v>
      </c>
      <c r="G207" s="39" t="s">
        <v>60</v>
      </c>
      <c r="H207" s="41">
        <v>1812.66</v>
      </c>
      <c r="I207" s="41">
        <v>2196.3000000000002</v>
      </c>
      <c r="J207" s="39" t="s">
        <v>143</v>
      </c>
      <c r="K207" s="42">
        <v>0.08</v>
      </c>
      <c r="L207" s="39" t="s">
        <v>68</v>
      </c>
      <c r="M207" s="39" t="s">
        <v>138</v>
      </c>
      <c r="N207" s="39" t="s">
        <v>160</v>
      </c>
      <c r="O207" s="43">
        <f t="shared" si="63"/>
        <v>24159.3</v>
      </c>
      <c r="P207" s="43">
        <f t="shared" si="64"/>
        <v>22226.560000000001</v>
      </c>
      <c r="Q207" s="43">
        <f t="shared" si="65"/>
        <v>19939.259999999998</v>
      </c>
      <c r="R207" s="43">
        <f t="shared" si="66"/>
        <v>2287.3000000000029</v>
      </c>
      <c r="S207" s="44">
        <f t="shared" si="67"/>
        <v>0.10290841227792348</v>
      </c>
      <c r="T207" s="39" t="str">
        <f t="shared" si="68"/>
        <v>OK</v>
      </c>
      <c r="U207" s="39" t="str">
        <f t="shared" si="69"/>
        <v>0-9%</v>
      </c>
      <c r="V207" s="39" t="str">
        <f>IF(E207&gt;=Analysis!$B$4,"High",IF(E207&gt;=Analysis!$B$5,"Mid","Low"))</f>
        <v>Low</v>
      </c>
      <c r="W207" s="39" t="str">
        <f t="shared" si="70"/>
        <v>2023-10</v>
      </c>
      <c r="X207" s="40">
        <f t="shared" si="71"/>
        <v>45230</v>
      </c>
      <c r="Y207" s="39" t="str">
        <f t="shared" si="72"/>
        <v>2023-Q4</v>
      </c>
      <c r="Z207" s="39" t="str">
        <f t="shared" si="73"/>
        <v>Sun</v>
      </c>
      <c r="AA207" s="39">
        <f t="shared" si="74"/>
        <v>7</v>
      </c>
      <c r="AB207" s="39">
        <f t="shared" si="75"/>
        <v>44</v>
      </c>
      <c r="AC207" s="39" t="str">
        <f t="shared" si="76"/>
        <v>Weekend</v>
      </c>
      <c r="AD207" s="39">
        <f t="shared" ca="1" si="77"/>
        <v>1091</v>
      </c>
      <c r="AE207" s="39">
        <f t="shared" ca="1" si="78"/>
        <v>35</v>
      </c>
      <c r="AF207" s="39" t="str">
        <f t="shared" si="79"/>
        <v>CHA</v>
      </c>
      <c r="AG207" s="39" t="str">
        <f t="shared" si="80"/>
        <v>NO-231029-0206</v>
      </c>
      <c r="AH207" s="39" t="str">
        <f>IF(AND(OR(Filter!$B$4="All",D207=Filter!$B$4),OR(Filter!$B$5="All",M207=Filter!$B$5),E207&gt;=Filter!$B$6),MAX(AH$1:AH206)+1,"")</f>
        <v/>
      </c>
      <c r="AI207" s="39">
        <f t="shared" si="81"/>
        <v>11</v>
      </c>
      <c r="AJ207" s="42">
        <f t="shared" si="82"/>
        <v>0.08</v>
      </c>
      <c r="AK207" s="41">
        <f t="shared" si="83"/>
        <v>2196.3000000000002</v>
      </c>
      <c r="AL207" s="39">
        <f>RANK(E207,$E$2:$E$1001,0)+COUNTIF($E$2:E207,E207)-1</f>
        <v>818</v>
      </c>
    </row>
    <row r="208" spans="1:38" x14ac:dyDescent="0.2">
      <c r="A208" s="39">
        <v>1024</v>
      </c>
      <c r="B208" s="40">
        <v>45289</v>
      </c>
      <c r="C208" s="39" t="s">
        <v>79</v>
      </c>
      <c r="D208" s="39" t="s">
        <v>64</v>
      </c>
      <c r="E208" s="41">
        <v>9190.57</v>
      </c>
      <c r="F208" s="39">
        <v>5</v>
      </c>
      <c r="G208" s="39" t="s">
        <v>75</v>
      </c>
      <c r="H208" s="41">
        <v>3417.9</v>
      </c>
      <c r="I208" s="41">
        <v>3714.52</v>
      </c>
      <c r="J208" s="39" t="s">
        <v>137</v>
      </c>
      <c r="K208" s="42">
        <v>0.27</v>
      </c>
      <c r="L208" s="39" t="s">
        <v>73</v>
      </c>
      <c r="M208" s="39" t="s">
        <v>140</v>
      </c>
      <c r="N208" s="39" t="s">
        <v>148</v>
      </c>
      <c r="O208" s="43">
        <f t="shared" si="63"/>
        <v>18572.599999999999</v>
      </c>
      <c r="P208" s="43">
        <f t="shared" si="64"/>
        <v>13558</v>
      </c>
      <c r="Q208" s="43">
        <f t="shared" si="65"/>
        <v>17089.5</v>
      </c>
      <c r="R208" s="43">
        <f t="shared" si="66"/>
        <v>-3531.5</v>
      </c>
      <c r="S208" s="44">
        <f t="shared" si="67"/>
        <v>-0.2604735211683139</v>
      </c>
      <c r="T208" s="39" t="str">
        <f t="shared" si="68"/>
        <v>Loss</v>
      </c>
      <c r="U208" s="39" t="str">
        <f t="shared" si="69"/>
        <v>20%+</v>
      </c>
      <c r="V208" s="39" t="str">
        <f>IF(E208&gt;=Analysis!$B$4,"High",IF(E208&gt;=Analysis!$B$5,"Mid","Low"))</f>
        <v>High</v>
      </c>
      <c r="W208" s="39" t="str">
        <f t="shared" si="70"/>
        <v>2023-12</v>
      </c>
      <c r="X208" s="40">
        <f t="shared" si="71"/>
        <v>45291</v>
      </c>
      <c r="Y208" s="39" t="str">
        <f t="shared" si="72"/>
        <v>2023-Q4</v>
      </c>
      <c r="Z208" s="39" t="str">
        <f t="shared" si="73"/>
        <v>Fri</v>
      </c>
      <c r="AA208" s="39">
        <f t="shared" si="74"/>
        <v>5</v>
      </c>
      <c r="AB208" s="39">
        <f t="shared" si="75"/>
        <v>53</v>
      </c>
      <c r="AC208" s="39" t="str">
        <f t="shared" si="76"/>
        <v>Weekday</v>
      </c>
      <c r="AD208" s="39">
        <f t="shared" ca="1" si="77"/>
        <v>1030</v>
      </c>
      <c r="AE208" s="39">
        <f t="shared" ca="1" si="78"/>
        <v>33</v>
      </c>
      <c r="AF208" s="39" t="str">
        <f t="shared" si="79"/>
        <v>EVE</v>
      </c>
      <c r="AG208" s="39" t="str">
        <f t="shared" si="80"/>
        <v>NR-231229-0207</v>
      </c>
      <c r="AH208" s="39">
        <f>IF(AND(OR(Filter!$B$4="All",D208=Filter!$B$4),OR(Filter!$B$5="All",M208=Filter!$B$5),E208&gt;=Filter!$B$6),MAX(AH$1:AH207)+1,"")</f>
        <v>25</v>
      </c>
      <c r="AI208" s="39">
        <f t="shared" si="81"/>
        <v>5</v>
      </c>
      <c r="AJ208" s="42">
        <f t="shared" si="82"/>
        <v>0.27</v>
      </c>
      <c r="AK208" s="41">
        <f t="shared" si="83"/>
        <v>3714.52</v>
      </c>
      <c r="AL208" s="39">
        <f>RANK(E208,$E$2:$E$1001,0)+COUNTIF($E$2:E208,E208)-1</f>
        <v>79</v>
      </c>
    </row>
    <row r="209" spans="1:38" x14ac:dyDescent="0.2">
      <c r="A209" s="39">
        <v>1079</v>
      </c>
      <c r="B209" s="40">
        <v>45144</v>
      </c>
      <c r="C209" s="39" t="s">
        <v>76</v>
      </c>
      <c r="D209" s="39" t="s">
        <v>64</v>
      </c>
      <c r="E209" s="41">
        <v>1107.8599999999999</v>
      </c>
      <c r="F209" s="39">
        <v>45</v>
      </c>
      <c r="G209" s="39" t="s">
        <v>60</v>
      </c>
      <c r="H209" s="41">
        <v>1406.9</v>
      </c>
      <c r="I209" s="41">
        <v>1547.35</v>
      </c>
      <c r="J209" s="39" t="s">
        <v>143</v>
      </c>
      <c r="K209" s="42">
        <v>0.17</v>
      </c>
      <c r="L209" s="39" t="s">
        <v>68</v>
      </c>
      <c r="M209" s="39" t="s">
        <v>140</v>
      </c>
      <c r="N209" s="39" t="s">
        <v>152</v>
      </c>
      <c r="O209" s="43">
        <f t="shared" si="63"/>
        <v>69630.75</v>
      </c>
      <c r="P209" s="43">
        <f t="shared" si="64"/>
        <v>57793.52</v>
      </c>
      <c r="Q209" s="43">
        <f t="shared" si="65"/>
        <v>63310.5</v>
      </c>
      <c r="R209" s="43">
        <f t="shared" si="66"/>
        <v>-5516.9800000000032</v>
      </c>
      <c r="S209" s="44">
        <f t="shared" si="67"/>
        <v>-9.5460183079348754E-2</v>
      </c>
      <c r="T209" s="39" t="str">
        <f t="shared" si="68"/>
        <v>Loss</v>
      </c>
      <c r="U209" s="39" t="str">
        <f t="shared" si="69"/>
        <v>10-19%</v>
      </c>
      <c r="V209" s="39" t="str">
        <f>IF(E209&gt;=Analysis!$B$4,"High",IF(E209&gt;=Analysis!$B$5,"Mid","Low"))</f>
        <v>Low</v>
      </c>
      <c r="W209" s="39" t="str">
        <f t="shared" si="70"/>
        <v>2023-08</v>
      </c>
      <c r="X209" s="40">
        <f t="shared" si="71"/>
        <v>45169</v>
      </c>
      <c r="Y209" s="39" t="str">
        <f t="shared" si="72"/>
        <v>2023-Q3</v>
      </c>
      <c r="Z209" s="39" t="str">
        <f t="shared" si="73"/>
        <v>Sun</v>
      </c>
      <c r="AA209" s="39">
        <f t="shared" si="74"/>
        <v>7</v>
      </c>
      <c r="AB209" s="39">
        <f t="shared" si="75"/>
        <v>32</v>
      </c>
      <c r="AC209" s="39" t="str">
        <f t="shared" si="76"/>
        <v>Weekend</v>
      </c>
      <c r="AD209" s="39">
        <f t="shared" ca="1" si="77"/>
        <v>1175</v>
      </c>
      <c r="AE209" s="39">
        <f t="shared" ca="1" si="78"/>
        <v>38</v>
      </c>
      <c r="AF209" s="39" t="str">
        <f t="shared" si="79"/>
        <v>DAV</v>
      </c>
      <c r="AG209" s="39" t="str">
        <f t="shared" si="80"/>
        <v>NR-230806-0208</v>
      </c>
      <c r="AH209" s="39" t="str">
        <f>IF(AND(OR(Filter!$B$4="All",D209=Filter!$B$4),OR(Filter!$B$5="All",M209=Filter!$B$5),E209&gt;=Filter!$B$6),MAX(AH$1:AH208)+1,"")</f>
        <v/>
      </c>
      <c r="AI209" s="39">
        <f t="shared" si="81"/>
        <v>45</v>
      </c>
      <c r="AJ209" s="42">
        <f t="shared" si="82"/>
        <v>0.17</v>
      </c>
      <c r="AK209" s="41">
        <f t="shared" si="83"/>
        <v>1547.35</v>
      </c>
      <c r="AL209" s="39">
        <f>RANK(E209,$E$2:$E$1001,0)+COUNTIF($E$2:E209,E209)-1</f>
        <v>896</v>
      </c>
    </row>
    <row r="210" spans="1:38" x14ac:dyDescent="0.2">
      <c r="A210" s="39">
        <v>1059</v>
      </c>
      <c r="B210" s="40">
        <v>45067</v>
      </c>
      <c r="C210" s="39" t="s">
        <v>61</v>
      </c>
      <c r="D210" s="39" t="s">
        <v>64</v>
      </c>
      <c r="E210" s="41">
        <v>5108.9799999999996</v>
      </c>
      <c r="F210" s="39">
        <v>37</v>
      </c>
      <c r="G210" s="39" t="s">
        <v>65</v>
      </c>
      <c r="H210" s="41">
        <v>4146.99</v>
      </c>
      <c r="I210" s="41">
        <v>4172.3500000000004</v>
      </c>
      <c r="J210" s="39" t="s">
        <v>137</v>
      </c>
      <c r="K210" s="42">
        <v>0.06</v>
      </c>
      <c r="L210" s="39" t="s">
        <v>68</v>
      </c>
      <c r="M210" s="39" t="s">
        <v>140</v>
      </c>
      <c r="N210" s="39" t="s">
        <v>156</v>
      </c>
      <c r="O210" s="43">
        <f t="shared" si="63"/>
        <v>154376.95000000001</v>
      </c>
      <c r="P210" s="43">
        <f t="shared" si="64"/>
        <v>145114.32999999999</v>
      </c>
      <c r="Q210" s="43">
        <f t="shared" si="65"/>
        <v>153438.63</v>
      </c>
      <c r="R210" s="43">
        <f t="shared" si="66"/>
        <v>-8324.3000000000175</v>
      </c>
      <c r="S210" s="44">
        <f t="shared" si="67"/>
        <v>-5.7363735201065379E-2</v>
      </c>
      <c r="T210" s="39" t="str">
        <f t="shared" si="68"/>
        <v>Loss</v>
      </c>
      <c r="U210" s="39" t="str">
        <f t="shared" si="69"/>
        <v>0-9%</v>
      </c>
      <c r="V210" s="39" t="str">
        <f>IF(E210&gt;=Analysis!$B$4,"High",IF(E210&gt;=Analysis!$B$5,"Mid","Low"))</f>
        <v>Mid</v>
      </c>
      <c r="W210" s="39" t="str">
        <f t="shared" si="70"/>
        <v>2023-05</v>
      </c>
      <c r="X210" s="40">
        <f t="shared" si="71"/>
        <v>45077</v>
      </c>
      <c r="Y210" s="39" t="str">
        <f t="shared" si="72"/>
        <v>2023-Q2</v>
      </c>
      <c r="Z210" s="39" t="str">
        <f t="shared" si="73"/>
        <v>Sun</v>
      </c>
      <c r="AA210" s="39">
        <f t="shared" si="74"/>
        <v>7</v>
      </c>
      <c r="AB210" s="39">
        <f t="shared" si="75"/>
        <v>21</v>
      </c>
      <c r="AC210" s="39" t="str">
        <f t="shared" si="76"/>
        <v>Weekend</v>
      </c>
      <c r="AD210" s="39">
        <f t="shared" ca="1" si="77"/>
        <v>1252</v>
      </c>
      <c r="AE210" s="39">
        <f t="shared" ca="1" si="78"/>
        <v>41</v>
      </c>
      <c r="AF210" s="39" t="str">
        <f t="shared" si="79"/>
        <v>ALI</v>
      </c>
      <c r="AG210" s="39" t="str">
        <f t="shared" si="80"/>
        <v>NR-230521-0209</v>
      </c>
      <c r="AH210" s="39" t="str">
        <f>IF(AND(OR(Filter!$B$4="All",D210=Filter!$B$4),OR(Filter!$B$5="All",M210=Filter!$B$5),E210&gt;=Filter!$B$6),MAX(AH$1:AH209)+1,"")</f>
        <v/>
      </c>
      <c r="AI210" s="39">
        <f t="shared" si="81"/>
        <v>37</v>
      </c>
      <c r="AJ210" s="42">
        <f t="shared" si="82"/>
        <v>0.06</v>
      </c>
      <c r="AK210" s="41">
        <f t="shared" si="83"/>
        <v>4172.3500000000004</v>
      </c>
      <c r="AL210" s="39">
        <f>RANK(E210,$E$2:$E$1001,0)+COUNTIF($E$2:E210,E210)-1</f>
        <v>489</v>
      </c>
    </row>
    <row r="211" spans="1:38" x14ac:dyDescent="0.2">
      <c r="A211" s="39">
        <v>1032</v>
      </c>
      <c r="B211" s="40">
        <v>45030</v>
      </c>
      <c r="C211" s="39" t="s">
        <v>76</v>
      </c>
      <c r="D211" s="39" t="s">
        <v>64</v>
      </c>
      <c r="E211" s="41">
        <v>2286.44</v>
      </c>
      <c r="F211" s="39">
        <v>45</v>
      </c>
      <c r="G211" s="39" t="s">
        <v>60</v>
      </c>
      <c r="H211" s="41">
        <v>3712.35</v>
      </c>
      <c r="I211" s="41">
        <v>3780.88</v>
      </c>
      <c r="J211" s="39" t="s">
        <v>143</v>
      </c>
      <c r="K211" s="42">
        <v>7.0000000000000007E-2</v>
      </c>
      <c r="L211" s="39" t="s">
        <v>68</v>
      </c>
      <c r="M211" s="39" t="s">
        <v>140</v>
      </c>
      <c r="N211" s="39" t="s">
        <v>152</v>
      </c>
      <c r="O211" s="43">
        <f t="shared" si="63"/>
        <v>170139.6</v>
      </c>
      <c r="P211" s="43">
        <f t="shared" si="64"/>
        <v>158229.82999999999</v>
      </c>
      <c r="Q211" s="43">
        <f t="shared" si="65"/>
        <v>167055.75</v>
      </c>
      <c r="R211" s="43">
        <f t="shared" si="66"/>
        <v>-8825.9200000000128</v>
      </c>
      <c r="S211" s="44">
        <f t="shared" si="67"/>
        <v>-5.5779115733108058E-2</v>
      </c>
      <c r="T211" s="39" t="str">
        <f t="shared" si="68"/>
        <v>Loss</v>
      </c>
      <c r="U211" s="39" t="str">
        <f t="shared" si="69"/>
        <v>0-9%</v>
      </c>
      <c r="V211" s="39" t="str">
        <f>IF(E211&gt;=Analysis!$B$4,"High",IF(E211&gt;=Analysis!$B$5,"Mid","Low"))</f>
        <v>Low</v>
      </c>
      <c r="W211" s="39" t="str">
        <f t="shared" si="70"/>
        <v>2023-04</v>
      </c>
      <c r="X211" s="40">
        <f t="shared" si="71"/>
        <v>45046</v>
      </c>
      <c r="Y211" s="39" t="str">
        <f t="shared" si="72"/>
        <v>2023-Q2</v>
      </c>
      <c r="Z211" s="39" t="str">
        <f t="shared" si="73"/>
        <v>Fri</v>
      </c>
      <c r="AA211" s="39">
        <f t="shared" si="74"/>
        <v>5</v>
      </c>
      <c r="AB211" s="39">
        <f t="shared" si="75"/>
        <v>16</v>
      </c>
      <c r="AC211" s="39" t="str">
        <f t="shared" si="76"/>
        <v>Weekday</v>
      </c>
      <c r="AD211" s="39">
        <f t="shared" ca="1" si="77"/>
        <v>1289</v>
      </c>
      <c r="AE211" s="39">
        <f t="shared" ca="1" si="78"/>
        <v>42</v>
      </c>
      <c r="AF211" s="39" t="str">
        <f t="shared" si="79"/>
        <v>DAV</v>
      </c>
      <c r="AG211" s="39" t="str">
        <f t="shared" si="80"/>
        <v>NR-230414-0210</v>
      </c>
      <c r="AH211" s="39" t="str">
        <f>IF(AND(OR(Filter!$B$4="All",D211=Filter!$B$4),OR(Filter!$B$5="All",M211=Filter!$B$5),E211&gt;=Filter!$B$6),MAX(AH$1:AH210)+1,"")</f>
        <v/>
      </c>
      <c r="AI211" s="39">
        <f t="shared" si="81"/>
        <v>45</v>
      </c>
      <c r="AJ211" s="42">
        <f t="shared" si="82"/>
        <v>7.0000000000000007E-2</v>
      </c>
      <c r="AK211" s="41">
        <f t="shared" si="83"/>
        <v>3780.88</v>
      </c>
      <c r="AL211" s="39">
        <f>RANK(E211,$E$2:$E$1001,0)+COUNTIF($E$2:E211,E211)-1</f>
        <v>779</v>
      </c>
    </row>
    <row r="212" spans="1:38" x14ac:dyDescent="0.2">
      <c r="A212" s="39">
        <v>1096</v>
      </c>
      <c r="B212" s="40">
        <v>45136</v>
      </c>
      <c r="C212" s="39" t="s">
        <v>71</v>
      </c>
      <c r="D212" s="39" t="s">
        <v>74</v>
      </c>
      <c r="E212" s="41">
        <v>485.41</v>
      </c>
      <c r="F212" s="39">
        <v>38</v>
      </c>
      <c r="G212" s="39" t="s">
        <v>65</v>
      </c>
      <c r="H212" s="41">
        <v>3955.66</v>
      </c>
      <c r="I212" s="41">
        <v>4270.59</v>
      </c>
      <c r="J212" s="39" t="s">
        <v>137</v>
      </c>
      <c r="K212" s="42">
        <v>0.15</v>
      </c>
      <c r="L212" s="39" t="s">
        <v>73</v>
      </c>
      <c r="M212" s="39" t="s">
        <v>138</v>
      </c>
      <c r="N212" s="39" t="s">
        <v>146</v>
      </c>
      <c r="O212" s="43">
        <f t="shared" si="63"/>
        <v>162282.42000000001</v>
      </c>
      <c r="P212" s="43">
        <f t="shared" si="64"/>
        <v>137940.06</v>
      </c>
      <c r="Q212" s="43">
        <f t="shared" si="65"/>
        <v>150315.07999999999</v>
      </c>
      <c r="R212" s="43">
        <f t="shared" si="66"/>
        <v>-12375.01999999999</v>
      </c>
      <c r="S212" s="44">
        <f t="shared" si="67"/>
        <v>-8.971302462823337E-2</v>
      </c>
      <c r="T212" s="39" t="str">
        <f t="shared" si="68"/>
        <v>Loss</v>
      </c>
      <c r="U212" s="39" t="str">
        <f t="shared" si="69"/>
        <v>10-19%</v>
      </c>
      <c r="V212" s="39" t="str">
        <f>IF(E212&gt;=Analysis!$B$4,"High",IF(E212&gt;=Analysis!$B$5,"Mid","Low"))</f>
        <v>Low</v>
      </c>
      <c r="W212" s="39" t="str">
        <f t="shared" si="70"/>
        <v>2023-07</v>
      </c>
      <c r="X212" s="40">
        <f t="shared" si="71"/>
        <v>45138</v>
      </c>
      <c r="Y212" s="39" t="str">
        <f t="shared" si="72"/>
        <v>2023-Q3</v>
      </c>
      <c r="Z212" s="39" t="str">
        <f t="shared" si="73"/>
        <v>Sat</v>
      </c>
      <c r="AA212" s="39">
        <f t="shared" si="74"/>
        <v>6</v>
      </c>
      <c r="AB212" s="39">
        <f t="shared" si="75"/>
        <v>31</v>
      </c>
      <c r="AC212" s="39" t="str">
        <f t="shared" si="76"/>
        <v>Weekend</v>
      </c>
      <c r="AD212" s="39">
        <f t="shared" ca="1" si="77"/>
        <v>1183</v>
      </c>
      <c r="AE212" s="39">
        <f t="shared" ca="1" si="78"/>
        <v>38</v>
      </c>
      <c r="AF212" s="39" t="str">
        <f t="shared" si="79"/>
        <v>CHA</v>
      </c>
      <c r="AG212" s="39" t="str">
        <f t="shared" si="80"/>
        <v>WO-230729-0211</v>
      </c>
      <c r="AH212" s="39" t="str">
        <f>IF(AND(OR(Filter!$B$4="All",D212=Filter!$B$4),OR(Filter!$B$5="All",M212=Filter!$B$5),E212&gt;=Filter!$B$6),MAX(AH$1:AH211)+1,"")</f>
        <v/>
      </c>
      <c r="AI212" s="39">
        <f t="shared" si="81"/>
        <v>38</v>
      </c>
      <c r="AJ212" s="42">
        <f t="shared" si="82"/>
        <v>0.15</v>
      </c>
      <c r="AK212" s="41">
        <f t="shared" si="83"/>
        <v>4270.59</v>
      </c>
      <c r="AL212" s="39">
        <f>RANK(E212,$E$2:$E$1001,0)+COUNTIF($E$2:E212,E212)-1</f>
        <v>962</v>
      </c>
    </row>
    <row r="213" spans="1:38" x14ac:dyDescent="0.2">
      <c r="A213" s="39">
        <v>1088</v>
      </c>
      <c r="B213" s="40">
        <v>45037</v>
      </c>
      <c r="C213" s="39" t="s">
        <v>71</v>
      </c>
      <c r="D213" s="39" t="s">
        <v>59</v>
      </c>
      <c r="E213" s="41">
        <v>456.59</v>
      </c>
      <c r="F213" s="39">
        <v>29</v>
      </c>
      <c r="G213" s="39" t="s">
        <v>75</v>
      </c>
      <c r="H213" s="41">
        <v>639.58000000000004</v>
      </c>
      <c r="I213" s="41">
        <v>1107.45</v>
      </c>
      <c r="J213" s="39" t="s">
        <v>143</v>
      </c>
      <c r="K213" s="42">
        <v>0.28999999999999998</v>
      </c>
      <c r="L213" s="39" t="s">
        <v>68</v>
      </c>
      <c r="M213" s="39" t="s">
        <v>140</v>
      </c>
      <c r="N213" s="39" t="s">
        <v>145</v>
      </c>
      <c r="O213" s="43">
        <f t="shared" si="63"/>
        <v>32116.05</v>
      </c>
      <c r="P213" s="43">
        <f t="shared" si="64"/>
        <v>22802.400000000001</v>
      </c>
      <c r="Q213" s="43">
        <f t="shared" si="65"/>
        <v>18547.82</v>
      </c>
      <c r="R213" s="43">
        <f t="shared" si="66"/>
        <v>4254.5800000000017</v>
      </c>
      <c r="S213" s="44">
        <f t="shared" si="67"/>
        <v>0.18658474546538967</v>
      </c>
      <c r="T213" s="39" t="str">
        <f t="shared" si="68"/>
        <v>OK</v>
      </c>
      <c r="U213" s="39" t="str">
        <f t="shared" si="69"/>
        <v>20%+</v>
      </c>
      <c r="V213" s="39" t="str">
        <f>IF(E213&gt;=Analysis!$B$4,"High",IF(E213&gt;=Analysis!$B$5,"Mid","Low"))</f>
        <v>Low</v>
      </c>
      <c r="W213" s="39" t="str">
        <f t="shared" si="70"/>
        <v>2023-04</v>
      </c>
      <c r="X213" s="40">
        <f t="shared" si="71"/>
        <v>45046</v>
      </c>
      <c r="Y213" s="39" t="str">
        <f t="shared" si="72"/>
        <v>2023-Q2</v>
      </c>
      <c r="Z213" s="39" t="str">
        <f t="shared" si="73"/>
        <v>Fri</v>
      </c>
      <c r="AA213" s="39">
        <f t="shared" si="74"/>
        <v>5</v>
      </c>
      <c r="AB213" s="39">
        <f t="shared" si="75"/>
        <v>17</v>
      </c>
      <c r="AC213" s="39" t="str">
        <f t="shared" si="76"/>
        <v>Weekday</v>
      </c>
      <c r="AD213" s="39">
        <f t="shared" ca="1" si="77"/>
        <v>1282</v>
      </c>
      <c r="AE213" s="39">
        <f t="shared" ca="1" si="78"/>
        <v>42</v>
      </c>
      <c r="AF213" s="39" t="str">
        <f t="shared" si="79"/>
        <v>CHA</v>
      </c>
      <c r="AG213" s="39" t="str">
        <f t="shared" si="80"/>
        <v>ER-230421-0212</v>
      </c>
      <c r="AH213" s="39" t="str">
        <f>IF(AND(OR(Filter!$B$4="All",D213=Filter!$B$4),OR(Filter!$B$5="All",M213=Filter!$B$5),E213&gt;=Filter!$B$6),MAX(AH$1:AH212)+1,"")</f>
        <v/>
      </c>
      <c r="AI213" s="39">
        <f t="shared" si="81"/>
        <v>29</v>
      </c>
      <c r="AJ213" s="42">
        <f t="shared" si="82"/>
        <v>0.28999999999999998</v>
      </c>
      <c r="AK213" s="41">
        <f t="shared" si="83"/>
        <v>1107.45</v>
      </c>
      <c r="AL213" s="39">
        <f>RANK(E213,$E$2:$E$1001,0)+COUNTIF($E$2:E213,E213)-1</f>
        <v>964</v>
      </c>
    </row>
    <row r="214" spans="1:38" x14ac:dyDescent="0.2">
      <c r="A214" s="39">
        <v>1052</v>
      </c>
      <c r="B214" s="40">
        <v>45030</v>
      </c>
      <c r="C214" s="39" t="s">
        <v>76</v>
      </c>
      <c r="D214" s="39" t="s">
        <v>64</v>
      </c>
      <c r="E214" s="41">
        <v>1834.7</v>
      </c>
      <c r="F214" s="39">
        <v>5</v>
      </c>
      <c r="G214" s="39" t="s">
        <v>75</v>
      </c>
      <c r="H214" s="41">
        <v>745.71</v>
      </c>
      <c r="I214" s="41">
        <v>856.91</v>
      </c>
      <c r="J214" s="39" t="s">
        <v>137</v>
      </c>
      <c r="K214" s="42">
        <v>0.23</v>
      </c>
      <c r="L214" s="39" t="s">
        <v>63</v>
      </c>
      <c r="M214" s="39" t="s">
        <v>140</v>
      </c>
      <c r="N214" s="39" t="s">
        <v>152</v>
      </c>
      <c r="O214" s="43">
        <f t="shared" si="63"/>
        <v>4284.55</v>
      </c>
      <c r="P214" s="43">
        <f t="shared" si="64"/>
        <v>3299.1</v>
      </c>
      <c r="Q214" s="43">
        <f t="shared" si="65"/>
        <v>3728.55</v>
      </c>
      <c r="R214" s="43">
        <f t="shared" si="66"/>
        <v>-429.45000000000027</v>
      </c>
      <c r="S214" s="44">
        <f t="shared" si="67"/>
        <v>-0.13017186505410575</v>
      </c>
      <c r="T214" s="39" t="str">
        <f t="shared" si="68"/>
        <v>Loss</v>
      </c>
      <c r="U214" s="39" t="str">
        <f t="shared" si="69"/>
        <v>20%+</v>
      </c>
      <c r="V214" s="39" t="str">
        <f>IF(E214&gt;=Analysis!$B$4,"High",IF(E214&gt;=Analysis!$B$5,"Mid","Low"))</f>
        <v>Low</v>
      </c>
      <c r="W214" s="39" t="str">
        <f t="shared" si="70"/>
        <v>2023-04</v>
      </c>
      <c r="X214" s="40">
        <f t="shared" si="71"/>
        <v>45046</v>
      </c>
      <c r="Y214" s="39" t="str">
        <f t="shared" si="72"/>
        <v>2023-Q2</v>
      </c>
      <c r="Z214" s="39" t="str">
        <f t="shared" si="73"/>
        <v>Fri</v>
      </c>
      <c r="AA214" s="39">
        <f t="shared" si="74"/>
        <v>5</v>
      </c>
      <c r="AB214" s="39">
        <f t="shared" si="75"/>
        <v>16</v>
      </c>
      <c r="AC214" s="39" t="str">
        <f t="shared" si="76"/>
        <v>Weekday</v>
      </c>
      <c r="AD214" s="39">
        <f t="shared" ca="1" si="77"/>
        <v>1289</v>
      </c>
      <c r="AE214" s="39">
        <f t="shared" ca="1" si="78"/>
        <v>42</v>
      </c>
      <c r="AF214" s="39" t="str">
        <f t="shared" si="79"/>
        <v>DAV</v>
      </c>
      <c r="AG214" s="39" t="str">
        <f t="shared" si="80"/>
        <v>NR-230414-0213</v>
      </c>
      <c r="AH214" s="39" t="str">
        <f>IF(AND(OR(Filter!$B$4="All",D214=Filter!$B$4),OR(Filter!$B$5="All",M214=Filter!$B$5),E214&gt;=Filter!$B$6),MAX(AH$1:AH213)+1,"")</f>
        <v/>
      </c>
      <c r="AI214" s="39">
        <f t="shared" si="81"/>
        <v>5</v>
      </c>
      <c r="AJ214" s="42">
        <f t="shared" si="82"/>
        <v>0.23</v>
      </c>
      <c r="AK214" s="41">
        <f t="shared" si="83"/>
        <v>856.91</v>
      </c>
      <c r="AL214" s="39">
        <f>RANK(E214,$E$2:$E$1001,0)+COUNTIF($E$2:E214,E214)-1</f>
        <v>835</v>
      </c>
    </row>
    <row r="215" spans="1:38" x14ac:dyDescent="0.2">
      <c r="A215" s="39">
        <v>1062</v>
      </c>
      <c r="B215" s="40">
        <v>45242</v>
      </c>
      <c r="C215" s="39" t="s">
        <v>79</v>
      </c>
      <c r="D215" s="39" t="s">
        <v>69</v>
      </c>
      <c r="E215" s="41">
        <v>8681.0300000000007</v>
      </c>
      <c r="F215" s="39">
        <v>9</v>
      </c>
      <c r="G215" s="39" t="s">
        <v>65</v>
      </c>
      <c r="H215" s="41">
        <v>1468.05</v>
      </c>
      <c r="I215" s="41">
        <v>1838.21</v>
      </c>
      <c r="J215" s="39" t="s">
        <v>143</v>
      </c>
      <c r="K215" s="42">
        <v>0.15</v>
      </c>
      <c r="L215" s="39" t="s">
        <v>63</v>
      </c>
      <c r="M215" s="39" t="s">
        <v>140</v>
      </c>
      <c r="N215" s="39" t="s">
        <v>147</v>
      </c>
      <c r="O215" s="43">
        <f t="shared" si="63"/>
        <v>16543.89</v>
      </c>
      <c r="P215" s="43">
        <f t="shared" si="64"/>
        <v>14062.31</v>
      </c>
      <c r="Q215" s="43">
        <f t="shared" si="65"/>
        <v>13212.45</v>
      </c>
      <c r="R215" s="43">
        <f t="shared" si="66"/>
        <v>849.85999999999876</v>
      </c>
      <c r="S215" s="44">
        <f t="shared" si="67"/>
        <v>6.0435305437015599E-2</v>
      </c>
      <c r="T215" s="39" t="str">
        <f t="shared" si="68"/>
        <v>OK</v>
      </c>
      <c r="U215" s="39" t="str">
        <f t="shared" si="69"/>
        <v>10-19%</v>
      </c>
      <c r="V215" s="39" t="str">
        <f>IF(E215&gt;=Analysis!$B$4,"High",IF(E215&gt;=Analysis!$B$5,"Mid","Low"))</f>
        <v>High</v>
      </c>
      <c r="W215" s="39" t="str">
        <f t="shared" si="70"/>
        <v>2023-11</v>
      </c>
      <c r="X215" s="40">
        <f t="shared" si="71"/>
        <v>45260</v>
      </c>
      <c r="Y215" s="39" t="str">
        <f t="shared" si="72"/>
        <v>2023-Q4</v>
      </c>
      <c r="Z215" s="39" t="str">
        <f t="shared" si="73"/>
        <v>Sun</v>
      </c>
      <c r="AA215" s="39">
        <f t="shared" si="74"/>
        <v>7</v>
      </c>
      <c r="AB215" s="39">
        <f t="shared" si="75"/>
        <v>46</v>
      </c>
      <c r="AC215" s="39" t="str">
        <f t="shared" si="76"/>
        <v>Weekend</v>
      </c>
      <c r="AD215" s="39">
        <f t="shared" ca="1" si="77"/>
        <v>1077</v>
      </c>
      <c r="AE215" s="39">
        <f t="shared" ca="1" si="78"/>
        <v>35</v>
      </c>
      <c r="AF215" s="39" t="str">
        <f t="shared" si="79"/>
        <v>EVE</v>
      </c>
      <c r="AG215" s="39" t="str">
        <f t="shared" si="80"/>
        <v>SR-231112-0214</v>
      </c>
      <c r="AH215" s="39" t="str">
        <f>IF(AND(OR(Filter!$B$4="All",D215=Filter!$B$4),OR(Filter!$B$5="All",M215=Filter!$B$5),E215&gt;=Filter!$B$6),MAX(AH$1:AH214)+1,"")</f>
        <v/>
      </c>
      <c r="AI215" s="39">
        <f t="shared" si="81"/>
        <v>9</v>
      </c>
      <c r="AJ215" s="42">
        <f t="shared" si="82"/>
        <v>0.15</v>
      </c>
      <c r="AK215" s="41">
        <f t="shared" si="83"/>
        <v>1838.21</v>
      </c>
      <c r="AL215" s="39">
        <f>RANK(E215,$E$2:$E$1001,0)+COUNTIF($E$2:E215,E215)-1</f>
        <v>121</v>
      </c>
    </row>
    <row r="216" spans="1:38" x14ac:dyDescent="0.2">
      <c r="A216" s="39">
        <v>1058</v>
      </c>
      <c r="B216" s="40">
        <v>45097</v>
      </c>
      <c r="C216" s="39" t="s">
        <v>79</v>
      </c>
      <c r="D216" s="39" t="s">
        <v>74</v>
      </c>
      <c r="E216" s="41">
        <v>2896.54</v>
      </c>
      <c r="F216" s="39">
        <v>48</v>
      </c>
      <c r="G216" s="39" t="s">
        <v>60</v>
      </c>
      <c r="H216" s="41">
        <v>2614.48</v>
      </c>
      <c r="I216" s="41">
        <v>3049.04</v>
      </c>
      <c r="J216" s="39" t="s">
        <v>143</v>
      </c>
      <c r="K216" s="42">
        <v>0.1</v>
      </c>
      <c r="L216" s="39" t="s">
        <v>73</v>
      </c>
      <c r="M216" s="39" t="s">
        <v>140</v>
      </c>
      <c r="N216" s="39" t="s">
        <v>149</v>
      </c>
      <c r="O216" s="43">
        <f t="shared" si="63"/>
        <v>146353.92000000001</v>
      </c>
      <c r="P216" s="43">
        <f t="shared" si="64"/>
        <v>131718.53</v>
      </c>
      <c r="Q216" s="43">
        <f t="shared" si="65"/>
        <v>125495.03999999999</v>
      </c>
      <c r="R216" s="43">
        <f t="shared" si="66"/>
        <v>6223.4900000000052</v>
      </c>
      <c r="S216" s="44">
        <f t="shared" si="67"/>
        <v>4.7248401572656522E-2</v>
      </c>
      <c r="T216" s="39" t="str">
        <f t="shared" si="68"/>
        <v>OK</v>
      </c>
      <c r="U216" s="39" t="str">
        <f t="shared" si="69"/>
        <v>10-19%</v>
      </c>
      <c r="V216" s="39" t="str">
        <f>IF(E216&gt;=Analysis!$B$4,"High",IF(E216&gt;=Analysis!$B$5,"Mid","Low"))</f>
        <v>Mid</v>
      </c>
      <c r="W216" s="39" t="str">
        <f t="shared" si="70"/>
        <v>2023-06</v>
      </c>
      <c r="X216" s="40">
        <f t="shared" si="71"/>
        <v>45107</v>
      </c>
      <c r="Y216" s="39" t="str">
        <f t="shared" si="72"/>
        <v>2023-Q2</v>
      </c>
      <c r="Z216" s="39" t="str">
        <f t="shared" si="73"/>
        <v>Tue</v>
      </c>
      <c r="AA216" s="39">
        <f t="shared" si="74"/>
        <v>2</v>
      </c>
      <c r="AB216" s="39">
        <f t="shared" si="75"/>
        <v>26</v>
      </c>
      <c r="AC216" s="39" t="str">
        <f t="shared" si="76"/>
        <v>Weekday</v>
      </c>
      <c r="AD216" s="39">
        <f t="shared" ca="1" si="77"/>
        <v>1222</v>
      </c>
      <c r="AE216" s="39">
        <f t="shared" ca="1" si="78"/>
        <v>40</v>
      </c>
      <c r="AF216" s="39" t="str">
        <f t="shared" si="79"/>
        <v>EVE</v>
      </c>
      <c r="AG216" s="39" t="str">
        <f t="shared" si="80"/>
        <v>WR-230620-0215</v>
      </c>
      <c r="AH216" s="39" t="str">
        <f>IF(AND(OR(Filter!$B$4="All",D216=Filter!$B$4),OR(Filter!$B$5="All",M216=Filter!$B$5),E216&gt;=Filter!$B$6),MAX(AH$1:AH215)+1,"")</f>
        <v/>
      </c>
      <c r="AI216" s="39">
        <f t="shared" si="81"/>
        <v>48</v>
      </c>
      <c r="AJ216" s="42">
        <f t="shared" si="82"/>
        <v>0.1</v>
      </c>
      <c r="AK216" s="41">
        <f t="shared" si="83"/>
        <v>3049.04</v>
      </c>
      <c r="AL216" s="39">
        <f>RANK(E216,$E$2:$E$1001,0)+COUNTIF($E$2:E216,E216)-1</f>
        <v>707</v>
      </c>
    </row>
    <row r="217" spans="1:38" x14ac:dyDescent="0.2">
      <c r="A217" s="39">
        <v>1052</v>
      </c>
      <c r="B217" s="40">
        <v>45282</v>
      </c>
      <c r="C217" s="39" t="s">
        <v>71</v>
      </c>
      <c r="D217" s="39" t="s">
        <v>74</v>
      </c>
      <c r="E217" s="41">
        <v>9509.5499999999993</v>
      </c>
      <c r="F217" s="39">
        <v>2</v>
      </c>
      <c r="G217" s="39" t="s">
        <v>75</v>
      </c>
      <c r="H217" s="41">
        <v>3752.68</v>
      </c>
      <c r="I217" s="41">
        <v>4017.91</v>
      </c>
      <c r="J217" s="39" t="s">
        <v>137</v>
      </c>
      <c r="K217" s="42">
        <v>0.16</v>
      </c>
      <c r="L217" s="39" t="s">
        <v>63</v>
      </c>
      <c r="M217" s="39" t="s">
        <v>138</v>
      </c>
      <c r="N217" s="39" t="s">
        <v>146</v>
      </c>
      <c r="O217" s="43">
        <f t="shared" si="63"/>
        <v>8035.82</v>
      </c>
      <c r="P217" s="43">
        <f t="shared" si="64"/>
        <v>6750.09</v>
      </c>
      <c r="Q217" s="43">
        <f t="shared" si="65"/>
        <v>7505.36</v>
      </c>
      <c r="R217" s="43">
        <f t="shared" si="66"/>
        <v>-755.26999999999953</v>
      </c>
      <c r="S217" s="44">
        <f t="shared" si="67"/>
        <v>-0.11189035998038538</v>
      </c>
      <c r="T217" s="39" t="str">
        <f t="shared" si="68"/>
        <v>Loss</v>
      </c>
      <c r="U217" s="39" t="str">
        <f t="shared" si="69"/>
        <v>10-19%</v>
      </c>
      <c r="V217" s="39" t="str">
        <f>IF(E217&gt;=Analysis!$B$4,"High",IF(E217&gt;=Analysis!$B$5,"Mid","Low"))</f>
        <v>High</v>
      </c>
      <c r="W217" s="39" t="str">
        <f t="shared" si="70"/>
        <v>2023-12</v>
      </c>
      <c r="X217" s="40">
        <f t="shared" si="71"/>
        <v>45291</v>
      </c>
      <c r="Y217" s="39" t="str">
        <f t="shared" si="72"/>
        <v>2023-Q4</v>
      </c>
      <c r="Z217" s="39" t="str">
        <f t="shared" si="73"/>
        <v>Fri</v>
      </c>
      <c r="AA217" s="39">
        <f t="shared" si="74"/>
        <v>5</v>
      </c>
      <c r="AB217" s="39">
        <f t="shared" si="75"/>
        <v>52</v>
      </c>
      <c r="AC217" s="39" t="str">
        <f t="shared" si="76"/>
        <v>Weekday</v>
      </c>
      <c r="AD217" s="39">
        <f t="shared" ca="1" si="77"/>
        <v>1037</v>
      </c>
      <c r="AE217" s="39">
        <f t="shared" ca="1" si="78"/>
        <v>34</v>
      </c>
      <c r="AF217" s="39" t="str">
        <f t="shared" si="79"/>
        <v>CHA</v>
      </c>
      <c r="AG217" s="39" t="str">
        <f t="shared" si="80"/>
        <v>WO-231222-0216</v>
      </c>
      <c r="AH217" s="39">
        <f>IF(AND(OR(Filter!$B$4="All",D217=Filter!$B$4),OR(Filter!$B$5="All",M217=Filter!$B$5),E217&gt;=Filter!$B$6),MAX(AH$1:AH216)+1,"")</f>
        <v>26</v>
      </c>
      <c r="AI217" s="39">
        <f t="shared" si="81"/>
        <v>2</v>
      </c>
      <c r="AJ217" s="42">
        <f t="shared" si="82"/>
        <v>0.16</v>
      </c>
      <c r="AK217" s="41">
        <f t="shared" si="83"/>
        <v>4017.91</v>
      </c>
      <c r="AL217" s="39">
        <f>RANK(E217,$E$2:$E$1001,0)+COUNTIF($E$2:E217,E217)-1</f>
        <v>52</v>
      </c>
    </row>
    <row r="218" spans="1:38" x14ac:dyDescent="0.2">
      <c r="A218" s="39">
        <v>1012</v>
      </c>
      <c r="B218" s="40">
        <v>45250</v>
      </c>
      <c r="C218" s="39" t="s">
        <v>66</v>
      </c>
      <c r="D218" s="39" t="s">
        <v>64</v>
      </c>
      <c r="E218" s="41">
        <v>5858.06</v>
      </c>
      <c r="F218" s="39">
        <v>1</v>
      </c>
      <c r="G218" s="39" t="s">
        <v>70</v>
      </c>
      <c r="H218" s="41">
        <v>4190.83</v>
      </c>
      <c r="I218" s="41">
        <v>4528.7700000000004</v>
      </c>
      <c r="J218" s="39" t="s">
        <v>137</v>
      </c>
      <c r="K218" s="42">
        <v>0.22</v>
      </c>
      <c r="L218" s="39" t="s">
        <v>63</v>
      </c>
      <c r="M218" s="39" t="s">
        <v>138</v>
      </c>
      <c r="N218" s="39" t="s">
        <v>139</v>
      </c>
      <c r="O218" s="43">
        <f t="shared" si="63"/>
        <v>4528.7700000000004</v>
      </c>
      <c r="P218" s="43">
        <f t="shared" si="64"/>
        <v>3532.44</v>
      </c>
      <c r="Q218" s="43">
        <f t="shared" si="65"/>
        <v>4190.83</v>
      </c>
      <c r="R218" s="43">
        <f t="shared" si="66"/>
        <v>-658.38999999999987</v>
      </c>
      <c r="S218" s="44">
        <f t="shared" si="67"/>
        <v>-0.18638391593346237</v>
      </c>
      <c r="T218" s="39" t="str">
        <f t="shared" si="68"/>
        <v>Loss</v>
      </c>
      <c r="U218" s="39" t="str">
        <f t="shared" si="69"/>
        <v>20%+</v>
      </c>
      <c r="V218" s="39" t="str">
        <f>IF(E218&gt;=Analysis!$B$4,"High",IF(E218&gt;=Analysis!$B$5,"Mid","Low"))</f>
        <v>Mid</v>
      </c>
      <c r="W218" s="39" t="str">
        <f t="shared" si="70"/>
        <v>2023-11</v>
      </c>
      <c r="X218" s="40">
        <f t="shared" si="71"/>
        <v>45260</v>
      </c>
      <c r="Y218" s="39" t="str">
        <f t="shared" si="72"/>
        <v>2023-Q4</v>
      </c>
      <c r="Z218" s="39" t="str">
        <f t="shared" si="73"/>
        <v>Mon</v>
      </c>
      <c r="AA218" s="39">
        <f t="shared" si="74"/>
        <v>1</v>
      </c>
      <c r="AB218" s="39">
        <f t="shared" si="75"/>
        <v>48</v>
      </c>
      <c r="AC218" s="39" t="str">
        <f t="shared" si="76"/>
        <v>Weekday</v>
      </c>
      <c r="AD218" s="39">
        <f t="shared" ca="1" si="77"/>
        <v>1069</v>
      </c>
      <c r="AE218" s="39">
        <f t="shared" ca="1" si="78"/>
        <v>35</v>
      </c>
      <c r="AF218" s="39" t="str">
        <f t="shared" si="79"/>
        <v>BOB</v>
      </c>
      <c r="AG218" s="39" t="str">
        <f t="shared" si="80"/>
        <v>NO-231120-0217</v>
      </c>
      <c r="AH218" s="39" t="str">
        <f>IF(AND(OR(Filter!$B$4="All",D218=Filter!$B$4),OR(Filter!$B$5="All",M218=Filter!$B$5),E218&gt;=Filter!$B$6),MAX(AH$1:AH217)+1,"")</f>
        <v/>
      </c>
      <c r="AI218" s="39">
        <f t="shared" si="81"/>
        <v>1</v>
      </c>
      <c r="AJ218" s="42">
        <f t="shared" si="82"/>
        <v>0.22</v>
      </c>
      <c r="AK218" s="41">
        <f t="shared" si="83"/>
        <v>4528.7700000000004</v>
      </c>
      <c r="AL218" s="39">
        <f>RANK(E218,$E$2:$E$1001,0)+COUNTIF($E$2:E218,E218)-1</f>
        <v>422</v>
      </c>
    </row>
    <row r="219" spans="1:38" x14ac:dyDescent="0.2">
      <c r="A219" s="39">
        <v>1039</v>
      </c>
      <c r="B219" s="40">
        <v>45059</v>
      </c>
      <c r="C219" s="39" t="s">
        <v>79</v>
      </c>
      <c r="D219" s="39" t="s">
        <v>74</v>
      </c>
      <c r="E219" s="41">
        <v>4422.4799999999996</v>
      </c>
      <c r="F219" s="39">
        <v>40</v>
      </c>
      <c r="G219" s="39" t="s">
        <v>75</v>
      </c>
      <c r="H219" s="41">
        <v>3536.46</v>
      </c>
      <c r="I219" s="41">
        <v>3945.82</v>
      </c>
      <c r="J219" s="39" t="s">
        <v>143</v>
      </c>
      <c r="K219" s="42">
        <v>0.24</v>
      </c>
      <c r="L219" s="39" t="s">
        <v>63</v>
      </c>
      <c r="M219" s="39" t="s">
        <v>138</v>
      </c>
      <c r="N219" s="39" t="s">
        <v>149</v>
      </c>
      <c r="O219" s="43">
        <f t="shared" si="63"/>
        <v>157832.79999999999</v>
      </c>
      <c r="P219" s="43">
        <f t="shared" si="64"/>
        <v>119952.93</v>
      </c>
      <c r="Q219" s="43">
        <f t="shared" si="65"/>
        <v>141458.4</v>
      </c>
      <c r="R219" s="43">
        <f t="shared" si="66"/>
        <v>-21505.47</v>
      </c>
      <c r="S219" s="44">
        <f t="shared" si="67"/>
        <v>-0.17928257358949048</v>
      </c>
      <c r="T219" s="39" t="str">
        <f t="shared" si="68"/>
        <v>Loss</v>
      </c>
      <c r="U219" s="39" t="str">
        <f t="shared" si="69"/>
        <v>20%+</v>
      </c>
      <c r="V219" s="39" t="str">
        <f>IF(E219&gt;=Analysis!$B$4,"High",IF(E219&gt;=Analysis!$B$5,"Mid","Low"))</f>
        <v>Mid</v>
      </c>
      <c r="W219" s="39" t="str">
        <f t="shared" si="70"/>
        <v>2023-05</v>
      </c>
      <c r="X219" s="40">
        <f t="shared" si="71"/>
        <v>45077</v>
      </c>
      <c r="Y219" s="39" t="str">
        <f t="shared" si="72"/>
        <v>2023-Q2</v>
      </c>
      <c r="Z219" s="39" t="str">
        <f t="shared" si="73"/>
        <v>Sat</v>
      </c>
      <c r="AA219" s="39">
        <f t="shared" si="74"/>
        <v>6</v>
      </c>
      <c r="AB219" s="39">
        <f t="shared" si="75"/>
        <v>20</v>
      </c>
      <c r="AC219" s="39" t="str">
        <f t="shared" si="76"/>
        <v>Weekend</v>
      </c>
      <c r="AD219" s="39">
        <f t="shared" ca="1" si="77"/>
        <v>1260</v>
      </c>
      <c r="AE219" s="39">
        <f t="shared" ca="1" si="78"/>
        <v>41</v>
      </c>
      <c r="AF219" s="39" t="str">
        <f t="shared" si="79"/>
        <v>EVE</v>
      </c>
      <c r="AG219" s="39" t="str">
        <f t="shared" si="80"/>
        <v>WO-230513-0218</v>
      </c>
      <c r="AH219" s="39" t="str">
        <f>IF(AND(OR(Filter!$B$4="All",D219=Filter!$B$4),OR(Filter!$B$5="All",M219=Filter!$B$5),E219&gt;=Filter!$B$6),MAX(AH$1:AH218)+1,"")</f>
        <v/>
      </c>
      <c r="AI219" s="39">
        <f t="shared" si="81"/>
        <v>40</v>
      </c>
      <c r="AJ219" s="42">
        <f t="shared" si="82"/>
        <v>0.24</v>
      </c>
      <c r="AK219" s="41">
        <f t="shared" si="83"/>
        <v>3945.82</v>
      </c>
      <c r="AL219" s="39">
        <f>RANK(E219,$E$2:$E$1001,0)+COUNTIF($E$2:E219,E219)-1</f>
        <v>555</v>
      </c>
    </row>
    <row r="220" spans="1:38" x14ac:dyDescent="0.2">
      <c r="A220" s="39">
        <v>1002</v>
      </c>
      <c r="B220" s="40">
        <v>45219</v>
      </c>
      <c r="C220" s="39" t="s">
        <v>76</v>
      </c>
      <c r="D220" s="39" t="s">
        <v>64</v>
      </c>
      <c r="E220" s="41">
        <v>5842.88</v>
      </c>
      <c r="F220" s="39">
        <v>30</v>
      </c>
      <c r="G220" s="39" t="s">
        <v>60</v>
      </c>
      <c r="H220" s="41">
        <v>4646.55</v>
      </c>
      <c r="I220" s="41">
        <v>4784.28</v>
      </c>
      <c r="J220" s="39" t="s">
        <v>137</v>
      </c>
      <c r="K220" s="42">
        <v>0.1</v>
      </c>
      <c r="L220" s="39" t="s">
        <v>73</v>
      </c>
      <c r="M220" s="39" t="s">
        <v>140</v>
      </c>
      <c r="N220" s="39" t="s">
        <v>152</v>
      </c>
      <c r="O220" s="43">
        <f t="shared" si="63"/>
        <v>143528.4</v>
      </c>
      <c r="P220" s="43">
        <f t="shared" si="64"/>
        <v>129175.56</v>
      </c>
      <c r="Q220" s="43">
        <f t="shared" si="65"/>
        <v>139396.5</v>
      </c>
      <c r="R220" s="43">
        <f t="shared" si="66"/>
        <v>-10220.940000000002</v>
      </c>
      <c r="S220" s="44">
        <f t="shared" si="67"/>
        <v>-7.9124410221252398E-2</v>
      </c>
      <c r="T220" s="39" t="str">
        <f t="shared" si="68"/>
        <v>Loss</v>
      </c>
      <c r="U220" s="39" t="str">
        <f t="shared" si="69"/>
        <v>10-19%</v>
      </c>
      <c r="V220" s="39" t="str">
        <f>IF(E220&gt;=Analysis!$B$4,"High",IF(E220&gt;=Analysis!$B$5,"Mid","Low"))</f>
        <v>Mid</v>
      </c>
      <c r="W220" s="39" t="str">
        <f t="shared" si="70"/>
        <v>2023-10</v>
      </c>
      <c r="X220" s="40">
        <f t="shared" si="71"/>
        <v>45230</v>
      </c>
      <c r="Y220" s="39" t="str">
        <f t="shared" si="72"/>
        <v>2023-Q4</v>
      </c>
      <c r="Z220" s="39" t="str">
        <f t="shared" si="73"/>
        <v>Fri</v>
      </c>
      <c r="AA220" s="39">
        <f t="shared" si="74"/>
        <v>5</v>
      </c>
      <c r="AB220" s="39">
        <f t="shared" si="75"/>
        <v>43</v>
      </c>
      <c r="AC220" s="39" t="str">
        <f t="shared" si="76"/>
        <v>Weekday</v>
      </c>
      <c r="AD220" s="39">
        <f t="shared" ca="1" si="77"/>
        <v>1100</v>
      </c>
      <c r="AE220" s="39">
        <f t="shared" ca="1" si="78"/>
        <v>36</v>
      </c>
      <c r="AF220" s="39" t="str">
        <f t="shared" si="79"/>
        <v>DAV</v>
      </c>
      <c r="AG220" s="39" t="str">
        <f t="shared" si="80"/>
        <v>NR-231020-0219</v>
      </c>
      <c r="AH220" s="39" t="str">
        <f>IF(AND(OR(Filter!$B$4="All",D220=Filter!$B$4),OR(Filter!$B$5="All",M220=Filter!$B$5),E220&gt;=Filter!$B$6),MAX(AH$1:AH219)+1,"")</f>
        <v/>
      </c>
      <c r="AI220" s="39">
        <f t="shared" si="81"/>
        <v>30</v>
      </c>
      <c r="AJ220" s="42">
        <f t="shared" si="82"/>
        <v>0.1</v>
      </c>
      <c r="AK220" s="41">
        <f t="shared" si="83"/>
        <v>4784.28</v>
      </c>
      <c r="AL220" s="39">
        <f>RANK(E220,$E$2:$E$1001,0)+COUNTIF($E$2:E220,E220)-1</f>
        <v>425</v>
      </c>
    </row>
    <row r="221" spans="1:38" x14ac:dyDescent="0.2">
      <c r="A221" s="39">
        <v>1003</v>
      </c>
      <c r="B221" s="40">
        <v>45254</v>
      </c>
      <c r="C221" s="39" t="s">
        <v>79</v>
      </c>
      <c r="D221" s="39" t="s">
        <v>59</v>
      </c>
      <c r="E221" s="41">
        <v>5215.3100000000004</v>
      </c>
      <c r="F221" s="39">
        <v>11</v>
      </c>
      <c r="G221" s="39" t="s">
        <v>70</v>
      </c>
      <c r="H221" s="41">
        <v>3706.78</v>
      </c>
      <c r="I221" s="41">
        <v>3862.26</v>
      </c>
      <c r="J221" s="39" t="s">
        <v>143</v>
      </c>
      <c r="K221" s="42">
        <v>0.22</v>
      </c>
      <c r="L221" s="39" t="s">
        <v>73</v>
      </c>
      <c r="M221" s="39" t="s">
        <v>140</v>
      </c>
      <c r="N221" s="39" t="s">
        <v>155</v>
      </c>
      <c r="O221" s="43">
        <f t="shared" si="63"/>
        <v>42484.86</v>
      </c>
      <c r="P221" s="43">
        <f t="shared" si="64"/>
        <v>33138.19</v>
      </c>
      <c r="Q221" s="43">
        <f t="shared" si="65"/>
        <v>40774.58</v>
      </c>
      <c r="R221" s="43">
        <f t="shared" si="66"/>
        <v>-7636.3899999999994</v>
      </c>
      <c r="S221" s="44">
        <f t="shared" si="67"/>
        <v>-0.23044076939627658</v>
      </c>
      <c r="T221" s="39" t="str">
        <f t="shared" si="68"/>
        <v>Loss</v>
      </c>
      <c r="U221" s="39" t="str">
        <f t="shared" si="69"/>
        <v>20%+</v>
      </c>
      <c r="V221" s="39" t="str">
        <f>IF(E221&gt;=Analysis!$B$4,"High",IF(E221&gt;=Analysis!$B$5,"Mid","Low"))</f>
        <v>Mid</v>
      </c>
      <c r="W221" s="39" t="str">
        <f t="shared" si="70"/>
        <v>2023-11</v>
      </c>
      <c r="X221" s="40">
        <f t="shared" si="71"/>
        <v>45260</v>
      </c>
      <c r="Y221" s="39" t="str">
        <f t="shared" si="72"/>
        <v>2023-Q4</v>
      </c>
      <c r="Z221" s="39" t="str">
        <f t="shared" si="73"/>
        <v>Fri</v>
      </c>
      <c r="AA221" s="39">
        <f t="shared" si="74"/>
        <v>5</v>
      </c>
      <c r="AB221" s="39">
        <f t="shared" si="75"/>
        <v>48</v>
      </c>
      <c r="AC221" s="39" t="str">
        <f t="shared" si="76"/>
        <v>Weekday</v>
      </c>
      <c r="AD221" s="39">
        <f t="shared" ca="1" si="77"/>
        <v>1065</v>
      </c>
      <c r="AE221" s="39">
        <f t="shared" ca="1" si="78"/>
        <v>35</v>
      </c>
      <c r="AF221" s="39" t="str">
        <f t="shared" si="79"/>
        <v>EVE</v>
      </c>
      <c r="AG221" s="39" t="str">
        <f t="shared" si="80"/>
        <v>ER-231124-0220</v>
      </c>
      <c r="AH221" s="39" t="str">
        <f>IF(AND(OR(Filter!$B$4="All",D221=Filter!$B$4),OR(Filter!$B$5="All",M221=Filter!$B$5),E221&gt;=Filter!$B$6),MAX(AH$1:AH220)+1,"")</f>
        <v/>
      </c>
      <c r="AI221" s="39">
        <f t="shared" si="81"/>
        <v>11</v>
      </c>
      <c r="AJ221" s="42">
        <f t="shared" si="82"/>
        <v>0.22</v>
      </c>
      <c r="AK221" s="41">
        <f t="shared" si="83"/>
        <v>3862.26</v>
      </c>
      <c r="AL221" s="39">
        <f>RANK(E221,$E$2:$E$1001,0)+COUNTIF($E$2:E221,E221)-1</f>
        <v>480</v>
      </c>
    </row>
    <row r="222" spans="1:38" x14ac:dyDescent="0.2">
      <c r="A222" s="39">
        <v>1056</v>
      </c>
      <c r="B222" s="40">
        <v>45053</v>
      </c>
      <c r="C222" s="39" t="s">
        <v>76</v>
      </c>
      <c r="D222" s="39" t="s">
        <v>59</v>
      </c>
      <c r="E222" s="41">
        <v>7611.88</v>
      </c>
      <c r="F222" s="39">
        <v>28</v>
      </c>
      <c r="G222" s="39" t="s">
        <v>60</v>
      </c>
      <c r="H222" s="41">
        <v>1566.03</v>
      </c>
      <c r="I222" s="41">
        <v>1576.34</v>
      </c>
      <c r="J222" s="39" t="s">
        <v>137</v>
      </c>
      <c r="K222" s="42">
        <v>0.2</v>
      </c>
      <c r="L222" s="39" t="s">
        <v>63</v>
      </c>
      <c r="M222" s="39" t="s">
        <v>138</v>
      </c>
      <c r="N222" s="39" t="s">
        <v>157</v>
      </c>
      <c r="O222" s="43">
        <f t="shared" si="63"/>
        <v>44137.52</v>
      </c>
      <c r="P222" s="43">
        <f t="shared" si="64"/>
        <v>35310.019999999997</v>
      </c>
      <c r="Q222" s="43">
        <f t="shared" si="65"/>
        <v>43848.84</v>
      </c>
      <c r="R222" s="43">
        <f t="shared" si="66"/>
        <v>-8538.82</v>
      </c>
      <c r="S222" s="44">
        <f t="shared" si="67"/>
        <v>-0.24182427537565826</v>
      </c>
      <c r="T222" s="39" t="str">
        <f t="shared" si="68"/>
        <v>Loss</v>
      </c>
      <c r="U222" s="39" t="str">
        <f t="shared" si="69"/>
        <v>20%+</v>
      </c>
      <c r="V222" s="39" t="str">
        <f>IF(E222&gt;=Analysis!$B$4,"High",IF(E222&gt;=Analysis!$B$5,"Mid","Low"))</f>
        <v>High</v>
      </c>
      <c r="W222" s="39" t="str">
        <f t="shared" si="70"/>
        <v>2023-05</v>
      </c>
      <c r="X222" s="40">
        <f t="shared" si="71"/>
        <v>45077</v>
      </c>
      <c r="Y222" s="39" t="str">
        <f t="shared" si="72"/>
        <v>2023-Q2</v>
      </c>
      <c r="Z222" s="39" t="str">
        <f t="shared" si="73"/>
        <v>Sun</v>
      </c>
      <c r="AA222" s="39">
        <f t="shared" si="74"/>
        <v>7</v>
      </c>
      <c r="AB222" s="39">
        <f t="shared" si="75"/>
        <v>19</v>
      </c>
      <c r="AC222" s="39" t="str">
        <f t="shared" si="76"/>
        <v>Weekend</v>
      </c>
      <c r="AD222" s="39">
        <f t="shared" ca="1" si="77"/>
        <v>1266</v>
      </c>
      <c r="AE222" s="39">
        <f t="shared" ca="1" si="78"/>
        <v>41</v>
      </c>
      <c r="AF222" s="39" t="str">
        <f t="shared" si="79"/>
        <v>DAV</v>
      </c>
      <c r="AG222" s="39" t="str">
        <f t="shared" si="80"/>
        <v>EO-230507-0221</v>
      </c>
      <c r="AH222" s="39" t="str">
        <f>IF(AND(OR(Filter!$B$4="All",D222=Filter!$B$4),OR(Filter!$B$5="All",M222=Filter!$B$5),E222&gt;=Filter!$B$6),MAX(AH$1:AH221)+1,"")</f>
        <v/>
      </c>
      <c r="AI222" s="39">
        <f t="shared" si="81"/>
        <v>28</v>
      </c>
      <c r="AJ222" s="42">
        <f t="shared" si="82"/>
        <v>0.2</v>
      </c>
      <c r="AK222" s="41">
        <f t="shared" si="83"/>
        <v>1576.34</v>
      </c>
      <c r="AL222" s="39">
        <f>RANK(E222,$E$2:$E$1001,0)+COUNTIF($E$2:E222,E222)-1</f>
        <v>239</v>
      </c>
    </row>
    <row r="223" spans="1:38" x14ac:dyDescent="0.2">
      <c r="A223" s="39">
        <v>1081</v>
      </c>
      <c r="B223" s="40">
        <v>45032</v>
      </c>
      <c r="C223" s="39" t="s">
        <v>71</v>
      </c>
      <c r="D223" s="39" t="s">
        <v>74</v>
      </c>
      <c r="E223" s="41">
        <v>2896.71</v>
      </c>
      <c r="F223" s="39">
        <v>44</v>
      </c>
      <c r="G223" s="39" t="s">
        <v>65</v>
      </c>
      <c r="H223" s="41">
        <v>1362.15</v>
      </c>
      <c r="I223" s="41">
        <v>1844.07</v>
      </c>
      <c r="J223" s="39" t="s">
        <v>143</v>
      </c>
      <c r="K223" s="42">
        <v>0.28999999999999998</v>
      </c>
      <c r="L223" s="39" t="s">
        <v>73</v>
      </c>
      <c r="M223" s="39" t="s">
        <v>138</v>
      </c>
      <c r="N223" s="39" t="s">
        <v>146</v>
      </c>
      <c r="O223" s="43">
        <f t="shared" si="63"/>
        <v>81139.08</v>
      </c>
      <c r="P223" s="43">
        <f t="shared" si="64"/>
        <v>57608.75</v>
      </c>
      <c r="Q223" s="43">
        <f t="shared" si="65"/>
        <v>59934.6</v>
      </c>
      <c r="R223" s="43">
        <f t="shared" si="66"/>
        <v>-2325.8499999999985</v>
      </c>
      <c r="S223" s="44">
        <f t="shared" si="67"/>
        <v>-4.0373207195087524E-2</v>
      </c>
      <c r="T223" s="39" t="str">
        <f t="shared" si="68"/>
        <v>Loss</v>
      </c>
      <c r="U223" s="39" t="str">
        <f t="shared" si="69"/>
        <v>20%+</v>
      </c>
      <c r="V223" s="39" t="str">
        <f>IF(E223&gt;=Analysis!$B$4,"High",IF(E223&gt;=Analysis!$B$5,"Mid","Low"))</f>
        <v>Mid</v>
      </c>
      <c r="W223" s="39" t="str">
        <f t="shared" si="70"/>
        <v>2023-04</v>
      </c>
      <c r="X223" s="40">
        <f t="shared" si="71"/>
        <v>45046</v>
      </c>
      <c r="Y223" s="39" t="str">
        <f t="shared" si="72"/>
        <v>2023-Q2</v>
      </c>
      <c r="Z223" s="39" t="str">
        <f t="shared" si="73"/>
        <v>Sun</v>
      </c>
      <c r="AA223" s="39">
        <f t="shared" si="74"/>
        <v>7</v>
      </c>
      <c r="AB223" s="39">
        <f t="shared" si="75"/>
        <v>16</v>
      </c>
      <c r="AC223" s="39" t="str">
        <f t="shared" si="76"/>
        <v>Weekend</v>
      </c>
      <c r="AD223" s="39">
        <f t="shared" ca="1" si="77"/>
        <v>1287</v>
      </c>
      <c r="AE223" s="39">
        <f t="shared" ca="1" si="78"/>
        <v>42</v>
      </c>
      <c r="AF223" s="39" t="str">
        <f t="shared" si="79"/>
        <v>CHA</v>
      </c>
      <c r="AG223" s="39" t="str">
        <f t="shared" si="80"/>
        <v>WO-230416-0222</v>
      </c>
      <c r="AH223" s="39" t="str">
        <f>IF(AND(OR(Filter!$B$4="All",D223=Filter!$B$4),OR(Filter!$B$5="All",M223=Filter!$B$5),E223&gt;=Filter!$B$6),MAX(AH$1:AH222)+1,"")</f>
        <v/>
      </c>
      <c r="AI223" s="39">
        <f t="shared" si="81"/>
        <v>44</v>
      </c>
      <c r="AJ223" s="42">
        <f t="shared" si="82"/>
        <v>0.28999999999999998</v>
      </c>
      <c r="AK223" s="41">
        <f t="shared" si="83"/>
        <v>1844.07</v>
      </c>
      <c r="AL223" s="39">
        <f>RANK(E223,$E$2:$E$1001,0)+COUNTIF($E$2:E223,E223)-1</f>
        <v>706</v>
      </c>
    </row>
    <row r="224" spans="1:38" x14ac:dyDescent="0.2">
      <c r="A224" s="39">
        <v>1059</v>
      </c>
      <c r="B224" s="40">
        <v>45018</v>
      </c>
      <c r="C224" s="39" t="s">
        <v>79</v>
      </c>
      <c r="D224" s="39" t="s">
        <v>74</v>
      </c>
      <c r="E224" s="41">
        <v>3595.2</v>
      </c>
      <c r="F224" s="39">
        <v>12</v>
      </c>
      <c r="G224" s="39" t="s">
        <v>70</v>
      </c>
      <c r="H224" s="41">
        <v>3496.15</v>
      </c>
      <c r="I224" s="41">
        <v>3955.75</v>
      </c>
      <c r="J224" s="39" t="s">
        <v>137</v>
      </c>
      <c r="K224" s="42">
        <v>0.28000000000000003</v>
      </c>
      <c r="L224" s="39" t="s">
        <v>68</v>
      </c>
      <c r="M224" s="39" t="s">
        <v>140</v>
      </c>
      <c r="N224" s="39" t="s">
        <v>149</v>
      </c>
      <c r="O224" s="43">
        <f t="shared" si="63"/>
        <v>47469</v>
      </c>
      <c r="P224" s="43">
        <f t="shared" si="64"/>
        <v>34177.68</v>
      </c>
      <c r="Q224" s="43">
        <f t="shared" si="65"/>
        <v>41953.8</v>
      </c>
      <c r="R224" s="43">
        <f t="shared" si="66"/>
        <v>-7776.1200000000026</v>
      </c>
      <c r="S224" s="44">
        <f t="shared" si="67"/>
        <v>-0.22752041683344226</v>
      </c>
      <c r="T224" s="39" t="str">
        <f t="shared" si="68"/>
        <v>Loss</v>
      </c>
      <c r="U224" s="39" t="str">
        <f t="shared" si="69"/>
        <v>20%+</v>
      </c>
      <c r="V224" s="39" t="str">
        <f>IF(E224&gt;=Analysis!$B$4,"High",IF(E224&gt;=Analysis!$B$5,"Mid","Low"))</f>
        <v>Mid</v>
      </c>
      <c r="W224" s="39" t="str">
        <f t="shared" si="70"/>
        <v>2023-04</v>
      </c>
      <c r="X224" s="40">
        <f t="shared" si="71"/>
        <v>45046</v>
      </c>
      <c r="Y224" s="39" t="str">
        <f t="shared" si="72"/>
        <v>2023-Q2</v>
      </c>
      <c r="Z224" s="39" t="str">
        <f t="shared" si="73"/>
        <v>Sun</v>
      </c>
      <c r="AA224" s="39">
        <f t="shared" si="74"/>
        <v>7</v>
      </c>
      <c r="AB224" s="39">
        <f t="shared" si="75"/>
        <v>14</v>
      </c>
      <c r="AC224" s="39" t="str">
        <f t="shared" si="76"/>
        <v>Weekend</v>
      </c>
      <c r="AD224" s="39">
        <f t="shared" ca="1" si="77"/>
        <v>1301</v>
      </c>
      <c r="AE224" s="39">
        <f t="shared" ca="1" si="78"/>
        <v>42</v>
      </c>
      <c r="AF224" s="39" t="str">
        <f t="shared" si="79"/>
        <v>EVE</v>
      </c>
      <c r="AG224" s="39" t="str">
        <f t="shared" si="80"/>
        <v>WR-230402-0223</v>
      </c>
      <c r="AH224" s="39" t="str">
        <f>IF(AND(OR(Filter!$B$4="All",D224=Filter!$B$4),OR(Filter!$B$5="All",M224=Filter!$B$5),E224&gt;=Filter!$B$6),MAX(AH$1:AH223)+1,"")</f>
        <v/>
      </c>
      <c r="AI224" s="39">
        <f t="shared" si="81"/>
        <v>12</v>
      </c>
      <c r="AJ224" s="42">
        <f t="shared" si="82"/>
        <v>0.28000000000000003</v>
      </c>
      <c r="AK224" s="41">
        <f t="shared" si="83"/>
        <v>3955.75</v>
      </c>
      <c r="AL224" s="39">
        <f>RANK(E224,$E$2:$E$1001,0)+COUNTIF($E$2:E224,E224)-1</f>
        <v>642</v>
      </c>
    </row>
    <row r="225" spans="1:38" x14ac:dyDescent="0.2">
      <c r="A225" s="39">
        <v>1002</v>
      </c>
      <c r="B225" s="40">
        <v>45213</v>
      </c>
      <c r="C225" s="39" t="s">
        <v>76</v>
      </c>
      <c r="D225" s="39" t="s">
        <v>69</v>
      </c>
      <c r="E225" s="41">
        <v>8951.5300000000007</v>
      </c>
      <c r="F225" s="39">
        <v>39</v>
      </c>
      <c r="G225" s="39" t="s">
        <v>60</v>
      </c>
      <c r="H225" s="41">
        <v>1004.71</v>
      </c>
      <c r="I225" s="41">
        <v>1389.35</v>
      </c>
      <c r="J225" s="39" t="s">
        <v>143</v>
      </c>
      <c r="K225" s="42">
        <v>0.24</v>
      </c>
      <c r="L225" s="39" t="s">
        <v>63</v>
      </c>
      <c r="M225" s="39" t="s">
        <v>138</v>
      </c>
      <c r="N225" s="39" t="s">
        <v>142</v>
      </c>
      <c r="O225" s="43">
        <f t="shared" si="63"/>
        <v>54184.65</v>
      </c>
      <c r="P225" s="43">
        <f t="shared" si="64"/>
        <v>41180.33</v>
      </c>
      <c r="Q225" s="43">
        <f t="shared" si="65"/>
        <v>39183.69</v>
      </c>
      <c r="R225" s="43">
        <f t="shared" si="66"/>
        <v>1996.6399999999994</v>
      </c>
      <c r="S225" s="44">
        <f t="shared" si="67"/>
        <v>4.8485284115013148E-2</v>
      </c>
      <c r="T225" s="39" t="str">
        <f t="shared" si="68"/>
        <v>OK</v>
      </c>
      <c r="U225" s="39" t="str">
        <f t="shared" si="69"/>
        <v>20%+</v>
      </c>
      <c r="V225" s="39" t="str">
        <f>IF(E225&gt;=Analysis!$B$4,"High",IF(E225&gt;=Analysis!$B$5,"Mid","Low"))</f>
        <v>High</v>
      </c>
      <c r="W225" s="39" t="str">
        <f t="shared" si="70"/>
        <v>2023-10</v>
      </c>
      <c r="X225" s="40">
        <f t="shared" si="71"/>
        <v>45230</v>
      </c>
      <c r="Y225" s="39" t="str">
        <f t="shared" si="72"/>
        <v>2023-Q4</v>
      </c>
      <c r="Z225" s="39" t="str">
        <f t="shared" si="73"/>
        <v>Sat</v>
      </c>
      <c r="AA225" s="39">
        <f t="shared" si="74"/>
        <v>6</v>
      </c>
      <c r="AB225" s="39">
        <f t="shared" si="75"/>
        <v>42</v>
      </c>
      <c r="AC225" s="39" t="str">
        <f t="shared" si="76"/>
        <v>Weekend</v>
      </c>
      <c r="AD225" s="39">
        <f t="shared" ca="1" si="77"/>
        <v>1106</v>
      </c>
      <c r="AE225" s="39">
        <f t="shared" ca="1" si="78"/>
        <v>36</v>
      </c>
      <c r="AF225" s="39" t="str">
        <f t="shared" si="79"/>
        <v>DAV</v>
      </c>
      <c r="AG225" s="39" t="str">
        <f t="shared" si="80"/>
        <v>SO-231014-0224</v>
      </c>
      <c r="AH225" s="39" t="str">
        <f>IF(AND(OR(Filter!$B$4="All",D225=Filter!$B$4),OR(Filter!$B$5="All",M225=Filter!$B$5),E225&gt;=Filter!$B$6),MAX(AH$1:AH224)+1,"")</f>
        <v/>
      </c>
      <c r="AI225" s="39">
        <f t="shared" si="81"/>
        <v>39</v>
      </c>
      <c r="AJ225" s="42">
        <f t="shared" si="82"/>
        <v>0.24</v>
      </c>
      <c r="AK225" s="41">
        <f t="shared" si="83"/>
        <v>1389.35</v>
      </c>
      <c r="AL225" s="39">
        <f>RANK(E225,$E$2:$E$1001,0)+COUNTIF($E$2:E225,E225)-1</f>
        <v>96</v>
      </c>
    </row>
    <row r="226" spans="1:38" x14ac:dyDescent="0.2">
      <c r="A226" s="39">
        <v>1002</v>
      </c>
      <c r="B226" s="40">
        <v>44977</v>
      </c>
      <c r="C226" s="39" t="s">
        <v>71</v>
      </c>
      <c r="D226" s="39" t="s">
        <v>74</v>
      </c>
      <c r="E226" s="41">
        <v>9469.92</v>
      </c>
      <c r="F226" s="39">
        <v>26</v>
      </c>
      <c r="G226" s="39" t="s">
        <v>70</v>
      </c>
      <c r="H226" s="41">
        <v>508.94</v>
      </c>
      <c r="I226" s="41">
        <v>557.69000000000005</v>
      </c>
      <c r="J226" s="39" t="s">
        <v>143</v>
      </c>
      <c r="K226" s="42">
        <v>0.22</v>
      </c>
      <c r="L226" s="39" t="s">
        <v>73</v>
      </c>
      <c r="M226" s="39" t="s">
        <v>140</v>
      </c>
      <c r="N226" s="39" t="s">
        <v>146</v>
      </c>
      <c r="O226" s="43">
        <f t="shared" si="63"/>
        <v>14499.94</v>
      </c>
      <c r="P226" s="43">
        <f t="shared" si="64"/>
        <v>11309.95</v>
      </c>
      <c r="Q226" s="43">
        <f t="shared" si="65"/>
        <v>13232.44</v>
      </c>
      <c r="R226" s="43">
        <f t="shared" si="66"/>
        <v>-1922.4899999999998</v>
      </c>
      <c r="S226" s="44">
        <f t="shared" si="67"/>
        <v>-0.16998218382928304</v>
      </c>
      <c r="T226" s="39" t="str">
        <f t="shared" si="68"/>
        <v>Loss</v>
      </c>
      <c r="U226" s="39" t="str">
        <f t="shared" si="69"/>
        <v>20%+</v>
      </c>
      <c r="V226" s="39" t="str">
        <f>IF(E226&gt;=Analysis!$B$4,"High",IF(E226&gt;=Analysis!$B$5,"Mid","Low"))</f>
        <v>High</v>
      </c>
      <c r="W226" s="39" t="str">
        <f t="shared" si="70"/>
        <v>2023-02</v>
      </c>
      <c r="X226" s="40">
        <f t="shared" si="71"/>
        <v>44985</v>
      </c>
      <c r="Y226" s="39" t="str">
        <f t="shared" si="72"/>
        <v>2023-Q1</v>
      </c>
      <c r="Z226" s="39" t="str">
        <f t="shared" si="73"/>
        <v>Mon</v>
      </c>
      <c r="AA226" s="39">
        <f t="shared" si="74"/>
        <v>1</v>
      </c>
      <c r="AB226" s="39">
        <f t="shared" si="75"/>
        <v>9</v>
      </c>
      <c r="AC226" s="39" t="str">
        <f t="shared" si="76"/>
        <v>Weekday</v>
      </c>
      <c r="AD226" s="39">
        <f t="shared" ca="1" si="77"/>
        <v>1342</v>
      </c>
      <c r="AE226" s="39">
        <f t="shared" ca="1" si="78"/>
        <v>44</v>
      </c>
      <c r="AF226" s="39" t="str">
        <f t="shared" si="79"/>
        <v>CHA</v>
      </c>
      <c r="AG226" s="39" t="str">
        <f t="shared" si="80"/>
        <v>WR-230220-0225</v>
      </c>
      <c r="AH226" s="39">
        <f>IF(AND(OR(Filter!$B$4="All",D226=Filter!$B$4),OR(Filter!$B$5="All",M226=Filter!$B$5),E226&gt;=Filter!$B$6),MAX(AH$1:AH225)+1,"")</f>
        <v>27</v>
      </c>
      <c r="AI226" s="39">
        <f t="shared" si="81"/>
        <v>26</v>
      </c>
      <c r="AJ226" s="42">
        <f t="shared" si="82"/>
        <v>0.22</v>
      </c>
      <c r="AK226" s="41">
        <f t="shared" si="83"/>
        <v>557.69000000000005</v>
      </c>
      <c r="AL226" s="39">
        <f>RANK(E226,$E$2:$E$1001,0)+COUNTIF($E$2:E226,E226)-1</f>
        <v>55</v>
      </c>
    </row>
    <row r="227" spans="1:38" x14ac:dyDescent="0.2">
      <c r="A227" s="39">
        <v>1092</v>
      </c>
      <c r="B227" s="40">
        <v>44955</v>
      </c>
      <c r="C227" s="39" t="s">
        <v>66</v>
      </c>
      <c r="D227" s="39" t="s">
        <v>69</v>
      </c>
      <c r="E227" s="41">
        <v>8936.33</v>
      </c>
      <c r="F227" s="39">
        <v>13</v>
      </c>
      <c r="G227" s="39" t="s">
        <v>60</v>
      </c>
      <c r="H227" s="41">
        <v>2684.5</v>
      </c>
      <c r="I227" s="41">
        <v>2913.78</v>
      </c>
      <c r="J227" s="39" t="s">
        <v>143</v>
      </c>
      <c r="K227" s="42">
        <v>0.08</v>
      </c>
      <c r="L227" s="39" t="s">
        <v>73</v>
      </c>
      <c r="M227" s="39" t="s">
        <v>140</v>
      </c>
      <c r="N227" s="39" t="s">
        <v>144</v>
      </c>
      <c r="O227" s="43">
        <f t="shared" si="63"/>
        <v>37879.14</v>
      </c>
      <c r="P227" s="43">
        <f t="shared" si="64"/>
        <v>34848.81</v>
      </c>
      <c r="Q227" s="43">
        <f t="shared" si="65"/>
        <v>34898.5</v>
      </c>
      <c r="R227" s="43">
        <f t="shared" si="66"/>
        <v>-49.690000000002328</v>
      </c>
      <c r="S227" s="44">
        <f t="shared" si="67"/>
        <v>-1.4258736525006831E-3</v>
      </c>
      <c r="T227" s="39" t="str">
        <f t="shared" si="68"/>
        <v>Loss</v>
      </c>
      <c r="U227" s="39" t="str">
        <f t="shared" si="69"/>
        <v>0-9%</v>
      </c>
      <c r="V227" s="39" t="str">
        <f>IF(E227&gt;=Analysis!$B$4,"High",IF(E227&gt;=Analysis!$B$5,"Mid","Low"))</f>
        <v>High</v>
      </c>
      <c r="W227" s="39" t="str">
        <f t="shared" si="70"/>
        <v>2023-01</v>
      </c>
      <c r="X227" s="40">
        <f t="shared" si="71"/>
        <v>44957</v>
      </c>
      <c r="Y227" s="39" t="str">
        <f t="shared" si="72"/>
        <v>2023-Q1</v>
      </c>
      <c r="Z227" s="39" t="str">
        <f t="shared" si="73"/>
        <v>Sun</v>
      </c>
      <c r="AA227" s="39">
        <f t="shared" si="74"/>
        <v>7</v>
      </c>
      <c r="AB227" s="39">
        <f t="shared" si="75"/>
        <v>5</v>
      </c>
      <c r="AC227" s="39" t="str">
        <f t="shared" si="76"/>
        <v>Weekend</v>
      </c>
      <c r="AD227" s="39">
        <f t="shared" ca="1" si="77"/>
        <v>1364</v>
      </c>
      <c r="AE227" s="39">
        <f t="shared" ca="1" si="78"/>
        <v>44</v>
      </c>
      <c r="AF227" s="39" t="str">
        <f t="shared" si="79"/>
        <v>BOB</v>
      </c>
      <c r="AG227" s="39" t="str">
        <f t="shared" si="80"/>
        <v>SR-230129-0226</v>
      </c>
      <c r="AH227" s="39" t="str">
        <f>IF(AND(OR(Filter!$B$4="All",D227=Filter!$B$4),OR(Filter!$B$5="All",M227=Filter!$B$5),E227&gt;=Filter!$B$6),MAX(AH$1:AH226)+1,"")</f>
        <v/>
      </c>
      <c r="AI227" s="39">
        <f t="shared" si="81"/>
        <v>13</v>
      </c>
      <c r="AJ227" s="42">
        <f t="shared" si="82"/>
        <v>0.08</v>
      </c>
      <c r="AK227" s="41">
        <f t="shared" si="83"/>
        <v>2913.78</v>
      </c>
      <c r="AL227" s="39">
        <f>RANK(E227,$E$2:$E$1001,0)+COUNTIF($E$2:E227,E227)-1</f>
        <v>97</v>
      </c>
    </row>
    <row r="228" spans="1:38" x14ac:dyDescent="0.2">
      <c r="A228" s="39">
        <v>1054</v>
      </c>
      <c r="B228" s="40">
        <v>45222</v>
      </c>
      <c r="C228" s="39" t="s">
        <v>76</v>
      </c>
      <c r="D228" s="39" t="s">
        <v>59</v>
      </c>
      <c r="E228" s="41">
        <v>4252.54</v>
      </c>
      <c r="F228" s="39">
        <v>8</v>
      </c>
      <c r="G228" s="39" t="s">
        <v>70</v>
      </c>
      <c r="H228" s="41">
        <v>4117.13</v>
      </c>
      <c r="I228" s="41">
        <v>4177.0600000000004</v>
      </c>
      <c r="J228" s="39" t="s">
        <v>137</v>
      </c>
      <c r="K228" s="42">
        <v>0.25</v>
      </c>
      <c r="L228" s="39" t="s">
        <v>63</v>
      </c>
      <c r="M228" s="39" t="s">
        <v>140</v>
      </c>
      <c r="N228" s="39" t="s">
        <v>157</v>
      </c>
      <c r="O228" s="43">
        <f t="shared" si="63"/>
        <v>33416.480000000003</v>
      </c>
      <c r="P228" s="43">
        <f t="shared" si="64"/>
        <v>25062.36</v>
      </c>
      <c r="Q228" s="43">
        <f t="shared" si="65"/>
        <v>32937.040000000001</v>
      </c>
      <c r="R228" s="43">
        <f t="shared" si="66"/>
        <v>-7874.68</v>
      </c>
      <c r="S228" s="44">
        <f t="shared" si="67"/>
        <v>-0.31420345091204499</v>
      </c>
      <c r="T228" s="39" t="str">
        <f t="shared" si="68"/>
        <v>Loss</v>
      </c>
      <c r="U228" s="39" t="str">
        <f t="shared" si="69"/>
        <v>20%+</v>
      </c>
      <c r="V228" s="39" t="str">
        <f>IF(E228&gt;=Analysis!$B$4,"High",IF(E228&gt;=Analysis!$B$5,"Mid","Low"))</f>
        <v>Mid</v>
      </c>
      <c r="W228" s="39" t="str">
        <f t="shared" si="70"/>
        <v>2023-10</v>
      </c>
      <c r="X228" s="40">
        <f t="shared" si="71"/>
        <v>45230</v>
      </c>
      <c r="Y228" s="39" t="str">
        <f t="shared" si="72"/>
        <v>2023-Q4</v>
      </c>
      <c r="Z228" s="39" t="str">
        <f t="shared" si="73"/>
        <v>Mon</v>
      </c>
      <c r="AA228" s="39">
        <f t="shared" si="74"/>
        <v>1</v>
      </c>
      <c r="AB228" s="39">
        <f t="shared" si="75"/>
        <v>44</v>
      </c>
      <c r="AC228" s="39" t="str">
        <f t="shared" si="76"/>
        <v>Weekday</v>
      </c>
      <c r="AD228" s="39">
        <f t="shared" ca="1" si="77"/>
        <v>1097</v>
      </c>
      <c r="AE228" s="39">
        <f t="shared" ca="1" si="78"/>
        <v>36</v>
      </c>
      <c r="AF228" s="39" t="str">
        <f t="shared" si="79"/>
        <v>DAV</v>
      </c>
      <c r="AG228" s="39" t="str">
        <f t="shared" si="80"/>
        <v>ER-231023-0227</v>
      </c>
      <c r="AH228" s="39" t="str">
        <f>IF(AND(OR(Filter!$B$4="All",D228=Filter!$B$4),OR(Filter!$B$5="All",M228=Filter!$B$5),E228&gt;=Filter!$B$6),MAX(AH$1:AH227)+1,"")</f>
        <v/>
      </c>
      <c r="AI228" s="39">
        <f t="shared" si="81"/>
        <v>8</v>
      </c>
      <c r="AJ228" s="42">
        <f t="shared" si="82"/>
        <v>0.25</v>
      </c>
      <c r="AK228" s="41">
        <f t="shared" si="83"/>
        <v>4177.0600000000004</v>
      </c>
      <c r="AL228" s="39">
        <f>RANK(E228,$E$2:$E$1001,0)+COUNTIF($E$2:E228,E228)-1</f>
        <v>573</v>
      </c>
    </row>
    <row r="229" spans="1:38" x14ac:dyDescent="0.2">
      <c r="A229" s="39">
        <v>1087</v>
      </c>
      <c r="B229" s="40">
        <v>45223</v>
      </c>
      <c r="C229" s="39" t="s">
        <v>66</v>
      </c>
      <c r="D229" s="39" t="s">
        <v>59</v>
      </c>
      <c r="E229" s="41">
        <v>7825.62</v>
      </c>
      <c r="F229" s="39">
        <v>28</v>
      </c>
      <c r="G229" s="39" t="s">
        <v>60</v>
      </c>
      <c r="H229" s="41">
        <v>551.83000000000004</v>
      </c>
      <c r="I229" s="41">
        <v>569.63</v>
      </c>
      <c r="J229" s="39" t="s">
        <v>143</v>
      </c>
      <c r="K229" s="42">
        <v>0.13</v>
      </c>
      <c r="L229" s="39" t="s">
        <v>73</v>
      </c>
      <c r="M229" s="39" t="s">
        <v>140</v>
      </c>
      <c r="N229" s="39" t="s">
        <v>153</v>
      </c>
      <c r="O229" s="43">
        <f t="shared" si="63"/>
        <v>15949.64</v>
      </c>
      <c r="P229" s="43">
        <f t="shared" si="64"/>
        <v>13876.19</v>
      </c>
      <c r="Q229" s="43">
        <f t="shared" si="65"/>
        <v>15451.24</v>
      </c>
      <c r="R229" s="43">
        <f t="shared" si="66"/>
        <v>-1575.0499999999993</v>
      </c>
      <c r="S229" s="44">
        <f t="shared" si="67"/>
        <v>-0.1135073820695738</v>
      </c>
      <c r="T229" s="39" t="str">
        <f t="shared" si="68"/>
        <v>Loss</v>
      </c>
      <c r="U229" s="39" t="str">
        <f t="shared" si="69"/>
        <v>10-19%</v>
      </c>
      <c r="V229" s="39" t="str">
        <f>IF(E229&gt;=Analysis!$B$4,"High",IF(E229&gt;=Analysis!$B$5,"Mid","Low"))</f>
        <v>High</v>
      </c>
      <c r="W229" s="39" t="str">
        <f t="shared" si="70"/>
        <v>2023-10</v>
      </c>
      <c r="X229" s="40">
        <f t="shared" si="71"/>
        <v>45230</v>
      </c>
      <c r="Y229" s="39" t="str">
        <f t="shared" si="72"/>
        <v>2023-Q4</v>
      </c>
      <c r="Z229" s="39" t="str">
        <f t="shared" si="73"/>
        <v>Tue</v>
      </c>
      <c r="AA229" s="39">
        <f t="shared" si="74"/>
        <v>2</v>
      </c>
      <c r="AB229" s="39">
        <f t="shared" si="75"/>
        <v>44</v>
      </c>
      <c r="AC229" s="39" t="str">
        <f t="shared" si="76"/>
        <v>Weekday</v>
      </c>
      <c r="AD229" s="39">
        <f t="shared" ca="1" si="77"/>
        <v>1096</v>
      </c>
      <c r="AE229" s="39">
        <f t="shared" ca="1" si="78"/>
        <v>36</v>
      </c>
      <c r="AF229" s="39" t="str">
        <f t="shared" si="79"/>
        <v>BOB</v>
      </c>
      <c r="AG229" s="39" t="str">
        <f t="shared" si="80"/>
        <v>ER-231024-0228</v>
      </c>
      <c r="AH229" s="39" t="str">
        <f>IF(AND(OR(Filter!$B$4="All",D229=Filter!$B$4),OR(Filter!$B$5="All",M229=Filter!$B$5),E229&gt;=Filter!$B$6),MAX(AH$1:AH228)+1,"")</f>
        <v/>
      </c>
      <c r="AI229" s="39">
        <f t="shared" si="81"/>
        <v>28</v>
      </c>
      <c r="AJ229" s="42">
        <f t="shared" si="82"/>
        <v>0.13</v>
      </c>
      <c r="AK229" s="41">
        <f t="shared" si="83"/>
        <v>569.63</v>
      </c>
      <c r="AL229" s="39">
        <f>RANK(E229,$E$2:$E$1001,0)+COUNTIF($E$2:E229,E229)-1</f>
        <v>216</v>
      </c>
    </row>
    <row r="230" spans="1:38" x14ac:dyDescent="0.2">
      <c r="A230" s="39">
        <v>1096</v>
      </c>
      <c r="B230" s="40">
        <v>45140</v>
      </c>
      <c r="C230" s="39" t="s">
        <v>66</v>
      </c>
      <c r="D230" s="39" t="s">
        <v>64</v>
      </c>
      <c r="E230" s="41">
        <v>4815.72</v>
      </c>
      <c r="F230" s="39">
        <v>30</v>
      </c>
      <c r="G230" s="39" t="s">
        <v>65</v>
      </c>
      <c r="H230" s="41">
        <v>3969.86</v>
      </c>
      <c r="I230" s="41">
        <v>4281.79</v>
      </c>
      <c r="J230" s="39" t="s">
        <v>137</v>
      </c>
      <c r="K230" s="42">
        <v>0.08</v>
      </c>
      <c r="L230" s="39" t="s">
        <v>63</v>
      </c>
      <c r="M230" s="39" t="s">
        <v>140</v>
      </c>
      <c r="N230" s="39" t="s">
        <v>139</v>
      </c>
      <c r="O230" s="43">
        <f t="shared" si="63"/>
        <v>128453.7</v>
      </c>
      <c r="P230" s="43">
        <f t="shared" si="64"/>
        <v>118177.4</v>
      </c>
      <c r="Q230" s="43">
        <f t="shared" si="65"/>
        <v>119095.8</v>
      </c>
      <c r="R230" s="43">
        <f t="shared" si="66"/>
        <v>-918.40000000000873</v>
      </c>
      <c r="S230" s="44">
        <f t="shared" si="67"/>
        <v>-7.7713674526602274E-3</v>
      </c>
      <c r="T230" s="39" t="str">
        <f t="shared" si="68"/>
        <v>Loss</v>
      </c>
      <c r="U230" s="39" t="str">
        <f t="shared" si="69"/>
        <v>0-9%</v>
      </c>
      <c r="V230" s="39" t="str">
        <f>IF(E230&gt;=Analysis!$B$4,"High",IF(E230&gt;=Analysis!$B$5,"Mid","Low"))</f>
        <v>Mid</v>
      </c>
      <c r="W230" s="39" t="str">
        <f t="shared" si="70"/>
        <v>2023-08</v>
      </c>
      <c r="X230" s="40">
        <f t="shared" si="71"/>
        <v>45169</v>
      </c>
      <c r="Y230" s="39" t="str">
        <f t="shared" si="72"/>
        <v>2023-Q3</v>
      </c>
      <c r="Z230" s="39" t="str">
        <f t="shared" si="73"/>
        <v>Wed</v>
      </c>
      <c r="AA230" s="39">
        <f t="shared" si="74"/>
        <v>3</v>
      </c>
      <c r="AB230" s="39">
        <f t="shared" si="75"/>
        <v>32</v>
      </c>
      <c r="AC230" s="39" t="str">
        <f t="shared" si="76"/>
        <v>Weekday</v>
      </c>
      <c r="AD230" s="39">
        <f t="shared" ca="1" si="77"/>
        <v>1179</v>
      </c>
      <c r="AE230" s="39">
        <f t="shared" ca="1" si="78"/>
        <v>38</v>
      </c>
      <c r="AF230" s="39" t="str">
        <f t="shared" si="79"/>
        <v>BOB</v>
      </c>
      <c r="AG230" s="39" t="str">
        <f t="shared" si="80"/>
        <v>NR-230802-0229</v>
      </c>
      <c r="AH230" s="39" t="str">
        <f>IF(AND(OR(Filter!$B$4="All",D230=Filter!$B$4),OR(Filter!$B$5="All",M230=Filter!$B$5),E230&gt;=Filter!$B$6),MAX(AH$1:AH229)+1,"")</f>
        <v/>
      </c>
      <c r="AI230" s="39">
        <f t="shared" si="81"/>
        <v>30</v>
      </c>
      <c r="AJ230" s="42">
        <f t="shared" si="82"/>
        <v>0.08</v>
      </c>
      <c r="AK230" s="41">
        <f t="shared" si="83"/>
        <v>4281.79</v>
      </c>
      <c r="AL230" s="39">
        <f>RANK(E230,$E$2:$E$1001,0)+COUNTIF($E$2:E230,E230)-1</f>
        <v>519</v>
      </c>
    </row>
    <row r="231" spans="1:38" x14ac:dyDescent="0.2">
      <c r="A231" s="39">
        <v>1097</v>
      </c>
      <c r="B231" s="40">
        <v>45193</v>
      </c>
      <c r="C231" s="39" t="s">
        <v>61</v>
      </c>
      <c r="D231" s="39" t="s">
        <v>59</v>
      </c>
      <c r="E231" s="41">
        <v>5025.6400000000003</v>
      </c>
      <c r="F231" s="39">
        <v>9</v>
      </c>
      <c r="G231" s="39" t="s">
        <v>70</v>
      </c>
      <c r="H231" s="41">
        <v>4067.28</v>
      </c>
      <c r="I231" s="41">
        <v>4548.09</v>
      </c>
      <c r="J231" s="39" t="s">
        <v>137</v>
      </c>
      <c r="K231" s="42">
        <v>0.12</v>
      </c>
      <c r="L231" s="39" t="s">
        <v>73</v>
      </c>
      <c r="M231" s="39" t="s">
        <v>140</v>
      </c>
      <c r="N231" s="39" t="s">
        <v>159</v>
      </c>
      <c r="O231" s="43">
        <f t="shared" si="63"/>
        <v>40932.81</v>
      </c>
      <c r="P231" s="43">
        <f t="shared" si="64"/>
        <v>36020.870000000003</v>
      </c>
      <c r="Q231" s="43">
        <f t="shared" si="65"/>
        <v>36605.519999999997</v>
      </c>
      <c r="R231" s="43">
        <f t="shared" si="66"/>
        <v>-584.64999999999418</v>
      </c>
      <c r="S231" s="44">
        <f t="shared" si="67"/>
        <v>-1.6230868382690205E-2</v>
      </c>
      <c r="T231" s="39" t="str">
        <f t="shared" si="68"/>
        <v>Loss</v>
      </c>
      <c r="U231" s="39" t="str">
        <f t="shared" si="69"/>
        <v>10-19%</v>
      </c>
      <c r="V231" s="39" t="str">
        <f>IF(E231&gt;=Analysis!$B$4,"High",IF(E231&gt;=Analysis!$B$5,"Mid","Low"))</f>
        <v>Mid</v>
      </c>
      <c r="W231" s="39" t="str">
        <f t="shared" si="70"/>
        <v>2023-09</v>
      </c>
      <c r="X231" s="40">
        <f t="shared" si="71"/>
        <v>45199</v>
      </c>
      <c r="Y231" s="39" t="str">
        <f t="shared" si="72"/>
        <v>2023-Q3</v>
      </c>
      <c r="Z231" s="39" t="str">
        <f t="shared" si="73"/>
        <v>Sun</v>
      </c>
      <c r="AA231" s="39">
        <f t="shared" si="74"/>
        <v>7</v>
      </c>
      <c r="AB231" s="39">
        <f t="shared" si="75"/>
        <v>39</v>
      </c>
      <c r="AC231" s="39" t="str">
        <f t="shared" si="76"/>
        <v>Weekend</v>
      </c>
      <c r="AD231" s="39">
        <f t="shared" ca="1" si="77"/>
        <v>1126</v>
      </c>
      <c r="AE231" s="39">
        <f t="shared" ca="1" si="78"/>
        <v>37</v>
      </c>
      <c r="AF231" s="39" t="str">
        <f t="shared" si="79"/>
        <v>ALI</v>
      </c>
      <c r="AG231" s="39" t="str">
        <f t="shared" si="80"/>
        <v>ER-230924-0230</v>
      </c>
      <c r="AH231" s="39" t="str">
        <f>IF(AND(OR(Filter!$B$4="All",D231=Filter!$B$4),OR(Filter!$B$5="All",M231=Filter!$B$5),E231&gt;=Filter!$B$6),MAX(AH$1:AH230)+1,"")</f>
        <v/>
      </c>
      <c r="AI231" s="39">
        <f t="shared" si="81"/>
        <v>9</v>
      </c>
      <c r="AJ231" s="42">
        <f t="shared" si="82"/>
        <v>0.12</v>
      </c>
      <c r="AK231" s="41">
        <f t="shared" si="83"/>
        <v>4548.09</v>
      </c>
      <c r="AL231" s="39">
        <f>RANK(E231,$E$2:$E$1001,0)+COUNTIF($E$2:E231,E231)-1</f>
        <v>500</v>
      </c>
    </row>
    <row r="232" spans="1:38" x14ac:dyDescent="0.2">
      <c r="A232" s="39">
        <v>1001</v>
      </c>
      <c r="B232" s="40">
        <v>45183</v>
      </c>
      <c r="C232" s="39" t="s">
        <v>79</v>
      </c>
      <c r="D232" s="39" t="s">
        <v>69</v>
      </c>
      <c r="E232" s="41">
        <v>2126.33</v>
      </c>
      <c r="F232" s="39">
        <v>39</v>
      </c>
      <c r="G232" s="39" t="s">
        <v>70</v>
      </c>
      <c r="H232" s="41">
        <v>2437.2600000000002</v>
      </c>
      <c r="I232" s="41">
        <v>2889.67</v>
      </c>
      <c r="J232" s="39" t="s">
        <v>137</v>
      </c>
      <c r="K232" s="42">
        <v>0.25</v>
      </c>
      <c r="L232" s="39" t="s">
        <v>68</v>
      </c>
      <c r="M232" s="39" t="s">
        <v>138</v>
      </c>
      <c r="N232" s="39" t="s">
        <v>147</v>
      </c>
      <c r="O232" s="43">
        <f t="shared" si="63"/>
        <v>112697.13</v>
      </c>
      <c r="P232" s="43">
        <f t="shared" si="64"/>
        <v>84522.85</v>
      </c>
      <c r="Q232" s="43">
        <f t="shared" si="65"/>
        <v>95053.14</v>
      </c>
      <c r="R232" s="43">
        <f t="shared" si="66"/>
        <v>-10530.289999999994</v>
      </c>
      <c r="S232" s="44">
        <f t="shared" si="67"/>
        <v>-0.1245851269804555</v>
      </c>
      <c r="T232" s="39" t="str">
        <f t="shared" si="68"/>
        <v>Loss</v>
      </c>
      <c r="U232" s="39" t="str">
        <f t="shared" si="69"/>
        <v>20%+</v>
      </c>
      <c r="V232" s="39" t="str">
        <f>IF(E232&gt;=Analysis!$B$4,"High",IF(E232&gt;=Analysis!$B$5,"Mid","Low"))</f>
        <v>Low</v>
      </c>
      <c r="W232" s="39" t="str">
        <f t="shared" si="70"/>
        <v>2023-09</v>
      </c>
      <c r="X232" s="40">
        <f t="shared" si="71"/>
        <v>45199</v>
      </c>
      <c r="Y232" s="39" t="str">
        <f t="shared" si="72"/>
        <v>2023-Q3</v>
      </c>
      <c r="Z232" s="39" t="str">
        <f t="shared" si="73"/>
        <v>Thu</v>
      </c>
      <c r="AA232" s="39">
        <f t="shared" si="74"/>
        <v>4</v>
      </c>
      <c r="AB232" s="39">
        <f t="shared" si="75"/>
        <v>38</v>
      </c>
      <c r="AC232" s="39" t="str">
        <f t="shared" si="76"/>
        <v>Weekday</v>
      </c>
      <c r="AD232" s="39">
        <f t="shared" ca="1" si="77"/>
        <v>1136</v>
      </c>
      <c r="AE232" s="39">
        <f t="shared" ca="1" si="78"/>
        <v>37</v>
      </c>
      <c r="AF232" s="39" t="str">
        <f t="shared" si="79"/>
        <v>EVE</v>
      </c>
      <c r="AG232" s="39" t="str">
        <f t="shared" si="80"/>
        <v>SO-230914-0231</v>
      </c>
      <c r="AH232" s="39" t="str">
        <f>IF(AND(OR(Filter!$B$4="All",D232=Filter!$B$4),OR(Filter!$B$5="All",M232=Filter!$B$5),E232&gt;=Filter!$B$6),MAX(AH$1:AH231)+1,"")</f>
        <v/>
      </c>
      <c r="AI232" s="39">
        <f t="shared" si="81"/>
        <v>39</v>
      </c>
      <c r="AJ232" s="42">
        <f t="shared" si="82"/>
        <v>0.25</v>
      </c>
      <c r="AK232" s="41">
        <f t="shared" si="83"/>
        <v>2889.67</v>
      </c>
      <c r="AL232" s="39">
        <f>RANK(E232,$E$2:$E$1001,0)+COUNTIF($E$2:E232,E232)-1</f>
        <v>801</v>
      </c>
    </row>
    <row r="233" spans="1:38" x14ac:dyDescent="0.2">
      <c r="A233" s="39">
        <v>1019</v>
      </c>
      <c r="B233" s="40">
        <v>45228</v>
      </c>
      <c r="C233" s="39" t="s">
        <v>76</v>
      </c>
      <c r="D233" s="39" t="s">
        <v>74</v>
      </c>
      <c r="E233" s="41">
        <v>5952.19</v>
      </c>
      <c r="F233" s="39">
        <v>31</v>
      </c>
      <c r="G233" s="39" t="s">
        <v>70</v>
      </c>
      <c r="H233" s="41">
        <v>333.69</v>
      </c>
      <c r="I233" s="41">
        <v>685.1</v>
      </c>
      <c r="J233" s="39" t="s">
        <v>143</v>
      </c>
      <c r="K233" s="42">
        <v>0.04</v>
      </c>
      <c r="L233" s="39" t="s">
        <v>63</v>
      </c>
      <c r="M233" s="39" t="s">
        <v>138</v>
      </c>
      <c r="N233" s="39" t="s">
        <v>154</v>
      </c>
      <c r="O233" s="43">
        <f t="shared" si="63"/>
        <v>21238.1</v>
      </c>
      <c r="P233" s="43">
        <f t="shared" si="64"/>
        <v>20388.580000000002</v>
      </c>
      <c r="Q233" s="43">
        <f t="shared" si="65"/>
        <v>10344.39</v>
      </c>
      <c r="R233" s="43">
        <f t="shared" si="66"/>
        <v>10044.190000000002</v>
      </c>
      <c r="S233" s="44">
        <f t="shared" si="67"/>
        <v>0.49263803560620706</v>
      </c>
      <c r="T233" s="39" t="str">
        <f t="shared" si="68"/>
        <v>OK</v>
      </c>
      <c r="U233" s="39" t="str">
        <f t="shared" si="69"/>
        <v>0-9%</v>
      </c>
      <c r="V233" s="39" t="str">
        <f>IF(E233&gt;=Analysis!$B$4,"High",IF(E233&gt;=Analysis!$B$5,"Mid","Low"))</f>
        <v>Mid</v>
      </c>
      <c r="W233" s="39" t="str">
        <f t="shared" si="70"/>
        <v>2023-10</v>
      </c>
      <c r="X233" s="40">
        <f t="shared" si="71"/>
        <v>45230</v>
      </c>
      <c r="Y233" s="39" t="str">
        <f t="shared" si="72"/>
        <v>2023-Q4</v>
      </c>
      <c r="Z233" s="39" t="str">
        <f t="shared" si="73"/>
        <v>Sun</v>
      </c>
      <c r="AA233" s="39">
        <f t="shared" si="74"/>
        <v>7</v>
      </c>
      <c r="AB233" s="39">
        <f t="shared" si="75"/>
        <v>44</v>
      </c>
      <c r="AC233" s="39" t="str">
        <f t="shared" si="76"/>
        <v>Weekend</v>
      </c>
      <c r="AD233" s="39">
        <f t="shared" ca="1" si="77"/>
        <v>1091</v>
      </c>
      <c r="AE233" s="39">
        <f t="shared" ca="1" si="78"/>
        <v>35</v>
      </c>
      <c r="AF233" s="39" t="str">
        <f t="shared" si="79"/>
        <v>DAV</v>
      </c>
      <c r="AG233" s="39" t="str">
        <f t="shared" si="80"/>
        <v>WO-231029-0232</v>
      </c>
      <c r="AH233" s="39" t="str">
        <f>IF(AND(OR(Filter!$B$4="All",D233=Filter!$B$4),OR(Filter!$B$5="All",M233=Filter!$B$5),E233&gt;=Filter!$B$6),MAX(AH$1:AH232)+1,"")</f>
        <v/>
      </c>
      <c r="AI233" s="39">
        <f t="shared" si="81"/>
        <v>31</v>
      </c>
      <c r="AJ233" s="42">
        <f t="shared" si="82"/>
        <v>0.04</v>
      </c>
      <c r="AK233" s="41">
        <f t="shared" si="83"/>
        <v>685.1</v>
      </c>
      <c r="AL233" s="39">
        <f>RANK(E233,$E$2:$E$1001,0)+COUNTIF($E$2:E233,E233)-1</f>
        <v>412</v>
      </c>
    </row>
    <row r="234" spans="1:38" x14ac:dyDescent="0.2">
      <c r="A234" s="39">
        <v>1002</v>
      </c>
      <c r="B234" s="40">
        <v>45027</v>
      </c>
      <c r="C234" s="39" t="s">
        <v>66</v>
      </c>
      <c r="D234" s="39" t="s">
        <v>64</v>
      </c>
      <c r="E234" s="41">
        <v>1942.75</v>
      </c>
      <c r="F234" s="39">
        <v>21</v>
      </c>
      <c r="G234" s="39" t="s">
        <v>70</v>
      </c>
      <c r="H234" s="41">
        <v>914.22</v>
      </c>
      <c r="I234" s="41">
        <v>971.57</v>
      </c>
      <c r="J234" s="39" t="s">
        <v>137</v>
      </c>
      <c r="K234" s="42">
        <v>0.14000000000000001</v>
      </c>
      <c r="L234" s="39" t="s">
        <v>68</v>
      </c>
      <c r="M234" s="39" t="s">
        <v>138</v>
      </c>
      <c r="N234" s="39" t="s">
        <v>139</v>
      </c>
      <c r="O234" s="43">
        <f t="shared" si="63"/>
        <v>20402.97</v>
      </c>
      <c r="P234" s="43">
        <f t="shared" si="64"/>
        <v>17546.55</v>
      </c>
      <c r="Q234" s="43">
        <f t="shared" si="65"/>
        <v>19198.62</v>
      </c>
      <c r="R234" s="43">
        <f t="shared" si="66"/>
        <v>-1652.0699999999997</v>
      </c>
      <c r="S234" s="44">
        <f t="shared" si="67"/>
        <v>-9.415355155286935E-2</v>
      </c>
      <c r="T234" s="39" t="str">
        <f t="shared" si="68"/>
        <v>Loss</v>
      </c>
      <c r="U234" s="39" t="str">
        <f t="shared" si="69"/>
        <v>10-19%</v>
      </c>
      <c r="V234" s="39" t="str">
        <f>IF(E234&gt;=Analysis!$B$4,"High",IF(E234&gt;=Analysis!$B$5,"Mid","Low"))</f>
        <v>Low</v>
      </c>
      <c r="W234" s="39" t="str">
        <f t="shared" si="70"/>
        <v>2023-04</v>
      </c>
      <c r="X234" s="40">
        <f t="shared" si="71"/>
        <v>45046</v>
      </c>
      <c r="Y234" s="39" t="str">
        <f t="shared" si="72"/>
        <v>2023-Q2</v>
      </c>
      <c r="Z234" s="39" t="str">
        <f t="shared" si="73"/>
        <v>Tue</v>
      </c>
      <c r="AA234" s="39">
        <f t="shared" si="74"/>
        <v>2</v>
      </c>
      <c r="AB234" s="39">
        <f t="shared" si="75"/>
        <v>16</v>
      </c>
      <c r="AC234" s="39" t="str">
        <f t="shared" si="76"/>
        <v>Weekday</v>
      </c>
      <c r="AD234" s="39">
        <f t="shared" ca="1" si="77"/>
        <v>1292</v>
      </c>
      <c r="AE234" s="39">
        <f t="shared" ca="1" si="78"/>
        <v>42</v>
      </c>
      <c r="AF234" s="39" t="str">
        <f t="shared" si="79"/>
        <v>BOB</v>
      </c>
      <c r="AG234" s="39" t="str">
        <f t="shared" si="80"/>
        <v>NO-230411-0233</v>
      </c>
      <c r="AH234" s="39" t="str">
        <f>IF(AND(OR(Filter!$B$4="All",D234=Filter!$B$4),OR(Filter!$B$5="All",M234=Filter!$B$5),E234&gt;=Filter!$B$6),MAX(AH$1:AH233)+1,"")</f>
        <v/>
      </c>
      <c r="AI234" s="39">
        <f t="shared" si="81"/>
        <v>21</v>
      </c>
      <c r="AJ234" s="42">
        <f t="shared" si="82"/>
        <v>0.14000000000000001</v>
      </c>
      <c r="AK234" s="41">
        <f t="shared" si="83"/>
        <v>971.57</v>
      </c>
      <c r="AL234" s="39">
        <f>RANK(E234,$E$2:$E$1001,0)+COUNTIF($E$2:E234,E234)-1</f>
        <v>824</v>
      </c>
    </row>
    <row r="235" spans="1:38" x14ac:dyDescent="0.2">
      <c r="A235" s="39">
        <v>1053</v>
      </c>
      <c r="B235" s="40">
        <v>45272</v>
      </c>
      <c r="C235" s="39" t="s">
        <v>61</v>
      </c>
      <c r="D235" s="39" t="s">
        <v>69</v>
      </c>
      <c r="E235" s="41">
        <v>3382.49</v>
      </c>
      <c r="F235" s="39">
        <v>47</v>
      </c>
      <c r="G235" s="39" t="s">
        <v>65</v>
      </c>
      <c r="H235" s="41">
        <v>3551.76</v>
      </c>
      <c r="I235" s="41">
        <v>3696.1</v>
      </c>
      <c r="J235" s="39" t="s">
        <v>137</v>
      </c>
      <c r="K235" s="42">
        <v>0.15</v>
      </c>
      <c r="L235" s="39" t="s">
        <v>63</v>
      </c>
      <c r="M235" s="39" t="s">
        <v>140</v>
      </c>
      <c r="N235" s="39" t="s">
        <v>150</v>
      </c>
      <c r="O235" s="43">
        <f t="shared" si="63"/>
        <v>173716.7</v>
      </c>
      <c r="P235" s="43">
        <f t="shared" si="64"/>
        <v>147659.20000000001</v>
      </c>
      <c r="Q235" s="43">
        <f t="shared" si="65"/>
        <v>166932.72</v>
      </c>
      <c r="R235" s="43">
        <f t="shared" si="66"/>
        <v>-19273.51999999999</v>
      </c>
      <c r="S235" s="44">
        <f t="shared" si="67"/>
        <v>-0.13052705148070684</v>
      </c>
      <c r="T235" s="39" t="str">
        <f t="shared" si="68"/>
        <v>Loss</v>
      </c>
      <c r="U235" s="39" t="str">
        <f t="shared" si="69"/>
        <v>10-19%</v>
      </c>
      <c r="V235" s="39" t="str">
        <f>IF(E235&gt;=Analysis!$B$4,"High",IF(E235&gt;=Analysis!$B$5,"Mid","Low"))</f>
        <v>Mid</v>
      </c>
      <c r="W235" s="39" t="str">
        <f t="shared" si="70"/>
        <v>2023-12</v>
      </c>
      <c r="X235" s="40">
        <f t="shared" si="71"/>
        <v>45291</v>
      </c>
      <c r="Y235" s="39" t="str">
        <f t="shared" si="72"/>
        <v>2023-Q4</v>
      </c>
      <c r="Z235" s="39" t="str">
        <f t="shared" si="73"/>
        <v>Tue</v>
      </c>
      <c r="AA235" s="39">
        <f t="shared" si="74"/>
        <v>2</v>
      </c>
      <c r="AB235" s="39">
        <f t="shared" si="75"/>
        <v>51</v>
      </c>
      <c r="AC235" s="39" t="str">
        <f t="shared" si="76"/>
        <v>Weekday</v>
      </c>
      <c r="AD235" s="39">
        <f t="shared" ca="1" si="77"/>
        <v>1047</v>
      </c>
      <c r="AE235" s="39">
        <f t="shared" ca="1" si="78"/>
        <v>34</v>
      </c>
      <c r="AF235" s="39" t="str">
        <f t="shared" si="79"/>
        <v>ALI</v>
      </c>
      <c r="AG235" s="39" t="str">
        <f t="shared" si="80"/>
        <v>SR-231212-0234</v>
      </c>
      <c r="AH235" s="39" t="str">
        <f>IF(AND(OR(Filter!$B$4="All",D235=Filter!$B$4),OR(Filter!$B$5="All",M235=Filter!$B$5),E235&gt;=Filter!$B$6),MAX(AH$1:AH234)+1,"")</f>
        <v/>
      </c>
      <c r="AI235" s="39">
        <f t="shared" si="81"/>
        <v>47</v>
      </c>
      <c r="AJ235" s="42">
        <f t="shared" si="82"/>
        <v>0.15</v>
      </c>
      <c r="AK235" s="41">
        <f t="shared" si="83"/>
        <v>3696.1</v>
      </c>
      <c r="AL235" s="39">
        <f>RANK(E235,$E$2:$E$1001,0)+COUNTIF($E$2:E235,E235)-1</f>
        <v>660</v>
      </c>
    </row>
    <row r="236" spans="1:38" x14ac:dyDescent="0.2">
      <c r="A236" s="39">
        <v>1044</v>
      </c>
      <c r="B236" s="40">
        <v>45036</v>
      </c>
      <c r="C236" s="39" t="s">
        <v>71</v>
      </c>
      <c r="D236" s="39" t="s">
        <v>74</v>
      </c>
      <c r="E236" s="41">
        <v>8564.7999999999993</v>
      </c>
      <c r="F236" s="39">
        <v>34</v>
      </c>
      <c r="G236" s="39" t="s">
        <v>70</v>
      </c>
      <c r="H236" s="41">
        <v>3573.3</v>
      </c>
      <c r="I236" s="41">
        <v>3740.13</v>
      </c>
      <c r="J236" s="39" t="s">
        <v>137</v>
      </c>
      <c r="K236" s="42">
        <v>0.01</v>
      </c>
      <c r="L236" s="39" t="s">
        <v>73</v>
      </c>
      <c r="M236" s="39" t="s">
        <v>138</v>
      </c>
      <c r="N236" s="39" t="s">
        <v>146</v>
      </c>
      <c r="O236" s="43">
        <f t="shared" si="63"/>
        <v>127164.42</v>
      </c>
      <c r="P236" s="43">
        <f t="shared" si="64"/>
        <v>125892.78</v>
      </c>
      <c r="Q236" s="43">
        <f t="shared" si="65"/>
        <v>121492.2</v>
      </c>
      <c r="R236" s="43">
        <f t="shared" si="66"/>
        <v>4400.5800000000017</v>
      </c>
      <c r="S236" s="44">
        <f t="shared" si="67"/>
        <v>3.4954983121351375E-2</v>
      </c>
      <c r="T236" s="39" t="str">
        <f t="shared" si="68"/>
        <v>OK</v>
      </c>
      <c r="U236" s="39" t="str">
        <f t="shared" si="69"/>
        <v>0-9%</v>
      </c>
      <c r="V236" s="39" t="str">
        <f>IF(E236&gt;=Analysis!$B$4,"High",IF(E236&gt;=Analysis!$B$5,"Mid","Low"))</f>
        <v>High</v>
      </c>
      <c r="W236" s="39" t="str">
        <f t="shared" si="70"/>
        <v>2023-04</v>
      </c>
      <c r="X236" s="40">
        <f t="shared" si="71"/>
        <v>45046</v>
      </c>
      <c r="Y236" s="39" t="str">
        <f t="shared" si="72"/>
        <v>2023-Q2</v>
      </c>
      <c r="Z236" s="39" t="str">
        <f t="shared" si="73"/>
        <v>Thu</v>
      </c>
      <c r="AA236" s="39">
        <f t="shared" si="74"/>
        <v>4</v>
      </c>
      <c r="AB236" s="39">
        <f t="shared" si="75"/>
        <v>17</v>
      </c>
      <c r="AC236" s="39" t="str">
        <f t="shared" si="76"/>
        <v>Weekday</v>
      </c>
      <c r="AD236" s="39">
        <f t="shared" ca="1" si="77"/>
        <v>1283</v>
      </c>
      <c r="AE236" s="39">
        <f t="shared" ca="1" si="78"/>
        <v>42</v>
      </c>
      <c r="AF236" s="39" t="str">
        <f t="shared" si="79"/>
        <v>CHA</v>
      </c>
      <c r="AG236" s="39" t="str">
        <f t="shared" si="80"/>
        <v>WO-230420-0235</v>
      </c>
      <c r="AH236" s="39" t="str">
        <f>IF(AND(OR(Filter!$B$4="All",D236=Filter!$B$4),OR(Filter!$B$5="All",M236=Filter!$B$5),E236&gt;=Filter!$B$6),MAX(AH$1:AH235)+1,"")</f>
        <v/>
      </c>
      <c r="AI236" s="39">
        <f t="shared" si="81"/>
        <v>34</v>
      </c>
      <c r="AJ236" s="42">
        <f t="shared" si="82"/>
        <v>0.01</v>
      </c>
      <c r="AK236" s="41">
        <f t="shared" si="83"/>
        <v>3740.13</v>
      </c>
      <c r="AL236" s="39">
        <f>RANK(E236,$E$2:$E$1001,0)+COUNTIF($E$2:E236,E236)-1</f>
        <v>135</v>
      </c>
    </row>
    <row r="237" spans="1:38" x14ac:dyDescent="0.2">
      <c r="A237" s="39">
        <v>1090</v>
      </c>
      <c r="B237" s="40">
        <v>45108</v>
      </c>
      <c r="C237" s="39" t="s">
        <v>76</v>
      </c>
      <c r="D237" s="39" t="s">
        <v>64</v>
      </c>
      <c r="E237" s="41">
        <v>2150.0500000000002</v>
      </c>
      <c r="F237" s="39">
        <v>31</v>
      </c>
      <c r="G237" s="39" t="s">
        <v>75</v>
      </c>
      <c r="H237" s="41">
        <v>4496.8599999999997</v>
      </c>
      <c r="I237" s="41">
        <v>4880.8</v>
      </c>
      <c r="J237" s="39" t="s">
        <v>143</v>
      </c>
      <c r="K237" s="42">
        <v>0.06</v>
      </c>
      <c r="L237" s="39" t="s">
        <v>68</v>
      </c>
      <c r="M237" s="39" t="s">
        <v>140</v>
      </c>
      <c r="N237" s="39" t="s">
        <v>152</v>
      </c>
      <c r="O237" s="43">
        <f t="shared" si="63"/>
        <v>151304.79999999999</v>
      </c>
      <c r="P237" s="43">
        <f t="shared" si="64"/>
        <v>142226.51</v>
      </c>
      <c r="Q237" s="43">
        <f t="shared" si="65"/>
        <v>139402.66</v>
      </c>
      <c r="R237" s="43">
        <f t="shared" si="66"/>
        <v>2823.8500000000058</v>
      </c>
      <c r="S237" s="44">
        <f t="shared" si="67"/>
        <v>1.9854596727431516E-2</v>
      </c>
      <c r="T237" s="39" t="str">
        <f t="shared" si="68"/>
        <v>OK</v>
      </c>
      <c r="U237" s="39" t="str">
        <f t="shared" si="69"/>
        <v>0-9%</v>
      </c>
      <c r="V237" s="39" t="str">
        <f>IF(E237&gt;=Analysis!$B$4,"High",IF(E237&gt;=Analysis!$B$5,"Mid","Low"))</f>
        <v>Low</v>
      </c>
      <c r="W237" s="39" t="str">
        <f t="shared" si="70"/>
        <v>2023-07</v>
      </c>
      <c r="X237" s="40">
        <f t="shared" si="71"/>
        <v>45138</v>
      </c>
      <c r="Y237" s="39" t="str">
        <f t="shared" si="72"/>
        <v>2023-Q3</v>
      </c>
      <c r="Z237" s="39" t="str">
        <f t="shared" si="73"/>
        <v>Sat</v>
      </c>
      <c r="AA237" s="39">
        <f t="shared" si="74"/>
        <v>6</v>
      </c>
      <c r="AB237" s="39">
        <f t="shared" si="75"/>
        <v>27</v>
      </c>
      <c r="AC237" s="39" t="str">
        <f t="shared" si="76"/>
        <v>Weekend</v>
      </c>
      <c r="AD237" s="39">
        <f t="shared" ca="1" si="77"/>
        <v>1211</v>
      </c>
      <c r="AE237" s="39">
        <f t="shared" ca="1" si="78"/>
        <v>39</v>
      </c>
      <c r="AF237" s="39" t="str">
        <f t="shared" si="79"/>
        <v>DAV</v>
      </c>
      <c r="AG237" s="39" t="str">
        <f t="shared" si="80"/>
        <v>NR-230701-0236</v>
      </c>
      <c r="AH237" s="39" t="str">
        <f>IF(AND(OR(Filter!$B$4="All",D237=Filter!$B$4),OR(Filter!$B$5="All",M237=Filter!$B$5),E237&gt;=Filter!$B$6),MAX(AH$1:AH236)+1,"")</f>
        <v/>
      </c>
      <c r="AI237" s="39">
        <f t="shared" si="81"/>
        <v>31</v>
      </c>
      <c r="AJ237" s="42">
        <f t="shared" si="82"/>
        <v>0.06</v>
      </c>
      <c r="AK237" s="41">
        <f t="shared" si="83"/>
        <v>4880.8</v>
      </c>
      <c r="AL237" s="39">
        <f>RANK(E237,$E$2:$E$1001,0)+COUNTIF($E$2:E237,E237)-1</f>
        <v>798</v>
      </c>
    </row>
    <row r="238" spans="1:38" x14ac:dyDescent="0.2">
      <c r="A238" s="39">
        <v>1032</v>
      </c>
      <c r="B238" s="40">
        <v>45239</v>
      </c>
      <c r="C238" s="39" t="s">
        <v>66</v>
      </c>
      <c r="D238" s="39" t="s">
        <v>59</v>
      </c>
      <c r="E238" s="41">
        <v>804.47</v>
      </c>
      <c r="F238" s="39">
        <v>25</v>
      </c>
      <c r="G238" s="39" t="s">
        <v>65</v>
      </c>
      <c r="H238" s="41">
        <v>2934.3</v>
      </c>
      <c r="I238" s="41">
        <v>3337.4</v>
      </c>
      <c r="J238" s="39" t="s">
        <v>137</v>
      </c>
      <c r="K238" s="42">
        <v>0.25</v>
      </c>
      <c r="L238" s="39" t="s">
        <v>73</v>
      </c>
      <c r="M238" s="39" t="s">
        <v>140</v>
      </c>
      <c r="N238" s="39" t="s">
        <v>153</v>
      </c>
      <c r="O238" s="43">
        <f t="shared" si="63"/>
        <v>83435</v>
      </c>
      <c r="P238" s="43">
        <f t="shared" si="64"/>
        <v>62576.25</v>
      </c>
      <c r="Q238" s="43">
        <f t="shared" si="65"/>
        <v>73357.5</v>
      </c>
      <c r="R238" s="43">
        <f t="shared" si="66"/>
        <v>-10781.25</v>
      </c>
      <c r="S238" s="44">
        <f t="shared" si="67"/>
        <v>-0.17228980643614791</v>
      </c>
      <c r="T238" s="39" t="str">
        <f t="shared" si="68"/>
        <v>Loss</v>
      </c>
      <c r="U238" s="39" t="str">
        <f t="shared" si="69"/>
        <v>20%+</v>
      </c>
      <c r="V238" s="39" t="str">
        <f>IF(E238&gt;=Analysis!$B$4,"High",IF(E238&gt;=Analysis!$B$5,"Mid","Low"))</f>
        <v>Low</v>
      </c>
      <c r="W238" s="39" t="str">
        <f t="shared" si="70"/>
        <v>2023-11</v>
      </c>
      <c r="X238" s="40">
        <f t="shared" si="71"/>
        <v>45260</v>
      </c>
      <c r="Y238" s="39" t="str">
        <f t="shared" si="72"/>
        <v>2023-Q4</v>
      </c>
      <c r="Z238" s="39" t="str">
        <f t="shared" si="73"/>
        <v>Thu</v>
      </c>
      <c r="AA238" s="39">
        <f t="shared" si="74"/>
        <v>4</v>
      </c>
      <c r="AB238" s="39">
        <f t="shared" si="75"/>
        <v>46</v>
      </c>
      <c r="AC238" s="39" t="str">
        <f t="shared" si="76"/>
        <v>Weekday</v>
      </c>
      <c r="AD238" s="39">
        <f t="shared" ca="1" si="77"/>
        <v>1080</v>
      </c>
      <c r="AE238" s="39">
        <f t="shared" ca="1" si="78"/>
        <v>35</v>
      </c>
      <c r="AF238" s="39" t="str">
        <f t="shared" si="79"/>
        <v>BOB</v>
      </c>
      <c r="AG238" s="39" t="str">
        <f t="shared" si="80"/>
        <v>ER-231109-0237</v>
      </c>
      <c r="AH238" s="39" t="str">
        <f>IF(AND(OR(Filter!$B$4="All",D238=Filter!$B$4),OR(Filter!$B$5="All",M238=Filter!$B$5),E238&gt;=Filter!$B$6),MAX(AH$1:AH237)+1,"")</f>
        <v/>
      </c>
      <c r="AI238" s="39">
        <f t="shared" si="81"/>
        <v>25</v>
      </c>
      <c r="AJ238" s="42">
        <f t="shared" si="82"/>
        <v>0.25</v>
      </c>
      <c r="AK238" s="41">
        <f t="shared" si="83"/>
        <v>3337.4</v>
      </c>
      <c r="AL238" s="39">
        <f>RANK(E238,$E$2:$E$1001,0)+COUNTIF($E$2:E238,E238)-1</f>
        <v>922</v>
      </c>
    </row>
    <row r="239" spans="1:38" x14ac:dyDescent="0.2">
      <c r="A239" s="39">
        <v>1070</v>
      </c>
      <c r="B239" s="40">
        <v>44927</v>
      </c>
      <c r="C239" s="39" t="s">
        <v>79</v>
      </c>
      <c r="D239" s="39" t="s">
        <v>69</v>
      </c>
      <c r="E239" s="41">
        <v>783.18</v>
      </c>
      <c r="F239" s="39">
        <v>12</v>
      </c>
      <c r="G239" s="39" t="s">
        <v>75</v>
      </c>
      <c r="H239" s="41">
        <v>664.33</v>
      </c>
      <c r="I239" s="41">
        <v>863.03</v>
      </c>
      <c r="J239" s="39" t="s">
        <v>137</v>
      </c>
      <c r="K239" s="42">
        <v>0.25</v>
      </c>
      <c r="L239" s="39" t="s">
        <v>63</v>
      </c>
      <c r="M239" s="39" t="s">
        <v>140</v>
      </c>
      <c r="N239" s="39" t="s">
        <v>147</v>
      </c>
      <c r="O239" s="43">
        <f t="shared" si="63"/>
        <v>10356.36</v>
      </c>
      <c r="P239" s="43">
        <f t="shared" si="64"/>
        <v>7767.27</v>
      </c>
      <c r="Q239" s="43">
        <f t="shared" si="65"/>
        <v>7971.96</v>
      </c>
      <c r="R239" s="43">
        <f t="shared" si="66"/>
        <v>-204.6899999999996</v>
      </c>
      <c r="S239" s="44">
        <f t="shared" si="67"/>
        <v>-2.6352888466604045E-2</v>
      </c>
      <c r="T239" s="39" t="str">
        <f t="shared" si="68"/>
        <v>Loss</v>
      </c>
      <c r="U239" s="39" t="str">
        <f t="shared" si="69"/>
        <v>20%+</v>
      </c>
      <c r="V239" s="39" t="str">
        <f>IF(E239&gt;=Analysis!$B$4,"High",IF(E239&gt;=Analysis!$B$5,"Mid","Low"))</f>
        <v>Low</v>
      </c>
      <c r="W239" s="39" t="str">
        <f t="shared" si="70"/>
        <v>2023-01</v>
      </c>
      <c r="X239" s="40">
        <f t="shared" si="71"/>
        <v>44957</v>
      </c>
      <c r="Y239" s="39" t="str">
        <f t="shared" si="72"/>
        <v>2023-Q1</v>
      </c>
      <c r="Z239" s="39" t="str">
        <f t="shared" si="73"/>
        <v>Sun</v>
      </c>
      <c r="AA239" s="39">
        <f t="shared" si="74"/>
        <v>7</v>
      </c>
      <c r="AB239" s="39">
        <f t="shared" si="75"/>
        <v>1</v>
      </c>
      <c r="AC239" s="39" t="str">
        <f t="shared" si="76"/>
        <v>Weekend</v>
      </c>
      <c r="AD239" s="39">
        <f t="shared" ca="1" si="77"/>
        <v>1392</v>
      </c>
      <c r="AE239" s="39">
        <f t="shared" ca="1" si="78"/>
        <v>45</v>
      </c>
      <c r="AF239" s="39" t="str">
        <f t="shared" si="79"/>
        <v>EVE</v>
      </c>
      <c r="AG239" s="39" t="str">
        <f t="shared" si="80"/>
        <v>SR-230101-0238</v>
      </c>
      <c r="AH239" s="39" t="str">
        <f>IF(AND(OR(Filter!$B$4="All",D239=Filter!$B$4),OR(Filter!$B$5="All",M239=Filter!$B$5),E239&gt;=Filter!$B$6),MAX(AH$1:AH238)+1,"")</f>
        <v/>
      </c>
      <c r="AI239" s="39">
        <f t="shared" si="81"/>
        <v>12</v>
      </c>
      <c r="AJ239" s="42">
        <f t="shared" si="82"/>
        <v>0.25</v>
      </c>
      <c r="AK239" s="41">
        <f t="shared" si="83"/>
        <v>863.03</v>
      </c>
      <c r="AL239" s="39">
        <f>RANK(E239,$E$2:$E$1001,0)+COUNTIF($E$2:E239,E239)-1</f>
        <v>926</v>
      </c>
    </row>
    <row r="240" spans="1:38" x14ac:dyDescent="0.2">
      <c r="A240" s="39">
        <v>1032</v>
      </c>
      <c r="B240" s="40">
        <v>45245</v>
      </c>
      <c r="C240" s="39" t="s">
        <v>61</v>
      </c>
      <c r="D240" s="39" t="s">
        <v>74</v>
      </c>
      <c r="E240" s="41">
        <v>9413.77</v>
      </c>
      <c r="F240" s="39">
        <v>1</v>
      </c>
      <c r="G240" s="39" t="s">
        <v>70</v>
      </c>
      <c r="H240" s="41">
        <v>651</v>
      </c>
      <c r="I240" s="41">
        <v>865.76</v>
      </c>
      <c r="J240" s="39" t="s">
        <v>137</v>
      </c>
      <c r="K240" s="42">
        <v>0.09</v>
      </c>
      <c r="L240" s="39" t="s">
        <v>63</v>
      </c>
      <c r="M240" s="39" t="s">
        <v>140</v>
      </c>
      <c r="N240" s="39" t="s">
        <v>158</v>
      </c>
      <c r="O240" s="43">
        <f t="shared" si="63"/>
        <v>865.76</v>
      </c>
      <c r="P240" s="43">
        <f t="shared" si="64"/>
        <v>787.84</v>
      </c>
      <c r="Q240" s="43">
        <f t="shared" si="65"/>
        <v>651</v>
      </c>
      <c r="R240" s="43">
        <f t="shared" si="66"/>
        <v>136.84000000000003</v>
      </c>
      <c r="S240" s="44">
        <f t="shared" si="67"/>
        <v>0.17369008935824537</v>
      </c>
      <c r="T240" s="39" t="str">
        <f t="shared" si="68"/>
        <v>OK</v>
      </c>
      <c r="U240" s="39" t="str">
        <f t="shared" si="69"/>
        <v>0-9%</v>
      </c>
      <c r="V240" s="39" t="str">
        <f>IF(E240&gt;=Analysis!$B$4,"High",IF(E240&gt;=Analysis!$B$5,"Mid","Low"))</f>
        <v>High</v>
      </c>
      <c r="W240" s="39" t="str">
        <f t="shared" si="70"/>
        <v>2023-11</v>
      </c>
      <c r="X240" s="40">
        <f t="shared" si="71"/>
        <v>45260</v>
      </c>
      <c r="Y240" s="39" t="str">
        <f t="shared" si="72"/>
        <v>2023-Q4</v>
      </c>
      <c r="Z240" s="39" t="str">
        <f t="shared" si="73"/>
        <v>Wed</v>
      </c>
      <c r="AA240" s="39">
        <f t="shared" si="74"/>
        <v>3</v>
      </c>
      <c r="AB240" s="39">
        <f t="shared" si="75"/>
        <v>47</v>
      </c>
      <c r="AC240" s="39" t="str">
        <f t="shared" si="76"/>
        <v>Weekday</v>
      </c>
      <c r="AD240" s="39">
        <f t="shared" ca="1" si="77"/>
        <v>1074</v>
      </c>
      <c r="AE240" s="39">
        <f t="shared" ca="1" si="78"/>
        <v>35</v>
      </c>
      <c r="AF240" s="39" t="str">
        <f t="shared" si="79"/>
        <v>ALI</v>
      </c>
      <c r="AG240" s="39" t="str">
        <f t="shared" si="80"/>
        <v>WR-231115-0239</v>
      </c>
      <c r="AH240" s="39">
        <f>IF(AND(OR(Filter!$B$4="All",D240=Filter!$B$4),OR(Filter!$B$5="All",M240=Filter!$B$5),E240&gt;=Filter!$B$6),MAX(AH$1:AH239)+1,"")</f>
        <v>28</v>
      </c>
      <c r="AI240" s="39">
        <f t="shared" si="81"/>
        <v>1</v>
      </c>
      <c r="AJ240" s="42">
        <f t="shared" si="82"/>
        <v>0.09</v>
      </c>
      <c r="AK240" s="41">
        <f t="shared" si="83"/>
        <v>865.76</v>
      </c>
      <c r="AL240" s="39">
        <f>RANK(E240,$E$2:$E$1001,0)+COUNTIF($E$2:E240,E240)-1</f>
        <v>62</v>
      </c>
    </row>
    <row r="241" spans="1:38" x14ac:dyDescent="0.2">
      <c r="A241" s="39">
        <v>1068</v>
      </c>
      <c r="B241" s="40">
        <v>44981</v>
      </c>
      <c r="C241" s="39" t="s">
        <v>66</v>
      </c>
      <c r="D241" s="39" t="s">
        <v>64</v>
      </c>
      <c r="E241" s="41">
        <v>5118.51</v>
      </c>
      <c r="F241" s="39">
        <v>22</v>
      </c>
      <c r="G241" s="39" t="s">
        <v>60</v>
      </c>
      <c r="H241" s="41">
        <v>3619.61</v>
      </c>
      <c r="I241" s="41">
        <v>3651.42</v>
      </c>
      <c r="J241" s="39" t="s">
        <v>137</v>
      </c>
      <c r="K241" s="42">
        <v>0.26</v>
      </c>
      <c r="L241" s="39" t="s">
        <v>63</v>
      </c>
      <c r="M241" s="39" t="s">
        <v>138</v>
      </c>
      <c r="N241" s="39" t="s">
        <v>139</v>
      </c>
      <c r="O241" s="43">
        <f t="shared" si="63"/>
        <v>80331.240000000005</v>
      </c>
      <c r="P241" s="43">
        <f t="shared" si="64"/>
        <v>59445.120000000003</v>
      </c>
      <c r="Q241" s="43">
        <f t="shared" si="65"/>
        <v>79631.42</v>
      </c>
      <c r="R241" s="43">
        <f t="shared" si="66"/>
        <v>-20186.299999999996</v>
      </c>
      <c r="S241" s="44">
        <f t="shared" si="67"/>
        <v>-0.33957875768439855</v>
      </c>
      <c r="T241" s="39" t="str">
        <f t="shared" si="68"/>
        <v>Loss</v>
      </c>
      <c r="U241" s="39" t="str">
        <f t="shared" si="69"/>
        <v>20%+</v>
      </c>
      <c r="V241" s="39" t="str">
        <f>IF(E241&gt;=Analysis!$B$4,"High",IF(E241&gt;=Analysis!$B$5,"Mid","Low"))</f>
        <v>Mid</v>
      </c>
      <c r="W241" s="39" t="str">
        <f t="shared" si="70"/>
        <v>2023-02</v>
      </c>
      <c r="X241" s="40">
        <f t="shared" si="71"/>
        <v>44985</v>
      </c>
      <c r="Y241" s="39" t="str">
        <f t="shared" si="72"/>
        <v>2023-Q1</v>
      </c>
      <c r="Z241" s="39" t="str">
        <f t="shared" si="73"/>
        <v>Fri</v>
      </c>
      <c r="AA241" s="39">
        <f t="shared" si="74"/>
        <v>5</v>
      </c>
      <c r="AB241" s="39">
        <f t="shared" si="75"/>
        <v>9</v>
      </c>
      <c r="AC241" s="39" t="str">
        <f t="shared" si="76"/>
        <v>Weekday</v>
      </c>
      <c r="AD241" s="39">
        <f t="shared" ca="1" si="77"/>
        <v>1338</v>
      </c>
      <c r="AE241" s="39">
        <f t="shared" ca="1" si="78"/>
        <v>44</v>
      </c>
      <c r="AF241" s="39" t="str">
        <f t="shared" si="79"/>
        <v>BOB</v>
      </c>
      <c r="AG241" s="39" t="str">
        <f t="shared" si="80"/>
        <v>NO-230224-0240</v>
      </c>
      <c r="AH241" s="39" t="str">
        <f>IF(AND(OR(Filter!$B$4="All",D241=Filter!$B$4),OR(Filter!$B$5="All",M241=Filter!$B$5),E241&gt;=Filter!$B$6),MAX(AH$1:AH240)+1,"")</f>
        <v/>
      </c>
      <c r="AI241" s="39">
        <f t="shared" si="81"/>
        <v>22</v>
      </c>
      <c r="AJ241" s="42">
        <f t="shared" si="82"/>
        <v>0.26</v>
      </c>
      <c r="AK241" s="41">
        <f t="shared" si="83"/>
        <v>3651.42</v>
      </c>
      <c r="AL241" s="39">
        <f>RANK(E241,$E$2:$E$1001,0)+COUNTIF($E$2:E241,E241)-1</f>
        <v>488</v>
      </c>
    </row>
    <row r="242" spans="1:38" x14ac:dyDescent="0.2">
      <c r="A242" s="39">
        <v>1055</v>
      </c>
      <c r="B242" s="40">
        <v>45075</v>
      </c>
      <c r="C242" s="39" t="s">
        <v>79</v>
      </c>
      <c r="D242" s="39" t="s">
        <v>64</v>
      </c>
      <c r="E242" s="41">
        <v>4153.18</v>
      </c>
      <c r="F242" s="39">
        <v>40</v>
      </c>
      <c r="G242" s="39" t="s">
        <v>75</v>
      </c>
      <c r="H242" s="41">
        <v>959.73</v>
      </c>
      <c r="I242" s="41">
        <v>1111.4100000000001</v>
      </c>
      <c r="J242" s="39" t="s">
        <v>143</v>
      </c>
      <c r="K242" s="42">
        <v>0.23</v>
      </c>
      <c r="L242" s="39" t="s">
        <v>63</v>
      </c>
      <c r="M242" s="39" t="s">
        <v>138</v>
      </c>
      <c r="N242" s="39" t="s">
        <v>148</v>
      </c>
      <c r="O242" s="43">
        <f t="shared" si="63"/>
        <v>44456.4</v>
      </c>
      <c r="P242" s="43">
        <f t="shared" si="64"/>
        <v>34231.43</v>
      </c>
      <c r="Q242" s="43">
        <f t="shared" si="65"/>
        <v>38389.199999999997</v>
      </c>
      <c r="R242" s="43">
        <f t="shared" si="66"/>
        <v>-4157.7699999999968</v>
      </c>
      <c r="S242" s="44">
        <f t="shared" si="67"/>
        <v>-0.1214605992212419</v>
      </c>
      <c r="T242" s="39" t="str">
        <f t="shared" si="68"/>
        <v>Loss</v>
      </c>
      <c r="U242" s="39" t="str">
        <f t="shared" si="69"/>
        <v>20%+</v>
      </c>
      <c r="V242" s="39" t="str">
        <f>IF(E242&gt;=Analysis!$B$4,"High",IF(E242&gt;=Analysis!$B$5,"Mid","Low"))</f>
        <v>Mid</v>
      </c>
      <c r="W242" s="39" t="str">
        <f t="shared" si="70"/>
        <v>2023-05</v>
      </c>
      <c r="X242" s="40">
        <f t="shared" si="71"/>
        <v>45077</v>
      </c>
      <c r="Y242" s="39" t="str">
        <f t="shared" si="72"/>
        <v>2023-Q2</v>
      </c>
      <c r="Z242" s="39" t="str">
        <f t="shared" si="73"/>
        <v>Mon</v>
      </c>
      <c r="AA242" s="39">
        <f t="shared" si="74"/>
        <v>1</v>
      </c>
      <c r="AB242" s="39">
        <f t="shared" si="75"/>
        <v>23</v>
      </c>
      <c r="AC242" s="39" t="str">
        <f t="shared" si="76"/>
        <v>Weekday</v>
      </c>
      <c r="AD242" s="39">
        <f t="shared" ca="1" si="77"/>
        <v>1244</v>
      </c>
      <c r="AE242" s="39">
        <f t="shared" ca="1" si="78"/>
        <v>40</v>
      </c>
      <c r="AF242" s="39" t="str">
        <f t="shared" si="79"/>
        <v>EVE</v>
      </c>
      <c r="AG242" s="39" t="str">
        <f t="shared" si="80"/>
        <v>NO-230529-0241</v>
      </c>
      <c r="AH242" s="39" t="str">
        <f>IF(AND(OR(Filter!$B$4="All",D242=Filter!$B$4),OR(Filter!$B$5="All",M242=Filter!$B$5),E242&gt;=Filter!$B$6),MAX(AH$1:AH241)+1,"")</f>
        <v/>
      </c>
      <c r="AI242" s="39">
        <f t="shared" si="81"/>
        <v>40</v>
      </c>
      <c r="AJ242" s="42">
        <f t="shared" si="82"/>
        <v>0.23</v>
      </c>
      <c r="AK242" s="41">
        <f t="shared" si="83"/>
        <v>1111.4100000000001</v>
      </c>
      <c r="AL242" s="39">
        <f>RANK(E242,$E$2:$E$1001,0)+COUNTIF($E$2:E242,E242)-1</f>
        <v>584</v>
      </c>
    </row>
    <row r="243" spans="1:38" x14ac:dyDescent="0.2">
      <c r="A243" s="39">
        <v>1075</v>
      </c>
      <c r="B243" s="40">
        <v>45235</v>
      </c>
      <c r="C243" s="39" t="s">
        <v>66</v>
      </c>
      <c r="D243" s="39" t="s">
        <v>59</v>
      </c>
      <c r="E243" s="41">
        <v>8127.7</v>
      </c>
      <c r="F243" s="39">
        <v>37</v>
      </c>
      <c r="G243" s="39" t="s">
        <v>70</v>
      </c>
      <c r="H243" s="41">
        <v>1675.51</v>
      </c>
      <c r="I243" s="41">
        <v>1906.64</v>
      </c>
      <c r="J243" s="39" t="s">
        <v>143</v>
      </c>
      <c r="K243" s="42">
        <v>0.13</v>
      </c>
      <c r="L243" s="39" t="s">
        <v>63</v>
      </c>
      <c r="M243" s="39" t="s">
        <v>138</v>
      </c>
      <c r="N243" s="39" t="s">
        <v>153</v>
      </c>
      <c r="O243" s="43">
        <f t="shared" si="63"/>
        <v>70545.679999999993</v>
      </c>
      <c r="P243" s="43">
        <f t="shared" si="64"/>
        <v>61374.74</v>
      </c>
      <c r="Q243" s="43">
        <f t="shared" si="65"/>
        <v>61993.87</v>
      </c>
      <c r="R243" s="43">
        <f t="shared" si="66"/>
        <v>-619.13000000000466</v>
      </c>
      <c r="S243" s="44">
        <f t="shared" si="67"/>
        <v>-1.0087700575187849E-2</v>
      </c>
      <c r="T243" s="39" t="str">
        <f t="shared" si="68"/>
        <v>Loss</v>
      </c>
      <c r="U243" s="39" t="str">
        <f t="shared" si="69"/>
        <v>10-19%</v>
      </c>
      <c r="V243" s="39" t="str">
        <f>IF(E243&gt;=Analysis!$B$4,"High",IF(E243&gt;=Analysis!$B$5,"Mid","Low"))</f>
        <v>High</v>
      </c>
      <c r="W243" s="39" t="str">
        <f t="shared" si="70"/>
        <v>2023-11</v>
      </c>
      <c r="X243" s="40">
        <f t="shared" si="71"/>
        <v>45260</v>
      </c>
      <c r="Y243" s="39" t="str">
        <f t="shared" si="72"/>
        <v>2023-Q4</v>
      </c>
      <c r="Z243" s="39" t="str">
        <f t="shared" si="73"/>
        <v>Sun</v>
      </c>
      <c r="AA243" s="39">
        <f t="shared" si="74"/>
        <v>7</v>
      </c>
      <c r="AB243" s="39">
        <f t="shared" si="75"/>
        <v>45</v>
      </c>
      <c r="AC243" s="39" t="str">
        <f t="shared" si="76"/>
        <v>Weekend</v>
      </c>
      <c r="AD243" s="39">
        <f t="shared" ca="1" si="77"/>
        <v>1084</v>
      </c>
      <c r="AE243" s="39">
        <f t="shared" ca="1" si="78"/>
        <v>35</v>
      </c>
      <c r="AF243" s="39" t="str">
        <f t="shared" si="79"/>
        <v>BOB</v>
      </c>
      <c r="AG243" s="39" t="str">
        <f t="shared" si="80"/>
        <v>EO-231105-0242</v>
      </c>
      <c r="AH243" s="39" t="str">
        <f>IF(AND(OR(Filter!$B$4="All",D243=Filter!$B$4),OR(Filter!$B$5="All",M243=Filter!$B$5),E243&gt;=Filter!$B$6),MAX(AH$1:AH242)+1,"")</f>
        <v/>
      </c>
      <c r="AI243" s="39">
        <f t="shared" si="81"/>
        <v>37</v>
      </c>
      <c r="AJ243" s="42">
        <f t="shared" si="82"/>
        <v>0.13</v>
      </c>
      <c r="AK243" s="41">
        <f t="shared" si="83"/>
        <v>1906.64</v>
      </c>
      <c r="AL243" s="39">
        <f>RANK(E243,$E$2:$E$1001,0)+COUNTIF($E$2:E243,E243)-1</f>
        <v>177</v>
      </c>
    </row>
    <row r="244" spans="1:38" x14ac:dyDescent="0.2">
      <c r="A244" s="39">
        <v>1056</v>
      </c>
      <c r="B244" s="40">
        <v>45063</v>
      </c>
      <c r="C244" s="39" t="s">
        <v>76</v>
      </c>
      <c r="D244" s="39" t="s">
        <v>74</v>
      </c>
      <c r="E244" s="41">
        <v>8374.68</v>
      </c>
      <c r="F244" s="39">
        <v>47</v>
      </c>
      <c r="G244" s="39" t="s">
        <v>75</v>
      </c>
      <c r="H244" s="41">
        <v>2461.6999999999998</v>
      </c>
      <c r="I244" s="41">
        <v>2529.02</v>
      </c>
      <c r="J244" s="39" t="s">
        <v>137</v>
      </c>
      <c r="K244" s="42">
        <v>0.22</v>
      </c>
      <c r="L244" s="39" t="s">
        <v>68</v>
      </c>
      <c r="M244" s="39" t="s">
        <v>140</v>
      </c>
      <c r="N244" s="39" t="s">
        <v>154</v>
      </c>
      <c r="O244" s="43">
        <f t="shared" si="63"/>
        <v>118863.94</v>
      </c>
      <c r="P244" s="43">
        <f t="shared" si="64"/>
        <v>92713.87</v>
      </c>
      <c r="Q244" s="43">
        <f t="shared" si="65"/>
        <v>115699.9</v>
      </c>
      <c r="R244" s="43">
        <f t="shared" si="66"/>
        <v>-22986.03</v>
      </c>
      <c r="S244" s="44">
        <f t="shared" si="67"/>
        <v>-0.24792439362093288</v>
      </c>
      <c r="T244" s="39" t="str">
        <f t="shared" si="68"/>
        <v>Loss</v>
      </c>
      <c r="U244" s="39" t="str">
        <f t="shared" si="69"/>
        <v>20%+</v>
      </c>
      <c r="V244" s="39" t="str">
        <f>IF(E244&gt;=Analysis!$B$4,"High",IF(E244&gt;=Analysis!$B$5,"Mid","Low"))</f>
        <v>High</v>
      </c>
      <c r="W244" s="39" t="str">
        <f t="shared" si="70"/>
        <v>2023-05</v>
      </c>
      <c r="X244" s="40">
        <f t="shared" si="71"/>
        <v>45077</v>
      </c>
      <c r="Y244" s="39" t="str">
        <f t="shared" si="72"/>
        <v>2023-Q2</v>
      </c>
      <c r="Z244" s="39" t="str">
        <f t="shared" si="73"/>
        <v>Wed</v>
      </c>
      <c r="AA244" s="39">
        <f t="shared" si="74"/>
        <v>3</v>
      </c>
      <c r="AB244" s="39">
        <f t="shared" si="75"/>
        <v>21</v>
      </c>
      <c r="AC244" s="39" t="str">
        <f t="shared" si="76"/>
        <v>Weekday</v>
      </c>
      <c r="AD244" s="39">
        <f t="shared" ca="1" si="77"/>
        <v>1256</v>
      </c>
      <c r="AE244" s="39">
        <f t="shared" ca="1" si="78"/>
        <v>41</v>
      </c>
      <c r="AF244" s="39" t="str">
        <f t="shared" si="79"/>
        <v>DAV</v>
      </c>
      <c r="AG244" s="39" t="str">
        <f t="shared" si="80"/>
        <v>WR-230517-0243</v>
      </c>
      <c r="AH244" s="39" t="str">
        <f>IF(AND(OR(Filter!$B$4="All",D244=Filter!$B$4),OR(Filter!$B$5="All",M244=Filter!$B$5),E244&gt;=Filter!$B$6),MAX(AH$1:AH243)+1,"")</f>
        <v/>
      </c>
      <c r="AI244" s="39">
        <f t="shared" si="81"/>
        <v>47</v>
      </c>
      <c r="AJ244" s="42">
        <f t="shared" si="82"/>
        <v>0.22</v>
      </c>
      <c r="AK244" s="41">
        <f t="shared" si="83"/>
        <v>2529.02</v>
      </c>
      <c r="AL244" s="39">
        <f>RANK(E244,$E$2:$E$1001,0)+COUNTIF($E$2:E244,E244)-1</f>
        <v>158</v>
      </c>
    </row>
    <row r="245" spans="1:38" x14ac:dyDescent="0.2">
      <c r="A245" s="39">
        <v>1017</v>
      </c>
      <c r="B245" s="40">
        <v>45128</v>
      </c>
      <c r="C245" s="39" t="s">
        <v>76</v>
      </c>
      <c r="D245" s="39" t="s">
        <v>59</v>
      </c>
      <c r="E245" s="41">
        <v>3388.69</v>
      </c>
      <c r="F245" s="39">
        <v>1</v>
      </c>
      <c r="G245" s="39" t="s">
        <v>70</v>
      </c>
      <c r="H245" s="41">
        <v>172.59</v>
      </c>
      <c r="I245" s="41">
        <v>404.69</v>
      </c>
      <c r="J245" s="39" t="s">
        <v>137</v>
      </c>
      <c r="K245" s="42">
        <v>0.28999999999999998</v>
      </c>
      <c r="L245" s="39" t="s">
        <v>63</v>
      </c>
      <c r="M245" s="39" t="s">
        <v>138</v>
      </c>
      <c r="N245" s="39" t="s">
        <v>157</v>
      </c>
      <c r="O245" s="43">
        <f t="shared" si="63"/>
        <v>404.69</v>
      </c>
      <c r="P245" s="43">
        <f t="shared" si="64"/>
        <v>287.33</v>
      </c>
      <c r="Q245" s="43">
        <f t="shared" si="65"/>
        <v>172.59</v>
      </c>
      <c r="R245" s="43">
        <f t="shared" si="66"/>
        <v>114.73999999999998</v>
      </c>
      <c r="S245" s="44">
        <f t="shared" si="67"/>
        <v>0.39933177879093723</v>
      </c>
      <c r="T245" s="39" t="str">
        <f t="shared" si="68"/>
        <v>OK</v>
      </c>
      <c r="U245" s="39" t="str">
        <f t="shared" si="69"/>
        <v>20%+</v>
      </c>
      <c r="V245" s="39" t="str">
        <f>IF(E245&gt;=Analysis!$B$4,"High",IF(E245&gt;=Analysis!$B$5,"Mid","Low"))</f>
        <v>Mid</v>
      </c>
      <c r="W245" s="39" t="str">
        <f t="shared" si="70"/>
        <v>2023-07</v>
      </c>
      <c r="X245" s="40">
        <f t="shared" si="71"/>
        <v>45138</v>
      </c>
      <c r="Y245" s="39" t="str">
        <f t="shared" si="72"/>
        <v>2023-Q3</v>
      </c>
      <c r="Z245" s="39" t="str">
        <f t="shared" si="73"/>
        <v>Fri</v>
      </c>
      <c r="AA245" s="39">
        <f t="shared" si="74"/>
        <v>5</v>
      </c>
      <c r="AB245" s="39">
        <f t="shared" si="75"/>
        <v>30</v>
      </c>
      <c r="AC245" s="39" t="str">
        <f t="shared" si="76"/>
        <v>Weekday</v>
      </c>
      <c r="AD245" s="39">
        <f t="shared" ca="1" si="77"/>
        <v>1191</v>
      </c>
      <c r="AE245" s="39">
        <f t="shared" ca="1" si="78"/>
        <v>39</v>
      </c>
      <c r="AF245" s="39" t="str">
        <f t="shared" si="79"/>
        <v>DAV</v>
      </c>
      <c r="AG245" s="39" t="str">
        <f t="shared" si="80"/>
        <v>EO-230721-0244</v>
      </c>
      <c r="AH245" s="39" t="str">
        <f>IF(AND(OR(Filter!$B$4="All",D245=Filter!$B$4),OR(Filter!$B$5="All",M245=Filter!$B$5),E245&gt;=Filter!$B$6),MAX(AH$1:AH244)+1,"")</f>
        <v/>
      </c>
      <c r="AI245" s="39">
        <f t="shared" si="81"/>
        <v>1</v>
      </c>
      <c r="AJ245" s="42">
        <f t="shared" si="82"/>
        <v>0.28999999999999998</v>
      </c>
      <c r="AK245" s="41">
        <f t="shared" si="83"/>
        <v>404.69</v>
      </c>
      <c r="AL245" s="39">
        <f>RANK(E245,$E$2:$E$1001,0)+COUNTIF($E$2:E245,E245)-1</f>
        <v>659</v>
      </c>
    </row>
    <row r="246" spans="1:38" x14ac:dyDescent="0.2">
      <c r="A246" s="39">
        <v>1038</v>
      </c>
      <c r="B246" s="40">
        <v>45239</v>
      </c>
      <c r="C246" s="39" t="s">
        <v>76</v>
      </c>
      <c r="D246" s="39" t="s">
        <v>59</v>
      </c>
      <c r="E246" s="41">
        <v>6966.82</v>
      </c>
      <c r="F246" s="39">
        <v>1</v>
      </c>
      <c r="G246" s="39" t="s">
        <v>70</v>
      </c>
      <c r="H246" s="41">
        <v>1281.6500000000001</v>
      </c>
      <c r="I246" s="41">
        <v>1709.71</v>
      </c>
      <c r="J246" s="39" t="s">
        <v>137</v>
      </c>
      <c r="K246" s="42">
        <v>0.14000000000000001</v>
      </c>
      <c r="L246" s="39" t="s">
        <v>73</v>
      </c>
      <c r="M246" s="39" t="s">
        <v>138</v>
      </c>
      <c r="N246" s="39" t="s">
        <v>157</v>
      </c>
      <c r="O246" s="43">
        <f t="shared" si="63"/>
        <v>1709.71</v>
      </c>
      <c r="P246" s="43">
        <f t="shared" si="64"/>
        <v>1470.35</v>
      </c>
      <c r="Q246" s="43">
        <f t="shared" si="65"/>
        <v>1281.6500000000001</v>
      </c>
      <c r="R246" s="43">
        <f t="shared" si="66"/>
        <v>188.69999999999982</v>
      </c>
      <c r="S246" s="44">
        <f t="shared" si="67"/>
        <v>0.12833679056007061</v>
      </c>
      <c r="T246" s="39" t="str">
        <f t="shared" si="68"/>
        <v>OK</v>
      </c>
      <c r="U246" s="39" t="str">
        <f t="shared" si="69"/>
        <v>10-19%</v>
      </c>
      <c r="V246" s="39" t="str">
        <f>IF(E246&gt;=Analysis!$B$4,"High",IF(E246&gt;=Analysis!$B$5,"Mid","Low"))</f>
        <v>Mid</v>
      </c>
      <c r="W246" s="39" t="str">
        <f t="shared" si="70"/>
        <v>2023-11</v>
      </c>
      <c r="X246" s="40">
        <f t="shared" si="71"/>
        <v>45260</v>
      </c>
      <c r="Y246" s="39" t="str">
        <f t="shared" si="72"/>
        <v>2023-Q4</v>
      </c>
      <c r="Z246" s="39" t="str">
        <f t="shared" si="73"/>
        <v>Thu</v>
      </c>
      <c r="AA246" s="39">
        <f t="shared" si="74"/>
        <v>4</v>
      </c>
      <c r="AB246" s="39">
        <f t="shared" si="75"/>
        <v>46</v>
      </c>
      <c r="AC246" s="39" t="str">
        <f t="shared" si="76"/>
        <v>Weekday</v>
      </c>
      <c r="AD246" s="39">
        <f t="shared" ca="1" si="77"/>
        <v>1080</v>
      </c>
      <c r="AE246" s="39">
        <f t="shared" ca="1" si="78"/>
        <v>35</v>
      </c>
      <c r="AF246" s="39" t="str">
        <f t="shared" si="79"/>
        <v>DAV</v>
      </c>
      <c r="AG246" s="39" t="str">
        <f t="shared" si="80"/>
        <v>EO-231109-0245</v>
      </c>
      <c r="AH246" s="39" t="str">
        <f>IF(AND(OR(Filter!$B$4="All",D246=Filter!$B$4),OR(Filter!$B$5="All",M246=Filter!$B$5),E246&gt;=Filter!$B$6),MAX(AH$1:AH245)+1,"")</f>
        <v/>
      </c>
      <c r="AI246" s="39">
        <f t="shared" si="81"/>
        <v>1</v>
      </c>
      <c r="AJ246" s="42">
        <f t="shared" si="82"/>
        <v>0.14000000000000001</v>
      </c>
      <c r="AK246" s="41">
        <f t="shared" si="83"/>
        <v>1709.71</v>
      </c>
      <c r="AL246" s="39">
        <f>RANK(E246,$E$2:$E$1001,0)+COUNTIF($E$2:E246,E246)-1</f>
        <v>308</v>
      </c>
    </row>
    <row r="247" spans="1:38" x14ac:dyDescent="0.2">
      <c r="A247" s="39">
        <v>1024</v>
      </c>
      <c r="B247" s="40">
        <v>45043</v>
      </c>
      <c r="C247" s="39" t="s">
        <v>61</v>
      </c>
      <c r="D247" s="39" t="s">
        <v>74</v>
      </c>
      <c r="E247" s="41">
        <v>7734.12</v>
      </c>
      <c r="F247" s="39">
        <v>42</v>
      </c>
      <c r="G247" s="39" t="s">
        <v>70</v>
      </c>
      <c r="H247" s="41">
        <v>2069.0500000000002</v>
      </c>
      <c r="I247" s="41">
        <v>2363.9</v>
      </c>
      <c r="J247" s="39" t="s">
        <v>137</v>
      </c>
      <c r="K247" s="42">
        <v>7.0000000000000007E-2</v>
      </c>
      <c r="L247" s="39" t="s">
        <v>68</v>
      </c>
      <c r="M247" s="39" t="s">
        <v>138</v>
      </c>
      <c r="N247" s="39" t="s">
        <v>158</v>
      </c>
      <c r="O247" s="43">
        <f t="shared" si="63"/>
        <v>99283.8</v>
      </c>
      <c r="P247" s="43">
        <f t="shared" si="64"/>
        <v>92333.93</v>
      </c>
      <c r="Q247" s="43">
        <f t="shared" si="65"/>
        <v>86900.1</v>
      </c>
      <c r="R247" s="43">
        <f t="shared" si="66"/>
        <v>5433.8299999999872</v>
      </c>
      <c r="S247" s="44">
        <f t="shared" si="67"/>
        <v>5.8849764111632501E-2</v>
      </c>
      <c r="T247" s="39" t="str">
        <f t="shared" si="68"/>
        <v>OK</v>
      </c>
      <c r="U247" s="39" t="str">
        <f t="shared" si="69"/>
        <v>0-9%</v>
      </c>
      <c r="V247" s="39" t="str">
        <f>IF(E247&gt;=Analysis!$B$4,"High",IF(E247&gt;=Analysis!$B$5,"Mid","Low"))</f>
        <v>High</v>
      </c>
      <c r="W247" s="39" t="str">
        <f t="shared" si="70"/>
        <v>2023-04</v>
      </c>
      <c r="X247" s="40">
        <f t="shared" si="71"/>
        <v>45046</v>
      </c>
      <c r="Y247" s="39" t="str">
        <f t="shared" si="72"/>
        <v>2023-Q2</v>
      </c>
      <c r="Z247" s="39" t="str">
        <f t="shared" si="73"/>
        <v>Thu</v>
      </c>
      <c r="AA247" s="39">
        <f t="shared" si="74"/>
        <v>4</v>
      </c>
      <c r="AB247" s="39">
        <f t="shared" si="75"/>
        <v>18</v>
      </c>
      <c r="AC247" s="39" t="str">
        <f t="shared" si="76"/>
        <v>Weekday</v>
      </c>
      <c r="AD247" s="39">
        <f t="shared" ca="1" si="77"/>
        <v>1276</v>
      </c>
      <c r="AE247" s="39">
        <f t="shared" ca="1" si="78"/>
        <v>41</v>
      </c>
      <c r="AF247" s="39" t="str">
        <f t="shared" si="79"/>
        <v>ALI</v>
      </c>
      <c r="AG247" s="39" t="str">
        <f t="shared" si="80"/>
        <v>WO-230427-0246</v>
      </c>
      <c r="AH247" s="39" t="str">
        <f>IF(AND(OR(Filter!$B$4="All",D247=Filter!$B$4),OR(Filter!$B$5="All",M247=Filter!$B$5),E247&gt;=Filter!$B$6),MAX(AH$1:AH246)+1,"")</f>
        <v/>
      </c>
      <c r="AI247" s="39">
        <f t="shared" si="81"/>
        <v>42</v>
      </c>
      <c r="AJ247" s="42">
        <f t="shared" si="82"/>
        <v>7.0000000000000007E-2</v>
      </c>
      <c r="AK247" s="41">
        <f t="shared" si="83"/>
        <v>2363.9</v>
      </c>
      <c r="AL247" s="39">
        <f>RANK(E247,$E$2:$E$1001,0)+COUNTIF($E$2:E247,E247)-1</f>
        <v>225</v>
      </c>
    </row>
    <row r="248" spans="1:38" x14ac:dyDescent="0.2">
      <c r="A248" s="39">
        <v>1069</v>
      </c>
      <c r="B248" s="40">
        <v>45080</v>
      </c>
      <c r="C248" s="39" t="s">
        <v>76</v>
      </c>
      <c r="D248" s="39" t="s">
        <v>74</v>
      </c>
      <c r="E248" s="41">
        <v>6581.04</v>
      </c>
      <c r="F248" s="39">
        <v>42</v>
      </c>
      <c r="G248" s="39" t="s">
        <v>60</v>
      </c>
      <c r="H248" s="41">
        <v>1434.2</v>
      </c>
      <c r="I248" s="41">
        <v>1482.88</v>
      </c>
      <c r="J248" s="39" t="s">
        <v>143</v>
      </c>
      <c r="K248" s="42">
        <v>0.28000000000000003</v>
      </c>
      <c r="L248" s="39" t="s">
        <v>73</v>
      </c>
      <c r="M248" s="39" t="s">
        <v>140</v>
      </c>
      <c r="N248" s="39" t="s">
        <v>154</v>
      </c>
      <c r="O248" s="43">
        <f t="shared" si="63"/>
        <v>62280.959999999999</v>
      </c>
      <c r="P248" s="43">
        <f t="shared" si="64"/>
        <v>44842.29</v>
      </c>
      <c r="Q248" s="43">
        <f t="shared" si="65"/>
        <v>60236.4</v>
      </c>
      <c r="R248" s="43">
        <f t="shared" si="66"/>
        <v>-15394.11</v>
      </c>
      <c r="S248" s="44">
        <f t="shared" si="67"/>
        <v>-0.34329446600519287</v>
      </c>
      <c r="T248" s="39" t="str">
        <f t="shared" si="68"/>
        <v>Loss</v>
      </c>
      <c r="U248" s="39" t="str">
        <f t="shared" si="69"/>
        <v>20%+</v>
      </c>
      <c r="V248" s="39" t="str">
        <f>IF(E248&gt;=Analysis!$B$4,"High",IF(E248&gt;=Analysis!$B$5,"Mid","Low"))</f>
        <v>Mid</v>
      </c>
      <c r="W248" s="39" t="str">
        <f t="shared" si="70"/>
        <v>2023-06</v>
      </c>
      <c r="X248" s="40">
        <f t="shared" si="71"/>
        <v>45107</v>
      </c>
      <c r="Y248" s="39" t="str">
        <f t="shared" si="72"/>
        <v>2023-Q2</v>
      </c>
      <c r="Z248" s="39" t="str">
        <f t="shared" si="73"/>
        <v>Sat</v>
      </c>
      <c r="AA248" s="39">
        <f t="shared" si="74"/>
        <v>6</v>
      </c>
      <c r="AB248" s="39">
        <f t="shared" si="75"/>
        <v>23</v>
      </c>
      <c r="AC248" s="39" t="str">
        <f t="shared" si="76"/>
        <v>Weekend</v>
      </c>
      <c r="AD248" s="39">
        <f t="shared" ca="1" si="77"/>
        <v>1239</v>
      </c>
      <c r="AE248" s="39">
        <f t="shared" ca="1" si="78"/>
        <v>40</v>
      </c>
      <c r="AF248" s="39" t="str">
        <f t="shared" si="79"/>
        <v>DAV</v>
      </c>
      <c r="AG248" s="39" t="str">
        <f t="shared" si="80"/>
        <v>WR-230603-0247</v>
      </c>
      <c r="AH248" s="39" t="str">
        <f>IF(AND(OR(Filter!$B$4="All",D248=Filter!$B$4),OR(Filter!$B$5="All",M248=Filter!$B$5),E248&gt;=Filter!$B$6),MAX(AH$1:AH247)+1,"")</f>
        <v/>
      </c>
      <c r="AI248" s="39">
        <f t="shared" si="81"/>
        <v>42</v>
      </c>
      <c r="AJ248" s="42">
        <f t="shared" si="82"/>
        <v>0.28000000000000003</v>
      </c>
      <c r="AK248" s="41">
        <f t="shared" si="83"/>
        <v>1482.88</v>
      </c>
      <c r="AL248" s="39">
        <f>RANK(E248,$E$2:$E$1001,0)+COUNTIF($E$2:E248,E248)-1</f>
        <v>352</v>
      </c>
    </row>
    <row r="249" spans="1:38" x14ac:dyDescent="0.2">
      <c r="A249" s="39">
        <v>1098</v>
      </c>
      <c r="B249" s="40">
        <v>45217</v>
      </c>
      <c r="C249" s="39" t="s">
        <v>79</v>
      </c>
      <c r="D249" s="39" t="s">
        <v>74</v>
      </c>
      <c r="E249" s="41">
        <v>1600.79</v>
      </c>
      <c r="F249" s="39">
        <v>21</v>
      </c>
      <c r="G249" s="39" t="s">
        <v>75</v>
      </c>
      <c r="H249" s="41">
        <v>725.03</v>
      </c>
      <c r="I249" s="41">
        <v>828.95</v>
      </c>
      <c r="J249" s="39" t="s">
        <v>143</v>
      </c>
      <c r="K249" s="42">
        <v>0.18</v>
      </c>
      <c r="L249" s="39" t="s">
        <v>63</v>
      </c>
      <c r="M249" s="39" t="s">
        <v>138</v>
      </c>
      <c r="N249" s="39" t="s">
        <v>149</v>
      </c>
      <c r="O249" s="43">
        <f t="shared" si="63"/>
        <v>17407.95</v>
      </c>
      <c r="P249" s="43">
        <f t="shared" si="64"/>
        <v>14274.52</v>
      </c>
      <c r="Q249" s="43">
        <f t="shared" si="65"/>
        <v>15225.63</v>
      </c>
      <c r="R249" s="43">
        <f t="shared" si="66"/>
        <v>-951.10999999999876</v>
      </c>
      <c r="S249" s="44">
        <f t="shared" si="67"/>
        <v>-6.6629911198414993E-2</v>
      </c>
      <c r="T249" s="39" t="str">
        <f t="shared" si="68"/>
        <v>Loss</v>
      </c>
      <c r="U249" s="39" t="str">
        <f t="shared" si="69"/>
        <v>10-19%</v>
      </c>
      <c r="V249" s="39" t="str">
        <f>IF(E249&gt;=Analysis!$B$4,"High",IF(E249&gt;=Analysis!$B$5,"Mid","Low"))</f>
        <v>Low</v>
      </c>
      <c r="W249" s="39" t="str">
        <f t="shared" si="70"/>
        <v>2023-10</v>
      </c>
      <c r="X249" s="40">
        <f t="shared" si="71"/>
        <v>45230</v>
      </c>
      <c r="Y249" s="39" t="str">
        <f t="shared" si="72"/>
        <v>2023-Q4</v>
      </c>
      <c r="Z249" s="39" t="str">
        <f t="shared" si="73"/>
        <v>Wed</v>
      </c>
      <c r="AA249" s="39">
        <f t="shared" si="74"/>
        <v>3</v>
      </c>
      <c r="AB249" s="39">
        <f t="shared" si="75"/>
        <v>43</v>
      </c>
      <c r="AC249" s="39" t="str">
        <f t="shared" si="76"/>
        <v>Weekday</v>
      </c>
      <c r="AD249" s="39">
        <f t="shared" ca="1" si="77"/>
        <v>1102</v>
      </c>
      <c r="AE249" s="39">
        <f t="shared" ca="1" si="78"/>
        <v>36</v>
      </c>
      <c r="AF249" s="39" t="str">
        <f t="shared" si="79"/>
        <v>EVE</v>
      </c>
      <c r="AG249" s="39" t="str">
        <f t="shared" si="80"/>
        <v>WO-231018-0248</v>
      </c>
      <c r="AH249" s="39" t="str">
        <f>IF(AND(OR(Filter!$B$4="All",D249=Filter!$B$4),OR(Filter!$B$5="All",M249=Filter!$B$5),E249&gt;=Filter!$B$6),MAX(AH$1:AH248)+1,"")</f>
        <v/>
      </c>
      <c r="AI249" s="39">
        <f t="shared" si="81"/>
        <v>21</v>
      </c>
      <c r="AJ249" s="42">
        <f t="shared" si="82"/>
        <v>0.18</v>
      </c>
      <c r="AK249" s="41">
        <f t="shared" si="83"/>
        <v>828.95</v>
      </c>
      <c r="AL249" s="39">
        <f>RANK(E249,$E$2:$E$1001,0)+COUNTIF($E$2:E249,E249)-1</f>
        <v>861</v>
      </c>
    </row>
    <row r="250" spans="1:38" x14ac:dyDescent="0.2">
      <c r="A250" s="39">
        <v>1070</v>
      </c>
      <c r="B250" s="40">
        <v>44989</v>
      </c>
      <c r="C250" s="39" t="s">
        <v>66</v>
      </c>
      <c r="D250" s="39" t="s">
        <v>69</v>
      </c>
      <c r="E250" s="41">
        <v>8771.24</v>
      </c>
      <c r="F250" s="39">
        <v>15</v>
      </c>
      <c r="G250" s="39" t="s">
        <v>65</v>
      </c>
      <c r="H250" s="41">
        <v>3653.66</v>
      </c>
      <c r="I250" s="41">
        <v>3896.19</v>
      </c>
      <c r="J250" s="39" t="s">
        <v>143</v>
      </c>
      <c r="K250" s="42">
        <v>0.03</v>
      </c>
      <c r="L250" s="39" t="s">
        <v>73</v>
      </c>
      <c r="M250" s="39" t="s">
        <v>140</v>
      </c>
      <c r="N250" s="39" t="s">
        <v>144</v>
      </c>
      <c r="O250" s="43">
        <f t="shared" si="63"/>
        <v>58442.85</v>
      </c>
      <c r="P250" s="43">
        <f t="shared" si="64"/>
        <v>56689.56</v>
      </c>
      <c r="Q250" s="43">
        <f t="shared" si="65"/>
        <v>54804.9</v>
      </c>
      <c r="R250" s="43">
        <f t="shared" si="66"/>
        <v>1884.6599999999962</v>
      </c>
      <c r="S250" s="44">
        <f t="shared" si="67"/>
        <v>3.3245274791337175E-2</v>
      </c>
      <c r="T250" s="39" t="str">
        <f t="shared" si="68"/>
        <v>OK</v>
      </c>
      <c r="U250" s="39" t="str">
        <f t="shared" si="69"/>
        <v>0-9%</v>
      </c>
      <c r="V250" s="39" t="str">
        <f>IF(E250&gt;=Analysis!$B$4,"High",IF(E250&gt;=Analysis!$B$5,"Mid","Low"))</f>
        <v>High</v>
      </c>
      <c r="W250" s="39" t="str">
        <f t="shared" si="70"/>
        <v>2023-03</v>
      </c>
      <c r="X250" s="40">
        <f t="shared" si="71"/>
        <v>45016</v>
      </c>
      <c r="Y250" s="39" t="str">
        <f t="shared" si="72"/>
        <v>2023-Q1</v>
      </c>
      <c r="Z250" s="39" t="str">
        <f t="shared" si="73"/>
        <v>Sat</v>
      </c>
      <c r="AA250" s="39">
        <f t="shared" si="74"/>
        <v>6</v>
      </c>
      <c r="AB250" s="39">
        <f t="shared" si="75"/>
        <v>10</v>
      </c>
      <c r="AC250" s="39" t="str">
        <f t="shared" si="76"/>
        <v>Weekend</v>
      </c>
      <c r="AD250" s="39">
        <f t="shared" ca="1" si="77"/>
        <v>1330</v>
      </c>
      <c r="AE250" s="39">
        <f t="shared" ca="1" si="78"/>
        <v>43</v>
      </c>
      <c r="AF250" s="39" t="str">
        <f t="shared" si="79"/>
        <v>BOB</v>
      </c>
      <c r="AG250" s="39" t="str">
        <f t="shared" si="80"/>
        <v>SR-230304-0249</v>
      </c>
      <c r="AH250" s="39" t="str">
        <f>IF(AND(OR(Filter!$B$4="All",D250=Filter!$B$4),OR(Filter!$B$5="All",M250=Filter!$B$5),E250&gt;=Filter!$B$6),MAX(AH$1:AH249)+1,"")</f>
        <v/>
      </c>
      <c r="AI250" s="39">
        <f t="shared" si="81"/>
        <v>15</v>
      </c>
      <c r="AJ250" s="42">
        <f t="shared" si="82"/>
        <v>0.03</v>
      </c>
      <c r="AK250" s="41">
        <f t="shared" si="83"/>
        <v>3896.19</v>
      </c>
      <c r="AL250" s="39">
        <f>RANK(E250,$E$2:$E$1001,0)+COUNTIF($E$2:E250,E250)-1</f>
        <v>116</v>
      </c>
    </row>
    <row r="251" spans="1:38" x14ac:dyDescent="0.2">
      <c r="A251" s="39">
        <v>1086</v>
      </c>
      <c r="B251" s="40">
        <v>45170</v>
      </c>
      <c r="C251" s="39" t="s">
        <v>71</v>
      </c>
      <c r="D251" s="39" t="s">
        <v>74</v>
      </c>
      <c r="E251" s="41">
        <v>5437.04</v>
      </c>
      <c r="F251" s="39">
        <v>17</v>
      </c>
      <c r="G251" s="39" t="s">
        <v>65</v>
      </c>
      <c r="H251" s="41">
        <v>4075.08</v>
      </c>
      <c r="I251" s="41">
        <v>4262.21</v>
      </c>
      <c r="J251" s="39" t="s">
        <v>143</v>
      </c>
      <c r="K251" s="42">
        <v>0.17</v>
      </c>
      <c r="L251" s="39" t="s">
        <v>68</v>
      </c>
      <c r="M251" s="39" t="s">
        <v>138</v>
      </c>
      <c r="N251" s="39" t="s">
        <v>146</v>
      </c>
      <c r="O251" s="43">
        <f t="shared" si="63"/>
        <v>72457.570000000007</v>
      </c>
      <c r="P251" s="43">
        <f t="shared" si="64"/>
        <v>60139.78</v>
      </c>
      <c r="Q251" s="43">
        <f t="shared" si="65"/>
        <v>69276.36</v>
      </c>
      <c r="R251" s="43">
        <f t="shared" si="66"/>
        <v>-9136.5800000000017</v>
      </c>
      <c r="S251" s="44">
        <f t="shared" si="67"/>
        <v>-0.15192240477101848</v>
      </c>
      <c r="T251" s="39" t="str">
        <f t="shared" si="68"/>
        <v>Loss</v>
      </c>
      <c r="U251" s="39" t="str">
        <f t="shared" si="69"/>
        <v>10-19%</v>
      </c>
      <c r="V251" s="39" t="str">
        <f>IF(E251&gt;=Analysis!$B$4,"High",IF(E251&gt;=Analysis!$B$5,"Mid","Low"))</f>
        <v>Mid</v>
      </c>
      <c r="W251" s="39" t="str">
        <f t="shared" si="70"/>
        <v>2023-09</v>
      </c>
      <c r="X251" s="40">
        <f t="shared" si="71"/>
        <v>45199</v>
      </c>
      <c r="Y251" s="39" t="str">
        <f t="shared" si="72"/>
        <v>2023-Q3</v>
      </c>
      <c r="Z251" s="39" t="str">
        <f t="shared" si="73"/>
        <v>Fri</v>
      </c>
      <c r="AA251" s="39">
        <f t="shared" si="74"/>
        <v>5</v>
      </c>
      <c r="AB251" s="39">
        <f t="shared" si="75"/>
        <v>36</v>
      </c>
      <c r="AC251" s="39" t="str">
        <f t="shared" si="76"/>
        <v>Weekday</v>
      </c>
      <c r="AD251" s="39">
        <f t="shared" ca="1" si="77"/>
        <v>1149</v>
      </c>
      <c r="AE251" s="39">
        <f t="shared" ca="1" si="78"/>
        <v>37</v>
      </c>
      <c r="AF251" s="39" t="str">
        <f t="shared" si="79"/>
        <v>CHA</v>
      </c>
      <c r="AG251" s="39" t="str">
        <f t="shared" si="80"/>
        <v>WO-230901-0250</v>
      </c>
      <c r="AH251" s="39" t="str">
        <f>IF(AND(OR(Filter!$B$4="All",D251=Filter!$B$4),OR(Filter!$B$5="All",M251=Filter!$B$5),E251&gt;=Filter!$B$6),MAX(AH$1:AH250)+1,"")</f>
        <v/>
      </c>
      <c r="AI251" s="39">
        <f t="shared" si="81"/>
        <v>17</v>
      </c>
      <c r="AJ251" s="42">
        <f t="shared" si="82"/>
        <v>0.17</v>
      </c>
      <c r="AK251" s="41">
        <f t="shared" si="83"/>
        <v>4262.21</v>
      </c>
      <c r="AL251" s="39">
        <f>RANK(E251,$E$2:$E$1001,0)+COUNTIF($E$2:E251,E251)-1</f>
        <v>461</v>
      </c>
    </row>
    <row r="252" spans="1:38" x14ac:dyDescent="0.2">
      <c r="A252" s="39">
        <v>1011</v>
      </c>
      <c r="B252" s="40">
        <v>44951</v>
      </c>
      <c r="C252" s="39" t="s">
        <v>79</v>
      </c>
      <c r="D252" s="39" t="s">
        <v>64</v>
      </c>
      <c r="E252" s="41">
        <v>2896.48</v>
      </c>
      <c r="F252" s="39">
        <v>22</v>
      </c>
      <c r="G252" s="39" t="s">
        <v>65</v>
      </c>
      <c r="H252" s="41">
        <v>1324.52</v>
      </c>
      <c r="I252" s="41">
        <v>1510.3</v>
      </c>
      <c r="J252" s="39" t="s">
        <v>137</v>
      </c>
      <c r="K252" s="42">
        <v>0.15</v>
      </c>
      <c r="L252" s="39" t="s">
        <v>68</v>
      </c>
      <c r="M252" s="39" t="s">
        <v>140</v>
      </c>
      <c r="N252" s="39" t="s">
        <v>148</v>
      </c>
      <c r="O252" s="43">
        <f t="shared" si="63"/>
        <v>33226.6</v>
      </c>
      <c r="P252" s="43">
        <f t="shared" si="64"/>
        <v>28242.61</v>
      </c>
      <c r="Q252" s="43">
        <f t="shared" si="65"/>
        <v>29139.439999999999</v>
      </c>
      <c r="R252" s="43">
        <f t="shared" si="66"/>
        <v>-896.82999999999811</v>
      </c>
      <c r="S252" s="44">
        <f t="shared" si="67"/>
        <v>-3.1754501443032289E-2</v>
      </c>
      <c r="T252" s="39" t="str">
        <f t="shared" si="68"/>
        <v>Loss</v>
      </c>
      <c r="U252" s="39" t="str">
        <f t="shared" si="69"/>
        <v>10-19%</v>
      </c>
      <c r="V252" s="39" t="str">
        <f>IF(E252&gt;=Analysis!$B$4,"High",IF(E252&gt;=Analysis!$B$5,"Mid","Low"))</f>
        <v>Mid</v>
      </c>
      <c r="W252" s="39" t="str">
        <f t="shared" si="70"/>
        <v>2023-01</v>
      </c>
      <c r="X252" s="40">
        <f t="shared" si="71"/>
        <v>44957</v>
      </c>
      <c r="Y252" s="39" t="str">
        <f t="shared" si="72"/>
        <v>2023-Q1</v>
      </c>
      <c r="Z252" s="39" t="str">
        <f t="shared" si="73"/>
        <v>Wed</v>
      </c>
      <c r="AA252" s="39">
        <f t="shared" si="74"/>
        <v>3</v>
      </c>
      <c r="AB252" s="39">
        <f t="shared" si="75"/>
        <v>5</v>
      </c>
      <c r="AC252" s="39" t="str">
        <f t="shared" si="76"/>
        <v>Weekday</v>
      </c>
      <c r="AD252" s="39">
        <f t="shared" ca="1" si="77"/>
        <v>1368</v>
      </c>
      <c r="AE252" s="39">
        <f t="shared" ca="1" si="78"/>
        <v>44</v>
      </c>
      <c r="AF252" s="39" t="str">
        <f t="shared" si="79"/>
        <v>EVE</v>
      </c>
      <c r="AG252" s="39" t="str">
        <f t="shared" si="80"/>
        <v>NR-230125-0251</v>
      </c>
      <c r="AH252" s="39" t="str">
        <f>IF(AND(OR(Filter!$B$4="All",D252=Filter!$B$4),OR(Filter!$B$5="All",M252=Filter!$B$5),E252&gt;=Filter!$B$6),MAX(AH$1:AH251)+1,"")</f>
        <v/>
      </c>
      <c r="AI252" s="39">
        <f t="shared" si="81"/>
        <v>22</v>
      </c>
      <c r="AJ252" s="42">
        <f t="shared" si="82"/>
        <v>0.15</v>
      </c>
      <c r="AK252" s="41">
        <f t="shared" si="83"/>
        <v>1510.3</v>
      </c>
      <c r="AL252" s="39">
        <f>RANK(E252,$E$2:$E$1001,0)+COUNTIF($E$2:E252,E252)-1</f>
        <v>708</v>
      </c>
    </row>
    <row r="253" spans="1:38" x14ac:dyDescent="0.2">
      <c r="A253" s="39">
        <v>1016</v>
      </c>
      <c r="B253" s="40">
        <v>45016</v>
      </c>
      <c r="C253" s="39" t="s">
        <v>79</v>
      </c>
      <c r="D253" s="39" t="s">
        <v>59</v>
      </c>
      <c r="E253" s="41">
        <v>4309.76</v>
      </c>
      <c r="F253" s="39">
        <v>38</v>
      </c>
      <c r="G253" s="39" t="s">
        <v>65</v>
      </c>
      <c r="H253" s="41">
        <v>3883.38</v>
      </c>
      <c r="I253" s="41">
        <v>4152.72</v>
      </c>
      <c r="J253" s="39" t="s">
        <v>137</v>
      </c>
      <c r="K253" s="42">
        <v>0.26</v>
      </c>
      <c r="L253" s="39" t="s">
        <v>68</v>
      </c>
      <c r="M253" s="39" t="s">
        <v>138</v>
      </c>
      <c r="N253" s="39" t="s">
        <v>155</v>
      </c>
      <c r="O253" s="43">
        <f t="shared" si="63"/>
        <v>157803.35999999999</v>
      </c>
      <c r="P253" s="43">
        <f t="shared" si="64"/>
        <v>116774.49</v>
      </c>
      <c r="Q253" s="43">
        <f t="shared" si="65"/>
        <v>147568.44</v>
      </c>
      <c r="R253" s="43">
        <f t="shared" si="66"/>
        <v>-30793.949999999997</v>
      </c>
      <c r="S253" s="44">
        <f t="shared" si="67"/>
        <v>-0.26370442722550103</v>
      </c>
      <c r="T253" s="39" t="str">
        <f t="shared" si="68"/>
        <v>Loss</v>
      </c>
      <c r="U253" s="39" t="str">
        <f t="shared" si="69"/>
        <v>20%+</v>
      </c>
      <c r="V253" s="39" t="str">
        <f>IF(E253&gt;=Analysis!$B$4,"High",IF(E253&gt;=Analysis!$B$5,"Mid","Low"))</f>
        <v>Mid</v>
      </c>
      <c r="W253" s="39" t="str">
        <f t="shared" si="70"/>
        <v>2023-03</v>
      </c>
      <c r="X253" s="40">
        <f t="shared" si="71"/>
        <v>45016</v>
      </c>
      <c r="Y253" s="39" t="str">
        <f t="shared" si="72"/>
        <v>2023-Q1</v>
      </c>
      <c r="Z253" s="39" t="str">
        <f t="shared" si="73"/>
        <v>Fri</v>
      </c>
      <c r="AA253" s="39">
        <f t="shared" si="74"/>
        <v>5</v>
      </c>
      <c r="AB253" s="39">
        <f t="shared" si="75"/>
        <v>14</v>
      </c>
      <c r="AC253" s="39" t="str">
        <f t="shared" si="76"/>
        <v>Weekday</v>
      </c>
      <c r="AD253" s="39">
        <f t="shared" ca="1" si="77"/>
        <v>1303</v>
      </c>
      <c r="AE253" s="39">
        <f t="shared" ca="1" si="78"/>
        <v>42</v>
      </c>
      <c r="AF253" s="39" t="str">
        <f t="shared" si="79"/>
        <v>EVE</v>
      </c>
      <c r="AG253" s="39" t="str">
        <f t="shared" si="80"/>
        <v>EO-230331-0252</v>
      </c>
      <c r="AH253" s="39" t="str">
        <f>IF(AND(OR(Filter!$B$4="All",D253=Filter!$B$4),OR(Filter!$B$5="All",M253=Filter!$B$5),E253&gt;=Filter!$B$6),MAX(AH$1:AH252)+1,"")</f>
        <v/>
      </c>
      <c r="AI253" s="39">
        <f t="shared" si="81"/>
        <v>38</v>
      </c>
      <c r="AJ253" s="42">
        <f t="shared" si="82"/>
        <v>0.26</v>
      </c>
      <c r="AK253" s="41">
        <f t="shared" si="83"/>
        <v>4152.72</v>
      </c>
      <c r="AL253" s="39">
        <f>RANK(E253,$E$2:$E$1001,0)+COUNTIF($E$2:E253,E253)-1</f>
        <v>568</v>
      </c>
    </row>
    <row r="254" spans="1:38" x14ac:dyDescent="0.2">
      <c r="A254" s="39">
        <v>1097</v>
      </c>
      <c r="B254" s="40">
        <v>45001</v>
      </c>
      <c r="C254" s="39" t="s">
        <v>76</v>
      </c>
      <c r="D254" s="39" t="s">
        <v>69</v>
      </c>
      <c r="E254" s="41">
        <v>471.95</v>
      </c>
      <c r="F254" s="39">
        <v>35</v>
      </c>
      <c r="G254" s="39" t="s">
        <v>70</v>
      </c>
      <c r="H254" s="41">
        <v>1958.49</v>
      </c>
      <c r="I254" s="41">
        <v>2254.84</v>
      </c>
      <c r="J254" s="39" t="s">
        <v>143</v>
      </c>
      <c r="K254" s="42">
        <v>0.16</v>
      </c>
      <c r="L254" s="39" t="s">
        <v>73</v>
      </c>
      <c r="M254" s="39" t="s">
        <v>138</v>
      </c>
      <c r="N254" s="39" t="s">
        <v>142</v>
      </c>
      <c r="O254" s="43">
        <f t="shared" si="63"/>
        <v>78919.399999999994</v>
      </c>
      <c r="P254" s="43">
        <f t="shared" si="64"/>
        <v>66292.3</v>
      </c>
      <c r="Q254" s="43">
        <f t="shared" si="65"/>
        <v>68547.149999999994</v>
      </c>
      <c r="R254" s="43">
        <f t="shared" si="66"/>
        <v>-2254.8499999999913</v>
      </c>
      <c r="S254" s="44">
        <f t="shared" si="67"/>
        <v>-3.4013754236917278E-2</v>
      </c>
      <c r="T254" s="39" t="str">
        <f t="shared" si="68"/>
        <v>Loss</v>
      </c>
      <c r="U254" s="39" t="str">
        <f t="shared" si="69"/>
        <v>10-19%</v>
      </c>
      <c r="V254" s="39" t="str">
        <f>IF(E254&gt;=Analysis!$B$4,"High",IF(E254&gt;=Analysis!$B$5,"Mid","Low"))</f>
        <v>Low</v>
      </c>
      <c r="W254" s="39" t="str">
        <f t="shared" si="70"/>
        <v>2023-03</v>
      </c>
      <c r="X254" s="40">
        <f t="shared" si="71"/>
        <v>45016</v>
      </c>
      <c r="Y254" s="39" t="str">
        <f t="shared" si="72"/>
        <v>2023-Q1</v>
      </c>
      <c r="Z254" s="39" t="str">
        <f t="shared" si="73"/>
        <v>Thu</v>
      </c>
      <c r="AA254" s="39">
        <f t="shared" si="74"/>
        <v>4</v>
      </c>
      <c r="AB254" s="39">
        <f t="shared" si="75"/>
        <v>12</v>
      </c>
      <c r="AC254" s="39" t="str">
        <f t="shared" si="76"/>
        <v>Weekday</v>
      </c>
      <c r="AD254" s="39">
        <f t="shared" ca="1" si="77"/>
        <v>1318</v>
      </c>
      <c r="AE254" s="39">
        <f t="shared" ca="1" si="78"/>
        <v>43</v>
      </c>
      <c r="AF254" s="39" t="str">
        <f t="shared" si="79"/>
        <v>DAV</v>
      </c>
      <c r="AG254" s="39" t="str">
        <f t="shared" si="80"/>
        <v>SO-230316-0253</v>
      </c>
      <c r="AH254" s="39" t="str">
        <f>IF(AND(OR(Filter!$B$4="All",D254=Filter!$B$4),OR(Filter!$B$5="All",M254=Filter!$B$5),E254&gt;=Filter!$B$6),MAX(AH$1:AH253)+1,"")</f>
        <v/>
      </c>
      <c r="AI254" s="39">
        <f t="shared" si="81"/>
        <v>35</v>
      </c>
      <c r="AJ254" s="42">
        <f t="shared" si="82"/>
        <v>0.16</v>
      </c>
      <c r="AK254" s="41">
        <f t="shared" si="83"/>
        <v>2254.84</v>
      </c>
      <c r="AL254" s="39">
        <f>RANK(E254,$E$2:$E$1001,0)+COUNTIF($E$2:E254,E254)-1</f>
        <v>963</v>
      </c>
    </row>
    <row r="255" spans="1:38" x14ac:dyDescent="0.2">
      <c r="A255" s="39">
        <v>1073</v>
      </c>
      <c r="B255" s="40">
        <v>45220</v>
      </c>
      <c r="C255" s="39" t="s">
        <v>61</v>
      </c>
      <c r="D255" s="39" t="s">
        <v>74</v>
      </c>
      <c r="E255" s="41">
        <v>1365.88</v>
      </c>
      <c r="F255" s="39">
        <v>45</v>
      </c>
      <c r="G255" s="39" t="s">
        <v>75</v>
      </c>
      <c r="H255" s="41">
        <v>2558.09</v>
      </c>
      <c r="I255" s="41">
        <v>2958.55</v>
      </c>
      <c r="J255" s="39" t="s">
        <v>143</v>
      </c>
      <c r="K255" s="42">
        <v>0.08</v>
      </c>
      <c r="L255" s="39" t="s">
        <v>68</v>
      </c>
      <c r="M255" s="39" t="s">
        <v>138</v>
      </c>
      <c r="N255" s="39" t="s">
        <v>158</v>
      </c>
      <c r="O255" s="43">
        <f t="shared" si="63"/>
        <v>133134.75</v>
      </c>
      <c r="P255" s="43">
        <f t="shared" si="64"/>
        <v>122483.97</v>
      </c>
      <c r="Q255" s="43">
        <f t="shared" si="65"/>
        <v>115114.05</v>
      </c>
      <c r="R255" s="43">
        <f t="shared" si="66"/>
        <v>7369.9199999999983</v>
      </c>
      <c r="S255" s="44">
        <f t="shared" si="67"/>
        <v>6.017048598277798E-2</v>
      </c>
      <c r="T255" s="39" t="str">
        <f t="shared" si="68"/>
        <v>OK</v>
      </c>
      <c r="U255" s="39" t="str">
        <f t="shared" si="69"/>
        <v>0-9%</v>
      </c>
      <c r="V255" s="39" t="str">
        <f>IF(E255&gt;=Analysis!$B$4,"High",IF(E255&gt;=Analysis!$B$5,"Mid","Low"))</f>
        <v>Low</v>
      </c>
      <c r="W255" s="39" t="str">
        <f t="shared" si="70"/>
        <v>2023-10</v>
      </c>
      <c r="X255" s="40">
        <f t="shared" si="71"/>
        <v>45230</v>
      </c>
      <c r="Y255" s="39" t="str">
        <f t="shared" si="72"/>
        <v>2023-Q4</v>
      </c>
      <c r="Z255" s="39" t="str">
        <f t="shared" si="73"/>
        <v>Sat</v>
      </c>
      <c r="AA255" s="39">
        <f t="shared" si="74"/>
        <v>6</v>
      </c>
      <c r="AB255" s="39">
        <f t="shared" si="75"/>
        <v>43</v>
      </c>
      <c r="AC255" s="39" t="str">
        <f t="shared" si="76"/>
        <v>Weekend</v>
      </c>
      <c r="AD255" s="39">
        <f t="shared" ca="1" si="77"/>
        <v>1099</v>
      </c>
      <c r="AE255" s="39">
        <f t="shared" ca="1" si="78"/>
        <v>36</v>
      </c>
      <c r="AF255" s="39" t="str">
        <f t="shared" si="79"/>
        <v>ALI</v>
      </c>
      <c r="AG255" s="39" t="str">
        <f t="shared" si="80"/>
        <v>WO-231021-0254</v>
      </c>
      <c r="AH255" s="39" t="str">
        <f>IF(AND(OR(Filter!$B$4="All",D255=Filter!$B$4),OR(Filter!$B$5="All",M255=Filter!$B$5),E255&gt;=Filter!$B$6),MAX(AH$1:AH254)+1,"")</f>
        <v/>
      </c>
      <c r="AI255" s="39">
        <f t="shared" si="81"/>
        <v>45</v>
      </c>
      <c r="AJ255" s="42">
        <f t="shared" si="82"/>
        <v>0.08</v>
      </c>
      <c r="AK255" s="41">
        <f t="shared" si="83"/>
        <v>2958.55</v>
      </c>
      <c r="AL255" s="39">
        <f>RANK(E255,$E$2:$E$1001,0)+COUNTIF($E$2:E255,E255)-1</f>
        <v>878</v>
      </c>
    </row>
    <row r="256" spans="1:38" x14ac:dyDescent="0.2">
      <c r="A256" s="39">
        <v>1059</v>
      </c>
      <c r="B256" s="40">
        <v>45136</v>
      </c>
      <c r="C256" s="39" t="s">
        <v>66</v>
      </c>
      <c r="D256" s="39" t="s">
        <v>69</v>
      </c>
      <c r="E256" s="41">
        <v>7678.91</v>
      </c>
      <c r="F256" s="39">
        <v>16</v>
      </c>
      <c r="G256" s="39" t="s">
        <v>75</v>
      </c>
      <c r="H256" s="41">
        <v>4287.21</v>
      </c>
      <c r="I256" s="41">
        <v>4464.28</v>
      </c>
      <c r="J256" s="39" t="s">
        <v>137</v>
      </c>
      <c r="K256" s="42">
        <v>0.2</v>
      </c>
      <c r="L256" s="39" t="s">
        <v>73</v>
      </c>
      <c r="M256" s="39" t="s">
        <v>140</v>
      </c>
      <c r="N256" s="39" t="s">
        <v>144</v>
      </c>
      <c r="O256" s="43">
        <f t="shared" si="63"/>
        <v>71428.479999999996</v>
      </c>
      <c r="P256" s="43">
        <f t="shared" si="64"/>
        <v>57142.78</v>
      </c>
      <c r="Q256" s="43">
        <f t="shared" si="65"/>
        <v>68595.360000000001</v>
      </c>
      <c r="R256" s="43">
        <f t="shared" si="66"/>
        <v>-11452.580000000002</v>
      </c>
      <c r="S256" s="44">
        <f t="shared" si="67"/>
        <v>-0.20042042056756781</v>
      </c>
      <c r="T256" s="39" t="str">
        <f t="shared" si="68"/>
        <v>Loss</v>
      </c>
      <c r="U256" s="39" t="str">
        <f t="shared" si="69"/>
        <v>20%+</v>
      </c>
      <c r="V256" s="39" t="str">
        <f>IF(E256&gt;=Analysis!$B$4,"High",IF(E256&gt;=Analysis!$B$5,"Mid","Low"))</f>
        <v>High</v>
      </c>
      <c r="W256" s="39" t="str">
        <f t="shared" si="70"/>
        <v>2023-07</v>
      </c>
      <c r="X256" s="40">
        <f t="shared" si="71"/>
        <v>45138</v>
      </c>
      <c r="Y256" s="39" t="str">
        <f t="shared" si="72"/>
        <v>2023-Q3</v>
      </c>
      <c r="Z256" s="39" t="str">
        <f t="shared" si="73"/>
        <v>Sat</v>
      </c>
      <c r="AA256" s="39">
        <f t="shared" si="74"/>
        <v>6</v>
      </c>
      <c r="AB256" s="39">
        <f t="shared" si="75"/>
        <v>31</v>
      </c>
      <c r="AC256" s="39" t="str">
        <f t="shared" si="76"/>
        <v>Weekend</v>
      </c>
      <c r="AD256" s="39">
        <f t="shared" ca="1" si="77"/>
        <v>1183</v>
      </c>
      <c r="AE256" s="39">
        <f t="shared" ca="1" si="78"/>
        <v>38</v>
      </c>
      <c r="AF256" s="39" t="str">
        <f t="shared" si="79"/>
        <v>BOB</v>
      </c>
      <c r="AG256" s="39" t="str">
        <f t="shared" si="80"/>
        <v>SR-230729-0255</v>
      </c>
      <c r="AH256" s="39" t="str">
        <f>IF(AND(OR(Filter!$B$4="All",D256=Filter!$B$4),OR(Filter!$B$5="All",M256=Filter!$B$5),E256&gt;=Filter!$B$6),MAX(AH$1:AH255)+1,"")</f>
        <v/>
      </c>
      <c r="AI256" s="39">
        <f t="shared" si="81"/>
        <v>16</v>
      </c>
      <c r="AJ256" s="42">
        <f t="shared" si="82"/>
        <v>0.2</v>
      </c>
      <c r="AK256" s="41">
        <f t="shared" si="83"/>
        <v>4464.28</v>
      </c>
      <c r="AL256" s="39">
        <f>RANK(E256,$E$2:$E$1001,0)+COUNTIF($E$2:E256,E256)-1</f>
        <v>229</v>
      </c>
    </row>
    <row r="257" spans="1:38" x14ac:dyDescent="0.2">
      <c r="A257" s="39">
        <v>1070</v>
      </c>
      <c r="B257" s="40">
        <v>45273</v>
      </c>
      <c r="C257" s="39" t="s">
        <v>61</v>
      </c>
      <c r="D257" s="39" t="s">
        <v>74</v>
      </c>
      <c r="E257" s="41">
        <v>100.12</v>
      </c>
      <c r="F257" s="39">
        <v>8</v>
      </c>
      <c r="G257" s="39" t="s">
        <v>60</v>
      </c>
      <c r="H257" s="41">
        <v>3762.27</v>
      </c>
      <c r="I257" s="41">
        <v>4166.95</v>
      </c>
      <c r="J257" s="39" t="s">
        <v>137</v>
      </c>
      <c r="K257" s="42">
        <v>0.16</v>
      </c>
      <c r="L257" s="39" t="s">
        <v>63</v>
      </c>
      <c r="M257" s="39" t="s">
        <v>138</v>
      </c>
      <c r="N257" s="39" t="s">
        <v>158</v>
      </c>
      <c r="O257" s="43">
        <f t="shared" si="63"/>
        <v>33335.599999999999</v>
      </c>
      <c r="P257" s="43">
        <f t="shared" si="64"/>
        <v>28001.9</v>
      </c>
      <c r="Q257" s="43">
        <f t="shared" si="65"/>
        <v>30098.16</v>
      </c>
      <c r="R257" s="43">
        <f t="shared" si="66"/>
        <v>-2096.2599999999984</v>
      </c>
      <c r="S257" s="44">
        <f t="shared" si="67"/>
        <v>-7.4861348694195695E-2</v>
      </c>
      <c r="T257" s="39" t="str">
        <f t="shared" si="68"/>
        <v>Loss</v>
      </c>
      <c r="U257" s="39" t="str">
        <f t="shared" si="69"/>
        <v>10-19%</v>
      </c>
      <c r="V257" s="39" t="str">
        <f>IF(E257&gt;=Analysis!$B$4,"High",IF(E257&gt;=Analysis!$B$5,"Mid","Low"))</f>
        <v>Low</v>
      </c>
      <c r="W257" s="39" t="str">
        <f t="shared" si="70"/>
        <v>2023-12</v>
      </c>
      <c r="X257" s="40">
        <f t="shared" si="71"/>
        <v>45291</v>
      </c>
      <c r="Y257" s="39" t="str">
        <f t="shared" si="72"/>
        <v>2023-Q4</v>
      </c>
      <c r="Z257" s="39" t="str">
        <f t="shared" si="73"/>
        <v>Wed</v>
      </c>
      <c r="AA257" s="39">
        <f t="shared" si="74"/>
        <v>3</v>
      </c>
      <c r="AB257" s="39">
        <f t="shared" si="75"/>
        <v>51</v>
      </c>
      <c r="AC257" s="39" t="str">
        <f t="shared" si="76"/>
        <v>Weekday</v>
      </c>
      <c r="AD257" s="39">
        <f t="shared" ca="1" si="77"/>
        <v>1046</v>
      </c>
      <c r="AE257" s="39">
        <f t="shared" ca="1" si="78"/>
        <v>34</v>
      </c>
      <c r="AF257" s="39" t="str">
        <f t="shared" si="79"/>
        <v>ALI</v>
      </c>
      <c r="AG257" s="39" t="str">
        <f t="shared" si="80"/>
        <v>WO-231213-0256</v>
      </c>
      <c r="AH257" s="39" t="str">
        <f>IF(AND(OR(Filter!$B$4="All",D257=Filter!$B$4),OR(Filter!$B$5="All",M257=Filter!$B$5),E257&gt;=Filter!$B$6),MAX(AH$1:AH256)+1,"")</f>
        <v/>
      </c>
      <c r="AI257" s="39">
        <f t="shared" si="81"/>
        <v>8</v>
      </c>
      <c r="AJ257" s="42">
        <f t="shared" si="82"/>
        <v>0.16</v>
      </c>
      <c r="AK257" s="41">
        <f t="shared" si="83"/>
        <v>4166.95</v>
      </c>
      <c r="AL257" s="39">
        <f>RANK(E257,$E$2:$E$1001,0)+COUNTIF($E$2:E257,E257)-1</f>
        <v>1000</v>
      </c>
    </row>
    <row r="258" spans="1:38" x14ac:dyDescent="0.2">
      <c r="A258" s="39">
        <v>1080</v>
      </c>
      <c r="B258" s="40">
        <v>44943</v>
      </c>
      <c r="C258" s="39" t="s">
        <v>66</v>
      </c>
      <c r="D258" s="39" t="s">
        <v>69</v>
      </c>
      <c r="E258" s="41">
        <v>4224</v>
      </c>
      <c r="F258" s="39">
        <v>47</v>
      </c>
      <c r="G258" s="39" t="s">
        <v>75</v>
      </c>
      <c r="H258" s="41">
        <v>4035.33</v>
      </c>
      <c r="I258" s="41">
        <v>4211.25</v>
      </c>
      <c r="J258" s="39" t="s">
        <v>137</v>
      </c>
      <c r="K258" s="42">
        <v>7.0000000000000007E-2</v>
      </c>
      <c r="L258" s="39" t="s">
        <v>63</v>
      </c>
      <c r="M258" s="39" t="s">
        <v>138</v>
      </c>
      <c r="N258" s="39" t="s">
        <v>144</v>
      </c>
      <c r="O258" s="43">
        <f t="shared" ref="O258:O321" si="84">ROUND(F258*I258,2)</f>
        <v>197928.75</v>
      </c>
      <c r="P258" s="43">
        <f t="shared" ref="P258:P321" si="85">ROUND(F258*I258*(1-K258),2)</f>
        <v>184073.74</v>
      </c>
      <c r="Q258" s="43">
        <f t="shared" ref="Q258:Q321" si="86">ROUND(F258*H258,2)</f>
        <v>189660.51</v>
      </c>
      <c r="R258" s="43">
        <f t="shared" ref="R258:R321" si="87">P258-Q258</f>
        <v>-5586.7700000000186</v>
      </c>
      <c r="S258" s="44">
        <f t="shared" ref="S258:S321" si="88">IF(P258=0,0,R258/P258)</f>
        <v>-3.0350717055023811E-2</v>
      </c>
      <c r="T258" s="39" t="str">
        <f t="shared" ref="T258:T321" si="89">IF(R258&lt;0,"Loss","OK")</f>
        <v>Loss</v>
      </c>
      <c r="U258" s="39" t="str">
        <f t="shared" ref="U258:U321" si="90">IF(K258&lt;0.1,"0-9%",IF(K258&lt;0.2,"10-19%","20%+"))</f>
        <v>0-9%</v>
      </c>
      <c r="V258" s="39" t="str">
        <f>IF(E258&gt;=Analysis!$B$4,"High",IF(E258&gt;=Analysis!$B$5,"Mid","Low"))</f>
        <v>Mid</v>
      </c>
      <c r="W258" s="39" t="str">
        <f t="shared" ref="W258:W321" si="91">TEXT(B258,"yyyy-mm")</f>
        <v>2023-01</v>
      </c>
      <c r="X258" s="40">
        <f t="shared" ref="X258:X321" si="92">EOMONTH(B258,0)</f>
        <v>44957</v>
      </c>
      <c r="Y258" s="39" t="str">
        <f t="shared" ref="Y258:Y321" si="93">YEAR(B258)&amp;"-Q"&amp;ROUNDUP(MONTH(B258)/3,0)</f>
        <v>2023-Q1</v>
      </c>
      <c r="Z258" s="39" t="str">
        <f t="shared" ref="Z258:Z321" si="94">TEXT(B258,"ddd")</f>
        <v>Tue</v>
      </c>
      <c r="AA258" s="39">
        <f t="shared" ref="AA258:AA321" si="95">WEEKDAY(B258,2)</f>
        <v>2</v>
      </c>
      <c r="AB258" s="39">
        <f t="shared" ref="AB258:AB321" si="96">WEEKNUM(B258,2)</f>
        <v>4</v>
      </c>
      <c r="AC258" s="39" t="str">
        <f t="shared" ref="AC258:AC321" si="97">IF(AA258&gt;5,"Weekend","Weekday")</f>
        <v>Weekday</v>
      </c>
      <c r="AD258" s="39">
        <f t="shared" ref="AD258:AD321" ca="1" si="98">TODAY()-B258</f>
        <v>1376</v>
      </c>
      <c r="AE258" s="39">
        <f t="shared" ref="AE258:AE321" ca="1" si="99">DATEDIF(B258,TODAY(),"M")</f>
        <v>45</v>
      </c>
      <c r="AF258" s="39" t="str">
        <f t="shared" ref="AF258:AF321" si="100">UPPER(LEFT(C258,3))</f>
        <v>BOB</v>
      </c>
      <c r="AG258" s="39" t="str">
        <f t="shared" ref="AG258:AG321" si="101">UPPER(LEFT(D258,1))&amp;UPPER(LEFT(M258,1))&amp;"-"&amp;TEXT(B258,"yymmdd")&amp;"-"&amp;TEXT(ROW()-1,"0000")</f>
        <v>SO-230117-0257</v>
      </c>
      <c r="AH258" s="39" t="str">
        <f>IF(AND(OR(Filter!$B$4="All",D258=Filter!$B$4),OR(Filter!$B$5="All",M258=Filter!$B$5),E258&gt;=Filter!$B$6),MAX(AH$1:AH257)+1,"")</f>
        <v/>
      </c>
      <c r="AI258" s="39">
        <f t="shared" ref="AI258:AI321" si="102">F258</f>
        <v>47</v>
      </c>
      <c r="AJ258" s="42">
        <f t="shared" ref="AJ258:AJ321" si="103">K258</f>
        <v>7.0000000000000007E-2</v>
      </c>
      <c r="AK258" s="41">
        <f t="shared" ref="AK258:AK321" si="104">I258</f>
        <v>4211.25</v>
      </c>
      <c r="AL258" s="39">
        <f>RANK(E258,$E$2:$E$1001,0)+COUNTIF($E$2:E258,E258)-1</f>
        <v>577</v>
      </c>
    </row>
    <row r="259" spans="1:38" x14ac:dyDescent="0.2">
      <c r="A259" s="39">
        <v>1093</v>
      </c>
      <c r="B259" s="40">
        <v>45054</v>
      </c>
      <c r="C259" s="39" t="s">
        <v>66</v>
      </c>
      <c r="D259" s="39" t="s">
        <v>59</v>
      </c>
      <c r="E259" s="41">
        <v>5272.85</v>
      </c>
      <c r="F259" s="39">
        <v>17</v>
      </c>
      <c r="G259" s="39" t="s">
        <v>75</v>
      </c>
      <c r="H259" s="41">
        <v>727.38</v>
      </c>
      <c r="I259" s="41">
        <v>764.54</v>
      </c>
      <c r="J259" s="39" t="s">
        <v>137</v>
      </c>
      <c r="K259" s="42">
        <v>0.17</v>
      </c>
      <c r="L259" s="39" t="s">
        <v>73</v>
      </c>
      <c r="M259" s="39" t="s">
        <v>140</v>
      </c>
      <c r="N259" s="39" t="s">
        <v>153</v>
      </c>
      <c r="O259" s="43">
        <f t="shared" si="84"/>
        <v>12997.18</v>
      </c>
      <c r="P259" s="43">
        <f t="shared" si="85"/>
        <v>10787.66</v>
      </c>
      <c r="Q259" s="43">
        <f t="shared" si="86"/>
        <v>12365.46</v>
      </c>
      <c r="R259" s="43">
        <f t="shared" si="87"/>
        <v>-1577.7999999999993</v>
      </c>
      <c r="S259" s="44">
        <f t="shared" si="88"/>
        <v>-0.14625970785137826</v>
      </c>
      <c r="T259" s="39" t="str">
        <f t="shared" si="89"/>
        <v>Loss</v>
      </c>
      <c r="U259" s="39" t="str">
        <f t="shared" si="90"/>
        <v>10-19%</v>
      </c>
      <c r="V259" s="39" t="str">
        <f>IF(E259&gt;=Analysis!$B$4,"High",IF(E259&gt;=Analysis!$B$5,"Mid","Low"))</f>
        <v>Mid</v>
      </c>
      <c r="W259" s="39" t="str">
        <f t="shared" si="91"/>
        <v>2023-05</v>
      </c>
      <c r="X259" s="40">
        <f t="shared" si="92"/>
        <v>45077</v>
      </c>
      <c r="Y259" s="39" t="str">
        <f t="shared" si="93"/>
        <v>2023-Q2</v>
      </c>
      <c r="Z259" s="39" t="str">
        <f t="shared" si="94"/>
        <v>Mon</v>
      </c>
      <c r="AA259" s="39">
        <f t="shared" si="95"/>
        <v>1</v>
      </c>
      <c r="AB259" s="39">
        <f t="shared" si="96"/>
        <v>20</v>
      </c>
      <c r="AC259" s="39" t="str">
        <f t="shared" si="97"/>
        <v>Weekday</v>
      </c>
      <c r="AD259" s="39">
        <f t="shared" ca="1" si="98"/>
        <v>1265</v>
      </c>
      <c r="AE259" s="39">
        <f t="shared" ca="1" si="99"/>
        <v>41</v>
      </c>
      <c r="AF259" s="39" t="str">
        <f t="shared" si="100"/>
        <v>BOB</v>
      </c>
      <c r="AG259" s="39" t="str">
        <f t="shared" si="101"/>
        <v>ER-230508-0258</v>
      </c>
      <c r="AH259" s="39" t="str">
        <f>IF(AND(OR(Filter!$B$4="All",D259=Filter!$B$4),OR(Filter!$B$5="All",M259=Filter!$B$5),E259&gt;=Filter!$B$6),MAX(AH$1:AH258)+1,"")</f>
        <v/>
      </c>
      <c r="AI259" s="39">
        <f t="shared" si="102"/>
        <v>17</v>
      </c>
      <c r="AJ259" s="42">
        <f t="shared" si="103"/>
        <v>0.17</v>
      </c>
      <c r="AK259" s="41">
        <f t="shared" si="104"/>
        <v>764.54</v>
      </c>
      <c r="AL259" s="39">
        <f>RANK(E259,$E$2:$E$1001,0)+COUNTIF($E$2:E259,E259)-1</f>
        <v>471</v>
      </c>
    </row>
    <row r="260" spans="1:38" x14ac:dyDescent="0.2">
      <c r="A260" s="39">
        <v>1003</v>
      </c>
      <c r="B260" s="40">
        <v>45290</v>
      </c>
      <c r="C260" s="39" t="s">
        <v>61</v>
      </c>
      <c r="D260" s="39" t="s">
        <v>59</v>
      </c>
      <c r="E260" s="41">
        <v>640.88</v>
      </c>
      <c r="F260" s="39">
        <v>17</v>
      </c>
      <c r="G260" s="39" t="s">
        <v>75</v>
      </c>
      <c r="H260" s="41">
        <v>395.11</v>
      </c>
      <c r="I260" s="41">
        <v>676.66</v>
      </c>
      <c r="J260" s="39" t="s">
        <v>137</v>
      </c>
      <c r="K260" s="42">
        <v>0.25</v>
      </c>
      <c r="L260" s="39" t="s">
        <v>68</v>
      </c>
      <c r="M260" s="39" t="s">
        <v>140</v>
      </c>
      <c r="N260" s="39" t="s">
        <v>159</v>
      </c>
      <c r="O260" s="43">
        <f t="shared" si="84"/>
        <v>11503.22</v>
      </c>
      <c r="P260" s="43">
        <f t="shared" si="85"/>
        <v>8627.42</v>
      </c>
      <c r="Q260" s="43">
        <f t="shared" si="86"/>
        <v>6716.87</v>
      </c>
      <c r="R260" s="43">
        <f t="shared" si="87"/>
        <v>1910.5500000000002</v>
      </c>
      <c r="S260" s="44">
        <f t="shared" si="88"/>
        <v>0.22145090884644542</v>
      </c>
      <c r="T260" s="39" t="str">
        <f t="shared" si="89"/>
        <v>OK</v>
      </c>
      <c r="U260" s="39" t="str">
        <f t="shared" si="90"/>
        <v>20%+</v>
      </c>
      <c r="V260" s="39" t="str">
        <f>IF(E260&gt;=Analysis!$B$4,"High",IF(E260&gt;=Analysis!$B$5,"Mid","Low"))</f>
        <v>Low</v>
      </c>
      <c r="W260" s="39" t="str">
        <f t="shared" si="91"/>
        <v>2023-12</v>
      </c>
      <c r="X260" s="40">
        <f t="shared" si="92"/>
        <v>45291</v>
      </c>
      <c r="Y260" s="39" t="str">
        <f t="shared" si="93"/>
        <v>2023-Q4</v>
      </c>
      <c r="Z260" s="39" t="str">
        <f t="shared" si="94"/>
        <v>Sat</v>
      </c>
      <c r="AA260" s="39">
        <f t="shared" si="95"/>
        <v>6</v>
      </c>
      <c r="AB260" s="39">
        <f t="shared" si="96"/>
        <v>53</v>
      </c>
      <c r="AC260" s="39" t="str">
        <f t="shared" si="97"/>
        <v>Weekend</v>
      </c>
      <c r="AD260" s="39">
        <f t="shared" ca="1" si="98"/>
        <v>1029</v>
      </c>
      <c r="AE260" s="39">
        <f t="shared" ca="1" si="99"/>
        <v>33</v>
      </c>
      <c r="AF260" s="39" t="str">
        <f t="shared" si="100"/>
        <v>ALI</v>
      </c>
      <c r="AG260" s="39" t="str">
        <f t="shared" si="101"/>
        <v>ER-231230-0259</v>
      </c>
      <c r="AH260" s="39" t="str">
        <f>IF(AND(OR(Filter!$B$4="All",D260=Filter!$B$4),OR(Filter!$B$5="All",M260=Filter!$B$5),E260&gt;=Filter!$B$6),MAX(AH$1:AH259)+1,"")</f>
        <v/>
      </c>
      <c r="AI260" s="39">
        <f t="shared" si="102"/>
        <v>17</v>
      </c>
      <c r="AJ260" s="42">
        <f t="shared" si="103"/>
        <v>0.25</v>
      </c>
      <c r="AK260" s="41">
        <f t="shared" si="104"/>
        <v>676.66</v>
      </c>
      <c r="AL260" s="39">
        <f>RANK(E260,$E$2:$E$1001,0)+COUNTIF($E$2:E260,E260)-1</f>
        <v>948</v>
      </c>
    </row>
    <row r="261" spans="1:38" x14ac:dyDescent="0.2">
      <c r="A261" s="39">
        <v>1020</v>
      </c>
      <c r="B261" s="40">
        <v>45177</v>
      </c>
      <c r="C261" s="39" t="s">
        <v>79</v>
      </c>
      <c r="D261" s="39" t="s">
        <v>64</v>
      </c>
      <c r="E261" s="41">
        <v>9733.4699999999993</v>
      </c>
      <c r="F261" s="39">
        <v>26</v>
      </c>
      <c r="G261" s="39" t="s">
        <v>60</v>
      </c>
      <c r="H261" s="41">
        <v>4472.3500000000004</v>
      </c>
      <c r="I261" s="41">
        <v>4770.42</v>
      </c>
      <c r="J261" s="39" t="s">
        <v>143</v>
      </c>
      <c r="K261" s="42">
        <v>0.01</v>
      </c>
      <c r="L261" s="39" t="s">
        <v>73</v>
      </c>
      <c r="M261" s="39" t="s">
        <v>140</v>
      </c>
      <c r="N261" s="39" t="s">
        <v>148</v>
      </c>
      <c r="O261" s="43">
        <f t="shared" si="84"/>
        <v>124030.92</v>
      </c>
      <c r="P261" s="43">
        <f t="shared" si="85"/>
        <v>122790.61</v>
      </c>
      <c r="Q261" s="43">
        <f t="shared" si="86"/>
        <v>116281.1</v>
      </c>
      <c r="R261" s="43">
        <f t="shared" si="87"/>
        <v>6509.5099999999948</v>
      </c>
      <c r="S261" s="44">
        <f t="shared" si="88"/>
        <v>5.301309277639385E-2</v>
      </c>
      <c r="T261" s="39" t="str">
        <f t="shared" si="89"/>
        <v>OK</v>
      </c>
      <c r="U261" s="39" t="str">
        <f t="shared" si="90"/>
        <v>0-9%</v>
      </c>
      <c r="V261" s="39" t="str">
        <f>IF(E261&gt;=Analysis!$B$4,"High",IF(E261&gt;=Analysis!$B$5,"Mid","Low"))</f>
        <v>High</v>
      </c>
      <c r="W261" s="39" t="str">
        <f t="shared" si="91"/>
        <v>2023-09</v>
      </c>
      <c r="X261" s="40">
        <f t="shared" si="92"/>
        <v>45199</v>
      </c>
      <c r="Y261" s="39" t="str">
        <f t="shared" si="93"/>
        <v>2023-Q3</v>
      </c>
      <c r="Z261" s="39" t="str">
        <f t="shared" si="94"/>
        <v>Fri</v>
      </c>
      <c r="AA261" s="39">
        <f t="shared" si="95"/>
        <v>5</v>
      </c>
      <c r="AB261" s="39">
        <f t="shared" si="96"/>
        <v>37</v>
      </c>
      <c r="AC261" s="39" t="str">
        <f t="shared" si="97"/>
        <v>Weekday</v>
      </c>
      <c r="AD261" s="39">
        <f t="shared" ca="1" si="98"/>
        <v>1142</v>
      </c>
      <c r="AE261" s="39">
        <f t="shared" ca="1" si="99"/>
        <v>37</v>
      </c>
      <c r="AF261" s="39" t="str">
        <f t="shared" si="100"/>
        <v>EVE</v>
      </c>
      <c r="AG261" s="39" t="str">
        <f t="shared" si="101"/>
        <v>NR-230908-0260</v>
      </c>
      <c r="AH261" s="39">
        <f>IF(AND(OR(Filter!$B$4="All",D261=Filter!$B$4),OR(Filter!$B$5="All",M261=Filter!$B$5),E261&gt;=Filter!$B$6),MAX(AH$1:AH260)+1,"")</f>
        <v>29</v>
      </c>
      <c r="AI261" s="39">
        <f t="shared" si="102"/>
        <v>26</v>
      </c>
      <c r="AJ261" s="42">
        <f t="shared" si="103"/>
        <v>0.01</v>
      </c>
      <c r="AK261" s="41">
        <f t="shared" si="104"/>
        <v>4770.42</v>
      </c>
      <c r="AL261" s="39">
        <f>RANK(E261,$E$2:$E$1001,0)+COUNTIF($E$2:E261,E261)-1</f>
        <v>25</v>
      </c>
    </row>
    <row r="262" spans="1:38" x14ac:dyDescent="0.2">
      <c r="A262" s="39">
        <v>1059</v>
      </c>
      <c r="B262" s="40">
        <v>45105</v>
      </c>
      <c r="C262" s="39" t="s">
        <v>66</v>
      </c>
      <c r="D262" s="39" t="s">
        <v>64</v>
      </c>
      <c r="E262" s="41">
        <v>2338.64</v>
      </c>
      <c r="F262" s="39">
        <v>13</v>
      </c>
      <c r="G262" s="39" t="s">
        <v>65</v>
      </c>
      <c r="H262" s="41">
        <v>1969.78</v>
      </c>
      <c r="I262" s="41">
        <v>2437.6999999999998</v>
      </c>
      <c r="J262" s="39" t="s">
        <v>143</v>
      </c>
      <c r="K262" s="42">
        <v>0.19</v>
      </c>
      <c r="L262" s="39" t="s">
        <v>73</v>
      </c>
      <c r="M262" s="39" t="s">
        <v>140</v>
      </c>
      <c r="N262" s="39" t="s">
        <v>139</v>
      </c>
      <c r="O262" s="43">
        <f t="shared" si="84"/>
        <v>31690.1</v>
      </c>
      <c r="P262" s="43">
        <f t="shared" si="85"/>
        <v>25668.98</v>
      </c>
      <c r="Q262" s="43">
        <f t="shared" si="86"/>
        <v>25607.14</v>
      </c>
      <c r="R262" s="43">
        <f t="shared" si="87"/>
        <v>61.840000000000146</v>
      </c>
      <c r="S262" s="44">
        <f t="shared" si="88"/>
        <v>2.4091335144598713E-3</v>
      </c>
      <c r="T262" s="39" t="str">
        <f t="shared" si="89"/>
        <v>OK</v>
      </c>
      <c r="U262" s="39" t="str">
        <f t="shared" si="90"/>
        <v>10-19%</v>
      </c>
      <c r="V262" s="39" t="str">
        <f>IF(E262&gt;=Analysis!$B$4,"High",IF(E262&gt;=Analysis!$B$5,"Mid","Low"))</f>
        <v>Low</v>
      </c>
      <c r="W262" s="39" t="str">
        <f t="shared" si="91"/>
        <v>2023-06</v>
      </c>
      <c r="X262" s="40">
        <f t="shared" si="92"/>
        <v>45107</v>
      </c>
      <c r="Y262" s="39" t="str">
        <f t="shared" si="93"/>
        <v>2023-Q2</v>
      </c>
      <c r="Z262" s="39" t="str">
        <f t="shared" si="94"/>
        <v>Wed</v>
      </c>
      <c r="AA262" s="39">
        <f t="shared" si="95"/>
        <v>3</v>
      </c>
      <c r="AB262" s="39">
        <f t="shared" si="96"/>
        <v>27</v>
      </c>
      <c r="AC262" s="39" t="str">
        <f t="shared" si="97"/>
        <v>Weekday</v>
      </c>
      <c r="AD262" s="39">
        <f t="shared" ca="1" si="98"/>
        <v>1214</v>
      </c>
      <c r="AE262" s="39">
        <f t="shared" ca="1" si="99"/>
        <v>39</v>
      </c>
      <c r="AF262" s="39" t="str">
        <f t="shared" si="100"/>
        <v>BOB</v>
      </c>
      <c r="AG262" s="39" t="str">
        <f t="shared" si="101"/>
        <v>NR-230628-0261</v>
      </c>
      <c r="AH262" s="39" t="str">
        <f>IF(AND(OR(Filter!$B$4="All",D262=Filter!$B$4),OR(Filter!$B$5="All",M262=Filter!$B$5),E262&gt;=Filter!$B$6),MAX(AH$1:AH261)+1,"")</f>
        <v/>
      </c>
      <c r="AI262" s="39">
        <f t="shared" si="102"/>
        <v>13</v>
      </c>
      <c r="AJ262" s="42">
        <f t="shared" si="103"/>
        <v>0.19</v>
      </c>
      <c r="AK262" s="41">
        <f t="shared" si="104"/>
        <v>2437.6999999999998</v>
      </c>
      <c r="AL262" s="39">
        <f>RANK(E262,$E$2:$E$1001,0)+COUNTIF($E$2:E262,E262)-1</f>
        <v>774</v>
      </c>
    </row>
    <row r="263" spans="1:38" x14ac:dyDescent="0.2">
      <c r="A263" s="39">
        <v>1036</v>
      </c>
      <c r="B263" s="40">
        <v>45108</v>
      </c>
      <c r="C263" s="39" t="s">
        <v>61</v>
      </c>
      <c r="D263" s="39" t="s">
        <v>74</v>
      </c>
      <c r="E263" s="41">
        <v>3111.57</v>
      </c>
      <c r="F263" s="39">
        <v>17</v>
      </c>
      <c r="G263" s="39" t="s">
        <v>75</v>
      </c>
      <c r="H263" s="41">
        <v>1475</v>
      </c>
      <c r="I263" s="41">
        <v>1840.77</v>
      </c>
      <c r="J263" s="39" t="s">
        <v>137</v>
      </c>
      <c r="K263" s="42">
        <v>0.1</v>
      </c>
      <c r="L263" s="39" t="s">
        <v>73</v>
      </c>
      <c r="M263" s="39" t="s">
        <v>138</v>
      </c>
      <c r="N263" s="39" t="s">
        <v>158</v>
      </c>
      <c r="O263" s="43">
        <f t="shared" si="84"/>
        <v>31293.09</v>
      </c>
      <c r="P263" s="43">
        <f t="shared" si="85"/>
        <v>28163.78</v>
      </c>
      <c r="Q263" s="43">
        <f t="shared" si="86"/>
        <v>25075</v>
      </c>
      <c r="R263" s="43">
        <f t="shared" si="87"/>
        <v>3088.7799999999988</v>
      </c>
      <c r="S263" s="44">
        <f t="shared" si="88"/>
        <v>0.10967206816698608</v>
      </c>
      <c r="T263" s="39" t="str">
        <f t="shared" si="89"/>
        <v>OK</v>
      </c>
      <c r="U263" s="39" t="str">
        <f t="shared" si="90"/>
        <v>10-19%</v>
      </c>
      <c r="V263" s="39" t="str">
        <f>IF(E263&gt;=Analysis!$B$4,"High",IF(E263&gt;=Analysis!$B$5,"Mid","Low"))</f>
        <v>Mid</v>
      </c>
      <c r="W263" s="39" t="str">
        <f t="shared" si="91"/>
        <v>2023-07</v>
      </c>
      <c r="X263" s="40">
        <f t="shared" si="92"/>
        <v>45138</v>
      </c>
      <c r="Y263" s="39" t="str">
        <f t="shared" si="93"/>
        <v>2023-Q3</v>
      </c>
      <c r="Z263" s="39" t="str">
        <f t="shared" si="94"/>
        <v>Sat</v>
      </c>
      <c r="AA263" s="39">
        <f t="shared" si="95"/>
        <v>6</v>
      </c>
      <c r="AB263" s="39">
        <f t="shared" si="96"/>
        <v>27</v>
      </c>
      <c r="AC263" s="39" t="str">
        <f t="shared" si="97"/>
        <v>Weekend</v>
      </c>
      <c r="AD263" s="39">
        <f t="shared" ca="1" si="98"/>
        <v>1211</v>
      </c>
      <c r="AE263" s="39">
        <f t="shared" ca="1" si="99"/>
        <v>39</v>
      </c>
      <c r="AF263" s="39" t="str">
        <f t="shared" si="100"/>
        <v>ALI</v>
      </c>
      <c r="AG263" s="39" t="str">
        <f t="shared" si="101"/>
        <v>WO-230701-0262</v>
      </c>
      <c r="AH263" s="39" t="str">
        <f>IF(AND(OR(Filter!$B$4="All",D263=Filter!$B$4),OR(Filter!$B$5="All",M263=Filter!$B$5),E263&gt;=Filter!$B$6),MAX(AH$1:AH262)+1,"")</f>
        <v/>
      </c>
      <c r="AI263" s="39">
        <f t="shared" si="102"/>
        <v>17</v>
      </c>
      <c r="AJ263" s="42">
        <f t="shared" si="103"/>
        <v>0.1</v>
      </c>
      <c r="AK263" s="41">
        <f t="shared" si="104"/>
        <v>1840.77</v>
      </c>
      <c r="AL263" s="39">
        <f>RANK(E263,$E$2:$E$1001,0)+COUNTIF($E$2:E263,E263)-1</f>
        <v>682</v>
      </c>
    </row>
    <row r="264" spans="1:38" x14ac:dyDescent="0.2">
      <c r="A264" s="39">
        <v>1019</v>
      </c>
      <c r="B264" s="40">
        <v>45078</v>
      </c>
      <c r="C264" s="39" t="s">
        <v>66</v>
      </c>
      <c r="D264" s="39" t="s">
        <v>59</v>
      </c>
      <c r="E264" s="41">
        <v>3109.03</v>
      </c>
      <c r="F264" s="39">
        <v>38</v>
      </c>
      <c r="G264" s="39" t="s">
        <v>60</v>
      </c>
      <c r="H264" s="41">
        <v>3637.25</v>
      </c>
      <c r="I264" s="41">
        <v>4096.96</v>
      </c>
      <c r="J264" s="39" t="s">
        <v>137</v>
      </c>
      <c r="K264" s="42">
        <v>0.09</v>
      </c>
      <c r="L264" s="39" t="s">
        <v>63</v>
      </c>
      <c r="M264" s="39" t="s">
        <v>138</v>
      </c>
      <c r="N264" s="39" t="s">
        <v>153</v>
      </c>
      <c r="O264" s="43">
        <f t="shared" si="84"/>
        <v>155684.48000000001</v>
      </c>
      <c r="P264" s="43">
        <f t="shared" si="85"/>
        <v>141672.88</v>
      </c>
      <c r="Q264" s="43">
        <f t="shared" si="86"/>
        <v>138215.5</v>
      </c>
      <c r="R264" s="43">
        <f t="shared" si="87"/>
        <v>3457.3800000000047</v>
      </c>
      <c r="S264" s="44">
        <f t="shared" si="88"/>
        <v>2.4403964964924866E-2</v>
      </c>
      <c r="T264" s="39" t="str">
        <f t="shared" si="89"/>
        <v>OK</v>
      </c>
      <c r="U264" s="39" t="str">
        <f t="shared" si="90"/>
        <v>0-9%</v>
      </c>
      <c r="V264" s="39" t="str">
        <f>IF(E264&gt;=Analysis!$B$4,"High",IF(E264&gt;=Analysis!$B$5,"Mid","Low"))</f>
        <v>Mid</v>
      </c>
      <c r="W264" s="39" t="str">
        <f t="shared" si="91"/>
        <v>2023-06</v>
      </c>
      <c r="X264" s="40">
        <f t="shared" si="92"/>
        <v>45107</v>
      </c>
      <c r="Y264" s="39" t="str">
        <f t="shared" si="93"/>
        <v>2023-Q2</v>
      </c>
      <c r="Z264" s="39" t="str">
        <f t="shared" si="94"/>
        <v>Thu</v>
      </c>
      <c r="AA264" s="39">
        <f t="shared" si="95"/>
        <v>4</v>
      </c>
      <c r="AB264" s="39">
        <f t="shared" si="96"/>
        <v>23</v>
      </c>
      <c r="AC264" s="39" t="str">
        <f t="shared" si="97"/>
        <v>Weekday</v>
      </c>
      <c r="AD264" s="39">
        <f t="shared" ca="1" si="98"/>
        <v>1241</v>
      </c>
      <c r="AE264" s="39">
        <f t="shared" ca="1" si="99"/>
        <v>40</v>
      </c>
      <c r="AF264" s="39" t="str">
        <f t="shared" si="100"/>
        <v>BOB</v>
      </c>
      <c r="AG264" s="39" t="str">
        <f t="shared" si="101"/>
        <v>EO-230601-0263</v>
      </c>
      <c r="AH264" s="39" t="str">
        <f>IF(AND(OR(Filter!$B$4="All",D264=Filter!$B$4),OR(Filter!$B$5="All",M264=Filter!$B$5),E264&gt;=Filter!$B$6),MAX(AH$1:AH263)+1,"")</f>
        <v/>
      </c>
      <c r="AI264" s="39">
        <f t="shared" si="102"/>
        <v>38</v>
      </c>
      <c r="AJ264" s="42">
        <f t="shared" si="103"/>
        <v>0.09</v>
      </c>
      <c r="AK264" s="41">
        <f t="shared" si="104"/>
        <v>4096.96</v>
      </c>
      <c r="AL264" s="39">
        <f>RANK(E264,$E$2:$E$1001,0)+COUNTIF($E$2:E264,E264)-1</f>
        <v>683</v>
      </c>
    </row>
    <row r="265" spans="1:38" x14ac:dyDescent="0.2">
      <c r="A265" s="39">
        <v>1090</v>
      </c>
      <c r="B265" s="40">
        <v>44951</v>
      </c>
      <c r="C265" s="39" t="s">
        <v>71</v>
      </c>
      <c r="D265" s="39" t="s">
        <v>69</v>
      </c>
      <c r="E265" s="41">
        <v>2381.12</v>
      </c>
      <c r="F265" s="39">
        <v>17</v>
      </c>
      <c r="G265" s="39" t="s">
        <v>60</v>
      </c>
      <c r="H265" s="41">
        <v>4190.26</v>
      </c>
      <c r="I265" s="41">
        <v>4645.3500000000004</v>
      </c>
      <c r="J265" s="39" t="s">
        <v>143</v>
      </c>
      <c r="K265" s="42">
        <v>0.12</v>
      </c>
      <c r="L265" s="39" t="s">
        <v>73</v>
      </c>
      <c r="M265" s="39" t="s">
        <v>140</v>
      </c>
      <c r="N265" s="39" t="s">
        <v>151</v>
      </c>
      <c r="O265" s="43">
        <f t="shared" si="84"/>
        <v>78970.95</v>
      </c>
      <c r="P265" s="43">
        <f t="shared" si="85"/>
        <v>69494.44</v>
      </c>
      <c r="Q265" s="43">
        <f t="shared" si="86"/>
        <v>71234.42</v>
      </c>
      <c r="R265" s="43">
        <f t="shared" si="87"/>
        <v>-1739.9799999999959</v>
      </c>
      <c r="S265" s="44">
        <f t="shared" si="88"/>
        <v>-2.5037686468154803E-2</v>
      </c>
      <c r="T265" s="39" t="str">
        <f t="shared" si="89"/>
        <v>Loss</v>
      </c>
      <c r="U265" s="39" t="str">
        <f t="shared" si="90"/>
        <v>10-19%</v>
      </c>
      <c r="V265" s="39" t="str">
        <f>IF(E265&gt;=Analysis!$B$4,"High",IF(E265&gt;=Analysis!$B$5,"Mid","Low"))</f>
        <v>Low</v>
      </c>
      <c r="W265" s="39" t="str">
        <f t="shared" si="91"/>
        <v>2023-01</v>
      </c>
      <c r="X265" s="40">
        <f t="shared" si="92"/>
        <v>44957</v>
      </c>
      <c r="Y265" s="39" t="str">
        <f t="shared" si="93"/>
        <v>2023-Q1</v>
      </c>
      <c r="Z265" s="39" t="str">
        <f t="shared" si="94"/>
        <v>Wed</v>
      </c>
      <c r="AA265" s="39">
        <f t="shared" si="95"/>
        <v>3</v>
      </c>
      <c r="AB265" s="39">
        <f t="shared" si="96"/>
        <v>5</v>
      </c>
      <c r="AC265" s="39" t="str">
        <f t="shared" si="97"/>
        <v>Weekday</v>
      </c>
      <c r="AD265" s="39">
        <f t="shared" ca="1" si="98"/>
        <v>1368</v>
      </c>
      <c r="AE265" s="39">
        <f t="shared" ca="1" si="99"/>
        <v>44</v>
      </c>
      <c r="AF265" s="39" t="str">
        <f t="shared" si="100"/>
        <v>CHA</v>
      </c>
      <c r="AG265" s="39" t="str">
        <f t="shared" si="101"/>
        <v>SR-230125-0264</v>
      </c>
      <c r="AH265" s="39" t="str">
        <f>IF(AND(OR(Filter!$B$4="All",D265=Filter!$B$4),OR(Filter!$B$5="All",M265=Filter!$B$5),E265&gt;=Filter!$B$6),MAX(AH$1:AH264)+1,"")</f>
        <v/>
      </c>
      <c r="AI265" s="39">
        <f t="shared" si="102"/>
        <v>17</v>
      </c>
      <c r="AJ265" s="42">
        <f t="shared" si="103"/>
        <v>0.12</v>
      </c>
      <c r="AK265" s="41">
        <f t="shared" si="104"/>
        <v>4645.3500000000004</v>
      </c>
      <c r="AL265" s="39">
        <f>RANK(E265,$E$2:$E$1001,0)+COUNTIF($E$2:E265,E265)-1</f>
        <v>767</v>
      </c>
    </row>
    <row r="266" spans="1:38" x14ac:dyDescent="0.2">
      <c r="A266" s="39">
        <v>1067</v>
      </c>
      <c r="B266" s="40">
        <v>45106</v>
      </c>
      <c r="C266" s="39" t="s">
        <v>79</v>
      </c>
      <c r="D266" s="39" t="s">
        <v>69</v>
      </c>
      <c r="E266" s="41">
        <v>114.59</v>
      </c>
      <c r="F266" s="39">
        <v>48</v>
      </c>
      <c r="G266" s="39" t="s">
        <v>70</v>
      </c>
      <c r="H266" s="41">
        <v>4319.32</v>
      </c>
      <c r="I266" s="41">
        <v>4625.5600000000004</v>
      </c>
      <c r="J266" s="39" t="s">
        <v>137</v>
      </c>
      <c r="K266" s="42">
        <v>0.1</v>
      </c>
      <c r="L266" s="39" t="s">
        <v>63</v>
      </c>
      <c r="M266" s="39" t="s">
        <v>138</v>
      </c>
      <c r="N266" s="39" t="s">
        <v>147</v>
      </c>
      <c r="O266" s="43">
        <f t="shared" si="84"/>
        <v>222026.88</v>
      </c>
      <c r="P266" s="43">
        <f t="shared" si="85"/>
        <v>199824.19</v>
      </c>
      <c r="Q266" s="43">
        <f t="shared" si="86"/>
        <v>207327.35999999999</v>
      </c>
      <c r="R266" s="43">
        <f t="shared" si="87"/>
        <v>-7503.1699999999837</v>
      </c>
      <c r="S266" s="44">
        <f t="shared" si="88"/>
        <v>-3.7548857323029726E-2</v>
      </c>
      <c r="T266" s="39" t="str">
        <f t="shared" si="89"/>
        <v>Loss</v>
      </c>
      <c r="U266" s="39" t="str">
        <f t="shared" si="90"/>
        <v>10-19%</v>
      </c>
      <c r="V266" s="39" t="str">
        <f>IF(E266&gt;=Analysis!$B$4,"High",IF(E266&gt;=Analysis!$B$5,"Mid","Low"))</f>
        <v>Low</v>
      </c>
      <c r="W266" s="39" t="str">
        <f t="shared" si="91"/>
        <v>2023-06</v>
      </c>
      <c r="X266" s="40">
        <f t="shared" si="92"/>
        <v>45107</v>
      </c>
      <c r="Y266" s="39" t="str">
        <f t="shared" si="93"/>
        <v>2023-Q2</v>
      </c>
      <c r="Z266" s="39" t="str">
        <f t="shared" si="94"/>
        <v>Thu</v>
      </c>
      <c r="AA266" s="39">
        <f t="shared" si="95"/>
        <v>4</v>
      </c>
      <c r="AB266" s="39">
        <f t="shared" si="96"/>
        <v>27</v>
      </c>
      <c r="AC266" s="39" t="str">
        <f t="shared" si="97"/>
        <v>Weekday</v>
      </c>
      <c r="AD266" s="39">
        <f t="shared" ca="1" si="98"/>
        <v>1213</v>
      </c>
      <c r="AE266" s="39">
        <f t="shared" ca="1" si="99"/>
        <v>39</v>
      </c>
      <c r="AF266" s="39" t="str">
        <f t="shared" si="100"/>
        <v>EVE</v>
      </c>
      <c r="AG266" s="39" t="str">
        <f t="shared" si="101"/>
        <v>SO-230629-0265</v>
      </c>
      <c r="AH266" s="39" t="str">
        <f>IF(AND(OR(Filter!$B$4="All",D266=Filter!$B$4),OR(Filter!$B$5="All",M266=Filter!$B$5),E266&gt;=Filter!$B$6),MAX(AH$1:AH265)+1,"")</f>
        <v/>
      </c>
      <c r="AI266" s="39">
        <f t="shared" si="102"/>
        <v>48</v>
      </c>
      <c r="AJ266" s="42">
        <f t="shared" si="103"/>
        <v>0.1</v>
      </c>
      <c r="AK266" s="41">
        <f t="shared" si="104"/>
        <v>4625.5600000000004</v>
      </c>
      <c r="AL266" s="39">
        <f>RANK(E266,$E$2:$E$1001,0)+COUNTIF($E$2:E266,E266)-1</f>
        <v>997</v>
      </c>
    </row>
    <row r="267" spans="1:38" x14ac:dyDescent="0.2">
      <c r="A267" s="39">
        <v>1019</v>
      </c>
      <c r="B267" s="40">
        <v>45124</v>
      </c>
      <c r="C267" s="39" t="s">
        <v>76</v>
      </c>
      <c r="D267" s="39" t="s">
        <v>69</v>
      </c>
      <c r="E267" s="41">
        <v>7320.51</v>
      </c>
      <c r="F267" s="39">
        <v>14</v>
      </c>
      <c r="G267" s="39" t="s">
        <v>60</v>
      </c>
      <c r="H267" s="41">
        <v>1614.19</v>
      </c>
      <c r="I267" s="41">
        <v>1882.79</v>
      </c>
      <c r="J267" s="39" t="s">
        <v>143</v>
      </c>
      <c r="K267" s="42">
        <v>0.25</v>
      </c>
      <c r="L267" s="39" t="s">
        <v>73</v>
      </c>
      <c r="M267" s="39" t="s">
        <v>140</v>
      </c>
      <c r="N267" s="39" t="s">
        <v>142</v>
      </c>
      <c r="O267" s="43">
        <f t="shared" si="84"/>
        <v>26359.06</v>
      </c>
      <c r="P267" s="43">
        <f t="shared" si="85"/>
        <v>19769.3</v>
      </c>
      <c r="Q267" s="43">
        <f t="shared" si="86"/>
        <v>22598.66</v>
      </c>
      <c r="R267" s="43">
        <f t="shared" si="87"/>
        <v>-2829.3600000000006</v>
      </c>
      <c r="S267" s="44">
        <f t="shared" si="88"/>
        <v>-0.14311887623739841</v>
      </c>
      <c r="T267" s="39" t="str">
        <f t="shared" si="89"/>
        <v>Loss</v>
      </c>
      <c r="U267" s="39" t="str">
        <f t="shared" si="90"/>
        <v>20%+</v>
      </c>
      <c r="V267" s="39" t="str">
        <f>IF(E267&gt;=Analysis!$B$4,"High",IF(E267&gt;=Analysis!$B$5,"Mid","Low"))</f>
        <v>Mid</v>
      </c>
      <c r="W267" s="39" t="str">
        <f t="shared" si="91"/>
        <v>2023-07</v>
      </c>
      <c r="X267" s="40">
        <f t="shared" si="92"/>
        <v>45138</v>
      </c>
      <c r="Y267" s="39" t="str">
        <f t="shared" si="93"/>
        <v>2023-Q3</v>
      </c>
      <c r="Z267" s="39" t="str">
        <f t="shared" si="94"/>
        <v>Mon</v>
      </c>
      <c r="AA267" s="39">
        <f t="shared" si="95"/>
        <v>1</v>
      </c>
      <c r="AB267" s="39">
        <f t="shared" si="96"/>
        <v>30</v>
      </c>
      <c r="AC267" s="39" t="str">
        <f t="shared" si="97"/>
        <v>Weekday</v>
      </c>
      <c r="AD267" s="39">
        <f t="shared" ca="1" si="98"/>
        <v>1195</v>
      </c>
      <c r="AE267" s="39">
        <f t="shared" ca="1" si="99"/>
        <v>39</v>
      </c>
      <c r="AF267" s="39" t="str">
        <f t="shared" si="100"/>
        <v>DAV</v>
      </c>
      <c r="AG267" s="39" t="str">
        <f t="shared" si="101"/>
        <v>SR-230717-0266</v>
      </c>
      <c r="AH267" s="39" t="str">
        <f>IF(AND(OR(Filter!$B$4="All",D267=Filter!$B$4),OR(Filter!$B$5="All",M267=Filter!$B$5),E267&gt;=Filter!$B$6),MAX(AH$1:AH266)+1,"")</f>
        <v/>
      </c>
      <c r="AI267" s="39">
        <f t="shared" si="102"/>
        <v>14</v>
      </c>
      <c r="AJ267" s="42">
        <f t="shared" si="103"/>
        <v>0.25</v>
      </c>
      <c r="AK267" s="41">
        <f t="shared" si="104"/>
        <v>1882.79</v>
      </c>
      <c r="AL267" s="39">
        <f>RANK(E267,$E$2:$E$1001,0)+COUNTIF($E$2:E267,E267)-1</f>
        <v>267</v>
      </c>
    </row>
    <row r="268" spans="1:38" x14ac:dyDescent="0.2">
      <c r="A268" s="39">
        <v>1020</v>
      </c>
      <c r="B268" s="40">
        <v>45270</v>
      </c>
      <c r="C268" s="39" t="s">
        <v>66</v>
      </c>
      <c r="D268" s="39" t="s">
        <v>64</v>
      </c>
      <c r="E268" s="41">
        <v>9671.77</v>
      </c>
      <c r="F268" s="39">
        <v>45</v>
      </c>
      <c r="G268" s="39" t="s">
        <v>65</v>
      </c>
      <c r="H268" s="41">
        <v>4268.45</v>
      </c>
      <c r="I268" s="41">
        <v>4551.6000000000004</v>
      </c>
      <c r="J268" s="39" t="s">
        <v>143</v>
      </c>
      <c r="K268" s="42">
        <v>0.08</v>
      </c>
      <c r="L268" s="39" t="s">
        <v>63</v>
      </c>
      <c r="M268" s="39" t="s">
        <v>138</v>
      </c>
      <c r="N268" s="39" t="s">
        <v>139</v>
      </c>
      <c r="O268" s="43">
        <f t="shared" si="84"/>
        <v>204822</v>
      </c>
      <c r="P268" s="43">
        <f t="shared" si="85"/>
        <v>188436.24</v>
      </c>
      <c r="Q268" s="43">
        <f t="shared" si="86"/>
        <v>192080.25</v>
      </c>
      <c r="R268" s="43">
        <f t="shared" si="87"/>
        <v>-3644.0100000000093</v>
      </c>
      <c r="S268" s="44">
        <f t="shared" si="88"/>
        <v>-1.9338159156646353E-2</v>
      </c>
      <c r="T268" s="39" t="str">
        <f t="shared" si="89"/>
        <v>Loss</v>
      </c>
      <c r="U268" s="39" t="str">
        <f t="shared" si="90"/>
        <v>0-9%</v>
      </c>
      <c r="V268" s="39" t="str">
        <f>IF(E268&gt;=Analysis!$B$4,"High",IF(E268&gt;=Analysis!$B$5,"Mid","Low"))</f>
        <v>High</v>
      </c>
      <c r="W268" s="39" t="str">
        <f t="shared" si="91"/>
        <v>2023-12</v>
      </c>
      <c r="X268" s="40">
        <f t="shared" si="92"/>
        <v>45291</v>
      </c>
      <c r="Y268" s="39" t="str">
        <f t="shared" si="93"/>
        <v>2023-Q4</v>
      </c>
      <c r="Z268" s="39" t="str">
        <f t="shared" si="94"/>
        <v>Sun</v>
      </c>
      <c r="AA268" s="39">
        <f t="shared" si="95"/>
        <v>7</v>
      </c>
      <c r="AB268" s="39">
        <f t="shared" si="96"/>
        <v>50</v>
      </c>
      <c r="AC268" s="39" t="str">
        <f t="shared" si="97"/>
        <v>Weekend</v>
      </c>
      <c r="AD268" s="39">
        <f t="shared" ca="1" si="98"/>
        <v>1049</v>
      </c>
      <c r="AE268" s="39">
        <f t="shared" ca="1" si="99"/>
        <v>34</v>
      </c>
      <c r="AF268" s="39" t="str">
        <f t="shared" si="100"/>
        <v>BOB</v>
      </c>
      <c r="AG268" s="39" t="str">
        <f t="shared" si="101"/>
        <v>NO-231210-0267</v>
      </c>
      <c r="AH268" s="39">
        <f>IF(AND(OR(Filter!$B$4="All",D268=Filter!$B$4),OR(Filter!$B$5="All",M268=Filter!$B$5),E268&gt;=Filter!$B$6),MAX(AH$1:AH267)+1,"")</f>
        <v>30</v>
      </c>
      <c r="AI268" s="39">
        <f t="shared" si="102"/>
        <v>45</v>
      </c>
      <c r="AJ268" s="42">
        <f t="shared" si="103"/>
        <v>0.08</v>
      </c>
      <c r="AK268" s="41">
        <f t="shared" si="104"/>
        <v>4551.6000000000004</v>
      </c>
      <c r="AL268" s="39">
        <f>RANK(E268,$E$2:$E$1001,0)+COUNTIF($E$2:E268,E268)-1</f>
        <v>34</v>
      </c>
    </row>
    <row r="269" spans="1:38" x14ac:dyDescent="0.2">
      <c r="A269" s="39">
        <v>1096</v>
      </c>
      <c r="B269" s="40">
        <v>45087</v>
      </c>
      <c r="C269" s="39" t="s">
        <v>71</v>
      </c>
      <c r="D269" s="39" t="s">
        <v>69</v>
      </c>
      <c r="E269" s="41">
        <v>2320.5100000000002</v>
      </c>
      <c r="F269" s="39">
        <v>6</v>
      </c>
      <c r="G269" s="39" t="s">
        <v>75</v>
      </c>
      <c r="H269" s="41">
        <v>252.62</v>
      </c>
      <c r="I269" s="41">
        <v>742</v>
      </c>
      <c r="J269" s="39" t="s">
        <v>143</v>
      </c>
      <c r="K269" s="42">
        <v>0.22</v>
      </c>
      <c r="L269" s="39" t="s">
        <v>73</v>
      </c>
      <c r="M269" s="39" t="s">
        <v>140</v>
      </c>
      <c r="N269" s="39" t="s">
        <v>151</v>
      </c>
      <c r="O269" s="43">
        <f t="shared" si="84"/>
        <v>4452</v>
      </c>
      <c r="P269" s="43">
        <f t="shared" si="85"/>
        <v>3472.56</v>
      </c>
      <c r="Q269" s="43">
        <f t="shared" si="86"/>
        <v>1515.72</v>
      </c>
      <c r="R269" s="43">
        <f t="shared" si="87"/>
        <v>1956.84</v>
      </c>
      <c r="S269" s="44">
        <f t="shared" si="88"/>
        <v>0.56351510125095028</v>
      </c>
      <c r="T269" s="39" t="str">
        <f t="shared" si="89"/>
        <v>OK</v>
      </c>
      <c r="U269" s="39" t="str">
        <f t="shared" si="90"/>
        <v>20%+</v>
      </c>
      <c r="V269" s="39" t="str">
        <f>IF(E269&gt;=Analysis!$B$4,"High",IF(E269&gt;=Analysis!$B$5,"Mid","Low"))</f>
        <v>Low</v>
      </c>
      <c r="W269" s="39" t="str">
        <f t="shared" si="91"/>
        <v>2023-06</v>
      </c>
      <c r="X269" s="40">
        <f t="shared" si="92"/>
        <v>45107</v>
      </c>
      <c r="Y269" s="39" t="str">
        <f t="shared" si="93"/>
        <v>2023-Q2</v>
      </c>
      <c r="Z269" s="39" t="str">
        <f t="shared" si="94"/>
        <v>Sat</v>
      </c>
      <c r="AA269" s="39">
        <f t="shared" si="95"/>
        <v>6</v>
      </c>
      <c r="AB269" s="39">
        <f t="shared" si="96"/>
        <v>24</v>
      </c>
      <c r="AC269" s="39" t="str">
        <f t="shared" si="97"/>
        <v>Weekend</v>
      </c>
      <c r="AD269" s="39">
        <f t="shared" ca="1" si="98"/>
        <v>1232</v>
      </c>
      <c r="AE269" s="39">
        <f t="shared" ca="1" si="99"/>
        <v>40</v>
      </c>
      <c r="AF269" s="39" t="str">
        <f t="shared" si="100"/>
        <v>CHA</v>
      </c>
      <c r="AG269" s="39" t="str">
        <f t="shared" si="101"/>
        <v>SR-230610-0268</v>
      </c>
      <c r="AH269" s="39" t="str">
        <f>IF(AND(OR(Filter!$B$4="All",D269=Filter!$B$4),OR(Filter!$B$5="All",M269=Filter!$B$5),E269&gt;=Filter!$B$6),MAX(AH$1:AH268)+1,"")</f>
        <v/>
      </c>
      <c r="AI269" s="39">
        <f t="shared" si="102"/>
        <v>6</v>
      </c>
      <c r="AJ269" s="42">
        <f t="shared" si="103"/>
        <v>0.22</v>
      </c>
      <c r="AK269" s="41">
        <f t="shared" si="104"/>
        <v>742</v>
      </c>
      <c r="AL269" s="39">
        <f>RANK(E269,$E$2:$E$1001,0)+COUNTIF($E$2:E269,E269)-1</f>
        <v>776</v>
      </c>
    </row>
    <row r="270" spans="1:38" x14ac:dyDescent="0.2">
      <c r="A270" s="39">
        <v>1071</v>
      </c>
      <c r="B270" s="40">
        <v>45103</v>
      </c>
      <c r="C270" s="39" t="s">
        <v>76</v>
      </c>
      <c r="D270" s="39" t="s">
        <v>64</v>
      </c>
      <c r="E270" s="41">
        <v>6664.17</v>
      </c>
      <c r="F270" s="39">
        <v>35</v>
      </c>
      <c r="G270" s="39" t="s">
        <v>60</v>
      </c>
      <c r="H270" s="41">
        <v>295.82</v>
      </c>
      <c r="I270" s="41">
        <v>684.67</v>
      </c>
      <c r="J270" s="39" t="s">
        <v>143</v>
      </c>
      <c r="K270" s="42">
        <v>0.03</v>
      </c>
      <c r="L270" s="39" t="s">
        <v>73</v>
      </c>
      <c r="M270" s="39" t="s">
        <v>138</v>
      </c>
      <c r="N270" s="39" t="s">
        <v>152</v>
      </c>
      <c r="O270" s="43">
        <f t="shared" si="84"/>
        <v>23963.45</v>
      </c>
      <c r="P270" s="43">
        <f t="shared" si="85"/>
        <v>23244.55</v>
      </c>
      <c r="Q270" s="43">
        <f t="shared" si="86"/>
        <v>10353.700000000001</v>
      </c>
      <c r="R270" s="43">
        <f t="shared" si="87"/>
        <v>12890.849999999999</v>
      </c>
      <c r="S270" s="44">
        <f t="shared" si="88"/>
        <v>0.55457515847800876</v>
      </c>
      <c r="T270" s="39" t="str">
        <f t="shared" si="89"/>
        <v>OK</v>
      </c>
      <c r="U270" s="39" t="str">
        <f t="shared" si="90"/>
        <v>0-9%</v>
      </c>
      <c r="V270" s="39" t="str">
        <f>IF(E270&gt;=Analysis!$B$4,"High",IF(E270&gt;=Analysis!$B$5,"Mid","Low"))</f>
        <v>Mid</v>
      </c>
      <c r="W270" s="39" t="str">
        <f t="shared" si="91"/>
        <v>2023-06</v>
      </c>
      <c r="X270" s="40">
        <f t="shared" si="92"/>
        <v>45107</v>
      </c>
      <c r="Y270" s="39" t="str">
        <f t="shared" si="93"/>
        <v>2023-Q2</v>
      </c>
      <c r="Z270" s="39" t="str">
        <f t="shared" si="94"/>
        <v>Mon</v>
      </c>
      <c r="AA270" s="39">
        <f t="shared" si="95"/>
        <v>1</v>
      </c>
      <c r="AB270" s="39">
        <f t="shared" si="96"/>
        <v>27</v>
      </c>
      <c r="AC270" s="39" t="str">
        <f t="shared" si="97"/>
        <v>Weekday</v>
      </c>
      <c r="AD270" s="39">
        <f t="shared" ca="1" si="98"/>
        <v>1216</v>
      </c>
      <c r="AE270" s="39">
        <f t="shared" ca="1" si="99"/>
        <v>39</v>
      </c>
      <c r="AF270" s="39" t="str">
        <f t="shared" si="100"/>
        <v>DAV</v>
      </c>
      <c r="AG270" s="39" t="str">
        <f t="shared" si="101"/>
        <v>NO-230626-0269</v>
      </c>
      <c r="AH270" s="39" t="str">
        <f>IF(AND(OR(Filter!$B$4="All",D270=Filter!$B$4),OR(Filter!$B$5="All",M270=Filter!$B$5),E270&gt;=Filter!$B$6),MAX(AH$1:AH269)+1,"")</f>
        <v/>
      </c>
      <c r="AI270" s="39">
        <f t="shared" si="102"/>
        <v>35</v>
      </c>
      <c r="AJ270" s="42">
        <f t="shared" si="103"/>
        <v>0.03</v>
      </c>
      <c r="AK270" s="41">
        <f t="shared" si="104"/>
        <v>684.67</v>
      </c>
      <c r="AL270" s="39">
        <f>RANK(E270,$E$2:$E$1001,0)+COUNTIF($E$2:E270,E270)-1</f>
        <v>339</v>
      </c>
    </row>
    <row r="271" spans="1:38" x14ac:dyDescent="0.2">
      <c r="A271" s="39">
        <v>1052</v>
      </c>
      <c r="B271" s="40">
        <v>45211</v>
      </c>
      <c r="C271" s="39" t="s">
        <v>76</v>
      </c>
      <c r="D271" s="39" t="s">
        <v>64</v>
      </c>
      <c r="E271" s="41">
        <v>7444.77</v>
      </c>
      <c r="F271" s="39">
        <v>46</v>
      </c>
      <c r="G271" s="39" t="s">
        <v>65</v>
      </c>
      <c r="H271" s="41">
        <v>3136.42</v>
      </c>
      <c r="I271" s="41">
        <v>3198.49</v>
      </c>
      <c r="J271" s="39" t="s">
        <v>137</v>
      </c>
      <c r="K271" s="42">
        <v>0.28999999999999998</v>
      </c>
      <c r="L271" s="39" t="s">
        <v>68</v>
      </c>
      <c r="M271" s="39" t="s">
        <v>140</v>
      </c>
      <c r="N271" s="39" t="s">
        <v>152</v>
      </c>
      <c r="O271" s="43">
        <f t="shared" si="84"/>
        <v>147130.54</v>
      </c>
      <c r="P271" s="43">
        <f t="shared" si="85"/>
        <v>104462.68</v>
      </c>
      <c r="Q271" s="43">
        <f t="shared" si="86"/>
        <v>144275.32</v>
      </c>
      <c r="R271" s="43">
        <f t="shared" si="87"/>
        <v>-39812.640000000014</v>
      </c>
      <c r="S271" s="44">
        <f t="shared" si="88"/>
        <v>-0.38111830942878372</v>
      </c>
      <c r="T271" s="39" t="str">
        <f t="shared" si="89"/>
        <v>Loss</v>
      </c>
      <c r="U271" s="39" t="str">
        <f t="shared" si="90"/>
        <v>20%+</v>
      </c>
      <c r="V271" s="39" t="str">
        <f>IF(E271&gt;=Analysis!$B$4,"High",IF(E271&gt;=Analysis!$B$5,"Mid","Low"))</f>
        <v>Mid</v>
      </c>
      <c r="W271" s="39" t="str">
        <f t="shared" si="91"/>
        <v>2023-10</v>
      </c>
      <c r="X271" s="40">
        <f t="shared" si="92"/>
        <v>45230</v>
      </c>
      <c r="Y271" s="39" t="str">
        <f t="shared" si="93"/>
        <v>2023-Q4</v>
      </c>
      <c r="Z271" s="39" t="str">
        <f t="shared" si="94"/>
        <v>Thu</v>
      </c>
      <c r="AA271" s="39">
        <f t="shared" si="95"/>
        <v>4</v>
      </c>
      <c r="AB271" s="39">
        <f t="shared" si="96"/>
        <v>42</v>
      </c>
      <c r="AC271" s="39" t="str">
        <f t="shared" si="97"/>
        <v>Weekday</v>
      </c>
      <c r="AD271" s="39">
        <f t="shared" ca="1" si="98"/>
        <v>1108</v>
      </c>
      <c r="AE271" s="39">
        <f t="shared" ca="1" si="99"/>
        <v>36</v>
      </c>
      <c r="AF271" s="39" t="str">
        <f t="shared" si="100"/>
        <v>DAV</v>
      </c>
      <c r="AG271" s="39" t="str">
        <f t="shared" si="101"/>
        <v>NR-231012-0270</v>
      </c>
      <c r="AH271" s="39" t="str">
        <f>IF(AND(OR(Filter!$B$4="All",D271=Filter!$B$4),OR(Filter!$B$5="All",M271=Filter!$B$5),E271&gt;=Filter!$B$6),MAX(AH$1:AH270)+1,"")</f>
        <v/>
      </c>
      <c r="AI271" s="39">
        <f t="shared" si="102"/>
        <v>46</v>
      </c>
      <c r="AJ271" s="42">
        <f t="shared" si="103"/>
        <v>0.28999999999999998</v>
      </c>
      <c r="AK271" s="41">
        <f t="shared" si="104"/>
        <v>3198.49</v>
      </c>
      <c r="AL271" s="39">
        <f>RANK(E271,$E$2:$E$1001,0)+COUNTIF($E$2:E271,E271)-1</f>
        <v>255</v>
      </c>
    </row>
    <row r="272" spans="1:38" x14ac:dyDescent="0.2">
      <c r="A272" s="39">
        <v>1033</v>
      </c>
      <c r="B272" s="40">
        <v>44989</v>
      </c>
      <c r="C272" s="39" t="s">
        <v>66</v>
      </c>
      <c r="D272" s="39" t="s">
        <v>74</v>
      </c>
      <c r="E272" s="41">
        <v>8499.41</v>
      </c>
      <c r="F272" s="39">
        <v>14</v>
      </c>
      <c r="G272" s="39" t="s">
        <v>60</v>
      </c>
      <c r="H272" s="41">
        <v>362.38</v>
      </c>
      <c r="I272" s="41">
        <v>753.81</v>
      </c>
      <c r="J272" s="39" t="s">
        <v>137</v>
      </c>
      <c r="K272" s="42">
        <v>0.19</v>
      </c>
      <c r="L272" s="39" t="s">
        <v>68</v>
      </c>
      <c r="M272" s="39" t="s">
        <v>140</v>
      </c>
      <c r="N272" s="39" t="s">
        <v>141</v>
      </c>
      <c r="O272" s="43">
        <f t="shared" si="84"/>
        <v>10553.34</v>
      </c>
      <c r="P272" s="43">
        <f t="shared" si="85"/>
        <v>8548.2099999999991</v>
      </c>
      <c r="Q272" s="43">
        <f t="shared" si="86"/>
        <v>5073.32</v>
      </c>
      <c r="R272" s="43">
        <f t="shared" si="87"/>
        <v>3474.8899999999994</v>
      </c>
      <c r="S272" s="44">
        <f t="shared" si="88"/>
        <v>0.40650498759389392</v>
      </c>
      <c r="T272" s="39" t="str">
        <f t="shared" si="89"/>
        <v>OK</v>
      </c>
      <c r="U272" s="39" t="str">
        <f t="shared" si="90"/>
        <v>10-19%</v>
      </c>
      <c r="V272" s="39" t="str">
        <f>IF(E272&gt;=Analysis!$B$4,"High",IF(E272&gt;=Analysis!$B$5,"Mid","Low"))</f>
        <v>High</v>
      </c>
      <c r="W272" s="39" t="str">
        <f t="shared" si="91"/>
        <v>2023-03</v>
      </c>
      <c r="X272" s="40">
        <f t="shared" si="92"/>
        <v>45016</v>
      </c>
      <c r="Y272" s="39" t="str">
        <f t="shared" si="93"/>
        <v>2023-Q1</v>
      </c>
      <c r="Z272" s="39" t="str">
        <f t="shared" si="94"/>
        <v>Sat</v>
      </c>
      <c r="AA272" s="39">
        <f t="shared" si="95"/>
        <v>6</v>
      </c>
      <c r="AB272" s="39">
        <f t="shared" si="96"/>
        <v>10</v>
      </c>
      <c r="AC272" s="39" t="str">
        <f t="shared" si="97"/>
        <v>Weekend</v>
      </c>
      <c r="AD272" s="39">
        <f t="shared" ca="1" si="98"/>
        <v>1330</v>
      </c>
      <c r="AE272" s="39">
        <f t="shared" ca="1" si="99"/>
        <v>43</v>
      </c>
      <c r="AF272" s="39" t="str">
        <f t="shared" si="100"/>
        <v>BOB</v>
      </c>
      <c r="AG272" s="39" t="str">
        <f t="shared" si="101"/>
        <v>WR-230304-0271</v>
      </c>
      <c r="AH272" s="39" t="str">
        <f>IF(AND(OR(Filter!$B$4="All",D272=Filter!$B$4),OR(Filter!$B$5="All",M272=Filter!$B$5),E272&gt;=Filter!$B$6),MAX(AH$1:AH271)+1,"")</f>
        <v/>
      </c>
      <c r="AI272" s="39">
        <f t="shared" si="102"/>
        <v>14</v>
      </c>
      <c r="AJ272" s="42">
        <f t="shared" si="103"/>
        <v>0.19</v>
      </c>
      <c r="AK272" s="41">
        <f t="shared" si="104"/>
        <v>753.81</v>
      </c>
      <c r="AL272" s="39">
        <f>RANK(E272,$E$2:$E$1001,0)+COUNTIF($E$2:E272,E272)-1</f>
        <v>140</v>
      </c>
    </row>
    <row r="273" spans="1:38" x14ac:dyDescent="0.2">
      <c r="A273" s="39">
        <v>1040</v>
      </c>
      <c r="B273" s="40">
        <v>45076</v>
      </c>
      <c r="C273" s="39" t="s">
        <v>61</v>
      </c>
      <c r="D273" s="39" t="s">
        <v>69</v>
      </c>
      <c r="E273" s="41">
        <v>4284.03</v>
      </c>
      <c r="F273" s="39">
        <v>47</v>
      </c>
      <c r="G273" s="39" t="s">
        <v>60</v>
      </c>
      <c r="H273" s="41">
        <v>1656.82</v>
      </c>
      <c r="I273" s="41">
        <v>1750.38</v>
      </c>
      <c r="J273" s="39" t="s">
        <v>143</v>
      </c>
      <c r="K273" s="42">
        <v>0.21</v>
      </c>
      <c r="L273" s="39" t="s">
        <v>73</v>
      </c>
      <c r="M273" s="39" t="s">
        <v>138</v>
      </c>
      <c r="N273" s="39" t="s">
        <v>150</v>
      </c>
      <c r="O273" s="43">
        <f t="shared" si="84"/>
        <v>82267.86</v>
      </c>
      <c r="P273" s="43">
        <f t="shared" si="85"/>
        <v>64991.61</v>
      </c>
      <c r="Q273" s="43">
        <f t="shared" si="86"/>
        <v>77870.539999999994</v>
      </c>
      <c r="R273" s="43">
        <f t="shared" si="87"/>
        <v>-12878.929999999993</v>
      </c>
      <c r="S273" s="44">
        <f t="shared" si="88"/>
        <v>-0.19816296288090099</v>
      </c>
      <c r="T273" s="39" t="str">
        <f t="shared" si="89"/>
        <v>Loss</v>
      </c>
      <c r="U273" s="39" t="str">
        <f t="shared" si="90"/>
        <v>20%+</v>
      </c>
      <c r="V273" s="39" t="str">
        <f>IF(E273&gt;=Analysis!$B$4,"High",IF(E273&gt;=Analysis!$B$5,"Mid","Low"))</f>
        <v>Mid</v>
      </c>
      <c r="W273" s="39" t="str">
        <f t="shared" si="91"/>
        <v>2023-05</v>
      </c>
      <c r="X273" s="40">
        <f t="shared" si="92"/>
        <v>45077</v>
      </c>
      <c r="Y273" s="39" t="str">
        <f t="shared" si="93"/>
        <v>2023-Q2</v>
      </c>
      <c r="Z273" s="39" t="str">
        <f t="shared" si="94"/>
        <v>Tue</v>
      </c>
      <c r="AA273" s="39">
        <f t="shared" si="95"/>
        <v>2</v>
      </c>
      <c r="AB273" s="39">
        <f t="shared" si="96"/>
        <v>23</v>
      </c>
      <c r="AC273" s="39" t="str">
        <f t="shared" si="97"/>
        <v>Weekday</v>
      </c>
      <c r="AD273" s="39">
        <f t="shared" ca="1" si="98"/>
        <v>1243</v>
      </c>
      <c r="AE273" s="39">
        <f t="shared" ca="1" si="99"/>
        <v>40</v>
      </c>
      <c r="AF273" s="39" t="str">
        <f t="shared" si="100"/>
        <v>ALI</v>
      </c>
      <c r="AG273" s="39" t="str">
        <f t="shared" si="101"/>
        <v>SO-230530-0272</v>
      </c>
      <c r="AH273" s="39" t="str">
        <f>IF(AND(OR(Filter!$B$4="All",D273=Filter!$B$4),OR(Filter!$B$5="All",M273=Filter!$B$5),E273&gt;=Filter!$B$6),MAX(AH$1:AH272)+1,"")</f>
        <v/>
      </c>
      <c r="AI273" s="39">
        <f t="shared" si="102"/>
        <v>47</v>
      </c>
      <c r="AJ273" s="42">
        <f t="shared" si="103"/>
        <v>0.21</v>
      </c>
      <c r="AK273" s="41">
        <f t="shared" si="104"/>
        <v>1750.38</v>
      </c>
      <c r="AL273" s="39">
        <f>RANK(E273,$E$2:$E$1001,0)+COUNTIF($E$2:E273,E273)-1</f>
        <v>572</v>
      </c>
    </row>
    <row r="274" spans="1:38" x14ac:dyDescent="0.2">
      <c r="A274" s="39">
        <v>1039</v>
      </c>
      <c r="B274" s="40">
        <v>45080</v>
      </c>
      <c r="C274" s="39" t="s">
        <v>66</v>
      </c>
      <c r="D274" s="39" t="s">
        <v>69</v>
      </c>
      <c r="E274" s="41">
        <v>3099.02</v>
      </c>
      <c r="F274" s="39">
        <v>8</v>
      </c>
      <c r="G274" s="39" t="s">
        <v>60</v>
      </c>
      <c r="H274" s="41">
        <v>3380.14</v>
      </c>
      <c r="I274" s="41">
        <v>3609.34</v>
      </c>
      <c r="J274" s="39" t="s">
        <v>137</v>
      </c>
      <c r="K274" s="42">
        <v>0.09</v>
      </c>
      <c r="L274" s="39" t="s">
        <v>73</v>
      </c>
      <c r="M274" s="39" t="s">
        <v>138</v>
      </c>
      <c r="N274" s="39" t="s">
        <v>144</v>
      </c>
      <c r="O274" s="43">
        <f t="shared" si="84"/>
        <v>28874.720000000001</v>
      </c>
      <c r="P274" s="43">
        <f t="shared" si="85"/>
        <v>26276</v>
      </c>
      <c r="Q274" s="43">
        <f t="shared" si="86"/>
        <v>27041.119999999999</v>
      </c>
      <c r="R274" s="43">
        <f t="shared" si="87"/>
        <v>-765.11999999999898</v>
      </c>
      <c r="S274" s="44">
        <f t="shared" si="88"/>
        <v>-2.9118587304003615E-2</v>
      </c>
      <c r="T274" s="39" t="str">
        <f t="shared" si="89"/>
        <v>Loss</v>
      </c>
      <c r="U274" s="39" t="str">
        <f t="shared" si="90"/>
        <v>0-9%</v>
      </c>
      <c r="V274" s="39" t="str">
        <f>IF(E274&gt;=Analysis!$B$4,"High",IF(E274&gt;=Analysis!$B$5,"Mid","Low"))</f>
        <v>Mid</v>
      </c>
      <c r="W274" s="39" t="str">
        <f t="shared" si="91"/>
        <v>2023-06</v>
      </c>
      <c r="X274" s="40">
        <f t="shared" si="92"/>
        <v>45107</v>
      </c>
      <c r="Y274" s="39" t="str">
        <f t="shared" si="93"/>
        <v>2023-Q2</v>
      </c>
      <c r="Z274" s="39" t="str">
        <f t="shared" si="94"/>
        <v>Sat</v>
      </c>
      <c r="AA274" s="39">
        <f t="shared" si="95"/>
        <v>6</v>
      </c>
      <c r="AB274" s="39">
        <f t="shared" si="96"/>
        <v>23</v>
      </c>
      <c r="AC274" s="39" t="str">
        <f t="shared" si="97"/>
        <v>Weekend</v>
      </c>
      <c r="AD274" s="39">
        <f t="shared" ca="1" si="98"/>
        <v>1239</v>
      </c>
      <c r="AE274" s="39">
        <f t="shared" ca="1" si="99"/>
        <v>40</v>
      </c>
      <c r="AF274" s="39" t="str">
        <f t="shared" si="100"/>
        <v>BOB</v>
      </c>
      <c r="AG274" s="39" t="str">
        <f t="shared" si="101"/>
        <v>SO-230603-0273</v>
      </c>
      <c r="AH274" s="39" t="str">
        <f>IF(AND(OR(Filter!$B$4="All",D274=Filter!$B$4),OR(Filter!$B$5="All",M274=Filter!$B$5),E274&gt;=Filter!$B$6),MAX(AH$1:AH273)+1,"")</f>
        <v/>
      </c>
      <c r="AI274" s="39">
        <f t="shared" si="102"/>
        <v>8</v>
      </c>
      <c r="AJ274" s="42">
        <f t="shared" si="103"/>
        <v>0.09</v>
      </c>
      <c r="AK274" s="41">
        <f t="shared" si="104"/>
        <v>3609.34</v>
      </c>
      <c r="AL274" s="39">
        <f>RANK(E274,$E$2:$E$1001,0)+COUNTIF($E$2:E274,E274)-1</f>
        <v>684</v>
      </c>
    </row>
    <row r="275" spans="1:38" x14ac:dyDescent="0.2">
      <c r="A275" s="39">
        <v>1082</v>
      </c>
      <c r="B275" s="40">
        <v>45082</v>
      </c>
      <c r="C275" s="39" t="s">
        <v>71</v>
      </c>
      <c r="D275" s="39" t="s">
        <v>59</v>
      </c>
      <c r="E275" s="41">
        <v>3320.42</v>
      </c>
      <c r="F275" s="39">
        <v>15</v>
      </c>
      <c r="G275" s="39" t="s">
        <v>60</v>
      </c>
      <c r="H275" s="41">
        <v>1719.47</v>
      </c>
      <c r="I275" s="41">
        <v>1832.6</v>
      </c>
      <c r="J275" s="39" t="s">
        <v>137</v>
      </c>
      <c r="K275" s="42">
        <v>0.12</v>
      </c>
      <c r="L275" s="39" t="s">
        <v>73</v>
      </c>
      <c r="M275" s="39" t="s">
        <v>138</v>
      </c>
      <c r="N275" s="39" t="s">
        <v>145</v>
      </c>
      <c r="O275" s="43">
        <f t="shared" si="84"/>
        <v>27489</v>
      </c>
      <c r="P275" s="43">
        <f t="shared" si="85"/>
        <v>24190.32</v>
      </c>
      <c r="Q275" s="43">
        <f t="shared" si="86"/>
        <v>25792.05</v>
      </c>
      <c r="R275" s="43">
        <f t="shared" si="87"/>
        <v>-1601.7299999999996</v>
      </c>
      <c r="S275" s="44">
        <f t="shared" si="88"/>
        <v>-6.6213675552865753E-2</v>
      </c>
      <c r="T275" s="39" t="str">
        <f t="shared" si="89"/>
        <v>Loss</v>
      </c>
      <c r="U275" s="39" t="str">
        <f t="shared" si="90"/>
        <v>10-19%</v>
      </c>
      <c r="V275" s="39" t="str">
        <f>IF(E275&gt;=Analysis!$B$4,"High",IF(E275&gt;=Analysis!$B$5,"Mid","Low"))</f>
        <v>Mid</v>
      </c>
      <c r="W275" s="39" t="str">
        <f t="shared" si="91"/>
        <v>2023-06</v>
      </c>
      <c r="X275" s="40">
        <f t="shared" si="92"/>
        <v>45107</v>
      </c>
      <c r="Y275" s="39" t="str">
        <f t="shared" si="93"/>
        <v>2023-Q2</v>
      </c>
      <c r="Z275" s="39" t="str">
        <f t="shared" si="94"/>
        <v>Mon</v>
      </c>
      <c r="AA275" s="39">
        <f t="shared" si="95"/>
        <v>1</v>
      </c>
      <c r="AB275" s="39">
        <f t="shared" si="96"/>
        <v>24</v>
      </c>
      <c r="AC275" s="39" t="str">
        <f t="shared" si="97"/>
        <v>Weekday</v>
      </c>
      <c r="AD275" s="39">
        <f t="shared" ca="1" si="98"/>
        <v>1237</v>
      </c>
      <c r="AE275" s="39">
        <f t="shared" ca="1" si="99"/>
        <v>40</v>
      </c>
      <c r="AF275" s="39" t="str">
        <f t="shared" si="100"/>
        <v>CHA</v>
      </c>
      <c r="AG275" s="39" t="str">
        <f t="shared" si="101"/>
        <v>EO-230605-0274</v>
      </c>
      <c r="AH275" s="39" t="str">
        <f>IF(AND(OR(Filter!$B$4="All",D275=Filter!$B$4),OR(Filter!$B$5="All",M275=Filter!$B$5),E275&gt;=Filter!$B$6),MAX(AH$1:AH274)+1,"")</f>
        <v/>
      </c>
      <c r="AI275" s="39">
        <f t="shared" si="102"/>
        <v>15</v>
      </c>
      <c r="AJ275" s="42">
        <f t="shared" si="103"/>
        <v>0.12</v>
      </c>
      <c r="AK275" s="41">
        <f t="shared" si="104"/>
        <v>1832.6</v>
      </c>
      <c r="AL275" s="39">
        <f>RANK(E275,$E$2:$E$1001,0)+COUNTIF($E$2:E275,E275)-1</f>
        <v>665</v>
      </c>
    </row>
    <row r="276" spans="1:38" x14ac:dyDescent="0.2">
      <c r="A276" s="39">
        <v>1001</v>
      </c>
      <c r="B276" s="40">
        <v>44975</v>
      </c>
      <c r="C276" s="39" t="s">
        <v>76</v>
      </c>
      <c r="D276" s="39" t="s">
        <v>74</v>
      </c>
      <c r="E276" s="41">
        <v>7154.95</v>
      </c>
      <c r="F276" s="39">
        <v>27</v>
      </c>
      <c r="G276" s="39" t="s">
        <v>60</v>
      </c>
      <c r="H276" s="41">
        <v>939.02</v>
      </c>
      <c r="I276" s="41">
        <v>1286.92</v>
      </c>
      <c r="J276" s="39" t="s">
        <v>137</v>
      </c>
      <c r="K276" s="42">
        <v>7.0000000000000007E-2</v>
      </c>
      <c r="L276" s="39" t="s">
        <v>73</v>
      </c>
      <c r="M276" s="39" t="s">
        <v>140</v>
      </c>
      <c r="N276" s="39" t="s">
        <v>154</v>
      </c>
      <c r="O276" s="43">
        <f t="shared" si="84"/>
        <v>34746.839999999997</v>
      </c>
      <c r="P276" s="43">
        <f t="shared" si="85"/>
        <v>32314.560000000001</v>
      </c>
      <c r="Q276" s="43">
        <f t="shared" si="86"/>
        <v>25353.54</v>
      </c>
      <c r="R276" s="43">
        <f t="shared" si="87"/>
        <v>6961.02</v>
      </c>
      <c r="S276" s="44">
        <f t="shared" si="88"/>
        <v>0.21541435192062031</v>
      </c>
      <c r="T276" s="39" t="str">
        <f t="shared" si="89"/>
        <v>OK</v>
      </c>
      <c r="U276" s="39" t="str">
        <f t="shared" si="90"/>
        <v>0-9%</v>
      </c>
      <c r="V276" s="39" t="str">
        <f>IF(E276&gt;=Analysis!$B$4,"High",IF(E276&gt;=Analysis!$B$5,"Mid","Low"))</f>
        <v>Mid</v>
      </c>
      <c r="W276" s="39" t="str">
        <f t="shared" si="91"/>
        <v>2023-02</v>
      </c>
      <c r="X276" s="40">
        <f t="shared" si="92"/>
        <v>44985</v>
      </c>
      <c r="Y276" s="39" t="str">
        <f t="shared" si="93"/>
        <v>2023-Q1</v>
      </c>
      <c r="Z276" s="39" t="str">
        <f t="shared" si="94"/>
        <v>Sat</v>
      </c>
      <c r="AA276" s="39">
        <f t="shared" si="95"/>
        <v>6</v>
      </c>
      <c r="AB276" s="39">
        <f t="shared" si="96"/>
        <v>8</v>
      </c>
      <c r="AC276" s="39" t="str">
        <f t="shared" si="97"/>
        <v>Weekend</v>
      </c>
      <c r="AD276" s="39">
        <f t="shared" ca="1" si="98"/>
        <v>1344</v>
      </c>
      <c r="AE276" s="39">
        <f t="shared" ca="1" si="99"/>
        <v>44</v>
      </c>
      <c r="AF276" s="39" t="str">
        <f t="shared" si="100"/>
        <v>DAV</v>
      </c>
      <c r="AG276" s="39" t="str">
        <f t="shared" si="101"/>
        <v>WR-230218-0275</v>
      </c>
      <c r="AH276" s="39" t="str">
        <f>IF(AND(OR(Filter!$B$4="All",D276=Filter!$B$4),OR(Filter!$B$5="All",M276=Filter!$B$5),E276&gt;=Filter!$B$6),MAX(AH$1:AH275)+1,"")</f>
        <v/>
      </c>
      <c r="AI276" s="39">
        <f t="shared" si="102"/>
        <v>27</v>
      </c>
      <c r="AJ276" s="42">
        <f t="shared" si="103"/>
        <v>7.0000000000000007E-2</v>
      </c>
      <c r="AK276" s="41">
        <f t="shared" si="104"/>
        <v>1286.92</v>
      </c>
      <c r="AL276" s="39">
        <f>RANK(E276,$E$2:$E$1001,0)+COUNTIF($E$2:E276,E276)-1</f>
        <v>284</v>
      </c>
    </row>
    <row r="277" spans="1:38" x14ac:dyDescent="0.2">
      <c r="A277" s="39">
        <v>1011</v>
      </c>
      <c r="B277" s="40">
        <v>45263</v>
      </c>
      <c r="C277" s="39" t="s">
        <v>66</v>
      </c>
      <c r="D277" s="39" t="s">
        <v>59</v>
      </c>
      <c r="E277" s="41">
        <v>8186.12</v>
      </c>
      <c r="F277" s="39">
        <v>13</v>
      </c>
      <c r="G277" s="39" t="s">
        <v>65</v>
      </c>
      <c r="H277" s="41">
        <v>1442.69</v>
      </c>
      <c r="I277" s="41">
        <v>1882.57</v>
      </c>
      <c r="J277" s="39" t="s">
        <v>137</v>
      </c>
      <c r="K277" s="42">
        <v>0.28000000000000003</v>
      </c>
      <c r="L277" s="39" t="s">
        <v>68</v>
      </c>
      <c r="M277" s="39" t="s">
        <v>138</v>
      </c>
      <c r="N277" s="39" t="s">
        <v>153</v>
      </c>
      <c r="O277" s="43">
        <f t="shared" si="84"/>
        <v>24473.41</v>
      </c>
      <c r="P277" s="43">
        <f t="shared" si="85"/>
        <v>17620.86</v>
      </c>
      <c r="Q277" s="43">
        <f t="shared" si="86"/>
        <v>18754.97</v>
      </c>
      <c r="R277" s="43">
        <f t="shared" si="87"/>
        <v>-1134.1100000000006</v>
      </c>
      <c r="S277" s="44">
        <f t="shared" si="88"/>
        <v>-6.4361784839105499E-2</v>
      </c>
      <c r="T277" s="39" t="str">
        <f t="shared" si="89"/>
        <v>Loss</v>
      </c>
      <c r="U277" s="39" t="str">
        <f t="shared" si="90"/>
        <v>20%+</v>
      </c>
      <c r="V277" s="39" t="str">
        <f>IF(E277&gt;=Analysis!$B$4,"High",IF(E277&gt;=Analysis!$B$5,"Mid","Low"))</f>
        <v>High</v>
      </c>
      <c r="W277" s="39" t="str">
        <f t="shared" si="91"/>
        <v>2023-12</v>
      </c>
      <c r="X277" s="40">
        <f t="shared" si="92"/>
        <v>45291</v>
      </c>
      <c r="Y277" s="39" t="str">
        <f t="shared" si="93"/>
        <v>2023-Q4</v>
      </c>
      <c r="Z277" s="39" t="str">
        <f t="shared" si="94"/>
        <v>Sun</v>
      </c>
      <c r="AA277" s="39">
        <f t="shared" si="95"/>
        <v>7</v>
      </c>
      <c r="AB277" s="39">
        <f t="shared" si="96"/>
        <v>49</v>
      </c>
      <c r="AC277" s="39" t="str">
        <f t="shared" si="97"/>
        <v>Weekend</v>
      </c>
      <c r="AD277" s="39">
        <f t="shared" ca="1" si="98"/>
        <v>1056</v>
      </c>
      <c r="AE277" s="39">
        <f t="shared" ca="1" si="99"/>
        <v>34</v>
      </c>
      <c r="AF277" s="39" t="str">
        <f t="shared" si="100"/>
        <v>BOB</v>
      </c>
      <c r="AG277" s="39" t="str">
        <f t="shared" si="101"/>
        <v>EO-231203-0276</v>
      </c>
      <c r="AH277" s="39" t="str">
        <f>IF(AND(OR(Filter!$B$4="All",D277=Filter!$B$4),OR(Filter!$B$5="All",M277=Filter!$B$5),E277&gt;=Filter!$B$6),MAX(AH$1:AH276)+1,"")</f>
        <v/>
      </c>
      <c r="AI277" s="39">
        <f t="shared" si="102"/>
        <v>13</v>
      </c>
      <c r="AJ277" s="42">
        <f t="shared" si="103"/>
        <v>0.28000000000000003</v>
      </c>
      <c r="AK277" s="41">
        <f t="shared" si="104"/>
        <v>1882.57</v>
      </c>
      <c r="AL277" s="39">
        <f>RANK(E277,$E$2:$E$1001,0)+COUNTIF($E$2:E277,E277)-1</f>
        <v>173</v>
      </c>
    </row>
    <row r="278" spans="1:38" x14ac:dyDescent="0.2">
      <c r="A278" s="39">
        <v>1092</v>
      </c>
      <c r="B278" s="40">
        <v>45010</v>
      </c>
      <c r="C278" s="39" t="s">
        <v>61</v>
      </c>
      <c r="D278" s="39" t="s">
        <v>74</v>
      </c>
      <c r="E278" s="41">
        <v>1897.98</v>
      </c>
      <c r="F278" s="39">
        <v>49</v>
      </c>
      <c r="G278" s="39" t="s">
        <v>75</v>
      </c>
      <c r="H278" s="41">
        <v>2315</v>
      </c>
      <c r="I278" s="41">
        <v>2467.2800000000002</v>
      </c>
      <c r="J278" s="39" t="s">
        <v>143</v>
      </c>
      <c r="K278" s="42">
        <v>0.15</v>
      </c>
      <c r="L278" s="39" t="s">
        <v>63</v>
      </c>
      <c r="M278" s="39" t="s">
        <v>140</v>
      </c>
      <c r="N278" s="39" t="s">
        <v>158</v>
      </c>
      <c r="O278" s="43">
        <f t="shared" si="84"/>
        <v>120896.72</v>
      </c>
      <c r="P278" s="43">
        <f t="shared" si="85"/>
        <v>102762.21</v>
      </c>
      <c r="Q278" s="43">
        <f t="shared" si="86"/>
        <v>113435</v>
      </c>
      <c r="R278" s="43">
        <f t="shared" si="87"/>
        <v>-10672.789999999994</v>
      </c>
      <c r="S278" s="44">
        <f t="shared" si="88"/>
        <v>-0.10385909372715897</v>
      </c>
      <c r="T278" s="39" t="str">
        <f t="shared" si="89"/>
        <v>Loss</v>
      </c>
      <c r="U278" s="39" t="str">
        <f t="shared" si="90"/>
        <v>10-19%</v>
      </c>
      <c r="V278" s="39" t="str">
        <f>IF(E278&gt;=Analysis!$B$4,"High",IF(E278&gt;=Analysis!$B$5,"Mid","Low"))</f>
        <v>Low</v>
      </c>
      <c r="W278" s="39" t="str">
        <f t="shared" si="91"/>
        <v>2023-03</v>
      </c>
      <c r="X278" s="40">
        <f t="shared" si="92"/>
        <v>45016</v>
      </c>
      <c r="Y278" s="39" t="str">
        <f t="shared" si="93"/>
        <v>2023-Q1</v>
      </c>
      <c r="Z278" s="39" t="str">
        <f t="shared" si="94"/>
        <v>Sat</v>
      </c>
      <c r="AA278" s="39">
        <f t="shared" si="95"/>
        <v>6</v>
      </c>
      <c r="AB278" s="39">
        <f t="shared" si="96"/>
        <v>13</v>
      </c>
      <c r="AC278" s="39" t="str">
        <f t="shared" si="97"/>
        <v>Weekend</v>
      </c>
      <c r="AD278" s="39">
        <f t="shared" ca="1" si="98"/>
        <v>1309</v>
      </c>
      <c r="AE278" s="39">
        <f t="shared" ca="1" si="99"/>
        <v>42</v>
      </c>
      <c r="AF278" s="39" t="str">
        <f t="shared" si="100"/>
        <v>ALI</v>
      </c>
      <c r="AG278" s="39" t="str">
        <f t="shared" si="101"/>
        <v>WR-230325-0277</v>
      </c>
      <c r="AH278" s="39" t="str">
        <f>IF(AND(OR(Filter!$B$4="All",D278=Filter!$B$4),OR(Filter!$B$5="All",M278=Filter!$B$5),E278&gt;=Filter!$B$6),MAX(AH$1:AH277)+1,"")</f>
        <v/>
      </c>
      <c r="AI278" s="39">
        <f t="shared" si="102"/>
        <v>49</v>
      </c>
      <c r="AJ278" s="42">
        <f t="shared" si="103"/>
        <v>0.15</v>
      </c>
      <c r="AK278" s="41">
        <f t="shared" si="104"/>
        <v>2467.2800000000002</v>
      </c>
      <c r="AL278" s="39">
        <f>RANK(E278,$E$2:$E$1001,0)+COUNTIF($E$2:E278,E278)-1</f>
        <v>829</v>
      </c>
    </row>
    <row r="279" spans="1:38" x14ac:dyDescent="0.2">
      <c r="A279" s="39">
        <v>1057</v>
      </c>
      <c r="B279" s="40">
        <v>45287</v>
      </c>
      <c r="C279" s="39" t="s">
        <v>66</v>
      </c>
      <c r="D279" s="39" t="s">
        <v>69</v>
      </c>
      <c r="E279" s="41">
        <v>3772.32</v>
      </c>
      <c r="F279" s="39">
        <v>31</v>
      </c>
      <c r="G279" s="39" t="s">
        <v>75</v>
      </c>
      <c r="H279" s="41">
        <v>2403.16</v>
      </c>
      <c r="I279" s="41">
        <v>2453.35</v>
      </c>
      <c r="J279" s="39" t="s">
        <v>137</v>
      </c>
      <c r="K279" s="42">
        <v>0.19</v>
      </c>
      <c r="L279" s="39" t="s">
        <v>73</v>
      </c>
      <c r="M279" s="39" t="s">
        <v>138</v>
      </c>
      <c r="N279" s="39" t="s">
        <v>144</v>
      </c>
      <c r="O279" s="43">
        <f t="shared" si="84"/>
        <v>76053.850000000006</v>
      </c>
      <c r="P279" s="43">
        <f t="shared" si="85"/>
        <v>61603.62</v>
      </c>
      <c r="Q279" s="43">
        <f t="shared" si="86"/>
        <v>74497.960000000006</v>
      </c>
      <c r="R279" s="43">
        <f t="shared" si="87"/>
        <v>-12894.340000000004</v>
      </c>
      <c r="S279" s="44">
        <f t="shared" si="88"/>
        <v>-0.20931140085598871</v>
      </c>
      <c r="T279" s="39" t="str">
        <f t="shared" si="89"/>
        <v>Loss</v>
      </c>
      <c r="U279" s="39" t="str">
        <f t="shared" si="90"/>
        <v>10-19%</v>
      </c>
      <c r="V279" s="39" t="str">
        <f>IF(E279&gt;=Analysis!$B$4,"High",IF(E279&gt;=Analysis!$B$5,"Mid","Low"))</f>
        <v>Mid</v>
      </c>
      <c r="W279" s="39" t="str">
        <f t="shared" si="91"/>
        <v>2023-12</v>
      </c>
      <c r="X279" s="40">
        <f t="shared" si="92"/>
        <v>45291</v>
      </c>
      <c r="Y279" s="39" t="str">
        <f t="shared" si="93"/>
        <v>2023-Q4</v>
      </c>
      <c r="Z279" s="39" t="str">
        <f t="shared" si="94"/>
        <v>Wed</v>
      </c>
      <c r="AA279" s="39">
        <f t="shared" si="95"/>
        <v>3</v>
      </c>
      <c r="AB279" s="39">
        <f t="shared" si="96"/>
        <v>53</v>
      </c>
      <c r="AC279" s="39" t="str">
        <f t="shared" si="97"/>
        <v>Weekday</v>
      </c>
      <c r="AD279" s="39">
        <f t="shared" ca="1" si="98"/>
        <v>1032</v>
      </c>
      <c r="AE279" s="39">
        <f t="shared" ca="1" si="99"/>
        <v>33</v>
      </c>
      <c r="AF279" s="39" t="str">
        <f t="shared" si="100"/>
        <v>BOB</v>
      </c>
      <c r="AG279" s="39" t="str">
        <f t="shared" si="101"/>
        <v>SO-231227-0278</v>
      </c>
      <c r="AH279" s="39" t="str">
        <f>IF(AND(OR(Filter!$B$4="All",D279=Filter!$B$4),OR(Filter!$B$5="All",M279=Filter!$B$5),E279&gt;=Filter!$B$6),MAX(AH$1:AH278)+1,"")</f>
        <v/>
      </c>
      <c r="AI279" s="39">
        <f t="shared" si="102"/>
        <v>31</v>
      </c>
      <c r="AJ279" s="42">
        <f t="shared" si="103"/>
        <v>0.19</v>
      </c>
      <c r="AK279" s="41">
        <f t="shared" si="104"/>
        <v>2453.35</v>
      </c>
      <c r="AL279" s="39">
        <f>RANK(E279,$E$2:$E$1001,0)+COUNTIF($E$2:E279,E279)-1</f>
        <v>621</v>
      </c>
    </row>
    <row r="280" spans="1:38" x14ac:dyDescent="0.2">
      <c r="A280" s="39">
        <v>1089</v>
      </c>
      <c r="B280" s="40">
        <v>45103</v>
      </c>
      <c r="C280" s="39" t="s">
        <v>79</v>
      </c>
      <c r="D280" s="39" t="s">
        <v>64</v>
      </c>
      <c r="E280" s="41">
        <v>9029.2099999999991</v>
      </c>
      <c r="F280" s="39">
        <v>35</v>
      </c>
      <c r="G280" s="39" t="s">
        <v>75</v>
      </c>
      <c r="H280" s="41">
        <v>3925.85</v>
      </c>
      <c r="I280" s="41">
        <v>4082.11</v>
      </c>
      <c r="J280" s="39" t="s">
        <v>143</v>
      </c>
      <c r="K280" s="42">
        <v>0.22</v>
      </c>
      <c r="L280" s="39" t="s">
        <v>68</v>
      </c>
      <c r="M280" s="39" t="s">
        <v>138</v>
      </c>
      <c r="N280" s="39" t="s">
        <v>148</v>
      </c>
      <c r="O280" s="43">
        <f t="shared" si="84"/>
        <v>142873.85</v>
      </c>
      <c r="P280" s="43">
        <f t="shared" si="85"/>
        <v>111441.60000000001</v>
      </c>
      <c r="Q280" s="43">
        <f t="shared" si="86"/>
        <v>137404.75</v>
      </c>
      <c r="R280" s="43">
        <f t="shared" si="87"/>
        <v>-25963.149999999994</v>
      </c>
      <c r="S280" s="44">
        <f t="shared" si="88"/>
        <v>-0.23297538800591513</v>
      </c>
      <c r="T280" s="39" t="str">
        <f t="shared" si="89"/>
        <v>Loss</v>
      </c>
      <c r="U280" s="39" t="str">
        <f t="shared" si="90"/>
        <v>20%+</v>
      </c>
      <c r="V280" s="39" t="str">
        <f>IF(E280&gt;=Analysis!$B$4,"High",IF(E280&gt;=Analysis!$B$5,"Mid","Low"))</f>
        <v>High</v>
      </c>
      <c r="W280" s="39" t="str">
        <f t="shared" si="91"/>
        <v>2023-06</v>
      </c>
      <c r="X280" s="40">
        <f t="shared" si="92"/>
        <v>45107</v>
      </c>
      <c r="Y280" s="39" t="str">
        <f t="shared" si="93"/>
        <v>2023-Q2</v>
      </c>
      <c r="Z280" s="39" t="str">
        <f t="shared" si="94"/>
        <v>Mon</v>
      </c>
      <c r="AA280" s="39">
        <f t="shared" si="95"/>
        <v>1</v>
      </c>
      <c r="AB280" s="39">
        <f t="shared" si="96"/>
        <v>27</v>
      </c>
      <c r="AC280" s="39" t="str">
        <f t="shared" si="97"/>
        <v>Weekday</v>
      </c>
      <c r="AD280" s="39">
        <f t="shared" ca="1" si="98"/>
        <v>1216</v>
      </c>
      <c r="AE280" s="39">
        <f t="shared" ca="1" si="99"/>
        <v>39</v>
      </c>
      <c r="AF280" s="39" t="str">
        <f t="shared" si="100"/>
        <v>EVE</v>
      </c>
      <c r="AG280" s="39" t="str">
        <f t="shared" si="101"/>
        <v>NO-230626-0279</v>
      </c>
      <c r="AH280" s="39">
        <f>IF(AND(OR(Filter!$B$4="All",D280=Filter!$B$4),OR(Filter!$B$5="All",M280=Filter!$B$5),E280&gt;=Filter!$B$6),MAX(AH$1:AH279)+1,"")</f>
        <v>31</v>
      </c>
      <c r="AI280" s="39">
        <f t="shared" si="102"/>
        <v>35</v>
      </c>
      <c r="AJ280" s="42">
        <f t="shared" si="103"/>
        <v>0.22</v>
      </c>
      <c r="AK280" s="41">
        <f t="shared" si="104"/>
        <v>4082.11</v>
      </c>
      <c r="AL280" s="39">
        <f>RANK(E280,$E$2:$E$1001,0)+COUNTIF($E$2:E280,E280)-1</f>
        <v>88</v>
      </c>
    </row>
    <row r="281" spans="1:38" x14ac:dyDescent="0.2">
      <c r="A281" s="39">
        <v>1050</v>
      </c>
      <c r="B281" s="40">
        <v>45074</v>
      </c>
      <c r="C281" s="39" t="s">
        <v>61</v>
      </c>
      <c r="D281" s="39" t="s">
        <v>64</v>
      </c>
      <c r="E281" s="41">
        <v>8086.27</v>
      </c>
      <c r="F281" s="39">
        <v>6</v>
      </c>
      <c r="G281" s="39" t="s">
        <v>75</v>
      </c>
      <c r="H281" s="41">
        <v>3763.26</v>
      </c>
      <c r="I281" s="41">
        <v>4102.72</v>
      </c>
      <c r="J281" s="39" t="s">
        <v>143</v>
      </c>
      <c r="K281" s="42">
        <v>0.11</v>
      </c>
      <c r="L281" s="39" t="s">
        <v>73</v>
      </c>
      <c r="M281" s="39" t="s">
        <v>140</v>
      </c>
      <c r="N281" s="39" t="s">
        <v>156</v>
      </c>
      <c r="O281" s="43">
        <f t="shared" si="84"/>
        <v>24616.32</v>
      </c>
      <c r="P281" s="43">
        <f t="shared" si="85"/>
        <v>21908.52</v>
      </c>
      <c r="Q281" s="43">
        <f t="shared" si="86"/>
        <v>22579.56</v>
      </c>
      <c r="R281" s="43">
        <f t="shared" si="87"/>
        <v>-671.04000000000087</v>
      </c>
      <c r="S281" s="44">
        <f t="shared" si="88"/>
        <v>-3.0629179880703985E-2</v>
      </c>
      <c r="T281" s="39" t="str">
        <f t="shared" si="89"/>
        <v>Loss</v>
      </c>
      <c r="U281" s="39" t="str">
        <f t="shared" si="90"/>
        <v>10-19%</v>
      </c>
      <c r="V281" s="39" t="str">
        <f>IF(E281&gt;=Analysis!$B$4,"High",IF(E281&gt;=Analysis!$B$5,"Mid","Low"))</f>
        <v>High</v>
      </c>
      <c r="W281" s="39" t="str">
        <f t="shared" si="91"/>
        <v>2023-05</v>
      </c>
      <c r="X281" s="40">
        <f t="shared" si="92"/>
        <v>45077</v>
      </c>
      <c r="Y281" s="39" t="str">
        <f t="shared" si="93"/>
        <v>2023-Q2</v>
      </c>
      <c r="Z281" s="39" t="str">
        <f t="shared" si="94"/>
        <v>Sun</v>
      </c>
      <c r="AA281" s="39">
        <f t="shared" si="95"/>
        <v>7</v>
      </c>
      <c r="AB281" s="39">
        <f t="shared" si="96"/>
        <v>22</v>
      </c>
      <c r="AC281" s="39" t="str">
        <f t="shared" si="97"/>
        <v>Weekend</v>
      </c>
      <c r="AD281" s="39">
        <f t="shared" ca="1" si="98"/>
        <v>1245</v>
      </c>
      <c r="AE281" s="39">
        <f t="shared" ca="1" si="99"/>
        <v>40</v>
      </c>
      <c r="AF281" s="39" t="str">
        <f t="shared" si="100"/>
        <v>ALI</v>
      </c>
      <c r="AG281" s="39" t="str">
        <f t="shared" si="101"/>
        <v>NR-230528-0280</v>
      </c>
      <c r="AH281" s="39" t="str">
        <f>IF(AND(OR(Filter!$B$4="All",D281=Filter!$B$4),OR(Filter!$B$5="All",M281=Filter!$B$5),E281&gt;=Filter!$B$6),MAX(AH$1:AH280)+1,"")</f>
        <v/>
      </c>
      <c r="AI281" s="39">
        <f t="shared" si="102"/>
        <v>6</v>
      </c>
      <c r="AJ281" s="42">
        <f t="shared" si="103"/>
        <v>0.11</v>
      </c>
      <c r="AK281" s="41">
        <f t="shared" si="104"/>
        <v>4102.72</v>
      </c>
      <c r="AL281" s="39">
        <f>RANK(E281,$E$2:$E$1001,0)+COUNTIF($E$2:E281,E281)-1</f>
        <v>182</v>
      </c>
    </row>
    <row r="282" spans="1:38" x14ac:dyDescent="0.2">
      <c r="A282" s="39">
        <v>1023</v>
      </c>
      <c r="B282" s="40">
        <v>45044</v>
      </c>
      <c r="C282" s="39" t="s">
        <v>71</v>
      </c>
      <c r="D282" s="39" t="s">
        <v>64</v>
      </c>
      <c r="E282" s="41">
        <v>9850.1</v>
      </c>
      <c r="F282" s="39">
        <v>5</v>
      </c>
      <c r="G282" s="39" t="s">
        <v>65</v>
      </c>
      <c r="H282" s="41">
        <v>2311.25</v>
      </c>
      <c r="I282" s="41">
        <v>2482.34</v>
      </c>
      <c r="J282" s="39" t="s">
        <v>137</v>
      </c>
      <c r="K282" s="42">
        <v>0.22</v>
      </c>
      <c r="L282" s="39" t="s">
        <v>73</v>
      </c>
      <c r="M282" s="39" t="s">
        <v>140</v>
      </c>
      <c r="N282" s="39" t="s">
        <v>160</v>
      </c>
      <c r="O282" s="43">
        <f t="shared" si="84"/>
        <v>12411.7</v>
      </c>
      <c r="P282" s="43">
        <f t="shared" si="85"/>
        <v>9681.1299999999992</v>
      </c>
      <c r="Q282" s="43">
        <f t="shared" si="86"/>
        <v>11556.25</v>
      </c>
      <c r="R282" s="43">
        <f t="shared" si="87"/>
        <v>-1875.1200000000008</v>
      </c>
      <c r="S282" s="44">
        <f t="shared" si="88"/>
        <v>-0.19368813351333997</v>
      </c>
      <c r="T282" s="39" t="str">
        <f t="shared" si="89"/>
        <v>Loss</v>
      </c>
      <c r="U282" s="39" t="str">
        <f t="shared" si="90"/>
        <v>20%+</v>
      </c>
      <c r="V282" s="39" t="str">
        <f>IF(E282&gt;=Analysis!$B$4,"High",IF(E282&gt;=Analysis!$B$5,"Mid","Low"))</f>
        <v>High</v>
      </c>
      <c r="W282" s="39" t="str">
        <f t="shared" si="91"/>
        <v>2023-04</v>
      </c>
      <c r="X282" s="40">
        <f t="shared" si="92"/>
        <v>45046</v>
      </c>
      <c r="Y282" s="39" t="str">
        <f t="shared" si="93"/>
        <v>2023-Q2</v>
      </c>
      <c r="Z282" s="39" t="str">
        <f t="shared" si="94"/>
        <v>Fri</v>
      </c>
      <c r="AA282" s="39">
        <f t="shared" si="95"/>
        <v>5</v>
      </c>
      <c r="AB282" s="39">
        <f t="shared" si="96"/>
        <v>18</v>
      </c>
      <c r="AC282" s="39" t="str">
        <f t="shared" si="97"/>
        <v>Weekday</v>
      </c>
      <c r="AD282" s="39">
        <f t="shared" ca="1" si="98"/>
        <v>1275</v>
      </c>
      <c r="AE282" s="39">
        <f t="shared" ca="1" si="99"/>
        <v>41</v>
      </c>
      <c r="AF282" s="39" t="str">
        <f t="shared" si="100"/>
        <v>CHA</v>
      </c>
      <c r="AG282" s="39" t="str">
        <f t="shared" si="101"/>
        <v>NR-230428-0281</v>
      </c>
      <c r="AH282" s="39">
        <f>IF(AND(OR(Filter!$B$4="All",D282=Filter!$B$4),OR(Filter!$B$5="All",M282=Filter!$B$5),E282&gt;=Filter!$B$6),MAX(AH$1:AH281)+1,"")</f>
        <v>32</v>
      </c>
      <c r="AI282" s="39">
        <f t="shared" si="102"/>
        <v>5</v>
      </c>
      <c r="AJ282" s="42">
        <f t="shared" si="103"/>
        <v>0.22</v>
      </c>
      <c r="AK282" s="41">
        <f t="shared" si="104"/>
        <v>2482.34</v>
      </c>
      <c r="AL282" s="39">
        <f>RANK(E282,$E$2:$E$1001,0)+COUNTIF($E$2:E282,E282)-1</f>
        <v>12</v>
      </c>
    </row>
    <row r="283" spans="1:38" x14ac:dyDescent="0.2">
      <c r="A283" s="39">
        <v>1031</v>
      </c>
      <c r="B283" s="40">
        <v>45268</v>
      </c>
      <c r="C283" s="39" t="s">
        <v>76</v>
      </c>
      <c r="D283" s="39" t="s">
        <v>64</v>
      </c>
      <c r="E283" s="41">
        <v>7567.06</v>
      </c>
      <c r="F283" s="39">
        <v>22</v>
      </c>
      <c r="G283" s="39" t="s">
        <v>70</v>
      </c>
      <c r="H283" s="41">
        <v>4236.05</v>
      </c>
      <c r="I283" s="41">
        <v>4382.32</v>
      </c>
      <c r="J283" s="39" t="s">
        <v>143</v>
      </c>
      <c r="K283" s="42">
        <v>0.2</v>
      </c>
      <c r="L283" s="39" t="s">
        <v>63</v>
      </c>
      <c r="M283" s="39" t="s">
        <v>138</v>
      </c>
      <c r="N283" s="39" t="s">
        <v>152</v>
      </c>
      <c r="O283" s="43">
        <f t="shared" si="84"/>
        <v>96411.04</v>
      </c>
      <c r="P283" s="43">
        <f t="shared" si="85"/>
        <v>77128.83</v>
      </c>
      <c r="Q283" s="43">
        <f t="shared" si="86"/>
        <v>93193.1</v>
      </c>
      <c r="R283" s="43">
        <f t="shared" si="87"/>
        <v>-16064.270000000004</v>
      </c>
      <c r="S283" s="44">
        <f t="shared" si="88"/>
        <v>-0.20827840899440589</v>
      </c>
      <c r="T283" s="39" t="str">
        <f t="shared" si="89"/>
        <v>Loss</v>
      </c>
      <c r="U283" s="39" t="str">
        <f t="shared" si="90"/>
        <v>20%+</v>
      </c>
      <c r="V283" s="39" t="str">
        <f>IF(E283&gt;=Analysis!$B$4,"High",IF(E283&gt;=Analysis!$B$5,"Mid","Low"))</f>
        <v>High</v>
      </c>
      <c r="W283" s="39" t="str">
        <f t="shared" si="91"/>
        <v>2023-12</v>
      </c>
      <c r="X283" s="40">
        <f t="shared" si="92"/>
        <v>45291</v>
      </c>
      <c r="Y283" s="39" t="str">
        <f t="shared" si="93"/>
        <v>2023-Q4</v>
      </c>
      <c r="Z283" s="39" t="str">
        <f t="shared" si="94"/>
        <v>Fri</v>
      </c>
      <c r="AA283" s="39">
        <f t="shared" si="95"/>
        <v>5</v>
      </c>
      <c r="AB283" s="39">
        <f t="shared" si="96"/>
        <v>50</v>
      </c>
      <c r="AC283" s="39" t="str">
        <f t="shared" si="97"/>
        <v>Weekday</v>
      </c>
      <c r="AD283" s="39">
        <f t="shared" ca="1" si="98"/>
        <v>1051</v>
      </c>
      <c r="AE283" s="39">
        <f t="shared" ca="1" si="99"/>
        <v>34</v>
      </c>
      <c r="AF283" s="39" t="str">
        <f t="shared" si="100"/>
        <v>DAV</v>
      </c>
      <c r="AG283" s="39" t="str">
        <f t="shared" si="101"/>
        <v>NO-231208-0282</v>
      </c>
      <c r="AH283" s="39" t="str">
        <f>IF(AND(OR(Filter!$B$4="All",D283=Filter!$B$4),OR(Filter!$B$5="All",M283=Filter!$B$5),E283&gt;=Filter!$B$6),MAX(AH$1:AH282)+1,"")</f>
        <v/>
      </c>
      <c r="AI283" s="39">
        <f t="shared" si="102"/>
        <v>22</v>
      </c>
      <c r="AJ283" s="42">
        <f t="shared" si="103"/>
        <v>0.2</v>
      </c>
      <c r="AK283" s="41">
        <f t="shared" si="104"/>
        <v>4382.32</v>
      </c>
      <c r="AL283" s="39">
        <f>RANK(E283,$E$2:$E$1001,0)+COUNTIF($E$2:E283,E283)-1</f>
        <v>244</v>
      </c>
    </row>
    <row r="284" spans="1:38" x14ac:dyDescent="0.2">
      <c r="A284" s="39">
        <v>1094</v>
      </c>
      <c r="B284" s="40">
        <v>44989</v>
      </c>
      <c r="C284" s="39" t="s">
        <v>66</v>
      </c>
      <c r="D284" s="39" t="s">
        <v>64</v>
      </c>
      <c r="E284" s="41">
        <v>3992.63</v>
      </c>
      <c r="F284" s="39">
        <v>49</v>
      </c>
      <c r="G284" s="39" t="s">
        <v>70</v>
      </c>
      <c r="H284" s="41">
        <v>615.47</v>
      </c>
      <c r="I284" s="41">
        <v>715.84</v>
      </c>
      <c r="J284" s="39" t="s">
        <v>137</v>
      </c>
      <c r="K284" s="42">
        <v>0.21</v>
      </c>
      <c r="L284" s="39" t="s">
        <v>73</v>
      </c>
      <c r="M284" s="39" t="s">
        <v>140</v>
      </c>
      <c r="N284" s="39" t="s">
        <v>139</v>
      </c>
      <c r="O284" s="43">
        <f t="shared" si="84"/>
        <v>35076.160000000003</v>
      </c>
      <c r="P284" s="43">
        <f t="shared" si="85"/>
        <v>27710.17</v>
      </c>
      <c r="Q284" s="43">
        <f t="shared" si="86"/>
        <v>30158.03</v>
      </c>
      <c r="R284" s="43">
        <f t="shared" si="87"/>
        <v>-2447.8600000000006</v>
      </c>
      <c r="S284" s="44">
        <f t="shared" si="88"/>
        <v>-8.8337964003829664E-2</v>
      </c>
      <c r="T284" s="39" t="str">
        <f t="shared" si="89"/>
        <v>Loss</v>
      </c>
      <c r="U284" s="39" t="str">
        <f t="shared" si="90"/>
        <v>20%+</v>
      </c>
      <c r="V284" s="39" t="str">
        <f>IF(E284&gt;=Analysis!$B$4,"High",IF(E284&gt;=Analysis!$B$5,"Mid","Low"))</f>
        <v>Mid</v>
      </c>
      <c r="W284" s="39" t="str">
        <f t="shared" si="91"/>
        <v>2023-03</v>
      </c>
      <c r="X284" s="40">
        <f t="shared" si="92"/>
        <v>45016</v>
      </c>
      <c r="Y284" s="39" t="str">
        <f t="shared" si="93"/>
        <v>2023-Q1</v>
      </c>
      <c r="Z284" s="39" t="str">
        <f t="shared" si="94"/>
        <v>Sat</v>
      </c>
      <c r="AA284" s="39">
        <f t="shared" si="95"/>
        <v>6</v>
      </c>
      <c r="AB284" s="39">
        <f t="shared" si="96"/>
        <v>10</v>
      </c>
      <c r="AC284" s="39" t="str">
        <f t="shared" si="97"/>
        <v>Weekend</v>
      </c>
      <c r="AD284" s="39">
        <f t="shared" ca="1" si="98"/>
        <v>1330</v>
      </c>
      <c r="AE284" s="39">
        <f t="shared" ca="1" si="99"/>
        <v>43</v>
      </c>
      <c r="AF284" s="39" t="str">
        <f t="shared" si="100"/>
        <v>BOB</v>
      </c>
      <c r="AG284" s="39" t="str">
        <f t="shared" si="101"/>
        <v>NR-230304-0283</v>
      </c>
      <c r="AH284" s="39" t="str">
        <f>IF(AND(OR(Filter!$B$4="All",D284=Filter!$B$4),OR(Filter!$B$5="All",M284=Filter!$B$5),E284&gt;=Filter!$B$6),MAX(AH$1:AH283)+1,"")</f>
        <v/>
      </c>
      <c r="AI284" s="39">
        <f t="shared" si="102"/>
        <v>49</v>
      </c>
      <c r="AJ284" s="42">
        <f t="shared" si="103"/>
        <v>0.21</v>
      </c>
      <c r="AK284" s="41">
        <f t="shared" si="104"/>
        <v>715.84</v>
      </c>
      <c r="AL284" s="39">
        <f>RANK(E284,$E$2:$E$1001,0)+COUNTIF($E$2:E284,E284)-1</f>
        <v>597</v>
      </c>
    </row>
    <row r="285" spans="1:38" x14ac:dyDescent="0.2">
      <c r="A285" s="39">
        <v>1042</v>
      </c>
      <c r="B285" s="40">
        <v>45115</v>
      </c>
      <c r="C285" s="39" t="s">
        <v>61</v>
      </c>
      <c r="D285" s="39" t="s">
        <v>59</v>
      </c>
      <c r="E285" s="41">
        <v>5947.31</v>
      </c>
      <c r="F285" s="39">
        <v>23</v>
      </c>
      <c r="G285" s="39" t="s">
        <v>65</v>
      </c>
      <c r="H285" s="41">
        <v>1314</v>
      </c>
      <c r="I285" s="41">
        <v>1567.78</v>
      </c>
      <c r="J285" s="39" t="s">
        <v>137</v>
      </c>
      <c r="K285" s="42">
        <v>0.15</v>
      </c>
      <c r="L285" s="39" t="s">
        <v>73</v>
      </c>
      <c r="M285" s="39" t="s">
        <v>140</v>
      </c>
      <c r="N285" s="39" t="s">
        <v>159</v>
      </c>
      <c r="O285" s="43">
        <f t="shared" si="84"/>
        <v>36058.94</v>
      </c>
      <c r="P285" s="43">
        <f t="shared" si="85"/>
        <v>30650.1</v>
      </c>
      <c r="Q285" s="43">
        <f t="shared" si="86"/>
        <v>30222</v>
      </c>
      <c r="R285" s="43">
        <f t="shared" si="87"/>
        <v>428.09999999999854</v>
      </c>
      <c r="S285" s="44">
        <f t="shared" si="88"/>
        <v>1.3967328002192442E-2</v>
      </c>
      <c r="T285" s="39" t="str">
        <f t="shared" si="89"/>
        <v>OK</v>
      </c>
      <c r="U285" s="39" t="str">
        <f t="shared" si="90"/>
        <v>10-19%</v>
      </c>
      <c r="V285" s="39" t="str">
        <f>IF(E285&gt;=Analysis!$B$4,"High",IF(E285&gt;=Analysis!$B$5,"Mid","Low"))</f>
        <v>Mid</v>
      </c>
      <c r="W285" s="39" t="str">
        <f t="shared" si="91"/>
        <v>2023-07</v>
      </c>
      <c r="X285" s="40">
        <f t="shared" si="92"/>
        <v>45138</v>
      </c>
      <c r="Y285" s="39" t="str">
        <f t="shared" si="93"/>
        <v>2023-Q3</v>
      </c>
      <c r="Z285" s="39" t="str">
        <f t="shared" si="94"/>
        <v>Sat</v>
      </c>
      <c r="AA285" s="39">
        <f t="shared" si="95"/>
        <v>6</v>
      </c>
      <c r="AB285" s="39">
        <f t="shared" si="96"/>
        <v>28</v>
      </c>
      <c r="AC285" s="39" t="str">
        <f t="shared" si="97"/>
        <v>Weekend</v>
      </c>
      <c r="AD285" s="39">
        <f t="shared" ca="1" si="98"/>
        <v>1204</v>
      </c>
      <c r="AE285" s="39">
        <f t="shared" ca="1" si="99"/>
        <v>39</v>
      </c>
      <c r="AF285" s="39" t="str">
        <f t="shared" si="100"/>
        <v>ALI</v>
      </c>
      <c r="AG285" s="39" t="str">
        <f t="shared" si="101"/>
        <v>ER-230708-0284</v>
      </c>
      <c r="AH285" s="39" t="str">
        <f>IF(AND(OR(Filter!$B$4="All",D285=Filter!$B$4),OR(Filter!$B$5="All",M285=Filter!$B$5),E285&gt;=Filter!$B$6),MAX(AH$1:AH284)+1,"")</f>
        <v/>
      </c>
      <c r="AI285" s="39">
        <f t="shared" si="102"/>
        <v>23</v>
      </c>
      <c r="AJ285" s="42">
        <f t="shared" si="103"/>
        <v>0.15</v>
      </c>
      <c r="AK285" s="41">
        <f t="shared" si="104"/>
        <v>1567.78</v>
      </c>
      <c r="AL285" s="39">
        <f>RANK(E285,$E$2:$E$1001,0)+COUNTIF($E$2:E285,E285)-1</f>
        <v>413</v>
      </c>
    </row>
    <row r="286" spans="1:38" x14ac:dyDescent="0.2">
      <c r="A286" s="39">
        <v>1099</v>
      </c>
      <c r="B286" s="40">
        <v>45286</v>
      </c>
      <c r="C286" s="39" t="s">
        <v>79</v>
      </c>
      <c r="D286" s="39" t="s">
        <v>74</v>
      </c>
      <c r="E286" s="41">
        <v>6644.04</v>
      </c>
      <c r="F286" s="39">
        <v>25</v>
      </c>
      <c r="G286" s="39" t="s">
        <v>65</v>
      </c>
      <c r="H286" s="41">
        <v>4148.4799999999996</v>
      </c>
      <c r="I286" s="41">
        <v>4293.6899999999996</v>
      </c>
      <c r="J286" s="39" t="s">
        <v>143</v>
      </c>
      <c r="K286" s="42">
        <v>0.11</v>
      </c>
      <c r="L286" s="39" t="s">
        <v>63</v>
      </c>
      <c r="M286" s="39" t="s">
        <v>138</v>
      </c>
      <c r="N286" s="39" t="s">
        <v>149</v>
      </c>
      <c r="O286" s="43">
        <f t="shared" si="84"/>
        <v>107342.25</v>
      </c>
      <c r="P286" s="43">
        <f t="shared" si="85"/>
        <v>95534.6</v>
      </c>
      <c r="Q286" s="43">
        <f t="shared" si="86"/>
        <v>103712</v>
      </c>
      <c r="R286" s="43">
        <f t="shared" si="87"/>
        <v>-8177.3999999999942</v>
      </c>
      <c r="S286" s="44">
        <f t="shared" si="88"/>
        <v>-8.5596213309104704E-2</v>
      </c>
      <c r="T286" s="39" t="str">
        <f t="shared" si="89"/>
        <v>Loss</v>
      </c>
      <c r="U286" s="39" t="str">
        <f t="shared" si="90"/>
        <v>10-19%</v>
      </c>
      <c r="V286" s="39" t="str">
        <f>IF(E286&gt;=Analysis!$B$4,"High",IF(E286&gt;=Analysis!$B$5,"Mid","Low"))</f>
        <v>Mid</v>
      </c>
      <c r="W286" s="39" t="str">
        <f t="shared" si="91"/>
        <v>2023-12</v>
      </c>
      <c r="X286" s="40">
        <f t="shared" si="92"/>
        <v>45291</v>
      </c>
      <c r="Y286" s="39" t="str">
        <f t="shared" si="93"/>
        <v>2023-Q4</v>
      </c>
      <c r="Z286" s="39" t="str">
        <f t="shared" si="94"/>
        <v>Tue</v>
      </c>
      <c r="AA286" s="39">
        <f t="shared" si="95"/>
        <v>2</v>
      </c>
      <c r="AB286" s="39">
        <f t="shared" si="96"/>
        <v>53</v>
      </c>
      <c r="AC286" s="39" t="str">
        <f t="shared" si="97"/>
        <v>Weekday</v>
      </c>
      <c r="AD286" s="39">
        <f t="shared" ca="1" si="98"/>
        <v>1033</v>
      </c>
      <c r="AE286" s="39">
        <f t="shared" ca="1" si="99"/>
        <v>33</v>
      </c>
      <c r="AF286" s="39" t="str">
        <f t="shared" si="100"/>
        <v>EVE</v>
      </c>
      <c r="AG286" s="39" t="str">
        <f t="shared" si="101"/>
        <v>WO-231226-0285</v>
      </c>
      <c r="AH286" s="39" t="str">
        <f>IF(AND(OR(Filter!$B$4="All",D286=Filter!$B$4),OR(Filter!$B$5="All",M286=Filter!$B$5),E286&gt;=Filter!$B$6),MAX(AH$1:AH285)+1,"")</f>
        <v/>
      </c>
      <c r="AI286" s="39">
        <f t="shared" si="102"/>
        <v>25</v>
      </c>
      <c r="AJ286" s="42">
        <f t="shared" si="103"/>
        <v>0.11</v>
      </c>
      <c r="AK286" s="41">
        <f t="shared" si="104"/>
        <v>4293.6899999999996</v>
      </c>
      <c r="AL286" s="39">
        <f>RANK(E286,$E$2:$E$1001,0)+COUNTIF($E$2:E286,E286)-1</f>
        <v>344</v>
      </c>
    </row>
    <row r="287" spans="1:38" x14ac:dyDescent="0.2">
      <c r="A287" s="39">
        <v>1007</v>
      </c>
      <c r="B287" s="40">
        <v>44975</v>
      </c>
      <c r="C287" s="39" t="s">
        <v>61</v>
      </c>
      <c r="D287" s="39" t="s">
        <v>69</v>
      </c>
      <c r="E287" s="41">
        <v>876.71</v>
      </c>
      <c r="F287" s="39">
        <v>34</v>
      </c>
      <c r="G287" s="39" t="s">
        <v>60</v>
      </c>
      <c r="H287" s="41">
        <v>1921.07</v>
      </c>
      <c r="I287" s="41">
        <v>2289.27</v>
      </c>
      <c r="J287" s="39" t="s">
        <v>137</v>
      </c>
      <c r="K287" s="42">
        <v>7.0000000000000007E-2</v>
      </c>
      <c r="L287" s="39" t="s">
        <v>63</v>
      </c>
      <c r="M287" s="39" t="s">
        <v>140</v>
      </c>
      <c r="N287" s="39" t="s">
        <v>150</v>
      </c>
      <c r="O287" s="43">
        <f t="shared" si="84"/>
        <v>77835.179999999993</v>
      </c>
      <c r="P287" s="43">
        <f t="shared" si="85"/>
        <v>72386.720000000001</v>
      </c>
      <c r="Q287" s="43">
        <f t="shared" si="86"/>
        <v>65316.38</v>
      </c>
      <c r="R287" s="43">
        <f t="shared" si="87"/>
        <v>7070.3400000000038</v>
      </c>
      <c r="S287" s="44">
        <f t="shared" si="88"/>
        <v>9.7674545828295628E-2</v>
      </c>
      <c r="T287" s="39" t="str">
        <f t="shared" si="89"/>
        <v>OK</v>
      </c>
      <c r="U287" s="39" t="str">
        <f t="shared" si="90"/>
        <v>0-9%</v>
      </c>
      <c r="V287" s="39" t="str">
        <f>IF(E287&gt;=Analysis!$B$4,"High",IF(E287&gt;=Analysis!$B$5,"Mid","Low"))</f>
        <v>Low</v>
      </c>
      <c r="W287" s="39" t="str">
        <f t="shared" si="91"/>
        <v>2023-02</v>
      </c>
      <c r="X287" s="40">
        <f t="shared" si="92"/>
        <v>44985</v>
      </c>
      <c r="Y287" s="39" t="str">
        <f t="shared" si="93"/>
        <v>2023-Q1</v>
      </c>
      <c r="Z287" s="39" t="str">
        <f t="shared" si="94"/>
        <v>Sat</v>
      </c>
      <c r="AA287" s="39">
        <f t="shared" si="95"/>
        <v>6</v>
      </c>
      <c r="AB287" s="39">
        <f t="shared" si="96"/>
        <v>8</v>
      </c>
      <c r="AC287" s="39" t="str">
        <f t="shared" si="97"/>
        <v>Weekend</v>
      </c>
      <c r="AD287" s="39">
        <f t="shared" ca="1" si="98"/>
        <v>1344</v>
      </c>
      <c r="AE287" s="39">
        <f t="shared" ca="1" si="99"/>
        <v>44</v>
      </c>
      <c r="AF287" s="39" t="str">
        <f t="shared" si="100"/>
        <v>ALI</v>
      </c>
      <c r="AG287" s="39" t="str">
        <f t="shared" si="101"/>
        <v>SR-230218-0286</v>
      </c>
      <c r="AH287" s="39" t="str">
        <f>IF(AND(OR(Filter!$B$4="All",D287=Filter!$B$4),OR(Filter!$B$5="All",M287=Filter!$B$5),E287&gt;=Filter!$B$6),MAX(AH$1:AH286)+1,"")</f>
        <v/>
      </c>
      <c r="AI287" s="39">
        <f t="shared" si="102"/>
        <v>34</v>
      </c>
      <c r="AJ287" s="42">
        <f t="shared" si="103"/>
        <v>7.0000000000000007E-2</v>
      </c>
      <c r="AK287" s="41">
        <f t="shared" si="104"/>
        <v>2289.27</v>
      </c>
      <c r="AL287" s="39">
        <f>RANK(E287,$E$2:$E$1001,0)+COUNTIF($E$2:E287,E287)-1</f>
        <v>913</v>
      </c>
    </row>
    <row r="288" spans="1:38" x14ac:dyDescent="0.2">
      <c r="A288" s="39">
        <v>1016</v>
      </c>
      <c r="B288" s="40">
        <v>45253</v>
      </c>
      <c r="C288" s="39" t="s">
        <v>79</v>
      </c>
      <c r="D288" s="39" t="s">
        <v>59</v>
      </c>
      <c r="E288" s="41">
        <v>5490.52</v>
      </c>
      <c r="F288" s="39">
        <v>26</v>
      </c>
      <c r="G288" s="39" t="s">
        <v>60</v>
      </c>
      <c r="H288" s="41">
        <v>4906.8500000000004</v>
      </c>
      <c r="I288" s="41">
        <v>4954.3900000000003</v>
      </c>
      <c r="J288" s="39" t="s">
        <v>143</v>
      </c>
      <c r="K288" s="42">
        <v>0.25</v>
      </c>
      <c r="L288" s="39" t="s">
        <v>63</v>
      </c>
      <c r="M288" s="39" t="s">
        <v>138</v>
      </c>
      <c r="N288" s="39" t="s">
        <v>155</v>
      </c>
      <c r="O288" s="43">
        <f t="shared" si="84"/>
        <v>128814.14</v>
      </c>
      <c r="P288" s="43">
        <f t="shared" si="85"/>
        <v>96610.61</v>
      </c>
      <c r="Q288" s="43">
        <f t="shared" si="86"/>
        <v>127578.1</v>
      </c>
      <c r="R288" s="43">
        <f t="shared" si="87"/>
        <v>-30967.490000000005</v>
      </c>
      <c r="S288" s="44">
        <f t="shared" si="88"/>
        <v>-0.3205392244185189</v>
      </c>
      <c r="T288" s="39" t="str">
        <f t="shared" si="89"/>
        <v>Loss</v>
      </c>
      <c r="U288" s="39" t="str">
        <f t="shared" si="90"/>
        <v>20%+</v>
      </c>
      <c r="V288" s="39" t="str">
        <f>IF(E288&gt;=Analysis!$B$4,"High",IF(E288&gt;=Analysis!$B$5,"Mid","Low"))</f>
        <v>Mid</v>
      </c>
      <c r="W288" s="39" t="str">
        <f t="shared" si="91"/>
        <v>2023-11</v>
      </c>
      <c r="X288" s="40">
        <f t="shared" si="92"/>
        <v>45260</v>
      </c>
      <c r="Y288" s="39" t="str">
        <f t="shared" si="93"/>
        <v>2023-Q4</v>
      </c>
      <c r="Z288" s="39" t="str">
        <f t="shared" si="94"/>
        <v>Thu</v>
      </c>
      <c r="AA288" s="39">
        <f t="shared" si="95"/>
        <v>4</v>
      </c>
      <c r="AB288" s="39">
        <f t="shared" si="96"/>
        <v>48</v>
      </c>
      <c r="AC288" s="39" t="str">
        <f t="shared" si="97"/>
        <v>Weekday</v>
      </c>
      <c r="AD288" s="39">
        <f t="shared" ca="1" si="98"/>
        <v>1066</v>
      </c>
      <c r="AE288" s="39">
        <f t="shared" ca="1" si="99"/>
        <v>35</v>
      </c>
      <c r="AF288" s="39" t="str">
        <f t="shared" si="100"/>
        <v>EVE</v>
      </c>
      <c r="AG288" s="39" t="str">
        <f t="shared" si="101"/>
        <v>EO-231123-0287</v>
      </c>
      <c r="AH288" s="39" t="str">
        <f>IF(AND(OR(Filter!$B$4="All",D288=Filter!$B$4),OR(Filter!$B$5="All",M288=Filter!$B$5),E288&gt;=Filter!$B$6),MAX(AH$1:AH287)+1,"")</f>
        <v/>
      </c>
      <c r="AI288" s="39">
        <f t="shared" si="102"/>
        <v>26</v>
      </c>
      <c r="AJ288" s="42">
        <f t="shared" si="103"/>
        <v>0.25</v>
      </c>
      <c r="AK288" s="41">
        <f t="shared" si="104"/>
        <v>4954.3900000000003</v>
      </c>
      <c r="AL288" s="39">
        <f>RANK(E288,$E$2:$E$1001,0)+COUNTIF($E$2:E288,E288)-1</f>
        <v>456</v>
      </c>
    </row>
    <row r="289" spans="1:38" x14ac:dyDescent="0.2">
      <c r="A289" s="39">
        <v>1090</v>
      </c>
      <c r="B289" s="40">
        <v>45183</v>
      </c>
      <c r="C289" s="39" t="s">
        <v>71</v>
      </c>
      <c r="D289" s="39" t="s">
        <v>74</v>
      </c>
      <c r="E289" s="41">
        <v>7122.28</v>
      </c>
      <c r="F289" s="39">
        <v>47</v>
      </c>
      <c r="G289" s="39" t="s">
        <v>60</v>
      </c>
      <c r="H289" s="41">
        <v>2357.9499999999998</v>
      </c>
      <c r="I289" s="41">
        <v>2693.33</v>
      </c>
      <c r="J289" s="39" t="s">
        <v>143</v>
      </c>
      <c r="K289" s="42">
        <v>0.18</v>
      </c>
      <c r="L289" s="39" t="s">
        <v>63</v>
      </c>
      <c r="M289" s="39" t="s">
        <v>138</v>
      </c>
      <c r="N289" s="39" t="s">
        <v>146</v>
      </c>
      <c r="O289" s="43">
        <f t="shared" si="84"/>
        <v>126586.51</v>
      </c>
      <c r="P289" s="43">
        <f t="shared" si="85"/>
        <v>103800.94</v>
      </c>
      <c r="Q289" s="43">
        <f t="shared" si="86"/>
        <v>110823.65</v>
      </c>
      <c r="R289" s="43">
        <f t="shared" si="87"/>
        <v>-7022.7099999999919</v>
      </c>
      <c r="S289" s="44">
        <f t="shared" si="88"/>
        <v>-6.7655553022930151E-2</v>
      </c>
      <c r="T289" s="39" t="str">
        <f t="shared" si="89"/>
        <v>Loss</v>
      </c>
      <c r="U289" s="39" t="str">
        <f t="shared" si="90"/>
        <v>10-19%</v>
      </c>
      <c r="V289" s="39" t="str">
        <f>IF(E289&gt;=Analysis!$B$4,"High",IF(E289&gt;=Analysis!$B$5,"Mid","Low"))</f>
        <v>Mid</v>
      </c>
      <c r="W289" s="39" t="str">
        <f t="shared" si="91"/>
        <v>2023-09</v>
      </c>
      <c r="X289" s="40">
        <f t="shared" si="92"/>
        <v>45199</v>
      </c>
      <c r="Y289" s="39" t="str">
        <f t="shared" si="93"/>
        <v>2023-Q3</v>
      </c>
      <c r="Z289" s="39" t="str">
        <f t="shared" si="94"/>
        <v>Thu</v>
      </c>
      <c r="AA289" s="39">
        <f t="shared" si="95"/>
        <v>4</v>
      </c>
      <c r="AB289" s="39">
        <f t="shared" si="96"/>
        <v>38</v>
      </c>
      <c r="AC289" s="39" t="str">
        <f t="shared" si="97"/>
        <v>Weekday</v>
      </c>
      <c r="AD289" s="39">
        <f t="shared" ca="1" si="98"/>
        <v>1136</v>
      </c>
      <c r="AE289" s="39">
        <f t="shared" ca="1" si="99"/>
        <v>37</v>
      </c>
      <c r="AF289" s="39" t="str">
        <f t="shared" si="100"/>
        <v>CHA</v>
      </c>
      <c r="AG289" s="39" t="str">
        <f t="shared" si="101"/>
        <v>WO-230914-0288</v>
      </c>
      <c r="AH289" s="39" t="str">
        <f>IF(AND(OR(Filter!$B$4="All",D289=Filter!$B$4),OR(Filter!$B$5="All",M289=Filter!$B$5),E289&gt;=Filter!$B$6),MAX(AH$1:AH288)+1,"")</f>
        <v/>
      </c>
      <c r="AI289" s="39">
        <f t="shared" si="102"/>
        <v>47</v>
      </c>
      <c r="AJ289" s="42">
        <f t="shared" si="103"/>
        <v>0.18</v>
      </c>
      <c r="AK289" s="41">
        <f t="shared" si="104"/>
        <v>2693.33</v>
      </c>
      <c r="AL289" s="39">
        <f>RANK(E289,$E$2:$E$1001,0)+COUNTIF($E$2:E289,E289)-1</f>
        <v>286</v>
      </c>
    </row>
    <row r="290" spans="1:38" x14ac:dyDescent="0.2">
      <c r="A290" s="39">
        <v>1060</v>
      </c>
      <c r="B290" s="40">
        <v>45150</v>
      </c>
      <c r="C290" s="39" t="s">
        <v>76</v>
      </c>
      <c r="D290" s="39" t="s">
        <v>64</v>
      </c>
      <c r="E290" s="41">
        <v>1756.48</v>
      </c>
      <c r="F290" s="39">
        <v>5</v>
      </c>
      <c r="G290" s="39" t="s">
        <v>75</v>
      </c>
      <c r="H290" s="41">
        <v>3970.08</v>
      </c>
      <c r="I290" s="41">
        <v>4096.4799999999996</v>
      </c>
      <c r="J290" s="39" t="s">
        <v>137</v>
      </c>
      <c r="K290" s="42">
        <v>0.13</v>
      </c>
      <c r="L290" s="39" t="s">
        <v>68</v>
      </c>
      <c r="M290" s="39" t="s">
        <v>140</v>
      </c>
      <c r="N290" s="39" t="s">
        <v>152</v>
      </c>
      <c r="O290" s="43">
        <f t="shared" si="84"/>
        <v>20482.400000000001</v>
      </c>
      <c r="P290" s="43">
        <f t="shared" si="85"/>
        <v>17819.689999999999</v>
      </c>
      <c r="Q290" s="43">
        <f t="shared" si="86"/>
        <v>19850.400000000001</v>
      </c>
      <c r="R290" s="43">
        <f t="shared" si="87"/>
        <v>-2030.7100000000028</v>
      </c>
      <c r="S290" s="44">
        <f t="shared" si="88"/>
        <v>-0.11395877257124018</v>
      </c>
      <c r="T290" s="39" t="str">
        <f t="shared" si="89"/>
        <v>Loss</v>
      </c>
      <c r="U290" s="39" t="str">
        <f t="shared" si="90"/>
        <v>10-19%</v>
      </c>
      <c r="V290" s="39" t="str">
        <f>IF(E290&gt;=Analysis!$B$4,"High",IF(E290&gt;=Analysis!$B$5,"Mid","Low"))</f>
        <v>Low</v>
      </c>
      <c r="W290" s="39" t="str">
        <f t="shared" si="91"/>
        <v>2023-08</v>
      </c>
      <c r="X290" s="40">
        <f t="shared" si="92"/>
        <v>45169</v>
      </c>
      <c r="Y290" s="39" t="str">
        <f t="shared" si="93"/>
        <v>2023-Q3</v>
      </c>
      <c r="Z290" s="39" t="str">
        <f t="shared" si="94"/>
        <v>Sat</v>
      </c>
      <c r="AA290" s="39">
        <f t="shared" si="95"/>
        <v>6</v>
      </c>
      <c r="AB290" s="39">
        <f t="shared" si="96"/>
        <v>33</v>
      </c>
      <c r="AC290" s="39" t="str">
        <f t="shared" si="97"/>
        <v>Weekend</v>
      </c>
      <c r="AD290" s="39">
        <f t="shared" ca="1" si="98"/>
        <v>1169</v>
      </c>
      <c r="AE290" s="39">
        <f t="shared" ca="1" si="99"/>
        <v>38</v>
      </c>
      <c r="AF290" s="39" t="str">
        <f t="shared" si="100"/>
        <v>DAV</v>
      </c>
      <c r="AG290" s="39" t="str">
        <f t="shared" si="101"/>
        <v>NR-230812-0289</v>
      </c>
      <c r="AH290" s="39" t="str">
        <f>IF(AND(OR(Filter!$B$4="All",D290=Filter!$B$4),OR(Filter!$B$5="All",M290=Filter!$B$5),E290&gt;=Filter!$B$6),MAX(AH$1:AH289)+1,"")</f>
        <v/>
      </c>
      <c r="AI290" s="39">
        <f t="shared" si="102"/>
        <v>5</v>
      </c>
      <c r="AJ290" s="42">
        <f t="shared" si="103"/>
        <v>0.13</v>
      </c>
      <c r="AK290" s="41">
        <f t="shared" si="104"/>
        <v>4096.4799999999996</v>
      </c>
      <c r="AL290" s="39">
        <f>RANK(E290,$E$2:$E$1001,0)+COUNTIF($E$2:E290,E290)-1</f>
        <v>842</v>
      </c>
    </row>
    <row r="291" spans="1:38" x14ac:dyDescent="0.2">
      <c r="A291" s="39">
        <v>1002</v>
      </c>
      <c r="B291" s="40">
        <v>45067</v>
      </c>
      <c r="C291" s="39" t="s">
        <v>71</v>
      </c>
      <c r="D291" s="39" t="s">
        <v>74</v>
      </c>
      <c r="E291" s="41">
        <v>7828.25</v>
      </c>
      <c r="F291" s="39">
        <v>26</v>
      </c>
      <c r="G291" s="39" t="s">
        <v>60</v>
      </c>
      <c r="H291" s="41">
        <v>2041.42</v>
      </c>
      <c r="I291" s="41">
        <v>2291.17</v>
      </c>
      <c r="J291" s="39" t="s">
        <v>137</v>
      </c>
      <c r="K291" s="42">
        <v>0.28000000000000003</v>
      </c>
      <c r="L291" s="39" t="s">
        <v>68</v>
      </c>
      <c r="M291" s="39" t="s">
        <v>138</v>
      </c>
      <c r="N291" s="39" t="s">
        <v>146</v>
      </c>
      <c r="O291" s="43">
        <f t="shared" si="84"/>
        <v>59570.42</v>
      </c>
      <c r="P291" s="43">
        <f t="shared" si="85"/>
        <v>42890.7</v>
      </c>
      <c r="Q291" s="43">
        <f t="shared" si="86"/>
        <v>53076.92</v>
      </c>
      <c r="R291" s="43">
        <f t="shared" si="87"/>
        <v>-10186.220000000001</v>
      </c>
      <c r="S291" s="44">
        <f t="shared" si="88"/>
        <v>-0.23749251003131219</v>
      </c>
      <c r="T291" s="39" t="str">
        <f t="shared" si="89"/>
        <v>Loss</v>
      </c>
      <c r="U291" s="39" t="str">
        <f t="shared" si="90"/>
        <v>20%+</v>
      </c>
      <c r="V291" s="39" t="str">
        <f>IF(E291&gt;=Analysis!$B$4,"High",IF(E291&gt;=Analysis!$B$5,"Mid","Low"))</f>
        <v>High</v>
      </c>
      <c r="W291" s="39" t="str">
        <f t="shared" si="91"/>
        <v>2023-05</v>
      </c>
      <c r="X291" s="40">
        <f t="shared" si="92"/>
        <v>45077</v>
      </c>
      <c r="Y291" s="39" t="str">
        <f t="shared" si="93"/>
        <v>2023-Q2</v>
      </c>
      <c r="Z291" s="39" t="str">
        <f t="shared" si="94"/>
        <v>Sun</v>
      </c>
      <c r="AA291" s="39">
        <f t="shared" si="95"/>
        <v>7</v>
      </c>
      <c r="AB291" s="39">
        <f t="shared" si="96"/>
        <v>21</v>
      </c>
      <c r="AC291" s="39" t="str">
        <f t="shared" si="97"/>
        <v>Weekend</v>
      </c>
      <c r="AD291" s="39">
        <f t="shared" ca="1" si="98"/>
        <v>1252</v>
      </c>
      <c r="AE291" s="39">
        <f t="shared" ca="1" si="99"/>
        <v>41</v>
      </c>
      <c r="AF291" s="39" t="str">
        <f t="shared" si="100"/>
        <v>CHA</v>
      </c>
      <c r="AG291" s="39" t="str">
        <f t="shared" si="101"/>
        <v>WO-230521-0290</v>
      </c>
      <c r="AH291" s="39" t="str">
        <f>IF(AND(OR(Filter!$B$4="All",D291=Filter!$B$4),OR(Filter!$B$5="All",M291=Filter!$B$5),E291&gt;=Filter!$B$6),MAX(AH$1:AH290)+1,"")</f>
        <v/>
      </c>
      <c r="AI291" s="39">
        <f t="shared" si="102"/>
        <v>26</v>
      </c>
      <c r="AJ291" s="42">
        <f t="shared" si="103"/>
        <v>0.28000000000000003</v>
      </c>
      <c r="AK291" s="41">
        <f t="shared" si="104"/>
        <v>2291.17</v>
      </c>
      <c r="AL291" s="39">
        <f>RANK(E291,$E$2:$E$1001,0)+COUNTIF($E$2:E291,E291)-1</f>
        <v>214</v>
      </c>
    </row>
    <row r="292" spans="1:38" x14ac:dyDescent="0.2">
      <c r="A292" s="39">
        <v>1001</v>
      </c>
      <c r="B292" s="40">
        <v>45141</v>
      </c>
      <c r="C292" s="39" t="s">
        <v>66</v>
      </c>
      <c r="D292" s="39" t="s">
        <v>74</v>
      </c>
      <c r="E292" s="41">
        <v>5879.35</v>
      </c>
      <c r="F292" s="39">
        <v>20</v>
      </c>
      <c r="G292" s="39" t="s">
        <v>70</v>
      </c>
      <c r="H292" s="41">
        <v>2153.52</v>
      </c>
      <c r="I292" s="41">
        <v>2303.6999999999998</v>
      </c>
      <c r="J292" s="39" t="s">
        <v>137</v>
      </c>
      <c r="K292" s="42">
        <v>0.01</v>
      </c>
      <c r="L292" s="39" t="s">
        <v>68</v>
      </c>
      <c r="M292" s="39" t="s">
        <v>140</v>
      </c>
      <c r="N292" s="39" t="s">
        <v>141</v>
      </c>
      <c r="O292" s="43">
        <f t="shared" si="84"/>
        <v>46074</v>
      </c>
      <c r="P292" s="43">
        <f t="shared" si="85"/>
        <v>45613.26</v>
      </c>
      <c r="Q292" s="43">
        <f t="shared" si="86"/>
        <v>43070.400000000001</v>
      </c>
      <c r="R292" s="43">
        <f t="shared" si="87"/>
        <v>2542.8600000000006</v>
      </c>
      <c r="S292" s="44">
        <f t="shared" si="88"/>
        <v>5.5748262676248099E-2</v>
      </c>
      <c r="T292" s="39" t="str">
        <f t="shared" si="89"/>
        <v>OK</v>
      </c>
      <c r="U292" s="39" t="str">
        <f t="shared" si="90"/>
        <v>0-9%</v>
      </c>
      <c r="V292" s="39" t="str">
        <f>IF(E292&gt;=Analysis!$B$4,"High",IF(E292&gt;=Analysis!$B$5,"Mid","Low"))</f>
        <v>Mid</v>
      </c>
      <c r="W292" s="39" t="str">
        <f t="shared" si="91"/>
        <v>2023-08</v>
      </c>
      <c r="X292" s="40">
        <f t="shared" si="92"/>
        <v>45169</v>
      </c>
      <c r="Y292" s="39" t="str">
        <f t="shared" si="93"/>
        <v>2023-Q3</v>
      </c>
      <c r="Z292" s="39" t="str">
        <f t="shared" si="94"/>
        <v>Thu</v>
      </c>
      <c r="AA292" s="39">
        <f t="shared" si="95"/>
        <v>4</v>
      </c>
      <c r="AB292" s="39">
        <f t="shared" si="96"/>
        <v>32</v>
      </c>
      <c r="AC292" s="39" t="str">
        <f t="shared" si="97"/>
        <v>Weekday</v>
      </c>
      <c r="AD292" s="39">
        <f t="shared" ca="1" si="98"/>
        <v>1178</v>
      </c>
      <c r="AE292" s="39">
        <f t="shared" ca="1" si="99"/>
        <v>38</v>
      </c>
      <c r="AF292" s="39" t="str">
        <f t="shared" si="100"/>
        <v>BOB</v>
      </c>
      <c r="AG292" s="39" t="str">
        <f t="shared" si="101"/>
        <v>WR-230803-0291</v>
      </c>
      <c r="AH292" s="39" t="str">
        <f>IF(AND(OR(Filter!$B$4="All",D292=Filter!$B$4),OR(Filter!$B$5="All",M292=Filter!$B$5),E292&gt;=Filter!$B$6),MAX(AH$1:AH291)+1,"")</f>
        <v/>
      </c>
      <c r="AI292" s="39">
        <f t="shared" si="102"/>
        <v>20</v>
      </c>
      <c r="AJ292" s="42">
        <f t="shared" si="103"/>
        <v>0.01</v>
      </c>
      <c r="AK292" s="41">
        <f t="shared" si="104"/>
        <v>2303.6999999999998</v>
      </c>
      <c r="AL292" s="39">
        <f>RANK(E292,$E$2:$E$1001,0)+COUNTIF($E$2:E292,E292)-1</f>
        <v>418</v>
      </c>
    </row>
    <row r="293" spans="1:38" x14ac:dyDescent="0.2">
      <c r="A293" s="39">
        <v>1048</v>
      </c>
      <c r="B293" s="40">
        <v>45137</v>
      </c>
      <c r="C293" s="39" t="s">
        <v>61</v>
      </c>
      <c r="D293" s="39" t="s">
        <v>64</v>
      </c>
      <c r="E293" s="41">
        <v>9527</v>
      </c>
      <c r="F293" s="39">
        <v>6</v>
      </c>
      <c r="G293" s="39" t="s">
        <v>75</v>
      </c>
      <c r="H293" s="41">
        <v>1945.27</v>
      </c>
      <c r="I293" s="41">
        <v>2309.4299999999998</v>
      </c>
      <c r="J293" s="39" t="s">
        <v>143</v>
      </c>
      <c r="K293" s="42">
        <v>0.26</v>
      </c>
      <c r="L293" s="39" t="s">
        <v>73</v>
      </c>
      <c r="M293" s="39" t="s">
        <v>138</v>
      </c>
      <c r="N293" s="39" t="s">
        <v>156</v>
      </c>
      <c r="O293" s="43">
        <f t="shared" si="84"/>
        <v>13856.58</v>
      </c>
      <c r="P293" s="43">
        <f t="shared" si="85"/>
        <v>10253.870000000001</v>
      </c>
      <c r="Q293" s="43">
        <f t="shared" si="86"/>
        <v>11671.62</v>
      </c>
      <c r="R293" s="43">
        <f t="shared" si="87"/>
        <v>-1417.75</v>
      </c>
      <c r="S293" s="44">
        <f t="shared" si="88"/>
        <v>-0.13826486975161573</v>
      </c>
      <c r="T293" s="39" t="str">
        <f t="shared" si="89"/>
        <v>Loss</v>
      </c>
      <c r="U293" s="39" t="str">
        <f t="shared" si="90"/>
        <v>20%+</v>
      </c>
      <c r="V293" s="39" t="str">
        <f>IF(E293&gt;=Analysis!$B$4,"High",IF(E293&gt;=Analysis!$B$5,"Mid","Low"))</f>
        <v>High</v>
      </c>
      <c r="W293" s="39" t="str">
        <f t="shared" si="91"/>
        <v>2023-07</v>
      </c>
      <c r="X293" s="40">
        <f t="shared" si="92"/>
        <v>45138</v>
      </c>
      <c r="Y293" s="39" t="str">
        <f t="shared" si="93"/>
        <v>2023-Q3</v>
      </c>
      <c r="Z293" s="39" t="str">
        <f t="shared" si="94"/>
        <v>Sun</v>
      </c>
      <c r="AA293" s="39">
        <f t="shared" si="95"/>
        <v>7</v>
      </c>
      <c r="AB293" s="39">
        <f t="shared" si="96"/>
        <v>31</v>
      </c>
      <c r="AC293" s="39" t="str">
        <f t="shared" si="97"/>
        <v>Weekend</v>
      </c>
      <c r="AD293" s="39">
        <f t="shared" ca="1" si="98"/>
        <v>1182</v>
      </c>
      <c r="AE293" s="39">
        <f t="shared" ca="1" si="99"/>
        <v>38</v>
      </c>
      <c r="AF293" s="39" t="str">
        <f t="shared" si="100"/>
        <v>ALI</v>
      </c>
      <c r="AG293" s="39" t="str">
        <f t="shared" si="101"/>
        <v>NO-230730-0292</v>
      </c>
      <c r="AH293" s="39">
        <f>IF(AND(OR(Filter!$B$4="All",D293=Filter!$B$4),OR(Filter!$B$5="All",M293=Filter!$B$5),E293&gt;=Filter!$B$6),MAX(AH$1:AH292)+1,"")</f>
        <v>33</v>
      </c>
      <c r="AI293" s="39">
        <f t="shared" si="102"/>
        <v>6</v>
      </c>
      <c r="AJ293" s="42">
        <f t="shared" si="103"/>
        <v>0.26</v>
      </c>
      <c r="AK293" s="41">
        <f t="shared" si="104"/>
        <v>2309.4299999999998</v>
      </c>
      <c r="AL293" s="39">
        <f>RANK(E293,$E$2:$E$1001,0)+COUNTIF($E$2:E293,E293)-1</f>
        <v>46</v>
      </c>
    </row>
    <row r="294" spans="1:38" x14ac:dyDescent="0.2">
      <c r="A294" s="39">
        <v>1012</v>
      </c>
      <c r="B294" s="40">
        <v>45244</v>
      </c>
      <c r="C294" s="39" t="s">
        <v>79</v>
      </c>
      <c r="D294" s="39" t="s">
        <v>64</v>
      </c>
      <c r="E294" s="41">
        <v>519.98</v>
      </c>
      <c r="F294" s="39">
        <v>6</v>
      </c>
      <c r="G294" s="39" t="s">
        <v>60</v>
      </c>
      <c r="H294" s="41">
        <v>3609.42</v>
      </c>
      <c r="I294" s="41">
        <v>4082.62</v>
      </c>
      <c r="J294" s="39" t="s">
        <v>137</v>
      </c>
      <c r="K294" s="42">
        <v>0.3</v>
      </c>
      <c r="L294" s="39" t="s">
        <v>63</v>
      </c>
      <c r="M294" s="39" t="s">
        <v>140</v>
      </c>
      <c r="N294" s="39" t="s">
        <v>148</v>
      </c>
      <c r="O294" s="43">
        <f t="shared" si="84"/>
        <v>24495.72</v>
      </c>
      <c r="P294" s="43">
        <f t="shared" si="85"/>
        <v>17147</v>
      </c>
      <c r="Q294" s="43">
        <f t="shared" si="86"/>
        <v>21656.52</v>
      </c>
      <c r="R294" s="43">
        <f t="shared" si="87"/>
        <v>-4509.5200000000004</v>
      </c>
      <c r="S294" s="44">
        <f t="shared" si="88"/>
        <v>-0.26299177698722809</v>
      </c>
      <c r="T294" s="39" t="str">
        <f t="shared" si="89"/>
        <v>Loss</v>
      </c>
      <c r="U294" s="39" t="str">
        <f t="shared" si="90"/>
        <v>20%+</v>
      </c>
      <c r="V294" s="39" t="str">
        <f>IF(E294&gt;=Analysis!$B$4,"High",IF(E294&gt;=Analysis!$B$5,"Mid","Low"))</f>
        <v>Low</v>
      </c>
      <c r="W294" s="39" t="str">
        <f t="shared" si="91"/>
        <v>2023-11</v>
      </c>
      <c r="X294" s="40">
        <f t="shared" si="92"/>
        <v>45260</v>
      </c>
      <c r="Y294" s="39" t="str">
        <f t="shared" si="93"/>
        <v>2023-Q4</v>
      </c>
      <c r="Z294" s="39" t="str">
        <f t="shared" si="94"/>
        <v>Tue</v>
      </c>
      <c r="AA294" s="39">
        <f t="shared" si="95"/>
        <v>2</v>
      </c>
      <c r="AB294" s="39">
        <f t="shared" si="96"/>
        <v>47</v>
      </c>
      <c r="AC294" s="39" t="str">
        <f t="shared" si="97"/>
        <v>Weekday</v>
      </c>
      <c r="AD294" s="39">
        <f t="shared" ca="1" si="98"/>
        <v>1075</v>
      </c>
      <c r="AE294" s="39">
        <f t="shared" ca="1" si="99"/>
        <v>35</v>
      </c>
      <c r="AF294" s="39" t="str">
        <f t="shared" si="100"/>
        <v>EVE</v>
      </c>
      <c r="AG294" s="39" t="str">
        <f t="shared" si="101"/>
        <v>NR-231114-0293</v>
      </c>
      <c r="AH294" s="39" t="str">
        <f>IF(AND(OR(Filter!$B$4="All",D294=Filter!$B$4),OR(Filter!$B$5="All",M294=Filter!$B$5),E294&gt;=Filter!$B$6),MAX(AH$1:AH293)+1,"")</f>
        <v/>
      </c>
      <c r="AI294" s="39">
        <f t="shared" si="102"/>
        <v>6</v>
      </c>
      <c r="AJ294" s="42">
        <f t="shared" si="103"/>
        <v>0.3</v>
      </c>
      <c r="AK294" s="41">
        <f t="shared" si="104"/>
        <v>4082.62</v>
      </c>
      <c r="AL294" s="39">
        <f>RANK(E294,$E$2:$E$1001,0)+COUNTIF($E$2:E294,E294)-1</f>
        <v>957</v>
      </c>
    </row>
    <row r="295" spans="1:38" x14ac:dyDescent="0.2">
      <c r="A295" s="39">
        <v>1069</v>
      </c>
      <c r="B295" s="40">
        <v>44958</v>
      </c>
      <c r="C295" s="39" t="s">
        <v>79</v>
      </c>
      <c r="D295" s="39" t="s">
        <v>64</v>
      </c>
      <c r="E295" s="41">
        <v>2726.73</v>
      </c>
      <c r="F295" s="39">
        <v>18</v>
      </c>
      <c r="G295" s="39" t="s">
        <v>75</v>
      </c>
      <c r="H295" s="41">
        <v>2760.21</v>
      </c>
      <c r="I295" s="41">
        <v>3219.58</v>
      </c>
      <c r="J295" s="39" t="s">
        <v>143</v>
      </c>
      <c r="K295" s="42">
        <v>0.27</v>
      </c>
      <c r="L295" s="39" t="s">
        <v>63</v>
      </c>
      <c r="M295" s="39" t="s">
        <v>140</v>
      </c>
      <c r="N295" s="39" t="s">
        <v>148</v>
      </c>
      <c r="O295" s="43">
        <f t="shared" si="84"/>
        <v>57952.44</v>
      </c>
      <c r="P295" s="43">
        <f t="shared" si="85"/>
        <v>42305.279999999999</v>
      </c>
      <c r="Q295" s="43">
        <f t="shared" si="86"/>
        <v>49683.78</v>
      </c>
      <c r="R295" s="43">
        <f t="shared" si="87"/>
        <v>-7378.5</v>
      </c>
      <c r="S295" s="44">
        <f t="shared" si="88"/>
        <v>-0.17441085368067533</v>
      </c>
      <c r="T295" s="39" t="str">
        <f t="shared" si="89"/>
        <v>Loss</v>
      </c>
      <c r="U295" s="39" t="str">
        <f t="shared" si="90"/>
        <v>20%+</v>
      </c>
      <c r="V295" s="39" t="str">
        <f>IF(E295&gt;=Analysis!$B$4,"High",IF(E295&gt;=Analysis!$B$5,"Mid","Low"))</f>
        <v>Mid</v>
      </c>
      <c r="W295" s="39" t="str">
        <f t="shared" si="91"/>
        <v>2023-02</v>
      </c>
      <c r="X295" s="40">
        <f t="shared" si="92"/>
        <v>44985</v>
      </c>
      <c r="Y295" s="39" t="str">
        <f t="shared" si="93"/>
        <v>2023-Q1</v>
      </c>
      <c r="Z295" s="39" t="str">
        <f t="shared" si="94"/>
        <v>Wed</v>
      </c>
      <c r="AA295" s="39">
        <f t="shared" si="95"/>
        <v>3</v>
      </c>
      <c r="AB295" s="39">
        <f t="shared" si="96"/>
        <v>6</v>
      </c>
      <c r="AC295" s="39" t="str">
        <f t="shared" si="97"/>
        <v>Weekday</v>
      </c>
      <c r="AD295" s="39">
        <f t="shared" ca="1" si="98"/>
        <v>1361</v>
      </c>
      <c r="AE295" s="39">
        <f t="shared" ca="1" si="99"/>
        <v>44</v>
      </c>
      <c r="AF295" s="39" t="str">
        <f t="shared" si="100"/>
        <v>EVE</v>
      </c>
      <c r="AG295" s="39" t="str">
        <f t="shared" si="101"/>
        <v>NR-230201-0294</v>
      </c>
      <c r="AH295" s="39" t="str">
        <f>IF(AND(OR(Filter!$B$4="All",D295=Filter!$B$4),OR(Filter!$B$5="All",M295=Filter!$B$5),E295&gt;=Filter!$B$6),MAX(AH$1:AH294)+1,"")</f>
        <v/>
      </c>
      <c r="AI295" s="39">
        <f t="shared" si="102"/>
        <v>18</v>
      </c>
      <c r="AJ295" s="42">
        <f t="shared" si="103"/>
        <v>0.27</v>
      </c>
      <c r="AK295" s="41">
        <f t="shared" si="104"/>
        <v>3219.58</v>
      </c>
      <c r="AL295" s="39">
        <f>RANK(E295,$E$2:$E$1001,0)+COUNTIF($E$2:E295,E295)-1</f>
        <v>729</v>
      </c>
    </row>
    <row r="296" spans="1:38" x14ac:dyDescent="0.2">
      <c r="A296" s="39">
        <v>1037</v>
      </c>
      <c r="B296" s="40">
        <v>45084</v>
      </c>
      <c r="C296" s="39" t="s">
        <v>61</v>
      </c>
      <c r="D296" s="39" t="s">
        <v>69</v>
      </c>
      <c r="E296" s="41">
        <v>6055.38</v>
      </c>
      <c r="F296" s="39">
        <v>4</v>
      </c>
      <c r="G296" s="39" t="s">
        <v>70</v>
      </c>
      <c r="H296" s="41">
        <v>4721.7</v>
      </c>
      <c r="I296" s="41">
        <v>5017.58</v>
      </c>
      <c r="J296" s="39" t="s">
        <v>143</v>
      </c>
      <c r="K296" s="42">
        <v>0.24</v>
      </c>
      <c r="L296" s="39" t="s">
        <v>68</v>
      </c>
      <c r="M296" s="39" t="s">
        <v>140</v>
      </c>
      <c r="N296" s="39" t="s">
        <v>150</v>
      </c>
      <c r="O296" s="43">
        <f t="shared" si="84"/>
        <v>20070.32</v>
      </c>
      <c r="P296" s="43">
        <f t="shared" si="85"/>
        <v>15253.44</v>
      </c>
      <c r="Q296" s="43">
        <f t="shared" si="86"/>
        <v>18886.8</v>
      </c>
      <c r="R296" s="43">
        <f t="shared" si="87"/>
        <v>-3633.3599999999988</v>
      </c>
      <c r="S296" s="44">
        <f t="shared" si="88"/>
        <v>-0.23819938322109627</v>
      </c>
      <c r="T296" s="39" t="str">
        <f t="shared" si="89"/>
        <v>Loss</v>
      </c>
      <c r="U296" s="39" t="str">
        <f t="shared" si="90"/>
        <v>20%+</v>
      </c>
      <c r="V296" s="39" t="str">
        <f>IF(E296&gt;=Analysis!$B$4,"High",IF(E296&gt;=Analysis!$B$5,"Mid","Low"))</f>
        <v>Mid</v>
      </c>
      <c r="W296" s="39" t="str">
        <f t="shared" si="91"/>
        <v>2023-06</v>
      </c>
      <c r="X296" s="40">
        <f t="shared" si="92"/>
        <v>45107</v>
      </c>
      <c r="Y296" s="39" t="str">
        <f t="shared" si="93"/>
        <v>2023-Q2</v>
      </c>
      <c r="Z296" s="39" t="str">
        <f t="shared" si="94"/>
        <v>Wed</v>
      </c>
      <c r="AA296" s="39">
        <f t="shared" si="95"/>
        <v>3</v>
      </c>
      <c r="AB296" s="39">
        <f t="shared" si="96"/>
        <v>24</v>
      </c>
      <c r="AC296" s="39" t="str">
        <f t="shared" si="97"/>
        <v>Weekday</v>
      </c>
      <c r="AD296" s="39">
        <f t="shared" ca="1" si="98"/>
        <v>1235</v>
      </c>
      <c r="AE296" s="39">
        <f t="shared" ca="1" si="99"/>
        <v>40</v>
      </c>
      <c r="AF296" s="39" t="str">
        <f t="shared" si="100"/>
        <v>ALI</v>
      </c>
      <c r="AG296" s="39" t="str">
        <f t="shared" si="101"/>
        <v>SR-230607-0295</v>
      </c>
      <c r="AH296" s="39" t="str">
        <f>IF(AND(OR(Filter!$B$4="All",D296=Filter!$B$4),OR(Filter!$B$5="All",M296=Filter!$B$5),E296&gt;=Filter!$B$6),MAX(AH$1:AH295)+1,"")</f>
        <v/>
      </c>
      <c r="AI296" s="39">
        <f t="shared" si="102"/>
        <v>4</v>
      </c>
      <c r="AJ296" s="42">
        <f t="shared" si="103"/>
        <v>0.24</v>
      </c>
      <c r="AK296" s="41">
        <f t="shared" si="104"/>
        <v>5017.58</v>
      </c>
      <c r="AL296" s="39">
        <f>RANK(E296,$E$2:$E$1001,0)+COUNTIF($E$2:E296,E296)-1</f>
        <v>401</v>
      </c>
    </row>
    <row r="297" spans="1:38" x14ac:dyDescent="0.2">
      <c r="A297" s="39">
        <v>1032</v>
      </c>
      <c r="B297" s="40">
        <v>45211</v>
      </c>
      <c r="C297" s="39" t="s">
        <v>61</v>
      </c>
      <c r="D297" s="39" t="s">
        <v>64</v>
      </c>
      <c r="E297" s="41">
        <v>3035.94</v>
      </c>
      <c r="F297" s="39">
        <v>17</v>
      </c>
      <c r="G297" s="39" t="s">
        <v>60</v>
      </c>
      <c r="H297" s="41">
        <v>1291.9100000000001</v>
      </c>
      <c r="I297" s="41">
        <v>1528.59</v>
      </c>
      <c r="J297" s="39" t="s">
        <v>137</v>
      </c>
      <c r="K297" s="42">
        <v>0.11</v>
      </c>
      <c r="L297" s="39" t="s">
        <v>73</v>
      </c>
      <c r="M297" s="39" t="s">
        <v>140</v>
      </c>
      <c r="N297" s="39" t="s">
        <v>156</v>
      </c>
      <c r="O297" s="43">
        <f t="shared" si="84"/>
        <v>25986.03</v>
      </c>
      <c r="P297" s="43">
        <f t="shared" si="85"/>
        <v>23127.57</v>
      </c>
      <c r="Q297" s="43">
        <f t="shared" si="86"/>
        <v>21962.47</v>
      </c>
      <c r="R297" s="43">
        <f t="shared" si="87"/>
        <v>1165.0999999999985</v>
      </c>
      <c r="S297" s="44">
        <f t="shared" si="88"/>
        <v>5.0377104036437831E-2</v>
      </c>
      <c r="T297" s="39" t="str">
        <f t="shared" si="89"/>
        <v>OK</v>
      </c>
      <c r="U297" s="39" t="str">
        <f t="shared" si="90"/>
        <v>10-19%</v>
      </c>
      <c r="V297" s="39" t="str">
        <f>IF(E297&gt;=Analysis!$B$4,"High",IF(E297&gt;=Analysis!$B$5,"Mid","Low"))</f>
        <v>Mid</v>
      </c>
      <c r="W297" s="39" t="str">
        <f t="shared" si="91"/>
        <v>2023-10</v>
      </c>
      <c r="X297" s="40">
        <f t="shared" si="92"/>
        <v>45230</v>
      </c>
      <c r="Y297" s="39" t="str">
        <f t="shared" si="93"/>
        <v>2023-Q4</v>
      </c>
      <c r="Z297" s="39" t="str">
        <f t="shared" si="94"/>
        <v>Thu</v>
      </c>
      <c r="AA297" s="39">
        <f t="shared" si="95"/>
        <v>4</v>
      </c>
      <c r="AB297" s="39">
        <f t="shared" si="96"/>
        <v>42</v>
      </c>
      <c r="AC297" s="39" t="str">
        <f t="shared" si="97"/>
        <v>Weekday</v>
      </c>
      <c r="AD297" s="39">
        <f t="shared" ca="1" si="98"/>
        <v>1108</v>
      </c>
      <c r="AE297" s="39">
        <f t="shared" ca="1" si="99"/>
        <v>36</v>
      </c>
      <c r="AF297" s="39" t="str">
        <f t="shared" si="100"/>
        <v>ALI</v>
      </c>
      <c r="AG297" s="39" t="str">
        <f t="shared" si="101"/>
        <v>NR-231012-0296</v>
      </c>
      <c r="AH297" s="39" t="str">
        <f>IF(AND(OR(Filter!$B$4="All",D297=Filter!$B$4),OR(Filter!$B$5="All",M297=Filter!$B$5),E297&gt;=Filter!$B$6),MAX(AH$1:AH296)+1,"")</f>
        <v/>
      </c>
      <c r="AI297" s="39">
        <f t="shared" si="102"/>
        <v>17</v>
      </c>
      <c r="AJ297" s="42">
        <f t="shared" si="103"/>
        <v>0.11</v>
      </c>
      <c r="AK297" s="41">
        <f t="shared" si="104"/>
        <v>1528.59</v>
      </c>
      <c r="AL297" s="39">
        <f>RANK(E297,$E$2:$E$1001,0)+COUNTIF($E$2:E297,E297)-1</f>
        <v>691</v>
      </c>
    </row>
    <row r="298" spans="1:38" x14ac:dyDescent="0.2">
      <c r="A298" s="39">
        <v>1009</v>
      </c>
      <c r="B298" s="40">
        <v>45231</v>
      </c>
      <c r="C298" s="39" t="s">
        <v>66</v>
      </c>
      <c r="D298" s="39" t="s">
        <v>69</v>
      </c>
      <c r="E298" s="41">
        <v>7172.8</v>
      </c>
      <c r="F298" s="39">
        <v>14</v>
      </c>
      <c r="G298" s="39" t="s">
        <v>70</v>
      </c>
      <c r="H298" s="41">
        <v>547.79</v>
      </c>
      <c r="I298" s="41">
        <v>958.76</v>
      </c>
      <c r="J298" s="39" t="s">
        <v>137</v>
      </c>
      <c r="K298" s="42">
        <v>7.0000000000000007E-2</v>
      </c>
      <c r="L298" s="39" t="s">
        <v>73</v>
      </c>
      <c r="M298" s="39" t="s">
        <v>140</v>
      </c>
      <c r="N298" s="39" t="s">
        <v>144</v>
      </c>
      <c r="O298" s="43">
        <f t="shared" si="84"/>
        <v>13422.64</v>
      </c>
      <c r="P298" s="43">
        <f t="shared" si="85"/>
        <v>12483.06</v>
      </c>
      <c r="Q298" s="43">
        <f t="shared" si="86"/>
        <v>7669.06</v>
      </c>
      <c r="R298" s="43">
        <f t="shared" si="87"/>
        <v>4813.9999999999991</v>
      </c>
      <c r="S298" s="44">
        <f t="shared" si="88"/>
        <v>0.38564262288253037</v>
      </c>
      <c r="T298" s="39" t="str">
        <f t="shared" si="89"/>
        <v>OK</v>
      </c>
      <c r="U298" s="39" t="str">
        <f t="shared" si="90"/>
        <v>0-9%</v>
      </c>
      <c r="V298" s="39" t="str">
        <f>IF(E298&gt;=Analysis!$B$4,"High",IF(E298&gt;=Analysis!$B$5,"Mid","Low"))</f>
        <v>Mid</v>
      </c>
      <c r="W298" s="39" t="str">
        <f t="shared" si="91"/>
        <v>2023-11</v>
      </c>
      <c r="X298" s="40">
        <f t="shared" si="92"/>
        <v>45260</v>
      </c>
      <c r="Y298" s="39" t="str">
        <f t="shared" si="93"/>
        <v>2023-Q4</v>
      </c>
      <c r="Z298" s="39" t="str">
        <f t="shared" si="94"/>
        <v>Wed</v>
      </c>
      <c r="AA298" s="39">
        <f t="shared" si="95"/>
        <v>3</v>
      </c>
      <c r="AB298" s="39">
        <f t="shared" si="96"/>
        <v>45</v>
      </c>
      <c r="AC298" s="39" t="str">
        <f t="shared" si="97"/>
        <v>Weekday</v>
      </c>
      <c r="AD298" s="39">
        <f t="shared" ca="1" si="98"/>
        <v>1088</v>
      </c>
      <c r="AE298" s="39">
        <f t="shared" ca="1" si="99"/>
        <v>35</v>
      </c>
      <c r="AF298" s="39" t="str">
        <f t="shared" si="100"/>
        <v>BOB</v>
      </c>
      <c r="AG298" s="39" t="str">
        <f t="shared" si="101"/>
        <v>SR-231101-0297</v>
      </c>
      <c r="AH298" s="39" t="str">
        <f>IF(AND(OR(Filter!$B$4="All",D298=Filter!$B$4),OR(Filter!$B$5="All",M298=Filter!$B$5),E298&gt;=Filter!$B$6),MAX(AH$1:AH297)+1,"")</f>
        <v/>
      </c>
      <c r="AI298" s="39">
        <f t="shared" si="102"/>
        <v>14</v>
      </c>
      <c r="AJ298" s="42">
        <f t="shared" si="103"/>
        <v>7.0000000000000007E-2</v>
      </c>
      <c r="AK298" s="41">
        <f t="shared" si="104"/>
        <v>958.76</v>
      </c>
      <c r="AL298" s="39">
        <f>RANK(E298,$E$2:$E$1001,0)+COUNTIF($E$2:E298,E298)-1</f>
        <v>280</v>
      </c>
    </row>
    <row r="299" spans="1:38" x14ac:dyDescent="0.2">
      <c r="A299" s="39">
        <v>1099</v>
      </c>
      <c r="B299" s="40">
        <v>45212</v>
      </c>
      <c r="C299" s="39" t="s">
        <v>71</v>
      </c>
      <c r="D299" s="39" t="s">
        <v>64</v>
      </c>
      <c r="E299" s="41">
        <v>7614.15</v>
      </c>
      <c r="F299" s="39">
        <v>14</v>
      </c>
      <c r="G299" s="39" t="s">
        <v>70</v>
      </c>
      <c r="H299" s="41">
        <v>1996.64</v>
      </c>
      <c r="I299" s="41">
        <v>2341.4699999999998</v>
      </c>
      <c r="J299" s="39" t="s">
        <v>137</v>
      </c>
      <c r="K299" s="42">
        <v>0.22</v>
      </c>
      <c r="L299" s="39" t="s">
        <v>73</v>
      </c>
      <c r="M299" s="39" t="s">
        <v>138</v>
      </c>
      <c r="N299" s="39" t="s">
        <v>160</v>
      </c>
      <c r="O299" s="43">
        <f t="shared" si="84"/>
        <v>32780.58</v>
      </c>
      <c r="P299" s="43">
        <f t="shared" si="85"/>
        <v>25568.85</v>
      </c>
      <c r="Q299" s="43">
        <f t="shared" si="86"/>
        <v>27952.959999999999</v>
      </c>
      <c r="R299" s="43">
        <f t="shared" si="87"/>
        <v>-2384.1100000000006</v>
      </c>
      <c r="S299" s="44">
        <f t="shared" si="88"/>
        <v>-9.3242754367130351E-2</v>
      </c>
      <c r="T299" s="39" t="str">
        <f t="shared" si="89"/>
        <v>Loss</v>
      </c>
      <c r="U299" s="39" t="str">
        <f t="shared" si="90"/>
        <v>20%+</v>
      </c>
      <c r="V299" s="39" t="str">
        <f>IF(E299&gt;=Analysis!$B$4,"High",IF(E299&gt;=Analysis!$B$5,"Mid","Low"))</f>
        <v>High</v>
      </c>
      <c r="W299" s="39" t="str">
        <f t="shared" si="91"/>
        <v>2023-10</v>
      </c>
      <c r="X299" s="40">
        <f t="shared" si="92"/>
        <v>45230</v>
      </c>
      <c r="Y299" s="39" t="str">
        <f t="shared" si="93"/>
        <v>2023-Q4</v>
      </c>
      <c r="Z299" s="39" t="str">
        <f t="shared" si="94"/>
        <v>Fri</v>
      </c>
      <c r="AA299" s="39">
        <f t="shared" si="95"/>
        <v>5</v>
      </c>
      <c r="AB299" s="39">
        <f t="shared" si="96"/>
        <v>42</v>
      </c>
      <c r="AC299" s="39" t="str">
        <f t="shared" si="97"/>
        <v>Weekday</v>
      </c>
      <c r="AD299" s="39">
        <f t="shared" ca="1" si="98"/>
        <v>1107</v>
      </c>
      <c r="AE299" s="39">
        <f t="shared" ca="1" si="99"/>
        <v>36</v>
      </c>
      <c r="AF299" s="39" t="str">
        <f t="shared" si="100"/>
        <v>CHA</v>
      </c>
      <c r="AG299" s="39" t="str">
        <f t="shared" si="101"/>
        <v>NO-231013-0298</v>
      </c>
      <c r="AH299" s="39" t="str">
        <f>IF(AND(OR(Filter!$B$4="All",D299=Filter!$B$4),OR(Filter!$B$5="All",M299=Filter!$B$5),E299&gt;=Filter!$B$6),MAX(AH$1:AH298)+1,"")</f>
        <v/>
      </c>
      <c r="AI299" s="39">
        <f t="shared" si="102"/>
        <v>14</v>
      </c>
      <c r="AJ299" s="42">
        <f t="shared" si="103"/>
        <v>0.22</v>
      </c>
      <c r="AK299" s="41">
        <f t="shared" si="104"/>
        <v>2341.4699999999998</v>
      </c>
      <c r="AL299" s="39">
        <f>RANK(E299,$E$2:$E$1001,0)+COUNTIF($E$2:E299,E299)-1</f>
        <v>238</v>
      </c>
    </row>
    <row r="300" spans="1:38" x14ac:dyDescent="0.2">
      <c r="A300" s="39">
        <v>1019</v>
      </c>
      <c r="B300" s="40">
        <v>45070</v>
      </c>
      <c r="C300" s="39" t="s">
        <v>79</v>
      </c>
      <c r="D300" s="39" t="s">
        <v>69</v>
      </c>
      <c r="E300" s="41">
        <v>1114.9100000000001</v>
      </c>
      <c r="F300" s="39">
        <v>13</v>
      </c>
      <c r="G300" s="39" t="s">
        <v>70</v>
      </c>
      <c r="H300" s="41">
        <v>3102.73</v>
      </c>
      <c r="I300" s="41">
        <v>3202.68</v>
      </c>
      <c r="J300" s="39" t="s">
        <v>143</v>
      </c>
      <c r="K300" s="42">
        <v>0.09</v>
      </c>
      <c r="L300" s="39" t="s">
        <v>68</v>
      </c>
      <c r="M300" s="39" t="s">
        <v>138</v>
      </c>
      <c r="N300" s="39" t="s">
        <v>147</v>
      </c>
      <c r="O300" s="43">
        <f t="shared" si="84"/>
        <v>41634.839999999997</v>
      </c>
      <c r="P300" s="43">
        <f t="shared" si="85"/>
        <v>37887.699999999997</v>
      </c>
      <c r="Q300" s="43">
        <f t="shared" si="86"/>
        <v>40335.49</v>
      </c>
      <c r="R300" s="43">
        <f t="shared" si="87"/>
        <v>-2447.7900000000009</v>
      </c>
      <c r="S300" s="44">
        <f t="shared" si="88"/>
        <v>-6.4606455393175125E-2</v>
      </c>
      <c r="T300" s="39" t="str">
        <f t="shared" si="89"/>
        <v>Loss</v>
      </c>
      <c r="U300" s="39" t="str">
        <f t="shared" si="90"/>
        <v>0-9%</v>
      </c>
      <c r="V300" s="39" t="str">
        <f>IF(E300&gt;=Analysis!$B$4,"High",IF(E300&gt;=Analysis!$B$5,"Mid","Low"))</f>
        <v>Low</v>
      </c>
      <c r="W300" s="39" t="str">
        <f t="shared" si="91"/>
        <v>2023-05</v>
      </c>
      <c r="X300" s="40">
        <f t="shared" si="92"/>
        <v>45077</v>
      </c>
      <c r="Y300" s="39" t="str">
        <f t="shared" si="93"/>
        <v>2023-Q2</v>
      </c>
      <c r="Z300" s="39" t="str">
        <f t="shared" si="94"/>
        <v>Wed</v>
      </c>
      <c r="AA300" s="39">
        <f t="shared" si="95"/>
        <v>3</v>
      </c>
      <c r="AB300" s="39">
        <f t="shared" si="96"/>
        <v>22</v>
      </c>
      <c r="AC300" s="39" t="str">
        <f t="shared" si="97"/>
        <v>Weekday</v>
      </c>
      <c r="AD300" s="39">
        <f t="shared" ca="1" si="98"/>
        <v>1249</v>
      </c>
      <c r="AE300" s="39">
        <f t="shared" ca="1" si="99"/>
        <v>41</v>
      </c>
      <c r="AF300" s="39" t="str">
        <f t="shared" si="100"/>
        <v>EVE</v>
      </c>
      <c r="AG300" s="39" t="str">
        <f t="shared" si="101"/>
        <v>SO-230524-0299</v>
      </c>
      <c r="AH300" s="39" t="str">
        <f>IF(AND(OR(Filter!$B$4="All",D300=Filter!$B$4),OR(Filter!$B$5="All",M300=Filter!$B$5),E300&gt;=Filter!$B$6),MAX(AH$1:AH299)+1,"")</f>
        <v/>
      </c>
      <c r="AI300" s="39">
        <f t="shared" si="102"/>
        <v>13</v>
      </c>
      <c r="AJ300" s="42">
        <f t="shared" si="103"/>
        <v>0.09</v>
      </c>
      <c r="AK300" s="41">
        <f t="shared" si="104"/>
        <v>3202.68</v>
      </c>
      <c r="AL300" s="39">
        <f>RANK(E300,$E$2:$E$1001,0)+COUNTIF($E$2:E300,E300)-1</f>
        <v>894</v>
      </c>
    </row>
    <row r="301" spans="1:38" x14ac:dyDescent="0.2">
      <c r="A301" s="39">
        <v>1048</v>
      </c>
      <c r="B301" s="40">
        <v>44945</v>
      </c>
      <c r="C301" s="39" t="s">
        <v>66</v>
      </c>
      <c r="D301" s="39" t="s">
        <v>74</v>
      </c>
      <c r="E301" s="41">
        <v>5187.16</v>
      </c>
      <c r="F301" s="39">
        <v>7</v>
      </c>
      <c r="G301" s="39" t="s">
        <v>60</v>
      </c>
      <c r="H301" s="41">
        <v>4310.95</v>
      </c>
      <c r="I301" s="41">
        <v>4723.2</v>
      </c>
      <c r="J301" s="39" t="s">
        <v>137</v>
      </c>
      <c r="K301" s="42">
        <v>0.05</v>
      </c>
      <c r="L301" s="39" t="s">
        <v>73</v>
      </c>
      <c r="M301" s="39" t="s">
        <v>140</v>
      </c>
      <c r="N301" s="39" t="s">
        <v>141</v>
      </c>
      <c r="O301" s="43">
        <f t="shared" si="84"/>
        <v>33062.400000000001</v>
      </c>
      <c r="P301" s="43">
        <f t="shared" si="85"/>
        <v>31409.279999999999</v>
      </c>
      <c r="Q301" s="43">
        <f t="shared" si="86"/>
        <v>30176.65</v>
      </c>
      <c r="R301" s="43">
        <f t="shared" si="87"/>
        <v>1232.6299999999974</v>
      </c>
      <c r="S301" s="44">
        <f t="shared" si="88"/>
        <v>3.9244134217657885E-2</v>
      </c>
      <c r="T301" s="39" t="str">
        <f t="shared" si="89"/>
        <v>OK</v>
      </c>
      <c r="U301" s="39" t="str">
        <f t="shared" si="90"/>
        <v>0-9%</v>
      </c>
      <c r="V301" s="39" t="str">
        <f>IF(E301&gt;=Analysis!$B$4,"High",IF(E301&gt;=Analysis!$B$5,"Mid","Low"))</f>
        <v>Mid</v>
      </c>
      <c r="W301" s="39" t="str">
        <f t="shared" si="91"/>
        <v>2023-01</v>
      </c>
      <c r="X301" s="40">
        <f t="shared" si="92"/>
        <v>44957</v>
      </c>
      <c r="Y301" s="39" t="str">
        <f t="shared" si="93"/>
        <v>2023-Q1</v>
      </c>
      <c r="Z301" s="39" t="str">
        <f t="shared" si="94"/>
        <v>Thu</v>
      </c>
      <c r="AA301" s="39">
        <f t="shared" si="95"/>
        <v>4</v>
      </c>
      <c r="AB301" s="39">
        <f t="shared" si="96"/>
        <v>4</v>
      </c>
      <c r="AC301" s="39" t="str">
        <f t="shared" si="97"/>
        <v>Weekday</v>
      </c>
      <c r="AD301" s="39">
        <f t="shared" ca="1" si="98"/>
        <v>1374</v>
      </c>
      <c r="AE301" s="39">
        <f t="shared" ca="1" si="99"/>
        <v>45</v>
      </c>
      <c r="AF301" s="39" t="str">
        <f t="shared" si="100"/>
        <v>BOB</v>
      </c>
      <c r="AG301" s="39" t="str">
        <f t="shared" si="101"/>
        <v>WR-230119-0300</v>
      </c>
      <c r="AH301" s="39" t="str">
        <f>IF(AND(OR(Filter!$B$4="All",D301=Filter!$B$4),OR(Filter!$B$5="All",M301=Filter!$B$5),E301&gt;=Filter!$B$6),MAX(AH$1:AH300)+1,"")</f>
        <v/>
      </c>
      <c r="AI301" s="39">
        <f t="shared" si="102"/>
        <v>7</v>
      </c>
      <c r="AJ301" s="42">
        <f t="shared" si="103"/>
        <v>0.05</v>
      </c>
      <c r="AK301" s="41">
        <f t="shared" si="104"/>
        <v>4723.2</v>
      </c>
      <c r="AL301" s="39">
        <f>RANK(E301,$E$2:$E$1001,0)+COUNTIF($E$2:E301,E301)-1</f>
        <v>484</v>
      </c>
    </row>
    <row r="302" spans="1:38" x14ac:dyDescent="0.2">
      <c r="A302" s="39">
        <v>1080</v>
      </c>
      <c r="B302" s="40">
        <v>44944</v>
      </c>
      <c r="C302" s="39" t="s">
        <v>71</v>
      </c>
      <c r="D302" s="39" t="s">
        <v>59</v>
      </c>
      <c r="E302" s="41">
        <v>5138.0200000000004</v>
      </c>
      <c r="F302" s="39">
        <v>44</v>
      </c>
      <c r="G302" s="39" t="s">
        <v>65</v>
      </c>
      <c r="H302" s="41">
        <v>1763.67</v>
      </c>
      <c r="I302" s="41">
        <v>1983.82</v>
      </c>
      <c r="J302" s="39" t="s">
        <v>143</v>
      </c>
      <c r="K302" s="42">
        <v>0.24</v>
      </c>
      <c r="L302" s="39" t="s">
        <v>73</v>
      </c>
      <c r="M302" s="39" t="s">
        <v>138</v>
      </c>
      <c r="N302" s="39" t="s">
        <v>145</v>
      </c>
      <c r="O302" s="43">
        <f t="shared" si="84"/>
        <v>87288.08</v>
      </c>
      <c r="P302" s="43">
        <f t="shared" si="85"/>
        <v>66338.94</v>
      </c>
      <c r="Q302" s="43">
        <f t="shared" si="86"/>
        <v>77601.48</v>
      </c>
      <c r="R302" s="43">
        <f t="shared" si="87"/>
        <v>-11262.539999999994</v>
      </c>
      <c r="S302" s="44">
        <f t="shared" si="88"/>
        <v>-0.16977268554486993</v>
      </c>
      <c r="T302" s="39" t="str">
        <f t="shared" si="89"/>
        <v>Loss</v>
      </c>
      <c r="U302" s="39" t="str">
        <f t="shared" si="90"/>
        <v>20%+</v>
      </c>
      <c r="V302" s="39" t="str">
        <f>IF(E302&gt;=Analysis!$B$4,"High",IF(E302&gt;=Analysis!$B$5,"Mid","Low"))</f>
        <v>Mid</v>
      </c>
      <c r="W302" s="39" t="str">
        <f t="shared" si="91"/>
        <v>2023-01</v>
      </c>
      <c r="X302" s="40">
        <f t="shared" si="92"/>
        <v>44957</v>
      </c>
      <c r="Y302" s="39" t="str">
        <f t="shared" si="93"/>
        <v>2023-Q1</v>
      </c>
      <c r="Z302" s="39" t="str">
        <f t="shared" si="94"/>
        <v>Wed</v>
      </c>
      <c r="AA302" s="39">
        <f t="shared" si="95"/>
        <v>3</v>
      </c>
      <c r="AB302" s="39">
        <f t="shared" si="96"/>
        <v>4</v>
      </c>
      <c r="AC302" s="39" t="str">
        <f t="shared" si="97"/>
        <v>Weekday</v>
      </c>
      <c r="AD302" s="39">
        <f t="shared" ca="1" si="98"/>
        <v>1375</v>
      </c>
      <c r="AE302" s="39">
        <f t="shared" ca="1" si="99"/>
        <v>45</v>
      </c>
      <c r="AF302" s="39" t="str">
        <f t="shared" si="100"/>
        <v>CHA</v>
      </c>
      <c r="AG302" s="39" t="str">
        <f t="shared" si="101"/>
        <v>EO-230118-0301</v>
      </c>
      <c r="AH302" s="39" t="str">
        <f>IF(AND(OR(Filter!$B$4="All",D302=Filter!$B$4),OR(Filter!$B$5="All",M302=Filter!$B$5),E302&gt;=Filter!$B$6),MAX(AH$1:AH301)+1,"")</f>
        <v/>
      </c>
      <c r="AI302" s="39">
        <f t="shared" si="102"/>
        <v>44</v>
      </c>
      <c r="AJ302" s="42">
        <f t="shared" si="103"/>
        <v>0.24</v>
      </c>
      <c r="AK302" s="41">
        <f t="shared" si="104"/>
        <v>1983.82</v>
      </c>
      <c r="AL302" s="39">
        <f>RANK(E302,$E$2:$E$1001,0)+COUNTIF($E$2:E302,E302)-1</f>
        <v>485</v>
      </c>
    </row>
    <row r="303" spans="1:38" x14ac:dyDescent="0.2">
      <c r="A303" s="39">
        <v>1003</v>
      </c>
      <c r="B303" s="40">
        <v>45183</v>
      </c>
      <c r="C303" s="39" t="s">
        <v>66</v>
      </c>
      <c r="D303" s="39" t="s">
        <v>74</v>
      </c>
      <c r="E303" s="41">
        <v>3755.88</v>
      </c>
      <c r="F303" s="39">
        <v>15</v>
      </c>
      <c r="G303" s="39" t="s">
        <v>60</v>
      </c>
      <c r="H303" s="41">
        <v>3286.24</v>
      </c>
      <c r="I303" s="41">
        <v>3388.84</v>
      </c>
      <c r="J303" s="39" t="s">
        <v>137</v>
      </c>
      <c r="K303" s="42">
        <v>0.09</v>
      </c>
      <c r="L303" s="39" t="s">
        <v>73</v>
      </c>
      <c r="M303" s="39" t="s">
        <v>140</v>
      </c>
      <c r="N303" s="39" t="s">
        <v>141</v>
      </c>
      <c r="O303" s="43">
        <f t="shared" si="84"/>
        <v>50832.6</v>
      </c>
      <c r="P303" s="43">
        <f t="shared" si="85"/>
        <v>46257.67</v>
      </c>
      <c r="Q303" s="43">
        <f t="shared" si="86"/>
        <v>49293.599999999999</v>
      </c>
      <c r="R303" s="43">
        <f t="shared" si="87"/>
        <v>-3035.9300000000003</v>
      </c>
      <c r="S303" s="44">
        <f t="shared" si="88"/>
        <v>-6.5630845652191308E-2</v>
      </c>
      <c r="T303" s="39" t="str">
        <f t="shared" si="89"/>
        <v>Loss</v>
      </c>
      <c r="U303" s="39" t="str">
        <f t="shared" si="90"/>
        <v>0-9%</v>
      </c>
      <c r="V303" s="39" t="str">
        <f>IF(E303&gt;=Analysis!$B$4,"High",IF(E303&gt;=Analysis!$B$5,"Mid","Low"))</f>
        <v>Mid</v>
      </c>
      <c r="W303" s="39" t="str">
        <f t="shared" si="91"/>
        <v>2023-09</v>
      </c>
      <c r="X303" s="40">
        <f t="shared" si="92"/>
        <v>45199</v>
      </c>
      <c r="Y303" s="39" t="str">
        <f t="shared" si="93"/>
        <v>2023-Q3</v>
      </c>
      <c r="Z303" s="39" t="str">
        <f t="shared" si="94"/>
        <v>Thu</v>
      </c>
      <c r="AA303" s="39">
        <f t="shared" si="95"/>
        <v>4</v>
      </c>
      <c r="AB303" s="39">
        <f t="shared" si="96"/>
        <v>38</v>
      </c>
      <c r="AC303" s="39" t="str">
        <f t="shared" si="97"/>
        <v>Weekday</v>
      </c>
      <c r="AD303" s="39">
        <f t="shared" ca="1" si="98"/>
        <v>1136</v>
      </c>
      <c r="AE303" s="39">
        <f t="shared" ca="1" si="99"/>
        <v>37</v>
      </c>
      <c r="AF303" s="39" t="str">
        <f t="shared" si="100"/>
        <v>BOB</v>
      </c>
      <c r="AG303" s="39" t="str">
        <f t="shared" si="101"/>
        <v>WR-230914-0302</v>
      </c>
      <c r="AH303" s="39" t="str">
        <f>IF(AND(OR(Filter!$B$4="All",D303=Filter!$B$4),OR(Filter!$B$5="All",M303=Filter!$B$5),E303&gt;=Filter!$B$6),MAX(AH$1:AH302)+1,"")</f>
        <v/>
      </c>
      <c r="AI303" s="39">
        <f t="shared" si="102"/>
        <v>15</v>
      </c>
      <c r="AJ303" s="42">
        <f t="shared" si="103"/>
        <v>0.09</v>
      </c>
      <c r="AK303" s="41">
        <f t="shared" si="104"/>
        <v>3388.84</v>
      </c>
      <c r="AL303" s="39">
        <f>RANK(E303,$E$2:$E$1001,0)+COUNTIF($E$2:E303,E303)-1</f>
        <v>624</v>
      </c>
    </row>
    <row r="304" spans="1:38" x14ac:dyDescent="0.2">
      <c r="A304" s="39">
        <v>1020</v>
      </c>
      <c r="B304" s="40">
        <v>45004</v>
      </c>
      <c r="C304" s="39" t="s">
        <v>79</v>
      </c>
      <c r="D304" s="39" t="s">
        <v>74</v>
      </c>
      <c r="E304" s="41">
        <v>9335.9599999999991</v>
      </c>
      <c r="F304" s="39">
        <v>19</v>
      </c>
      <c r="G304" s="39" t="s">
        <v>70</v>
      </c>
      <c r="H304" s="41">
        <v>1783.48</v>
      </c>
      <c r="I304" s="41">
        <v>1931.56</v>
      </c>
      <c r="J304" s="39" t="s">
        <v>137</v>
      </c>
      <c r="K304" s="42">
        <v>0.27</v>
      </c>
      <c r="L304" s="39" t="s">
        <v>63</v>
      </c>
      <c r="M304" s="39" t="s">
        <v>140</v>
      </c>
      <c r="N304" s="39" t="s">
        <v>149</v>
      </c>
      <c r="O304" s="43">
        <f t="shared" si="84"/>
        <v>36699.64</v>
      </c>
      <c r="P304" s="43">
        <f t="shared" si="85"/>
        <v>26790.74</v>
      </c>
      <c r="Q304" s="43">
        <f t="shared" si="86"/>
        <v>33886.120000000003</v>
      </c>
      <c r="R304" s="43">
        <f t="shared" si="87"/>
        <v>-7095.380000000001</v>
      </c>
      <c r="S304" s="44">
        <f t="shared" si="88"/>
        <v>-0.26484449477692668</v>
      </c>
      <c r="T304" s="39" t="str">
        <f t="shared" si="89"/>
        <v>Loss</v>
      </c>
      <c r="U304" s="39" t="str">
        <f t="shared" si="90"/>
        <v>20%+</v>
      </c>
      <c r="V304" s="39" t="str">
        <f>IF(E304&gt;=Analysis!$B$4,"High",IF(E304&gt;=Analysis!$B$5,"Mid","Low"))</f>
        <v>High</v>
      </c>
      <c r="W304" s="39" t="str">
        <f t="shared" si="91"/>
        <v>2023-03</v>
      </c>
      <c r="X304" s="40">
        <f t="shared" si="92"/>
        <v>45016</v>
      </c>
      <c r="Y304" s="39" t="str">
        <f t="shared" si="93"/>
        <v>2023-Q1</v>
      </c>
      <c r="Z304" s="39" t="str">
        <f t="shared" si="94"/>
        <v>Sun</v>
      </c>
      <c r="AA304" s="39">
        <f t="shared" si="95"/>
        <v>7</v>
      </c>
      <c r="AB304" s="39">
        <f t="shared" si="96"/>
        <v>12</v>
      </c>
      <c r="AC304" s="39" t="str">
        <f t="shared" si="97"/>
        <v>Weekend</v>
      </c>
      <c r="AD304" s="39">
        <f t="shared" ca="1" si="98"/>
        <v>1315</v>
      </c>
      <c r="AE304" s="39">
        <f t="shared" ca="1" si="99"/>
        <v>43</v>
      </c>
      <c r="AF304" s="39" t="str">
        <f t="shared" si="100"/>
        <v>EVE</v>
      </c>
      <c r="AG304" s="39" t="str">
        <f t="shared" si="101"/>
        <v>WR-230319-0303</v>
      </c>
      <c r="AH304" s="39">
        <f>IF(AND(OR(Filter!$B$4="All",D304=Filter!$B$4),OR(Filter!$B$5="All",M304=Filter!$B$5),E304&gt;=Filter!$B$6),MAX(AH$1:AH303)+1,"")</f>
        <v>34</v>
      </c>
      <c r="AI304" s="39">
        <f t="shared" si="102"/>
        <v>19</v>
      </c>
      <c r="AJ304" s="42">
        <f t="shared" si="103"/>
        <v>0.27</v>
      </c>
      <c r="AK304" s="41">
        <f t="shared" si="104"/>
        <v>1931.56</v>
      </c>
      <c r="AL304" s="39">
        <f>RANK(E304,$E$2:$E$1001,0)+COUNTIF($E$2:E304,E304)-1</f>
        <v>66</v>
      </c>
    </row>
    <row r="305" spans="1:38" x14ac:dyDescent="0.2">
      <c r="A305" s="39">
        <v>1024</v>
      </c>
      <c r="B305" s="40">
        <v>45101</v>
      </c>
      <c r="C305" s="39" t="s">
        <v>61</v>
      </c>
      <c r="D305" s="39" t="s">
        <v>64</v>
      </c>
      <c r="E305" s="41">
        <v>8292.31</v>
      </c>
      <c r="F305" s="39">
        <v>43</v>
      </c>
      <c r="G305" s="39" t="s">
        <v>60</v>
      </c>
      <c r="H305" s="41">
        <v>3105.24</v>
      </c>
      <c r="I305" s="41">
        <v>3246.33</v>
      </c>
      <c r="J305" s="39" t="s">
        <v>143</v>
      </c>
      <c r="K305" s="42">
        <v>0.25</v>
      </c>
      <c r="L305" s="39" t="s">
        <v>68</v>
      </c>
      <c r="M305" s="39" t="s">
        <v>138</v>
      </c>
      <c r="N305" s="39" t="s">
        <v>156</v>
      </c>
      <c r="O305" s="43">
        <f t="shared" si="84"/>
        <v>139592.19</v>
      </c>
      <c r="P305" s="43">
        <f t="shared" si="85"/>
        <v>104694.14</v>
      </c>
      <c r="Q305" s="43">
        <f t="shared" si="86"/>
        <v>133525.32</v>
      </c>
      <c r="R305" s="43">
        <f t="shared" si="87"/>
        <v>-28831.180000000008</v>
      </c>
      <c r="S305" s="44">
        <f t="shared" si="88"/>
        <v>-0.27538484962004567</v>
      </c>
      <c r="T305" s="39" t="str">
        <f t="shared" si="89"/>
        <v>Loss</v>
      </c>
      <c r="U305" s="39" t="str">
        <f t="shared" si="90"/>
        <v>20%+</v>
      </c>
      <c r="V305" s="39" t="str">
        <f>IF(E305&gt;=Analysis!$B$4,"High",IF(E305&gt;=Analysis!$B$5,"Mid","Low"))</f>
        <v>High</v>
      </c>
      <c r="W305" s="39" t="str">
        <f t="shared" si="91"/>
        <v>2023-06</v>
      </c>
      <c r="X305" s="40">
        <f t="shared" si="92"/>
        <v>45107</v>
      </c>
      <c r="Y305" s="39" t="str">
        <f t="shared" si="93"/>
        <v>2023-Q2</v>
      </c>
      <c r="Z305" s="39" t="str">
        <f t="shared" si="94"/>
        <v>Sat</v>
      </c>
      <c r="AA305" s="39">
        <f t="shared" si="95"/>
        <v>6</v>
      </c>
      <c r="AB305" s="39">
        <f t="shared" si="96"/>
        <v>26</v>
      </c>
      <c r="AC305" s="39" t="str">
        <f t="shared" si="97"/>
        <v>Weekend</v>
      </c>
      <c r="AD305" s="39">
        <f t="shared" ca="1" si="98"/>
        <v>1218</v>
      </c>
      <c r="AE305" s="39">
        <f t="shared" ca="1" si="99"/>
        <v>40</v>
      </c>
      <c r="AF305" s="39" t="str">
        <f t="shared" si="100"/>
        <v>ALI</v>
      </c>
      <c r="AG305" s="39" t="str">
        <f t="shared" si="101"/>
        <v>NO-230624-0304</v>
      </c>
      <c r="AH305" s="39" t="str">
        <f>IF(AND(OR(Filter!$B$4="All",D305=Filter!$B$4),OR(Filter!$B$5="All",M305=Filter!$B$5),E305&gt;=Filter!$B$6),MAX(AH$1:AH304)+1,"")</f>
        <v/>
      </c>
      <c r="AI305" s="39">
        <f t="shared" si="102"/>
        <v>43</v>
      </c>
      <c r="AJ305" s="42">
        <f t="shared" si="103"/>
        <v>0.25</v>
      </c>
      <c r="AK305" s="41">
        <f t="shared" si="104"/>
        <v>3246.33</v>
      </c>
      <c r="AL305" s="39">
        <f>RANK(E305,$E$2:$E$1001,0)+COUNTIF($E$2:E305,E305)-1</f>
        <v>162</v>
      </c>
    </row>
    <row r="306" spans="1:38" x14ac:dyDescent="0.2">
      <c r="A306" s="39">
        <v>1054</v>
      </c>
      <c r="B306" s="40">
        <v>45120</v>
      </c>
      <c r="C306" s="39" t="s">
        <v>61</v>
      </c>
      <c r="D306" s="39" t="s">
        <v>69</v>
      </c>
      <c r="E306" s="41">
        <v>7002.37</v>
      </c>
      <c r="F306" s="39">
        <v>47</v>
      </c>
      <c r="G306" s="39" t="s">
        <v>70</v>
      </c>
      <c r="H306" s="41">
        <v>4429.8</v>
      </c>
      <c r="I306" s="41">
        <v>4694.21</v>
      </c>
      <c r="J306" s="39" t="s">
        <v>143</v>
      </c>
      <c r="K306" s="42">
        <v>0.25</v>
      </c>
      <c r="L306" s="39" t="s">
        <v>63</v>
      </c>
      <c r="M306" s="39" t="s">
        <v>138</v>
      </c>
      <c r="N306" s="39" t="s">
        <v>150</v>
      </c>
      <c r="O306" s="43">
        <f t="shared" si="84"/>
        <v>220627.87</v>
      </c>
      <c r="P306" s="43">
        <f t="shared" si="85"/>
        <v>165470.9</v>
      </c>
      <c r="Q306" s="43">
        <f t="shared" si="86"/>
        <v>208200.6</v>
      </c>
      <c r="R306" s="43">
        <f t="shared" si="87"/>
        <v>-42729.700000000012</v>
      </c>
      <c r="S306" s="44">
        <f t="shared" si="88"/>
        <v>-0.25823090343981941</v>
      </c>
      <c r="T306" s="39" t="str">
        <f t="shared" si="89"/>
        <v>Loss</v>
      </c>
      <c r="U306" s="39" t="str">
        <f t="shared" si="90"/>
        <v>20%+</v>
      </c>
      <c r="V306" s="39" t="str">
        <f>IF(E306&gt;=Analysis!$B$4,"High",IF(E306&gt;=Analysis!$B$5,"Mid","Low"))</f>
        <v>Mid</v>
      </c>
      <c r="W306" s="39" t="str">
        <f t="shared" si="91"/>
        <v>2023-07</v>
      </c>
      <c r="X306" s="40">
        <f t="shared" si="92"/>
        <v>45138</v>
      </c>
      <c r="Y306" s="39" t="str">
        <f t="shared" si="93"/>
        <v>2023-Q3</v>
      </c>
      <c r="Z306" s="39" t="str">
        <f t="shared" si="94"/>
        <v>Thu</v>
      </c>
      <c r="AA306" s="39">
        <f t="shared" si="95"/>
        <v>4</v>
      </c>
      <c r="AB306" s="39">
        <f t="shared" si="96"/>
        <v>29</v>
      </c>
      <c r="AC306" s="39" t="str">
        <f t="shared" si="97"/>
        <v>Weekday</v>
      </c>
      <c r="AD306" s="39">
        <f t="shared" ca="1" si="98"/>
        <v>1199</v>
      </c>
      <c r="AE306" s="39">
        <f t="shared" ca="1" si="99"/>
        <v>39</v>
      </c>
      <c r="AF306" s="39" t="str">
        <f t="shared" si="100"/>
        <v>ALI</v>
      </c>
      <c r="AG306" s="39" t="str">
        <f t="shared" si="101"/>
        <v>SO-230713-0305</v>
      </c>
      <c r="AH306" s="39" t="str">
        <f>IF(AND(OR(Filter!$B$4="All",D306=Filter!$B$4),OR(Filter!$B$5="All",M306=Filter!$B$5),E306&gt;=Filter!$B$6),MAX(AH$1:AH305)+1,"")</f>
        <v/>
      </c>
      <c r="AI306" s="39">
        <f t="shared" si="102"/>
        <v>47</v>
      </c>
      <c r="AJ306" s="42">
        <f t="shared" si="103"/>
        <v>0.25</v>
      </c>
      <c r="AK306" s="41">
        <f t="shared" si="104"/>
        <v>4694.21</v>
      </c>
      <c r="AL306" s="39">
        <f>RANK(E306,$E$2:$E$1001,0)+COUNTIF($E$2:E306,E306)-1</f>
        <v>301</v>
      </c>
    </row>
    <row r="307" spans="1:38" x14ac:dyDescent="0.2">
      <c r="A307" s="39">
        <v>1033</v>
      </c>
      <c r="B307" s="40">
        <v>45039</v>
      </c>
      <c r="C307" s="39" t="s">
        <v>71</v>
      </c>
      <c r="D307" s="39" t="s">
        <v>59</v>
      </c>
      <c r="E307" s="41">
        <v>7171.83</v>
      </c>
      <c r="F307" s="39">
        <v>44</v>
      </c>
      <c r="G307" s="39" t="s">
        <v>65</v>
      </c>
      <c r="H307" s="41">
        <v>1195.22</v>
      </c>
      <c r="I307" s="41">
        <v>1320.06</v>
      </c>
      <c r="J307" s="39" t="s">
        <v>137</v>
      </c>
      <c r="K307" s="42">
        <v>0.23</v>
      </c>
      <c r="L307" s="39" t="s">
        <v>63</v>
      </c>
      <c r="M307" s="39" t="s">
        <v>140</v>
      </c>
      <c r="N307" s="39" t="s">
        <v>145</v>
      </c>
      <c r="O307" s="43">
        <f t="shared" si="84"/>
        <v>58082.64</v>
      </c>
      <c r="P307" s="43">
        <f t="shared" si="85"/>
        <v>44723.63</v>
      </c>
      <c r="Q307" s="43">
        <f t="shared" si="86"/>
        <v>52589.68</v>
      </c>
      <c r="R307" s="43">
        <f t="shared" si="87"/>
        <v>-7866.0500000000029</v>
      </c>
      <c r="S307" s="44">
        <f t="shared" si="88"/>
        <v>-0.17588129586082354</v>
      </c>
      <c r="T307" s="39" t="str">
        <f t="shared" si="89"/>
        <v>Loss</v>
      </c>
      <c r="U307" s="39" t="str">
        <f t="shared" si="90"/>
        <v>20%+</v>
      </c>
      <c r="V307" s="39" t="str">
        <f>IF(E307&gt;=Analysis!$B$4,"High",IF(E307&gt;=Analysis!$B$5,"Mid","Low"))</f>
        <v>Mid</v>
      </c>
      <c r="W307" s="39" t="str">
        <f t="shared" si="91"/>
        <v>2023-04</v>
      </c>
      <c r="X307" s="40">
        <f t="shared" si="92"/>
        <v>45046</v>
      </c>
      <c r="Y307" s="39" t="str">
        <f t="shared" si="93"/>
        <v>2023-Q2</v>
      </c>
      <c r="Z307" s="39" t="str">
        <f t="shared" si="94"/>
        <v>Sun</v>
      </c>
      <c r="AA307" s="39">
        <f t="shared" si="95"/>
        <v>7</v>
      </c>
      <c r="AB307" s="39">
        <f t="shared" si="96"/>
        <v>17</v>
      </c>
      <c r="AC307" s="39" t="str">
        <f t="shared" si="97"/>
        <v>Weekend</v>
      </c>
      <c r="AD307" s="39">
        <f t="shared" ca="1" si="98"/>
        <v>1280</v>
      </c>
      <c r="AE307" s="39">
        <f t="shared" ca="1" si="99"/>
        <v>42</v>
      </c>
      <c r="AF307" s="39" t="str">
        <f t="shared" si="100"/>
        <v>CHA</v>
      </c>
      <c r="AG307" s="39" t="str">
        <f t="shared" si="101"/>
        <v>ER-230423-0306</v>
      </c>
      <c r="AH307" s="39" t="str">
        <f>IF(AND(OR(Filter!$B$4="All",D307=Filter!$B$4),OR(Filter!$B$5="All",M307=Filter!$B$5),E307&gt;=Filter!$B$6),MAX(AH$1:AH306)+1,"")</f>
        <v/>
      </c>
      <c r="AI307" s="39">
        <f t="shared" si="102"/>
        <v>44</v>
      </c>
      <c r="AJ307" s="42">
        <f t="shared" si="103"/>
        <v>0.23</v>
      </c>
      <c r="AK307" s="41">
        <f t="shared" si="104"/>
        <v>1320.06</v>
      </c>
      <c r="AL307" s="39">
        <f>RANK(E307,$E$2:$E$1001,0)+COUNTIF($E$2:E307,E307)-1</f>
        <v>281</v>
      </c>
    </row>
    <row r="308" spans="1:38" x14ac:dyDescent="0.2">
      <c r="A308" s="39">
        <v>1024</v>
      </c>
      <c r="B308" s="40">
        <v>45040</v>
      </c>
      <c r="C308" s="39" t="s">
        <v>76</v>
      </c>
      <c r="D308" s="39" t="s">
        <v>64</v>
      </c>
      <c r="E308" s="41">
        <v>4670.99</v>
      </c>
      <c r="F308" s="39">
        <v>35</v>
      </c>
      <c r="G308" s="39" t="s">
        <v>75</v>
      </c>
      <c r="H308" s="41">
        <v>2051</v>
      </c>
      <c r="I308" s="41">
        <v>2121.5500000000002</v>
      </c>
      <c r="J308" s="39" t="s">
        <v>137</v>
      </c>
      <c r="K308" s="42">
        <v>0.26</v>
      </c>
      <c r="L308" s="39" t="s">
        <v>68</v>
      </c>
      <c r="M308" s="39" t="s">
        <v>140</v>
      </c>
      <c r="N308" s="39" t="s">
        <v>152</v>
      </c>
      <c r="O308" s="43">
        <f t="shared" si="84"/>
        <v>74254.25</v>
      </c>
      <c r="P308" s="43">
        <f t="shared" si="85"/>
        <v>54948.15</v>
      </c>
      <c r="Q308" s="43">
        <f t="shared" si="86"/>
        <v>71785</v>
      </c>
      <c r="R308" s="43">
        <f t="shared" si="87"/>
        <v>-16836.849999999999</v>
      </c>
      <c r="S308" s="44">
        <f t="shared" si="88"/>
        <v>-0.3064134097326297</v>
      </c>
      <c r="T308" s="39" t="str">
        <f t="shared" si="89"/>
        <v>Loss</v>
      </c>
      <c r="U308" s="39" t="str">
        <f t="shared" si="90"/>
        <v>20%+</v>
      </c>
      <c r="V308" s="39" t="str">
        <f>IF(E308&gt;=Analysis!$B$4,"High",IF(E308&gt;=Analysis!$B$5,"Mid","Low"))</f>
        <v>Mid</v>
      </c>
      <c r="W308" s="39" t="str">
        <f t="shared" si="91"/>
        <v>2023-04</v>
      </c>
      <c r="X308" s="40">
        <f t="shared" si="92"/>
        <v>45046</v>
      </c>
      <c r="Y308" s="39" t="str">
        <f t="shared" si="93"/>
        <v>2023-Q2</v>
      </c>
      <c r="Z308" s="39" t="str">
        <f t="shared" si="94"/>
        <v>Mon</v>
      </c>
      <c r="AA308" s="39">
        <f t="shared" si="95"/>
        <v>1</v>
      </c>
      <c r="AB308" s="39">
        <f t="shared" si="96"/>
        <v>18</v>
      </c>
      <c r="AC308" s="39" t="str">
        <f t="shared" si="97"/>
        <v>Weekday</v>
      </c>
      <c r="AD308" s="39">
        <f t="shared" ca="1" si="98"/>
        <v>1279</v>
      </c>
      <c r="AE308" s="39">
        <f t="shared" ca="1" si="99"/>
        <v>42</v>
      </c>
      <c r="AF308" s="39" t="str">
        <f t="shared" si="100"/>
        <v>DAV</v>
      </c>
      <c r="AG308" s="39" t="str">
        <f t="shared" si="101"/>
        <v>NR-230424-0307</v>
      </c>
      <c r="AH308" s="39" t="str">
        <f>IF(AND(OR(Filter!$B$4="All",D308=Filter!$B$4),OR(Filter!$B$5="All",M308=Filter!$B$5),E308&gt;=Filter!$B$6),MAX(AH$1:AH307)+1,"")</f>
        <v/>
      </c>
      <c r="AI308" s="39">
        <f t="shared" si="102"/>
        <v>35</v>
      </c>
      <c r="AJ308" s="42">
        <f t="shared" si="103"/>
        <v>0.26</v>
      </c>
      <c r="AK308" s="41">
        <f t="shared" si="104"/>
        <v>2121.5500000000002</v>
      </c>
      <c r="AL308" s="39">
        <f>RANK(E308,$E$2:$E$1001,0)+COUNTIF($E$2:E308,E308)-1</f>
        <v>532</v>
      </c>
    </row>
    <row r="309" spans="1:38" x14ac:dyDescent="0.2">
      <c r="A309" s="39">
        <v>1075</v>
      </c>
      <c r="B309" s="40">
        <v>45148</v>
      </c>
      <c r="C309" s="39" t="s">
        <v>71</v>
      </c>
      <c r="D309" s="39" t="s">
        <v>64</v>
      </c>
      <c r="E309" s="41">
        <v>9217.85</v>
      </c>
      <c r="F309" s="39">
        <v>17</v>
      </c>
      <c r="G309" s="39" t="s">
        <v>65</v>
      </c>
      <c r="H309" s="41">
        <v>4966.66</v>
      </c>
      <c r="I309" s="41">
        <v>5037.2700000000004</v>
      </c>
      <c r="J309" s="39" t="s">
        <v>137</v>
      </c>
      <c r="K309" s="42">
        <v>0.24</v>
      </c>
      <c r="L309" s="39" t="s">
        <v>63</v>
      </c>
      <c r="M309" s="39" t="s">
        <v>140</v>
      </c>
      <c r="N309" s="39" t="s">
        <v>160</v>
      </c>
      <c r="O309" s="43">
        <f t="shared" si="84"/>
        <v>85633.59</v>
      </c>
      <c r="P309" s="43">
        <f t="shared" si="85"/>
        <v>65081.53</v>
      </c>
      <c r="Q309" s="43">
        <f t="shared" si="86"/>
        <v>84433.22</v>
      </c>
      <c r="R309" s="43">
        <f t="shared" si="87"/>
        <v>-19351.690000000002</v>
      </c>
      <c r="S309" s="44">
        <f t="shared" si="88"/>
        <v>-0.29734534513862848</v>
      </c>
      <c r="T309" s="39" t="str">
        <f t="shared" si="89"/>
        <v>Loss</v>
      </c>
      <c r="U309" s="39" t="str">
        <f t="shared" si="90"/>
        <v>20%+</v>
      </c>
      <c r="V309" s="39" t="str">
        <f>IF(E309&gt;=Analysis!$B$4,"High",IF(E309&gt;=Analysis!$B$5,"Mid","Low"))</f>
        <v>High</v>
      </c>
      <c r="W309" s="39" t="str">
        <f t="shared" si="91"/>
        <v>2023-08</v>
      </c>
      <c r="X309" s="40">
        <f t="shared" si="92"/>
        <v>45169</v>
      </c>
      <c r="Y309" s="39" t="str">
        <f t="shared" si="93"/>
        <v>2023-Q3</v>
      </c>
      <c r="Z309" s="39" t="str">
        <f t="shared" si="94"/>
        <v>Thu</v>
      </c>
      <c r="AA309" s="39">
        <f t="shared" si="95"/>
        <v>4</v>
      </c>
      <c r="AB309" s="39">
        <f t="shared" si="96"/>
        <v>33</v>
      </c>
      <c r="AC309" s="39" t="str">
        <f t="shared" si="97"/>
        <v>Weekday</v>
      </c>
      <c r="AD309" s="39">
        <f t="shared" ca="1" si="98"/>
        <v>1171</v>
      </c>
      <c r="AE309" s="39">
        <f t="shared" ca="1" si="99"/>
        <v>38</v>
      </c>
      <c r="AF309" s="39" t="str">
        <f t="shared" si="100"/>
        <v>CHA</v>
      </c>
      <c r="AG309" s="39" t="str">
        <f t="shared" si="101"/>
        <v>NR-230810-0308</v>
      </c>
      <c r="AH309" s="39">
        <f>IF(AND(OR(Filter!$B$4="All",D309=Filter!$B$4),OR(Filter!$B$5="All",M309=Filter!$B$5),E309&gt;=Filter!$B$6),MAX(AH$1:AH308)+1,"")</f>
        <v>35</v>
      </c>
      <c r="AI309" s="39">
        <f t="shared" si="102"/>
        <v>17</v>
      </c>
      <c r="AJ309" s="42">
        <f t="shared" si="103"/>
        <v>0.24</v>
      </c>
      <c r="AK309" s="41">
        <f t="shared" si="104"/>
        <v>5037.2700000000004</v>
      </c>
      <c r="AL309" s="39">
        <f>RANK(E309,$E$2:$E$1001,0)+COUNTIF($E$2:E309,E309)-1</f>
        <v>74</v>
      </c>
    </row>
    <row r="310" spans="1:38" x14ac:dyDescent="0.2">
      <c r="A310" s="39">
        <v>1072</v>
      </c>
      <c r="B310" s="40">
        <v>45092</v>
      </c>
      <c r="C310" s="39" t="s">
        <v>76</v>
      </c>
      <c r="D310" s="39" t="s">
        <v>64</v>
      </c>
      <c r="E310" s="41">
        <v>6976.49</v>
      </c>
      <c r="F310" s="39">
        <v>35</v>
      </c>
      <c r="G310" s="39" t="s">
        <v>65</v>
      </c>
      <c r="H310" s="41">
        <v>4349.3599999999997</v>
      </c>
      <c r="I310" s="41">
        <v>4645.17</v>
      </c>
      <c r="J310" s="39" t="s">
        <v>137</v>
      </c>
      <c r="K310" s="42">
        <v>0.18</v>
      </c>
      <c r="L310" s="39" t="s">
        <v>73</v>
      </c>
      <c r="M310" s="39" t="s">
        <v>140</v>
      </c>
      <c r="N310" s="39" t="s">
        <v>152</v>
      </c>
      <c r="O310" s="43">
        <f t="shared" si="84"/>
        <v>162580.95000000001</v>
      </c>
      <c r="P310" s="43">
        <f t="shared" si="85"/>
        <v>133316.38</v>
      </c>
      <c r="Q310" s="43">
        <f t="shared" si="86"/>
        <v>152227.6</v>
      </c>
      <c r="R310" s="43">
        <f t="shared" si="87"/>
        <v>-18911.22</v>
      </c>
      <c r="S310" s="44">
        <f t="shared" si="88"/>
        <v>-0.14185218650551418</v>
      </c>
      <c r="T310" s="39" t="str">
        <f t="shared" si="89"/>
        <v>Loss</v>
      </c>
      <c r="U310" s="39" t="str">
        <f t="shared" si="90"/>
        <v>10-19%</v>
      </c>
      <c r="V310" s="39" t="str">
        <f>IF(E310&gt;=Analysis!$B$4,"High",IF(E310&gt;=Analysis!$B$5,"Mid","Low"))</f>
        <v>Mid</v>
      </c>
      <c r="W310" s="39" t="str">
        <f t="shared" si="91"/>
        <v>2023-06</v>
      </c>
      <c r="X310" s="40">
        <f t="shared" si="92"/>
        <v>45107</v>
      </c>
      <c r="Y310" s="39" t="str">
        <f t="shared" si="93"/>
        <v>2023-Q2</v>
      </c>
      <c r="Z310" s="39" t="str">
        <f t="shared" si="94"/>
        <v>Thu</v>
      </c>
      <c r="AA310" s="39">
        <f t="shared" si="95"/>
        <v>4</v>
      </c>
      <c r="AB310" s="39">
        <f t="shared" si="96"/>
        <v>25</v>
      </c>
      <c r="AC310" s="39" t="str">
        <f t="shared" si="97"/>
        <v>Weekday</v>
      </c>
      <c r="AD310" s="39">
        <f t="shared" ca="1" si="98"/>
        <v>1227</v>
      </c>
      <c r="AE310" s="39">
        <f t="shared" ca="1" si="99"/>
        <v>40</v>
      </c>
      <c r="AF310" s="39" t="str">
        <f t="shared" si="100"/>
        <v>DAV</v>
      </c>
      <c r="AG310" s="39" t="str">
        <f t="shared" si="101"/>
        <v>NR-230615-0309</v>
      </c>
      <c r="AH310" s="39" t="str">
        <f>IF(AND(OR(Filter!$B$4="All",D310=Filter!$B$4),OR(Filter!$B$5="All",M310=Filter!$B$5),E310&gt;=Filter!$B$6),MAX(AH$1:AH309)+1,"")</f>
        <v/>
      </c>
      <c r="AI310" s="39">
        <f t="shared" si="102"/>
        <v>35</v>
      </c>
      <c r="AJ310" s="42">
        <f t="shared" si="103"/>
        <v>0.18</v>
      </c>
      <c r="AK310" s="41">
        <f t="shared" si="104"/>
        <v>4645.17</v>
      </c>
      <c r="AL310" s="39">
        <f>RANK(E310,$E$2:$E$1001,0)+COUNTIF($E$2:E310,E310)-1</f>
        <v>306</v>
      </c>
    </row>
    <row r="311" spans="1:38" x14ac:dyDescent="0.2">
      <c r="A311" s="39">
        <v>1036</v>
      </c>
      <c r="B311" s="40">
        <v>45245</v>
      </c>
      <c r="C311" s="39" t="s">
        <v>66</v>
      </c>
      <c r="D311" s="39" t="s">
        <v>74</v>
      </c>
      <c r="E311" s="41">
        <v>7316.91</v>
      </c>
      <c r="F311" s="39">
        <v>19</v>
      </c>
      <c r="G311" s="39" t="s">
        <v>75</v>
      </c>
      <c r="H311" s="41">
        <v>2844.97</v>
      </c>
      <c r="I311" s="41">
        <v>3215</v>
      </c>
      <c r="J311" s="39" t="s">
        <v>137</v>
      </c>
      <c r="K311" s="42">
        <v>0.09</v>
      </c>
      <c r="L311" s="39" t="s">
        <v>73</v>
      </c>
      <c r="M311" s="39" t="s">
        <v>140</v>
      </c>
      <c r="N311" s="39" t="s">
        <v>141</v>
      </c>
      <c r="O311" s="43">
        <f t="shared" si="84"/>
        <v>61085</v>
      </c>
      <c r="P311" s="43">
        <f t="shared" si="85"/>
        <v>55587.35</v>
      </c>
      <c r="Q311" s="43">
        <f t="shared" si="86"/>
        <v>54054.43</v>
      </c>
      <c r="R311" s="43">
        <f t="shared" si="87"/>
        <v>1532.9199999999983</v>
      </c>
      <c r="S311" s="44">
        <f t="shared" si="88"/>
        <v>2.7576777810059273E-2</v>
      </c>
      <c r="T311" s="39" t="str">
        <f t="shared" si="89"/>
        <v>OK</v>
      </c>
      <c r="U311" s="39" t="str">
        <f t="shared" si="90"/>
        <v>0-9%</v>
      </c>
      <c r="V311" s="39" t="str">
        <f>IF(E311&gt;=Analysis!$B$4,"High",IF(E311&gt;=Analysis!$B$5,"Mid","Low"))</f>
        <v>Mid</v>
      </c>
      <c r="W311" s="39" t="str">
        <f t="shared" si="91"/>
        <v>2023-11</v>
      </c>
      <c r="X311" s="40">
        <f t="shared" si="92"/>
        <v>45260</v>
      </c>
      <c r="Y311" s="39" t="str">
        <f t="shared" si="93"/>
        <v>2023-Q4</v>
      </c>
      <c r="Z311" s="39" t="str">
        <f t="shared" si="94"/>
        <v>Wed</v>
      </c>
      <c r="AA311" s="39">
        <f t="shared" si="95"/>
        <v>3</v>
      </c>
      <c r="AB311" s="39">
        <f t="shared" si="96"/>
        <v>47</v>
      </c>
      <c r="AC311" s="39" t="str">
        <f t="shared" si="97"/>
        <v>Weekday</v>
      </c>
      <c r="AD311" s="39">
        <f t="shared" ca="1" si="98"/>
        <v>1074</v>
      </c>
      <c r="AE311" s="39">
        <f t="shared" ca="1" si="99"/>
        <v>35</v>
      </c>
      <c r="AF311" s="39" t="str">
        <f t="shared" si="100"/>
        <v>BOB</v>
      </c>
      <c r="AG311" s="39" t="str">
        <f t="shared" si="101"/>
        <v>WR-231115-0310</v>
      </c>
      <c r="AH311" s="39" t="str">
        <f>IF(AND(OR(Filter!$B$4="All",D311=Filter!$B$4),OR(Filter!$B$5="All",M311=Filter!$B$5),E311&gt;=Filter!$B$6),MAX(AH$1:AH310)+1,"")</f>
        <v/>
      </c>
      <c r="AI311" s="39">
        <f t="shared" si="102"/>
        <v>19</v>
      </c>
      <c r="AJ311" s="42">
        <f t="shared" si="103"/>
        <v>0.09</v>
      </c>
      <c r="AK311" s="41">
        <f t="shared" si="104"/>
        <v>3215</v>
      </c>
      <c r="AL311" s="39">
        <f>RANK(E311,$E$2:$E$1001,0)+COUNTIF($E$2:E311,E311)-1</f>
        <v>268</v>
      </c>
    </row>
    <row r="312" spans="1:38" x14ac:dyDescent="0.2">
      <c r="A312" s="39">
        <v>1038</v>
      </c>
      <c r="B312" s="40">
        <v>45058</v>
      </c>
      <c r="C312" s="39" t="s">
        <v>66</v>
      </c>
      <c r="D312" s="39" t="s">
        <v>69</v>
      </c>
      <c r="E312" s="41">
        <v>8630.74</v>
      </c>
      <c r="F312" s="39">
        <v>20</v>
      </c>
      <c r="G312" s="39" t="s">
        <v>60</v>
      </c>
      <c r="H312" s="41">
        <v>2607.31</v>
      </c>
      <c r="I312" s="41">
        <v>2774.86</v>
      </c>
      <c r="J312" s="39" t="s">
        <v>143</v>
      </c>
      <c r="K312" s="42">
        <v>0.27</v>
      </c>
      <c r="L312" s="39" t="s">
        <v>73</v>
      </c>
      <c r="M312" s="39" t="s">
        <v>140</v>
      </c>
      <c r="N312" s="39" t="s">
        <v>144</v>
      </c>
      <c r="O312" s="43">
        <f t="shared" si="84"/>
        <v>55497.2</v>
      </c>
      <c r="P312" s="43">
        <f t="shared" si="85"/>
        <v>40512.959999999999</v>
      </c>
      <c r="Q312" s="43">
        <f t="shared" si="86"/>
        <v>52146.2</v>
      </c>
      <c r="R312" s="43">
        <f t="shared" si="87"/>
        <v>-11633.239999999998</v>
      </c>
      <c r="S312" s="44">
        <f t="shared" si="88"/>
        <v>-0.28714860627315303</v>
      </c>
      <c r="T312" s="39" t="str">
        <f t="shared" si="89"/>
        <v>Loss</v>
      </c>
      <c r="U312" s="39" t="str">
        <f t="shared" si="90"/>
        <v>20%+</v>
      </c>
      <c r="V312" s="39" t="str">
        <f>IF(E312&gt;=Analysis!$B$4,"High",IF(E312&gt;=Analysis!$B$5,"Mid","Low"))</f>
        <v>High</v>
      </c>
      <c r="W312" s="39" t="str">
        <f t="shared" si="91"/>
        <v>2023-05</v>
      </c>
      <c r="X312" s="40">
        <f t="shared" si="92"/>
        <v>45077</v>
      </c>
      <c r="Y312" s="39" t="str">
        <f t="shared" si="93"/>
        <v>2023-Q2</v>
      </c>
      <c r="Z312" s="39" t="str">
        <f t="shared" si="94"/>
        <v>Fri</v>
      </c>
      <c r="AA312" s="39">
        <f t="shared" si="95"/>
        <v>5</v>
      </c>
      <c r="AB312" s="39">
        <f t="shared" si="96"/>
        <v>20</v>
      </c>
      <c r="AC312" s="39" t="str">
        <f t="shared" si="97"/>
        <v>Weekday</v>
      </c>
      <c r="AD312" s="39">
        <f t="shared" ca="1" si="98"/>
        <v>1261</v>
      </c>
      <c r="AE312" s="39">
        <f t="shared" ca="1" si="99"/>
        <v>41</v>
      </c>
      <c r="AF312" s="39" t="str">
        <f t="shared" si="100"/>
        <v>BOB</v>
      </c>
      <c r="AG312" s="39" t="str">
        <f t="shared" si="101"/>
        <v>SR-230512-0311</v>
      </c>
      <c r="AH312" s="39" t="str">
        <f>IF(AND(OR(Filter!$B$4="All",D312=Filter!$B$4),OR(Filter!$B$5="All",M312=Filter!$B$5),E312&gt;=Filter!$B$6),MAX(AH$1:AH311)+1,"")</f>
        <v/>
      </c>
      <c r="AI312" s="39">
        <f t="shared" si="102"/>
        <v>20</v>
      </c>
      <c r="AJ312" s="42">
        <f t="shared" si="103"/>
        <v>0.27</v>
      </c>
      <c r="AK312" s="41">
        <f t="shared" si="104"/>
        <v>2774.86</v>
      </c>
      <c r="AL312" s="39">
        <f>RANK(E312,$E$2:$E$1001,0)+COUNTIF($E$2:E312,E312)-1</f>
        <v>129</v>
      </c>
    </row>
    <row r="313" spans="1:38" x14ac:dyDescent="0.2">
      <c r="A313" s="39">
        <v>1084</v>
      </c>
      <c r="B313" s="40">
        <v>45190</v>
      </c>
      <c r="C313" s="39" t="s">
        <v>79</v>
      </c>
      <c r="D313" s="39" t="s">
        <v>69</v>
      </c>
      <c r="E313" s="41">
        <v>2813.31</v>
      </c>
      <c r="F313" s="39">
        <v>36</v>
      </c>
      <c r="G313" s="39" t="s">
        <v>75</v>
      </c>
      <c r="H313" s="41">
        <v>1458.77</v>
      </c>
      <c r="I313" s="41">
        <v>1485.75</v>
      </c>
      <c r="J313" s="39" t="s">
        <v>143</v>
      </c>
      <c r="K313" s="42">
        <v>0.25</v>
      </c>
      <c r="L313" s="39" t="s">
        <v>73</v>
      </c>
      <c r="M313" s="39" t="s">
        <v>138</v>
      </c>
      <c r="N313" s="39" t="s">
        <v>147</v>
      </c>
      <c r="O313" s="43">
        <f t="shared" si="84"/>
        <v>53487</v>
      </c>
      <c r="P313" s="43">
        <f t="shared" si="85"/>
        <v>40115.25</v>
      </c>
      <c r="Q313" s="43">
        <f t="shared" si="86"/>
        <v>52515.72</v>
      </c>
      <c r="R313" s="43">
        <f t="shared" si="87"/>
        <v>-12400.470000000001</v>
      </c>
      <c r="S313" s="44">
        <f t="shared" si="88"/>
        <v>-0.30912109484547651</v>
      </c>
      <c r="T313" s="39" t="str">
        <f t="shared" si="89"/>
        <v>Loss</v>
      </c>
      <c r="U313" s="39" t="str">
        <f t="shared" si="90"/>
        <v>20%+</v>
      </c>
      <c r="V313" s="39" t="str">
        <f>IF(E313&gt;=Analysis!$B$4,"High",IF(E313&gt;=Analysis!$B$5,"Mid","Low"))</f>
        <v>Mid</v>
      </c>
      <c r="W313" s="39" t="str">
        <f t="shared" si="91"/>
        <v>2023-09</v>
      </c>
      <c r="X313" s="40">
        <f t="shared" si="92"/>
        <v>45199</v>
      </c>
      <c r="Y313" s="39" t="str">
        <f t="shared" si="93"/>
        <v>2023-Q3</v>
      </c>
      <c r="Z313" s="39" t="str">
        <f t="shared" si="94"/>
        <v>Thu</v>
      </c>
      <c r="AA313" s="39">
        <f t="shared" si="95"/>
        <v>4</v>
      </c>
      <c r="AB313" s="39">
        <f t="shared" si="96"/>
        <v>39</v>
      </c>
      <c r="AC313" s="39" t="str">
        <f t="shared" si="97"/>
        <v>Weekday</v>
      </c>
      <c r="AD313" s="39">
        <f t="shared" ca="1" si="98"/>
        <v>1129</v>
      </c>
      <c r="AE313" s="39">
        <f t="shared" ca="1" si="99"/>
        <v>37</v>
      </c>
      <c r="AF313" s="39" t="str">
        <f t="shared" si="100"/>
        <v>EVE</v>
      </c>
      <c r="AG313" s="39" t="str">
        <f t="shared" si="101"/>
        <v>SO-230921-0312</v>
      </c>
      <c r="AH313" s="39" t="str">
        <f>IF(AND(OR(Filter!$B$4="All",D313=Filter!$B$4),OR(Filter!$B$5="All",M313=Filter!$B$5),E313&gt;=Filter!$B$6),MAX(AH$1:AH312)+1,"")</f>
        <v/>
      </c>
      <c r="AI313" s="39">
        <f t="shared" si="102"/>
        <v>36</v>
      </c>
      <c r="AJ313" s="42">
        <f t="shared" si="103"/>
        <v>0.25</v>
      </c>
      <c r="AK313" s="41">
        <f t="shared" si="104"/>
        <v>1485.75</v>
      </c>
      <c r="AL313" s="39">
        <f>RANK(E313,$E$2:$E$1001,0)+COUNTIF($E$2:E313,E313)-1</f>
        <v>716</v>
      </c>
    </row>
    <row r="314" spans="1:38" x14ac:dyDescent="0.2">
      <c r="A314" s="39">
        <v>1099</v>
      </c>
      <c r="B314" s="40">
        <v>44981</v>
      </c>
      <c r="C314" s="39" t="s">
        <v>76</v>
      </c>
      <c r="D314" s="39" t="s">
        <v>59</v>
      </c>
      <c r="E314" s="41">
        <v>8090</v>
      </c>
      <c r="F314" s="39">
        <v>35</v>
      </c>
      <c r="G314" s="39" t="s">
        <v>60</v>
      </c>
      <c r="H314" s="41">
        <v>2610.19</v>
      </c>
      <c r="I314" s="41">
        <v>2682.53</v>
      </c>
      <c r="J314" s="39" t="s">
        <v>143</v>
      </c>
      <c r="K314" s="42">
        <v>0.14000000000000001</v>
      </c>
      <c r="L314" s="39" t="s">
        <v>68</v>
      </c>
      <c r="M314" s="39" t="s">
        <v>140</v>
      </c>
      <c r="N314" s="39" t="s">
        <v>157</v>
      </c>
      <c r="O314" s="43">
        <f t="shared" si="84"/>
        <v>93888.55</v>
      </c>
      <c r="P314" s="43">
        <f t="shared" si="85"/>
        <v>80744.149999999994</v>
      </c>
      <c r="Q314" s="43">
        <f t="shared" si="86"/>
        <v>91356.65</v>
      </c>
      <c r="R314" s="43">
        <f t="shared" si="87"/>
        <v>-10612.5</v>
      </c>
      <c r="S314" s="44">
        <f t="shared" si="88"/>
        <v>-0.1314336704268978</v>
      </c>
      <c r="T314" s="39" t="str">
        <f t="shared" si="89"/>
        <v>Loss</v>
      </c>
      <c r="U314" s="39" t="str">
        <f t="shared" si="90"/>
        <v>10-19%</v>
      </c>
      <c r="V314" s="39" t="str">
        <f>IF(E314&gt;=Analysis!$B$4,"High",IF(E314&gt;=Analysis!$B$5,"Mid","Low"))</f>
        <v>High</v>
      </c>
      <c r="W314" s="39" t="str">
        <f t="shared" si="91"/>
        <v>2023-02</v>
      </c>
      <c r="X314" s="40">
        <f t="shared" si="92"/>
        <v>44985</v>
      </c>
      <c r="Y314" s="39" t="str">
        <f t="shared" si="93"/>
        <v>2023-Q1</v>
      </c>
      <c r="Z314" s="39" t="str">
        <f t="shared" si="94"/>
        <v>Fri</v>
      </c>
      <c r="AA314" s="39">
        <f t="shared" si="95"/>
        <v>5</v>
      </c>
      <c r="AB314" s="39">
        <f t="shared" si="96"/>
        <v>9</v>
      </c>
      <c r="AC314" s="39" t="str">
        <f t="shared" si="97"/>
        <v>Weekday</v>
      </c>
      <c r="AD314" s="39">
        <f t="shared" ca="1" si="98"/>
        <v>1338</v>
      </c>
      <c r="AE314" s="39">
        <f t="shared" ca="1" si="99"/>
        <v>44</v>
      </c>
      <c r="AF314" s="39" t="str">
        <f t="shared" si="100"/>
        <v>DAV</v>
      </c>
      <c r="AG314" s="39" t="str">
        <f t="shared" si="101"/>
        <v>ER-230224-0313</v>
      </c>
      <c r="AH314" s="39" t="str">
        <f>IF(AND(OR(Filter!$B$4="All",D314=Filter!$B$4),OR(Filter!$B$5="All",M314=Filter!$B$5),E314&gt;=Filter!$B$6),MAX(AH$1:AH313)+1,"")</f>
        <v/>
      </c>
      <c r="AI314" s="39">
        <f t="shared" si="102"/>
        <v>35</v>
      </c>
      <c r="AJ314" s="42">
        <f t="shared" si="103"/>
        <v>0.14000000000000001</v>
      </c>
      <c r="AK314" s="41">
        <f t="shared" si="104"/>
        <v>2682.53</v>
      </c>
      <c r="AL314" s="39">
        <f>RANK(E314,$E$2:$E$1001,0)+COUNTIF($E$2:E314,E314)-1</f>
        <v>180</v>
      </c>
    </row>
    <row r="315" spans="1:38" x14ac:dyDescent="0.2">
      <c r="A315" s="39">
        <v>1089</v>
      </c>
      <c r="B315" s="40">
        <v>45285</v>
      </c>
      <c r="C315" s="39" t="s">
        <v>79</v>
      </c>
      <c r="D315" s="39" t="s">
        <v>69</v>
      </c>
      <c r="E315" s="41">
        <v>2032.88</v>
      </c>
      <c r="F315" s="39">
        <v>32</v>
      </c>
      <c r="G315" s="39" t="s">
        <v>60</v>
      </c>
      <c r="H315" s="41">
        <v>4248.5</v>
      </c>
      <c r="I315" s="41">
        <v>4706.7</v>
      </c>
      <c r="J315" s="39" t="s">
        <v>143</v>
      </c>
      <c r="K315" s="42">
        <v>0.01</v>
      </c>
      <c r="L315" s="39" t="s">
        <v>63</v>
      </c>
      <c r="M315" s="39" t="s">
        <v>140</v>
      </c>
      <c r="N315" s="39" t="s">
        <v>147</v>
      </c>
      <c r="O315" s="43">
        <f t="shared" si="84"/>
        <v>150614.39999999999</v>
      </c>
      <c r="P315" s="43">
        <f t="shared" si="85"/>
        <v>149108.26</v>
      </c>
      <c r="Q315" s="43">
        <f t="shared" si="86"/>
        <v>135952</v>
      </c>
      <c r="R315" s="43">
        <f t="shared" si="87"/>
        <v>13156.260000000009</v>
      </c>
      <c r="S315" s="44">
        <f t="shared" si="88"/>
        <v>8.8232938939801248E-2</v>
      </c>
      <c r="T315" s="39" t="str">
        <f t="shared" si="89"/>
        <v>OK</v>
      </c>
      <c r="U315" s="39" t="str">
        <f t="shared" si="90"/>
        <v>0-9%</v>
      </c>
      <c r="V315" s="39" t="str">
        <f>IF(E315&gt;=Analysis!$B$4,"High",IF(E315&gt;=Analysis!$B$5,"Mid","Low"))</f>
        <v>Low</v>
      </c>
      <c r="W315" s="39" t="str">
        <f t="shared" si="91"/>
        <v>2023-12</v>
      </c>
      <c r="X315" s="40">
        <f t="shared" si="92"/>
        <v>45291</v>
      </c>
      <c r="Y315" s="39" t="str">
        <f t="shared" si="93"/>
        <v>2023-Q4</v>
      </c>
      <c r="Z315" s="39" t="str">
        <f t="shared" si="94"/>
        <v>Mon</v>
      </c>
      <c r="AA315" s="39">
        <f t="shared" si="95"/>
        <v>1</v>
      </c>
      <c r="AB315" s="39">
        <f t="shared" si="96"/>
        <v>53</v>
      </c>
      <c r="AC315" s="39" t="str">
        <f t="shared" si="97"/>
        <v>Weekday</v>
      </c>
      <c r="AD315" s="39">
        <f t="shared" ca="1" si="98"/>
        <v>1034</v>
      </c>
      <c r="AE315" s="39">
        <f t="shared" ca="1" si="99"/>
        <v>33</v>
      </c>
      <c r="AF315" s="39" t="str">
        <f t="shared" si="100"/>
        <v>EVE</v>
      </c>
      <c r="AG315" s="39" t="str">
        <f t="shared" si="101"/>
        <v>SR-231225-0314</v>
      </c>
      <c r="AH315" s="39" t="str">
        <f>IF(AND(OR(Filter!$B$4="All",D315=Filter!$B$4),OR(Filter!$B$5="All",M315=Filter!$B$5),E315&gt;=Filter!$B$6),MAX(AH$1:AH314)+1,"")</f>
        <v/>
      </c>
      <c r="AI315" s="39">
        <f t="shared" si="102"/>
        <v>32</v>
      </c>
      <c r="AJ315" s="42">
        <f t="shared" si="103"/>
        <v>0.01</v>
      </c>
      <c r="AK315" s="41">
        <f t="shared" si="104"/>
        <v>4706.7</v>
      </c>
      <c r="AL315" s="39">
        <f>RANK(E315,$E$2:$E$1001,0)+COUNTIF($E$2:E315,E315)-1</f>
        <v>814</v>
      </c>
    </row>
    <row r="316" spans="1:38" x14ac:dyDescent="0.2">
      <c r="A316" s="39">
        <v>1099</v>
      </c>
      <c r="B316" s="40">
        <v>45057</v>
      </c>
      <c r="C316" s="39" t="s">
        <v>61</v>
      </c>
      <c r="D316" s="39" t="s">
        <v>69</v>
      </c>
      <c r="E316" s="41">
        <v>3518.89</v>
      </c>
      <c r="F316" s="39">
        <v>48</v>
      </c>
      <c r="G316" s="39" t="s">
        <v>70</v>
      </c>
      <c r="H316" s="41">
        <v>3441.61</v>
      </c>
      <c r="I316" s="41">
        <v>3693.45</v>
      </c>
      <c r="J316" s="39" t="s">
        <v>137</v>
      </c>
      <c r="K316" s="42">
        <v>0.19</v>
      </c>
      <c r="L316" s="39" t="s">
        <v>63</v>
      </c>
      <c r="M316" s="39" t="s">
        <v>138</v>
      </c>
      <c r="N316" s="39" t="s">
        <v>150</v>
      </c>
      <c r="O316" s="43">
        <f t="shared" si="84"/>
        <v>177285.6</v>
      </c>
      <c r="P316" s="43">
        <f t="shared" si="85"/>
        <v>143601.34</v>
      </c>
      <c r="Q316" s="43">
        <f t="shared" si="86"/>
        <v>165197.28</v>
      </c>
      <c r="R316" s="43">
        <f t="shared" si="87"/>
        <v>-21595.940000000002</v>
      </c>
      <c r="S316" s="44">
        <f t="shared" si="88"/>
        <v>-0.15038815097407868</v>
      </c>
      <c r="T316" s="39" t="str">
        <f t="shared" si="89"/>
        <v>Loss</v>
      </c>
      <c r="U316" s="39" t="str">
        <f t="shared" si="90"/>
        <v>10-19%</v>
      </c>
      <c r="V316" s="39" t="str">
        <f>IF(E316&gt;=Analysis!$B$4,"High",IF(E316&gt;=Analysis!$B$5,"Mid","Low"))</f>
        <v>Mid</v>
      </c>
      <c r="W316" s="39" t="str">
        <f t="shared" si="91"/>
        <v>2023-05</v>
      </c>
      <c r="X316" s="40">
        <f t="shared" si="92"/>
        <v>45077</v>
      </c>
      <c r="Y316" s="39" t="str">
        <f t="shared" si="93"/>
        <v>2023-Q2</v>
      </c>
      <c r="Z316" s="39" t="str">
        <f t="shared" si="94"/>
        <v>Thu</v>
      </c>
      <c r="AA316" s="39">
        <f t="shared" si="95"/>
        <v>4</v>
      </c>
      <c r="AB316" s="39">
        <f t="shared" si="96"/>
        <v>20</v>
      </c>
      <c r="AC316" s="39" t="str">
        <f t="shared" si="97"/>
        <v>Weekday</v>
      </c>
      <c r="AD316" s="39">
        <f t="shared" ca="1" si="98"/>
        <v>1262</v>
      </c>
      <c r="AE316" s="39">
        <f t="shared" ca="1" si="99"/>
        <v>41</v>
      </c>
      <c r="AF316" s="39" t="str">
        <f t="shared" si="100"/>
        <v>ALI</v>
      </c>
      <c r="AG316" s="39" t="str">
        <f t="shared" si="101"/>
        <v>SO-230511-0315</v>
      </c>
      <c r="AH316" s="39" t="str">
        <f>IF(AND(OR(Filter!$B$4="All",D316=Filter!$B$4),OR(Filter!$B$5="All",M316=Filter!$B$5),E316&gt;=Filter!$B$6),MAX(AH$1:AH315)+1,"")</f>
        <v/>
      </c>
      <c r="AI316" s="39">
        <f t="shared" si="102"/>
        <v>48</v>
      </c>
      <c r="AJ316" s="42">
        <f t="shared" si="103"/>
        <v>0.19</v>
      </c>
      <c r="AK316" s="41">
        <f t="shared" si="104"/>
        <v>3693.45</v>
      </c>
      <c r="AL316" s="39">
        <f>RANK(E316,$E$2:$E$1001,0)+COUNTIF($E$2:E316,E316)-1</f>
        <v>648</v>
      </c>
    </row>
    <row r="317" spans="1:38" x14ac:dyDescent="0.2">
      <c r="A317" s="39">
        <v>1025</v>
      </c>
      <c r="B317" s="40">
        <v>45214</v>
      </c>
      <c r="C317" s="39" t="s">
        <v>76</v>
      </c>
      <c r="D317" s="39" t="s">
        <v>64</v>
      </c>
      <c r="E317" s="41">
        <v>3422.54</v>
      </c>
      <c r="F317" s="39">
        <v>44</v>
      </c>
      <c r="G317" s="39" t="s">
        <v>70</v>
      </c>
      <c r="H317" s="41">
        <v>1485.72</v>
      </c>
      <c r="I317" s="41">
        <v>1717.97</v>
      </c>
      <c r="J317" s="39" t="s">
        <v>143</v>
      </c>
      <c r="K317" s="42">
        <v>0.02</v>
      </c>
      <c r="L317" s="39" t="s">
        <v>73</v>
      </c>
      <c r="M317" s="39" t="s">
        <v>140</v>
      </c>
      <c r="N317" s="39" t="s">
        <v>152</v>
      </c>
      <c r="O317" s="43">
        <f t="shared" si="84"/>
        <v>75590.679999999993</v>
      </c>
      <c r="P317" s="43">
        <f t="shared" si="85"/>
        <v>74078.87</v>
      </c>
      <c r="Q317" s="43">
        <f t="shared" si="86"/>
        <v>65371.68</v>
      </c>
      <c r="R317" s="43">
        <f t="shared" si="87"/>
        <v>8707.1899999999951</v>
      </c>
      <c r="S317" s="44">
        <f t="shared" si="88"/>
        <v>0.11753945490799192</v>
      </c>
      <c r="T317" s="39" t="str">
        <f t="shared" si="89"/>
        <v>OK</v>
      </c>
      <c r="U317" s="39" t="str">
        <f t="shared" si="90"/>
        <v>0-9%</v>
      </c>
      <c r="V317" s="39" t="str">
        <f>IF(E317&gt;=Analysis!$B$4,"High",IF(E317&gt;=Analysis!$B$5,"Mid","Low"))</f>
        <v>Mid</v>
      </c>
      <c r="W317" s="39" t="str">
        <f t="shared" si="91"/>
        <v>2023-10</v>
      </c>
      <c r="X317" s="40">
        <f t="shared" si="92"/>
        <v>45230</v>
      </c>
      <c r="Y317" s="39" t="str">
        <f t="shared" si="93"/>
        <v>2023-Q4</v>
      </c>
      <c r="Z317" s="39" t="str">
        <f t="shared" si="94"/>
        <v>Sun</v>
      </c>
      <c r="AA317" s="39">
        <f t="shared" si="95"/>
        <v>7</v>
      </c>
      <c r="AB317" s="39">
        <f t="shared" si="96"/>
        <v>42</v>
      </c>
      <c r="AC317" s="39" t="str">
        <f t="shared" si="97"/>
        <v>Weekend</v>
      </c>
      <c r="AD317" s="39">
        <f t="shared" ca="1" si="98"/>
        <v>1105</v>
      </c>
      <c r="AE317" s="39">
        <f t="shared" ca="1" si="99"/>
        <v>36</v>
      </c>
      <c r="AF317" s="39" t="str">
        <f t="shared" si="100"/>
        <v>DAV</v>
      </c>
      <c r="AG317" s="39" t="str">
        <f t="shared" si="101"/>
        <v>NR-231015-0316</v>
      </c>
      <c r="AH317" s="39" t="str">
        <f>IF(AND(OR(Filter!$B$4="All",D317=Filter!$B$4),OR(Filter!$B$5="All",M317=Filter!$B$5),E317&gt;=Filter!$B$6),MAX(AH$1:AH316)+1,"")</f>
        <v/>
      </c>
      <c r="AI317" s="39">
        <f t="shared" si="102"/>
        <v>44</v>
      </c>
      <c r="AJ317" s="42">
        <f t="shared" si="103"/>
        <v>0.02</v>
      </c>
      <c r="AK317" s="41">
        <f t="shared" si="104"/>
        <v>1717.97</v>
      </c>
      <c r="AL317" s="39">
        <f>RANK(E317,$E$2:$E$1001,0)+COUNTIF($E$2:E317,E317)-1</f>
        <v>654</v>
      </c>
    </row>
    <row r="318" spans="1:38" x14ac:dyDescent="0.2">
      <c r="A318" s="39">
        <v>1093</v>
      </c>
      <c r="B318" s="40">
        <v>45192</v>
      </c>
      <c r="C318" s="39" t="s">
        <v>71</v>
      </c>
      <c r="D318" s="39" t="s">
        <v>64</v>
      </c>
      <c r="E318" s="41">
        <v>9787.4</v>
      </c>
      <c r="F318" s="39">
        <v>40</v>
      </c>
      <c r="G318" s="39" t="s">
        <v>75</v>
      </c>
      <c r="H318" s="41">
        <v>1047.25</v>
      </c>
      <c r="I318" s="41">
        <v>1075.8900000000001</v>
      </c>
      <c r="J318" s="39" t="s">
        <v>143</v>
      </c>
      <c r="K318" s="42">
        <v>0.28000000000000003</v>
      </c>
      <c r="L318" s="39" t="s">
        <v>73</v>
      </c>
      <c r="M318" s="39" t="s">
        <v>140</v>
      </c>
      <c r="N318" s="39" t="s">
        <v>160</v>
      </c>
      <c r="O318" s="43">
        <f t="shared" si="84"/>
        <v>43035.6</v>
      </c>
      <c r="P318" s="43">
        <f t="shared" si="85"/>
        <v>30985.63</v>
      </c>
      <c r="Q318" s="43">
        <f t="shared" si="86"/>
        <v>41890</v>
      </c>
      <c r="R318" s="43">
        <f t="shared" si="87"/>
        <v>-10904.369999999999</v>
      </c>
      <c r="S318" s="44">
        <f t="shared" si="88"/>
        <v>-0.35191700152619126</v>
      </c>
      <c r="T318" s="39" t="str">
        <f t="shared" si="89"/>
        <v>Loss</v>
      </c>
      <c r="U318" s="39" t="str">
        <f t="shared" si="90"/>
        <v>20%+</v>
      </c>
      <c r="V318" s="39" t="str">
        <f>IF(E318&gt;=Analysis!$B$4,"High",IF(E318&gt;=Analysis!$B$5,"Mid","Low"))</f>
        <v>High</v>
      </c>
      <c r="W318" s="39" t="str">
        <f t="shared" si="91"/>
        <v>2023-09</v>
      </c>
      <c r="X318" s="40">
        <f t="shared" si="92"/>
        <v>45199</v>
      </c>
      <c r="Y318" s="39" t="str">
        <f t="shared" si="93"/>
        <v>2023-Q3</v>
      </c>
      <c r="Z318" s="39" t="str">
        <f t="shared" si="94"/>
        <v>Sat</v>
      </c>
      <c r="AA318" s="39">
        <f t="shared" si="95"/>
        <v>6</v>
      </c>
      <c r="AB318" s="39">
        <f t="shared" si="96"/>
        <v>39</v>
      </c>
      <c r="AC318" s="39" t="str">
        <f t="shared" si="97"/>
        <v>Weekend</v>
      </c>
      <c r="AD318" s="39">
        <f t="shared" ca="1" si="98"/>
        <v>1127</v>
      </c>
      <c r="AE318" s="39">
        <f t="shared" ca="1" si="99"/>
        <v>37</v>
      </c>
      <c r="AF318" s="39" t="str">
        <f t="shared" si="100"/>
        <v>CHA</v>
      </c>
      <c r="AG318" s="39" t="str">
        <f t="shared" si="101"/>
        <v>NR-230923-0317</v>
      </c>
      <c r="AH318" s="39">
        <f>IF(AND(OR(Filter!$B$4="All",D318=Filter!$B$4),OR(Filter!$B$5="All",M318=Filter!$B$5),E318&gt;=Filter!$B$6),MAX(AH$1:AH317)+1,"")</f>
        <v>36</v>
      </c>
      <c r="AI318" s="39">
        <f t="shared" si="102"/>
        <v>40</v>
      </c>
      <c r="AJ318" s="42">
        <f t="shared" si="103"/>
        <v>0.28000000000000003</v>
      </c>
      <c r="AK318" s="41">
        <f t="shared" si="104"/>
        <v>1075.8900000000001</v>
      </c>
      <c r="AL318" s="39">
        <f>RANK(E318,$E$2:$E$1001,0)+COUNTIF($E$2:E318,E318)-1</f>
        <v>18</v>
      </c>
    </row>
    <row r="319" spans="1:38" x14ac:dyDescent="0.2">
      <c r="A319" s="39">
        <v>1018</v>
      </c>
      <c r="B319" s="40">
        <v>45292</v>
      </c>
      <c r="C319" s="39" t="s">
        <v>61</v>
      </c>
      <c r="D319" s="39" t="s">
        <v>74</v>
      </c>
      <c r="E319" s="41">
        <v>8579.7199999999993</v>
      </c>
      <c r="F319" s="39">
        <v>24</v>
      </c>
      <c r="G319" s="39" t="s">
        <v>65</v>
      </c>
      <c r="H319" s="41">
        <v>1362.78</v>
      </c>
      <c r="I319" s="41">
        <v>1729.81</v>
      </c>
      <c r="J319" s="39" t="s">
        <v>143</v>
      </c>
      <c r="K319" s="42">
        <v>0.28999999999999998</v>
      </c>
      <c r="L319" s="39" t="s">
        <v>63</v>
      </c>
      <c r="M319" s="39" t="s">
        <v>138</v>
      </c>
      <c r="N319" s="39" t="s">
        <v>158</v>
      </c>
      <c r="O319" s="43">
        <f t="shared" si="84"/>
        <v>41515.440000000002</v>
      </c>
      <c r="P319" s="43">
        <f t="shared" si="85"/>
        <v>29475.96</v>
      </c>
      <c r="Q319" s="43">
        <f t="shared" si="86"/>
        <v>32706.720000000001</v>
      </c>
      <c r="R319" s="43">
        <f t="shared" si="87"/>
        <v>-3230.760000000002</v>
      </c>
      <c r="S319" s="44">
        <f t="shared" si="88"/>
        <v>-0.10960660823260726</v>
      </c>
      <c r="T319" s="39" t="str">
        <f t="shared" si="89"/>
        <v>Loss</v>
      </c>
      <c r="U319" s="39" t="str">
        <f t="shared" si="90"/>
        <v>20%+</v>
      </c>
      <c r="V319" s="39" t="str">
        <f>IF(E319&gt;=Analysis!$B$4,"High",IF(E319&gt;=Analysis!$B$5,"Mid","Low"))</f>
        <v>High</v>
      </c>
      <c r="W319" s="39" t="str">
        <f t="shared" si="91"/>
        <v>2024-01</v>
      </c>
      <c r="X319" s="40">
        <f t="shared" si="92"/>
        <v>45322</v>
      </c>
      <c r="Y319" s="39" t="str">
        <f t="shared" si="93"/>
        <v>2024-Q1</v>
      </c>
      <c r="Z319" s="39" t="str">
        <f t="shared" si="94"/>
        <v>Mon</v>
      </c>
      <c r="AA319" s="39">
        <f t="shared" si="95"/>
        <v>1</v>
      </c>
      <c r="AB319" s="39">
        <f t="shared" si="96"/>
        <v>1</v>
      </c>
      <c r="AC319" s="39" t="str">
        <f t="shared" si="97"/>
        <v>Weekday</v>
      </c>
      <c r="AD319" s="39">
        <f t="shared" ca="1" si="98"/>
        <v>1027</v>
      </c>
      <c r="AE319" s="39">
        <f t="shared" ca="1" si="99"/>
        <v>33</v>
      </c>
      <c r="AF319" s="39" t="str">
        <f t="shared" si="100"/>
        <v>ALI</v>
      </c>
      <c r="AG319" s="39" t="str">
        <f t="shared" si="101"/>
        <v>WO-240101-0318</v>
      </c>
      <c r="AH319" s="39" t="str">
        <f>IF(AND(OR(Filter!$B$4="All",D319=Filter!$B$4),OR(Filter!$B$5="All",M319=Filter!$B$5),E319&gt;=Filter!$B$6),MAX(AH$1:AH318)+1,"")</f>
        <v/>
      </c>
      <c r="AI319" s="39">
        <f t="shared" si="102"/>
        <v>24</v>
      </c>
      <c r="AJ319" s="42">
        <f t="shared" si="103"/>
        <v>0.28999999999999998</v>
      </c>
      <c r="AK319" s="41">
        <f t="shared" si="104"/>
        <v>1729.81</v>
      </c>
      <c r="AL319" s="39">
        <f>RANK(E319,$E$2:$E$1001,0)+COUNTIF($E$2:E319,E319)-1</f>
        <v>134</v>
      </c>
    </row>
    <row r="320" spans="1:38" x14ac:dyDescent="0.2">
      <c r="A320" s="39">
        <v>1082</v>
      </c>
      <c r="B320" s="40">
        <v>45088</v>
      </c>
      <c r="C320" s="39" t="s">
        <v>61</v>
      </c>
      <c r="D320" s="39" t="s">
        <v>64</v>
      </c>
      <c r="E320" s="41">
        <v>7041.58</v>
      </c>
      <c r="F320" s="39">
        <v>17</v>
      </c>
      <c r="G320" s="39" t="s">
        <v>75</v>
      </c>
      <c r="H320" s="41">
        <v>890.31</v>
      </c>
      <c r="I320" s="41">
        <v>1159.06</v>
      </c>
      <c r="J320" s="39" t="s">
        <v>137</v>
      </c>
      <c r="K320" s="42">
        <v>0.06</v>
      </c>
      <c r="L320" s="39" t="s">
        <v>68</v>
      </c>
      <c r="M320" s="39" t="s">
        <v>140</v>
      </c>
      <c r="N320" s="39" t="s">
        <v>156</v>
      </c>
      <c r="O320" s="43">
        <f t="shared" si="84"/>
        <v>19704.02</v>
      </c>
      <c r="P320" s="43">
        <f t="shared" si="85"/>
        <v>18521.78</v>
      </c>
      <c r="Q320" s="43">
        <f t="shared" si="86"/>
        <v>15135.27</v>
      </c>
      <c r="R320" s="43">
        <f t="shared" si="87"/>
        <v>3386.5099999999984</v>
      </c>
      <c r="S320" s="44">
        <f t="shared" si="88"/>
        <v>0.18283933833573224</v>
      </c>
      <c r="T320" s="39" t="str">
        <f t="shared" si="89"/>
        <v>OK</v>
      </c>
      <c r="U320" s="39" t="str">
        <f t="shared" si="90"/>
        <v>0-9%</v>
      </c>
      <c r="V320" s="39" t="str">
        <f>IF(E320&gt;=Analysis!$B$4,"High",IF(E320&gt;=Analysis!$B$5,"Mid","Low"))</f>
        <v>Mid</v>
      </c>
      <c r="W320" s="39" t="str">
        <f t="shared" si="91"/>
        <v>2023-06</v>
      </c>
      <c r="X320" s="40">
        <f t="shared" si="92"/>
        <v>45107</v>
      </c>
      <c r="Y320" s="39" t="str">
        <f t="shared" si="93"/>
        <v>2023-Q2</v>
      </c>
      <c r="Z320" s="39" t="str">
        <f t="shared" si="94"/>
        <v>Sun</v>
      </c>
      <c r="AA320" s="39">
        <f t="shared" si="95"/>
        <v>7</v>
      </c>
      <c r="AB320" s="39">
        <f t="shared" si="96"/>
        <v>24</v>
      </c>
      <c r="AC320" s="39" t="str">
        <f t="shared" si="97"/>
        <v>Weekend</v>
      </c>
      <c r="AD320" s="39">
        <f t="shared" ca="1" si="98"/>
        <v>1231</v>
      </c>
      <c r="AE320" s="39">
        <f t="shared" ca="1" si="99"/>
        <v>40</v>
      </c>
      <c r="AF320" s="39" t="str">
        <f t="shared" si="100"/>
        <v>ALI</v>
      </c>
      <c r="AG320" s="39" t="str">
        <f t="shared" si="101"/>
        <v>NR-230611-0319</v>
      </c>
      <c r="AH320" s="39" t="str">
        <f>IF(AND(OR(Filter!$B$4="All",D320=Filter!$B$4),OR(Filter!$B$5="All",M320=Filter!$B$5),E320&gt;=Filter!$B$6),MAX(AH$1:AH319)+1,"")</f>
        <v/>
      </c>
      <c r="AI320" s="39">
        <f t="shared" si="102"/>
        <v>17</v>
      </c>
      <c r="AJ320" s="42">
        <f t="shared" si="103"/>
        <v>0.06</v>
      </c>
      <c r="AK320" s="41">
        <f t="shared" si="104"/>
        <v>1159.06</v>
      </c>
      <c r="AL320" s="39">
        <f>RANK(E320,$E$2:$E$1001,0)+COUNTIF($E$2:E320,E320)-1</f>
        <v>297</v>
      </c>
    </row>
    <row r="321" spans="1:38" x14ac:dyDescent="0.2">
      <c r="A321" s="39">
        <v>1066</v>
      </c>
      <c r="B321" s="40">
        <v>45013</v>
      </c>
      <c r="C321" s="39" t="s">
        <v>71</v>
      </c>
      <c r="D321" s="39" t="s">
        <v>64</v>
      </c>
      <c r="E321" s="41">
        <v>7297.86</v>
      </c>
      <c r="F321" s="39">
        <v>7</v>
      </c>
      <c r="G321" s="39" t="s">
        <v>60</v>
      </c>
      <c r="H321" s="41">
        <v>523.41999999999996</v>
      </c>
      <c r="I321" s="41">
        <v>632.44000000000005</v>
      </c>
      <c r="J321" s="39" t="s">
        <v>143</v>
      </c>
      <c r="K321" s="42">
        <v>0.2</v>
      </c>
      <c r="L321" s="39" t="s">
        <v>63</v>
      </c>
      <c r="M321" s="39" t="s">
        <v>138</v>
      </c>
      <c r="N321" s="39" t="s">
        <v>160</v>
      </c>
      <c r="O321" s="43">
        <f t="shared" si="84"/>
        <v>4427.08</v>
      </c>
      <c r="P321" s="43">
        <f t="shared" si="85"/>
        <v>3541.66</v>
      </c>
      <c r="Q321" s="43">
        <f t="shared" si="86"/>
        <v>3663.94</v>
      </c>
      <c r="R321" s="43">
        <f t="shared" si="87"/>
        <v>-122.2800000000002</v>
      </c>
      <c r="S321" s="44">
        <f t="shared" si="88"/>
        <v>-3.4526182637520317E-2</v>
      </c>
      <c r="T321" s="39" t="str">
        <f t="shared" si="89"/>
        <v>Loss</v>
      </c>
      <c r="U321" s="39" t="str">
        <f t="shared" si="90"/>
        <v>20%+</v>
      </c>
      <c r="V321" s="39" t="str">
        <f>IF(E321&gt;=Analysis!$B$4,"High",IF(E321&gt;=Analysis!$B$5,"Mid","Low"))</f>
        <v>Mid</v>
      </c>
      <c r="W321" s="39" t="str">
        <f t="shared" si="91"/>
        <v>2023-03</v>
      </c>
      <c r="X321" s="40">
        <f t="shared" si="92"/>
        <v>45016</v>
      </c>
      <c r="Y321" s="39" t="str">
        <f t="shared" si="93"/>
        <v>2023-Q1</v>
      </c>
      <c r="Z321" s="39" t="str">
        <f t="shared" si="94"/>
        <v>Tue</v>
      </c>
      <c r="AA321" s="39">
        <f t="shared" si="95"/>
        <v>2</v>
      </c>
      <c r="AB321" s="39">
        <f t="shared" si="96"/>
        <v>14</v>
      </c>
      <c r="AC321" s="39" t="str">
        <f t="shared" si="97"/>
        <v>Weekday</v>
      </c>
      <c r="AD321" s="39">
        <f t="shared" ca="1" si="98"/>
        <v>1306</v>
      </c>
      <c r="AE321" s="39">
        <f t="shared" ca="1" si="99"/>
        <v>42</v>
      </c>
      <c r="AF321" s="39" t="str">
        <f t="shared" si="100"/>
        <v>CHA</v>
      </c>
      <c r="AG321" s="39" t="str">
        <f t="shared" si="101"/>
        <v>NO-230328-0320</v>
      </c>
      <c r="AH321" s="39" t="str">
        <f>IF(AND(OR(Filter!$B$4="All",D321=Filter!$B$4),OR(Filter!$B$5="All",M321=Filter!$B$5),E321&gt;=Filter!$B$6),MAX(AH$1:AH320)+1,"")</f>
        <v/>
      </c>
      <c r="AI321" s="39">
        <f t="shared" si="102"/>
        <v>7</v>
      </c>
      <c r="AJ321" s="42">
        <f t="shared" si="103"/>
        <v>0.2</v>
      </c>
      <c r="AK321" s="41">
        <f t="shared" si="104"/>
        <v>632.44000000000005</v>
      </c>
      <c r="AL321" s="39">
        <f>RANK(E321,$E$2:$E$1001,0)+COUNTIF($E$2:E321,E321)-1</f>
        <v>270</v>
      </c>
    </row>
    <row r="322" spans="1:38" x14ac:dyDescent="0.2">
      <c r="A322" s="39">
        <v>1054</v>
      </c>
      <c r="B322" s="40">
        <v>44981</v>
      </c>
      <c r="C322" s="39" t="s">
        <v>61</v>
      </c>
      <c r="D322" s="39" t="s">
        <v>64</v>
      </c>
      <c r="E322" s="41">
        <v>5664.52</v>
      </c>
      <c r="F322" s="39">
        <v>43</v>
      </c>
      <c r="G322" s="39" t="s">
        <v>70</v>
      </c>
      <c r="H322" s="41">
        <v>2124.7199999999998</v>
      </c>
      <c r="I322" s="41">
        <v>2188.66</v>
      </c>
      <c r="J322" s="39" t="s">
        <v>137</v>
      </c>
      <c r="K322" s="42">
        <v>0.03</v>
      </c>
      <c r="L322" s="39" t="s">
        <v>73</v>
      </c>
      <c r="M322" s="39" t="s">
        <v>140</v>
      </c>
      <c r="N322" s="39" t="s">
        <v>156</v>
      </c>
      <c r="O322" s="43">
        <f t="shared" ref="O322:O385" si="105">ROUND(F322*I322,2)</f>
        <v>94112.38</v>
      </c>
      <c r="P322" s="43">
        <f t="shared" ref="P322:P385" si="106">ROUND(F322*I322*(1-K322),2)</f>
        <v>91289.01</v>
      </c>
      <c r="Q322" s="43">
        <f t="shared" ref="Q322:Q385" si="107">ROUND(F322*H322,2)</f>
        <v>91362.96</v>
      </c>
      <c r="R322" s="43">
        <f t="shared" ref="R322:R385" si="108">P322-Q322</f>
        <v>-73.950000000011642</v>
      </c>
      <c r="S322" s="44">
        <f t="shared" ref="S322:S385" si="109">IF(P322=0,0,R322/P322)</f>
        <v>-8.1006465071766735E-4</v>
      </c>
      <c r="T322" s="39" t="str">
        <f t="shared" ref="T322:T385" si="110">IF(R322&lt;0,"Loss","OK")</f>
        <v>Loss</v>
      </c>
      <c r="U322" s="39" t="str">
        <f t="shared" ref="U322:U385" si="111">IF(K322&lt;0.1,"0-9%",IF(K322&lt;0.2,"10-19%","20%+"))</f>
        <v>0-9%</v>
      </c>
      <c r="V322" s="39" t="str">
        <f>IF(E322&gt;=Analysis!$B$4,"High",IF(E322&gt;=Analysis!$B$5,"Mid","Low"))</f>
        <v>Mid</v>
      </c>
      <c r="W322" s="39" t="str">
        <f t="shared" ref="W322:W385" si="112">TEXT(B322,"yyyy-mm")</f>
        <v>2023-02</v>
      </c>
      <c r="X322" s="40">
        <f t="shared" ref="X322:X385" si="113">EOMONTH(B322,0)</f>
        <v>44985</v>
      </c>
      <c r="Y322" s="39" t="str">
        <f t="shared" ref="Y322:Y385" si="114">YEAR(B322)&amp;"-Q"&amp;ROUNDUP(MONTH(B322)/3,0)</f>
        <v>2023-Q1</v>
      </c>
      <c r="Z322" s="39" t="str">
        <f t="shared" ref="Z322:Z385" si="115">TEXT(B322,"ddd")</f>
        <v>Fri</v>
      </c>
      <c r="AA322" s="39">
        <f t="shared" ref="AA322:AA385" si="116">WEEKDAY(B322,2)</f>
        <v>5</v>
      </c>
      <c r="AB322" s="39">
        <f t="shared" ref="AB322:AB385" si="117">WEEKNUM(B322,2)</f>
        <v>9</v>
      </c>
      <c r="AC322" s="39" t="str">
        <f t="shared" ref="AC322:AC385" si="118">IF(AA322&gt;5,"Weekend","Weekday")</f>
        <v>Weekday</v>
      </c>
      <c r="AD322" s="39">
        <f t="shared" ref="AD322:AD385" ca="1" si="119">TODAY()-B322</f>
        <v>1338</v>
      </c>
      <c r="AE322" s="39">
        <f t="shared" ref="AE322:AE385" ca="1" si="120">DATEDIF(B322,TODAY(),"M")</f>
        <v>44</v>
      </c>
      <c r="AF322" s="39" t="str">
        <f t="shared" ref="AF322:AF385" si="121">UPPER(LEFT(C322,3))</f>
        <v>ALI</v>
      </c>
      <c r="AG322" s="39" t="str">
        <f t="shared" ref="AG322:AG385" si="122">UPPER(LEFT(D322,1))&amp;UPPER(LEFT(M322,1))&amp;"-"&amp;TEXT(B322,"yymmdd")&amp;"-"&amp;TEXT(ROW()-1,"0000")</f>
        <v>NR-230224-0321</v>
      </c>
      <c r="AH322" s="39" t="str">
        <f>IF(AND(OR(Filter!$B$4="All",D322=Filter!$B$4),OR(Filter!$B$5="All",M322=Filter!$B$5),E322&gt;=Filter!$B$6),MAX(AH$1:AH321)+1,"")</f>
        <v/>
      </c>
      <c r="AI322" s="39">
        <f t="shared" ref="AI322:AI385" si="123">F322</f>
        <v>43</v>
      </c>
      <c r="AJ322" s="42">
        <f t="shared" ref="AJ322:AJ385" si="124">K322</f>
        <v>0.03</v>
      </c>
      <c r="AK322" s="41">
        <f t="shared" ref="AK322:AK385" si="125">I322</f>
        <v>2188.66</v>
      </c>
      <c r="AL322" s="39">
        <f>RANK(E322,$E$2:$E$1001,0)+COUNTIF($E$2:E322,E322)-1</f>
        <v>443</v>
      </c>
    </row>
    <row r="323" spans="1:38" x14ac:dyDescent="0.2">
      <c r="A323" s="39">
        <v>1035</v>
      </c>
      <c r="B323" s="40">
        <v>45214</v>
      </c>
      <c r="C323" s="39" t="s">
        <v>76</v>
      </c>
      <c r="D323" s="39" t="s">
        <v>64</v>
      </c>
      <c r="E323" s="41">
        <v>9476.2000000000007</v>
      </c>
      <c r="F323" s="39">
        <v>1</v>
      </c>
      <c r="G323" s="39" t="s">
        <v>75</v>
      </c>
      <c r="H323" s="41">
        <v>610.83000000000004</v>
      </c>
      <c r="I323" s="41">
        <v>808.69</v>
      </c>
      <c r="J323" s="39" t="s">
        <v>143</v>
      </c>
      <c r="K323" s="42">
        <v>0.22</v>
      </c>
      <c r="L323" s="39" t="s">
        <v>73</v>
      </c>
      <c r="M323" s="39" t="s">
        <v>138</v>
      </c>
      <c r="N323" s="39" t="s">
        <v>152</v>
      </c>
      <c r="O323" s="43">
        <f t="shared" si="105"/>
        <v>808.69</v>
      </c>
      <c r="P323" s="43">
        <f t="shared" si="106"/>
        <v>630.78</v>
      </c>
      <c r="Q323" s="43">
        <f t="shared" si="107"/>
        <v>610.83000000000004</v>
      </c>
      <c r="R323" s="43">
        <f t="shared" si="108"/>
        <v>19.949999999999932</v>
      </c>
      <c r="S323" s="44">
        <f t="shared" si="109"/>
        <v>3.1627508798630161E-2</v>
      </c>
      <c r="T323" s="39" t="str">
        <f t="shared" si="110"/>
        <v>OK</v>
      </c>
      <c r="U323" s="39" t="str">
        <f t="shared" si="111"/>
        <v>20%+</v>
      </c>
      <c r="V323" s="39" t="str">
        <f>IF(E323&gt;=Analysis!$B$4,"High",IF(E323&gt;=Analysis!$B$5,"Mid","Low"))</f>
        <v>High</v>
      </c>
      <c r="W323" s="39" t="str">
        <f t="shared" si="112"/>
        <v>2023-10</v>
      </c>
      <c r="X323" s="40">
        <f t="shared" si="113"/>
        <v>45230</v>
      </c>
      <c r="Y323" s="39" t="str">
        <f t="shared" si="114"/>
        <v>2023-Q4</v>
      </c>
      <c r="Z323" s="39" t="str">
        <f t="shared" si="115"/>
        <v>Sun</v>
      </c>
      <c r="AA323" s="39">
        <f t="shared" si="116"/>
        <v>7</v>
      </c>
      <c r="AB323" s="39">
        <f t="shared" si="117"/>
        <v>42</v>
      </c>
      <c r="AC323" s="39" t="str">
        <f t="shared" si="118"/>
        <v>Weekend</v>
      </c>
      <c r="AD323" s="39">
        <f t="shared" ca="1" si="119"/>
        <v>1105</v>
      </c>
      <c r="AE323" s="39">
        <f t="shared" ca="1" si="120"/>
        <v>36</v>
      </c>
      <c r="AF323" s="39" t="str">
        <f t="shared" si="121"/>
        <v>DAV</v>
      </c>
      <c r="AG323" s="39" t="str">
        <f t="shared" si="122"/>
        <v>NO-231015-0322</v>
      </c>
      <c r="AH323" s="39">
        <f>IF(AND(OR(Filter!$B$4="All",D323=Filter!$B$4),OR(Filter!$B$5="All",M323=Filter!$B$5),E323&gt;=Filter!$B$6),MAX(AH$1:AH322)+1,"")</f>
        <v>37</v>
      </c>
      <c r="AI323" s="39">
        <f t="shared" si="123"/>
        <v>1</v>
      </c>
      <c r="AJ323" s="42">
        <f t="shared" si="124"/>
        <v>0.22</v>
      </c>
      <c r="AK323" s="41">
        <f t="shared" si="125"/>
        <v>808.69</v>
      </c>
      <c r="AL323" s="39">
        <f>RANK(E323,$E$2:$E$1001,0)+COUNTIF($E$2:E323,E323)-1</f>
        <v>53</v>
      </c>
    </row>
    <row r="324" spans="1:38" x14ac:dyDescent="0.2">
      <c r="A324" s="39">
        <v>1080</v>
      </c>
      <c r="B324" s="40">
        <v>45104</v>
      </c>
      <c r="C324" s="39" t="s">
        <v>79</v>
      </c>
      <c r="D324" s="39" t="s">
        <v>74</v>
      </c>
      <c r="E324" s="41">
        <v>5012.96</v>
      </c>
      <c r="F324" s="39">
        <v>35</v>
      </c>
      <c r="G324" s="39" t="s">
        <v>75</v>
      </c>
      <c r="H324" s="41">
        <v>900.97</v>
      </c>
      <c r="I324" s="41">
        <v>1321.18</v>
      </c>
      <c r="J324" s="39" t="s">
        <v>137</v>
      </c>
      <c r="K324" s="42">
        <v>0.1</v>
      </c>
      <c r="L324" s="39" t="s">
        <v>68</v>
      </c>
      <c r="M324" s="39" t="s">
        <v>138</v>
      </c>
      <c r="N324" s="39" t="s">
        <v>149</v>
      </c>
      <c r="O324" s="43">
        <f t="shared" si="105"/>
        <v>46241.3</v>
      </c>
      <c r="P324" s="43">
        <f t="shared" si="106"/>
        <v>41617.17</v>
      </c>
      <c r="Q324" s="43">
        <f t="shared" si="107"/>
        <v>31533.95</v>
      </c>
      <c r="R324" s="43">
        <f t="shared" si="108"/>
        <v>10083.219999999998</v>
      </c>
      <c r="S324" s="44">
        <f t="shared" si="109"/>
        <v>0.24228509531042111</v>
      </c>
      <c r="T324" s="39" t="str">
        <f t="shared" si="110"/>
        <v>OK</v>
      </c>
      <c r="U324" s="39" t="str">
        <f t="shared" si="111"/>
        <v>10-19%</v>
      </c>
      <c r="V324" s="39" t="str">
        <f>IF(E324&gt;=Analysis!$B$4,"High",IF(E324&gt;=Analysis!$B$5,"Mid","Low"))</f>
        <v>Mid</v>
      </c>
      <c r="W324" s="39" t="str">
        <f t="shared" si="112"/>
        <v>2023-06</v>
      </c>
      <c r="X324" s="40">
        <f t="shared" si="113"/>
        <v>45107</v>
      </c>
      <c r="Y324" s="39" t="str">
        <f t="shared" si="114"/>
        <v>2023-Q2</v>
      </c>
      <c r="Z324" s="39" t="str">
        <f t="shared" si="115"/>
        <v>Tue</v>
      </c>
      <c r="AA324" s="39">
        <f t="shared" si="116"/>
        <v>2</v>
      </c>
      <c r="AB324" s="39">
        <f t="shared" si="117"/>
        <v>27</v>
      </c>
      <c r="AC324" s="39" t="str">
        <f t="shared" si="118"/>
        <v>Weekday</v>
      </c>
      <c r="AD324" s="39">
        <f t="shared" ca="1" si="119"/>
        <v>1215</v>
      </c>
      <c r="AE324" s="39">
        <f t="shared" ca="1" si="120"/>
        <v>39</v>
      </c>
      <c r="AF324" s="39" t="str">
        <f t="shared" si="121"/>
        <v>EVE</v>
      </c>
      <c r="AG324" s="39" t="str">
        <f t="shared" si="122"/>
        <v>WO-230627-0323</v>
      </c>
      <c r="AH324" s="39" t="str">
        <f>IF(AND(OR(Filter!$B$4="All",D324=Filter!$B$4),OR(Filter!$B$5="All",M324=Filter!$B$5),E324&gt;=Filter!$B$6),MAX(AH$1:AH323)+1,"")</f>
        <v/>
      </c>
      <c r="AI324" s="39">
        <f t="shared" si="123"/>
        <v>35</v>
      </c>
      <c r="AJ324" s="42">
        <f t="shared" si="124"/>
        <v>0.1</v>
      </c>
      <c r="AK324" s="41">
        <f t="shared" si="125"/>
        <v>1321.18</v>
      </c>
      <c r="AL324" s="39">
        <f>RANK(E324,$E$2:$E$1001,0)+COUNTIF($E$2:E324,E324)-1</f>
        <v>501</v>
      </c>
    </row>
    <row r="325" spans="1:38" x14ac:dyDescent="0.2">
      <c r="A325" s="39">
        <v>1061</v>
      </c>
      <c r="B325" s="40">
        <v>45275</v>
      </c>
      <c r="C325" s="39" t="s">
        <v>61</v>
      </c>
      <c r="D325" s="39" t="s">
        <v>64</v>
      </c>
      <c r="E325" s="41">
        <v>3867.13</v>
      </c>
      <c r="F325" s="39">
        <v>32</v>
      </c>
      <c r="G325" s="39" t="s">
        <v>70</v>
      </c>
      <c r="H325" s="41">
        <v>2759.26</v>
      </c>
      <c r="I325" s="41">
        <v>3193.25</v>
      </c>
      <c r="J325" s="39" t="s">
        <v>143</v>
      </c>
      <c r="K325" s="42">
        <v>0.2</v>
      </c>
      <c r="L325" s="39" t="s">
        <v>63</v>
      </c>
      <c r="M325" s="39" t="s">
        <v>138</v>
      </c>
      <c r="N325" s="39" t="s">
        <v>156</v>
      </c>
      <c r="O325" s="43">
        <f t="shared" si="105"/>
        <v>102184</v>
      </c>
      <c r="P325" s="43">
        <f t="shared" si="106"/>
        <v>81747.199999999997</v>
      </c>
      <c r="Q325" s="43">
        <f t="shared" si="107"/>
        <v>88296.320000000007</v>
      </c>
      <c r="R325" s="43">
        <f t="shared" si="108"/>
        <v>-6549.1200000000099</v>
      </c>
      <c r="S325" s="44">
        <f t="shared" si="109"/>
        <v>-8.0114303609175735E-2</v>
      </c>
      <c r="T325" s="39" t="str">
        <f t="shared" si="110"/>
        <v>Loss</v>
      </c>
      <c r="U325" s="39" t="str">
        <f t="shared" si="111"/>
        <v>20%+</v>
      </c>
      <c r="V325" s="39" t="str">
        <f>IF(E325&gt;=Analysis!$B$4,"High",IF(E325&gt;=Analysis!$B$5,"Mid","Low"))</f>
        <v>Mid</v>
      </c>
      <c r="W325" s="39" t="str">
        <f t="shared" si="112"/>
        <v>2023-12</v>
      </c>
      <c r="X325" s="40">
        <f t="shared" si="113"/>
        <v>45291</v>
      </c>
      <c r="Y325" s="39" t="str">
        <f t="shared" si="114"/>
        <v>2023-Q4</v>
      </c>
      <c r="Z325" s="39" t="str">
        <f t="shared" si="115"/>
        <v>Fri</v>
      </c>
      <c r="AA325" s="39">
        <f t="shared" si="116"/>
        <v>5</v>
      </c>
      <c r="AB325" s="39">
        <f t="shared" si="117"/>
        <v>51</v>
      </c>
      <c r="AC325" s="39" t="str">
        <f t="shared" si="118"/>
        <v>Weekday</v>
      </c>
      <c r="AD325" s="39">
        <f t="shared" ca="1" si="119"/>
        <v>1044</v>
      </c>
      <c r="AE325" s="39">
        <f t="shared" ca="1" si="120"/>
        <v>34</v>
      </c>
      <c r="AF325" s="39" t="str">
        <f t="shared" si="121"/>
        <v>ALI</v>
      </c>
      <c r="AG325" s="39" t="str">
        <f t="shared" si="122"/>
        <v>NO-231215-0324</v>
      </c>
      <c r="AH325" s="39" t="str">
        <f>IF(AND(OR(Filter!$B$4="All",D325=Filter!$B$4),OR(Filter!$B$5="All",M325=Filter!$B$5),E325&gt;=Filter!$B$6),MAX(AH$1:AH324)+1,"")</f>
        <v/>
      </c>
      <c r="AI325" s="39">
        <f t="shared" si="123"/>
        <v>32</v>
      </c>
      <c r="AJ325" s="42">
        <f t="shared" si="124"/>
        <v>0.2</v>
      </c>
      <c r="AK325" s="41">
        <f t="shared" si="125"/>
        <v>3193.25</v>
      </c>
      <c r="AL325" s="39">
        <f>RANK(E325,$E$2:$E$1001,0)+COUNTIF($E$2:E325,E325)-1</f>
        <v>609</v>
      </c>
    </row>
    <row r="326" spans="1:38" x14ac:dyDescent="0.2">
      <c r="A326" s="39">
        <v>1041</v>
      </c>
      <c r="B326" s="40">
        <v>44934</v>
      </c>
      <c r="C326" s="39" t="s">
        <v>76</v>
      </c>
      <c r="D326" s="39" t="s">
        <v>59</v>
      </c>
      <c r="E326" s="41">
        <v>1714.05</v>
      </c>
      <c r="F326" s="39">
        <v>36</v>
      </c>
      <c r="G326" s="39" t="s">
        <v>70</v>
      </c>
      <c r="H326" s="41">
        <v>864.77</v>
      </c>
      <c r="I326" s="41">
        <v>1170.1600000000001</v>
      </c>
      <c r="J326" s="39" t="s">
        <v>137</v>
      </c>
      <c r="K326" s="42">
        <v>0.11</v>
      </c>
      <c r="L326" s="39" t="s">
        <v>68</v>
      </c>
      <c r="M326" s="39" t="s">
        <v>140</v>
      </c>
      <c r="N326" s="39" t="s">
        <v>157</v>
      </c>
      <c r="O326" s="43">
        <f t="shared" si="105"/>
        <v>42125.760000000002</v>
      </c>
      <c r="P326" s="43">
        <f t="shared" si="106"/>
        <v>37491.93</v>
      </c>
      <c r="Q326" s="43">
        <f t="shared" si="107"/>
        <v>31131.72</v>
      </c>
      <c r="R326" s="43">
        <f t="shared" si="108"/>
        <v>6360.2099999999991</v>
      </c>
      <c r="S326" s="44">
        <f t="shared" si="109"/>
        <v>0.16964210698142237</v>
      </c>
      <c r="T326" s="39" t="str">
        <f t="shared" si="110"/>
        <v>OK</v>
      </c>
      <c r="U326" s="39" t="str">
        <f t="shared" si="111"/>
        <v>10-19%</v>
      </c>
      <c r="V326" s="39" t="str">
        <f>IF(E326&gt;=Analysis!$B$4,"High",IF(E326&gt;=Analysis!$B$5,"Mid","Low"))</f>
        <v>Low</v>
      </c>
      <c r="W326" s="39" t="str">
        <f t="shared" si="112"/>
        <v>2023-01</v>
      </c>
      <c r="X326" s="40">
        <f t="shared" si="113"/>
        <v>44957</v>
      </c>
      <c r="Y326" s="39" t="str">
        <f t="shared" si="114"/>
        <v>2023-Q1</v>
      </c>
      <c r="Z326" s="39" t="str">
        <f t="shared" si="115"/>
        <v>Sun</v>
      </c>
      <c r="AA326" s="39">
        <f t="shared" si="116"/>
        <v>7</v>
      </c>
      <c r="AB326" s="39">
        <f t="shared" si="117"/>
        <v>2</v>
      </c>
      <c r="AC326" s="39" t="str">
        <f t="shared" si="118"/>
        <v>Weekend</v>
      </c>
      <c r="AD326" s="39">
        <f t="shared" ca="1" si="119"/>
        <v>1385</v>
      </c>
      <c r="AE326" s="39">
        <f t="shared" ca="1" si="120"/>
        <v>45</v>
      </c>
      <c r="AF326" s="39" t="str">
        <f t="shared" si="121"/>
        <v>DAV</v>
      </c>
      <c r="AG326" s="39" t="str">
        <f t="shared" si="122"/>
        <v>ER-230108-0325</v>
      </c>
      <c r="AH326" s="39" t="str">
        <f>IF(AND(OR(Filter!$B$4="All",D326=Filter!$B$4),OR(Filter!$B$5="All",M326=Filter!$B$5),E326&gt;=Filter!$B$6),MAX(AH$1:AH325)+1,"")</f>
        <v/>
      </c>
      <c r="AI326" s="39">
        <f t="shared" si="123"/>
        <v>36</v>
      </c>
      <c r="AJ326" s="42">
        <f t="shared" si="124"/>
        <v>0.11</v>
      </c>
      <c r="AK326" s="41">
        <f t="shared" si="125"/>
        <v>1170.1600000000001</v>
      </c>
      <c r="AL326" s="39">
        <f>RANK(E326,$E$2:$E$1001,0)+COUNTIF($E$2:E326,E326)-1</f>
        <v>846</v>
      </c>
    </row>
    <row r="327" spans="1:38" x14ac:dyDescent="0.2">
      <c r="A327" s="39">
        <v>1100</v>
      </c>
      <c r="B327" s="40">
        <v>45247</v>
      </c>
      <c r="C327" s="39" t="s">
        <v>66</v>
      </c>
      <c r="D327" s="39" t="s">
        <v>59</v>
      </c>
      <c r="E327" s="41">
        <v>7883.44</v>
      </c>
      <c r="F327" s="39">
        <v>13</v>
      </c>
      <c r="G327" s="39" t="s">
        <v>70</v>
      </c>
      <c r="H327" s="41">
        <v>366.2</v>
      </c>
      <c r="I327" s="41">
        <v>732.69</v>
      </c>
      <c r="J327" s="39" t="s">
        <v>143</v>
      </c>
      <c r="K327" s="42">
        <v>0.04</v>
      </c>
      <c r="L327" s="39" t="s">
        <v>68</v>
      </c>
      <c r="M327" s="39" t="s">
        <v>140</v>
      </c>
      <c r="N327" s="39" t="s">
        <v>153</v>
      </c>
      <c r="O327" s="43">
        <f t="shared" si="105"/>
        <v>9524.9699999999993</v>
      </c>
      <c r="P327" s="43">
        <f t="shared" si="106"/>
        <v>9143.9699999999993</v>
      </c>
      <c r="Q327" s="43">
        <f t="shared" si="107"/>
        <v>4760.6000000000004</v>
      </c>
      <c r="R327" s="43">
        <f t="shared" si="108"/>
        <v>4383.369999999999</v>
      </c>
      <c r="S327" s="44">
        <f t="shared" si="109"/>
        <v>0.47937274509868244</v>
      </c>
      <c r="T327" s="39" t="str">
        <f t="shared" si="110"/>
        <v>OK</v>
      </c>
      <c r="U327" s="39" t="str">
        <f t="shared" si="111"/>
        <v>0-9%</v>
      </c>
      <c r="V327" s="39" t="str">
        <f>IF(E327&gt;=Analysis!$B$4,"High",IF(E327&gt;=Analysis!$B$5,"Mid","Low"))</f>
        <v>High</v>
      </c>
      <c r="W327" s="39" t="str">
        <f t="shared" si="112"/>
        <v>2023-11</v>
      </c>
      <c r="X327" s="40">
        <f t="shared" si="113"/>
        <v>45260</v>
      </c>
      <c r="Y327" s="39" t="str">
        <f t="shared" si="114"/>
        <v>2023-Q4</v>
      </c>
      <c r="Z327" s="39" t="str">
        <f t="shared" si="115"/>
        <v>Fri</v>
      </c>
      <c r="AA327" s="39">
        <f t="shared" si="116"/>
        <v>5</v>
      </c>
      <c r="AB327" s="39">
        <f t="shared" si="117"/>
        <v>47</v>
      </c>
      <c r="AC327" s="39" t="str">
        <f t="shared" si="118"/>
        <v>Weekday</v>
      </c>
      <c r="AD327" s="39">
        <f t="shared" ca="1" si="119"/>
        <v>1072</v>
      </c>
      <c r="AE327" s="39">
        <f t="shared" ca="1" si="120"/>
        <v>35</v>
      </c>
      <c r="AF327" s="39" t="str">
        <f t="shared" si="121"/>
        <v>BOB</v>
      </c>
      <c r="AG327" s="39" t="str">
        <f t="shared" si="122"/>
        <v>ER-231117-0326</v>
      </c>
      <c r="AH327" s="39" t="str">
        <f>IF(AND(OR(Filter!$B$4="All",D327=Filter!$B$4),OR(Filter!$B$5="All",M327=Filter!$B$5),E327&gt;=Filter!$B$6),MAX(AH$1:AH326)+1,"")</f>
        <v/>
      </c>
      <c r="AI327" s="39">
        <f t="shared" si="123"/>
        <v>13</v>
      </c>
      <c r="AJ327" s="42">
        <f t="shared" si="124"/>
        <v>0.04</v>
      </c>
      <c r="AK327" s="41">
        <f t="shared" si="125"/>
        <v>732.69</v>
      </c>
      <c r="AL327" s="39">
        <f>RANK(E327,$E$2:$E$1001,0)+COUNTIF($E$2:E327,E327)-1</f>
        <v>207</v>
      </c>
    </row>
    <row r="328" spans="1:38" x14ac:dyDescent="0.2">
      <c r="A328" s="39">
        <v>1033</v>
      </c>
      <c r="B328" s="40">
        <v>45239</v>
      </c>
      <c r="C328" s="39" t="s">
        <v>76</v>
      </c>
      <c r="D328" s="39" t="s">
        <v>59</v>
      </c>
      <c r="E328" s="41">
        <v>7370.99</v>
      </c>
      <c r="F328" s="39">
        <v>6</v>
      </c>
      <c r="G328" s="39" t="s">
        <v>60</v>
      </c>
      <c r="H328" s="41">
        <v>1621.07</v>
      </c>
      <c r="I328" s="41">
        <v>1687.5</v>
      </c>
      <c r="J328" s="39" t="s">
        <v>137</v>
      </c>
      <c r="K328" s="42">
        <v>0.12</v>
      </c>
      <c r="L328" s="39" t="s">
        <v>73</v>
      </c>
      <c r="M328" s="39" t="s">
        <v>138</v>
      </c>
      <c r="N328" s="39" t="s">
        <v>157</v>
      </c>
      <c r="O328" s="43">
        <f t="shared" si="105"/>
        <v>10125</v>
      </c>
      <c r="P328" s="43">
        <f t="shared" si="106"/>
        <v>8910</v>
      </c>
      <c r="Q328" s="43">
        <f t="shared" si="107"/>
        <v>9726.42</v>
      </c>
      <c r="R328" s="43">
        <f t="shared" si="108"/>
        <v>-816.42000000000007</v>
      </c>
      <c r="S328" s="44">
        <f t="shared" si="109"/>
        <v>-9.1629629629629644E-2</v>
      </c>
      <c r="T328" s="39" t="str">
        <f t="shared" si="110"/>
        <v>Loss</v>
      </c>
      <c r="U328" s="39" t="str">
        <f t="shared" si="111"/>
        <v>10-19%</v>
      </c>
      <c r="V328" s="39" t="str">
        <f>IF(E328&gt;=Analysis!$B$4,"High",IF(E328&gt;=Analysis!$B$5,"Mid","Low"))</f>
        <v>Mid</v>
      </c>
      <c r="W328" s="39" t="str">
        <f t="shared" si="112"/>
        <v>2023-11</v>
      </c>
      <c r="X328" s="40">
        <f t="shared" si="113"/>
        <v>45260</v>
      </c>
      <c r="Y328" s="39" t="str">
        <f t="shared" si="114"/>
        <v>2023-Q4</v>
      </c>
      <c r="Z328" s="39" t="str">
        <f t="shared" si="115"/>
        <v>Thu</v>
      </c>
      <c r="AA328" s="39">
        <f t="shared" si="116"/>
        <v>4</v>
      </c>
      <c r="AB328" s="39">
        <f t="shared" si="117"/>
        <v>46</v>
      </c>
      <c r="AC328" s="39" t="str">
        <f t="shared" si="118"/>
        <v>Weekday</v>
      </c>
      <c r="AD328" s="39">
        <f t="shared" ca="1" si="119"/>
        <v>1080</v>
      </c>
      <c r="AE328" s="39">
        <f t="shared" ca="1" si="120"/>
        <v>35</v>
      </c>
      <c r="AF328" s="39" t="str">
        <f t="shared" si="121"/>
        <v>DAV</v>
      </c>
      <c r="AG328" s="39" t="str">
        <f t="shared" si="122"/>
        <v>EO-231109-0327</v>
      </c>
      <c r="AH328" s="39" t="str">
        <f>IF(AND(OR(Filter!$B$4="All",D328=Filter!$B$4),OR(Filter!$B$5="All",M328=Filter!$B$5),E328&gt;=Filter!$B$6),MAX(AH$1:AH327)+1,"")</f>
        <v/>
      </c>
      <c r="AI328" s="39">
        <f t="shared" si="123"/>
        <v>6</v>
      </c>
      <c r="AJ328" s="42">
        <f t="shared" si="124"/>
        <v>0.12</v>
      </c>
      <c r="AK328" s="41">
        <f t="shared" si="125"/>
        <v>1687.5</v>
      </c>
      <c r="AL328" s="39">
        <f>RANK(E328,$E$2:$E$1001,0)+COUNTIF($E$2:E328,E328)-1</f>
        <v>263</v>
      </c>
    </row>
    <row r="329" spans="1:38" x14ac:dyDescent="0.2">
      <c r="A329" s="39">
        <v>1068</v>
      </c>
      <c r="B329" s="40">
        <v>45173</v>
      </c>
      <c r="C329" s="39" t="s">
        <v>79</v>
      </c>
      <c r="D329" s="39" t="s">
        <v>59</v>
      </c>
      <c r="E329" s="41">
        <v>3905.11</v>
      </c>
      <c r="F329" s="39">
        <v>14</v>
      </c>
      <c r="G329" s="39" t="s">
        <v>70</v>
      </c>
      <c r="H329" s="41">
        <v>1140.58</v>
      </c>
      <c r="I329" s="41">
        <v>1438.76</v>
      </c>
      <c r="J329" s="39" t="s">
        <v>137</v>
      </c>
      <c r="K329" s="42">
        <v>0.03</v>
      </c>
      <c r="L329" s="39" t="s">
        <v>63</v>
      </c>
      <c r="M329" s="39" t="s">
        <v>138</v>
      </c>
      <c r="N329" s="39" t="s">
        <v>155</v>
      </c>
      <c r="O329" s="43">
        <f t="shared" si="105"/>
        <v>20142.64</v>
      </c>
      <c r="P329" s="43">
        <f t="shared" si="106"/>
        <v>19538.36</v>
      </c>
      <c r="Q329" s="43">
        <f t="shared" si="107"/>
        <v>15968.12</v>
      </c>
      <c r="R329" s="43">
        <f t="shared" si="108"/>
        <v>3570.24</v>
      </c>
      <c r="S329" s="44">
        <f t="shared" si="109"/>
        <v>0.18272976851690723</v>
      </c>
      <c r="T329" s="39" t="str">
        <f t="shared" si="110"/>
        <v>OK</v>
      </c>
      <c r="U329" s="39" t="str">
        <f t="shared" si="111"/>
        <v>0-9%</v>
      </c>
      <c r="V329" s="39" t="str">
        <f>IF(E329&gt;=Analysis!$B$4,"High",IF(E329&gt;=Analysis!$B$5,"Mid","Low"))</f>
        <v>Mid</v>
      </c>
      <c r="W329" s="39" t="str">
        <f t="shared" si="112"/>
        <v>2023-09</v>
      </c>
      <c r="X329" s="40">
        <f t="shared" si="113"/>
        <v>45199</v>
      </c>
      <c r="Y329" s="39" t="str">
        <f t="shared" si="114"/>
        <v>2023-Q3</v>
      </c>
      <c r="Z329" s="39" t="str">
        <f t="shared" si="115"/>
        <v>Mon</v>
      </c>
      <c r="AA329" s="39">
        <f t="shared" si="116"/>
        <v>1</v>
      </c>
      <c r="AB329" s="39">
        <f t="shared" si="117"/>
        <v>37</v>
      </c>
      <c r="AC329" s="39" t="str">
        <f t="shared" si="118"/>
        <v>Weekday</v>
      </c>
      <c r="AD329" s="39">
        <f t="shared" ca="1" si="119"/>
        <v>1146</v>
      </c>
      <c r="AE329" s="39">
        <f t="shared" ca="1" si="120"/>
        <v>37</v>
      </c>
      <c r="AF329" s="39" t="str">
        <f t="shared" si="121"/>
        <v>EVE</v>
      </c>
      <c r="AG329" s="39" t="str">
        <f t="shared" si="122"/>
        <v>EO-230904-0328</v>
      </c>
      <c r="AH329" s="39" t="str">
        <f>IF(AND(OR(Filter!$B$4="All",D329=Filter!$B$4),OR(Filter!$B$5="All",M329=Filter!$B$5),E329&gt;=Filter!$B$6),MAX(AH$1:AH328)+1,"")</f>
        <v/>
      </c>
      <c r="AI329" s="39">
        <f t="shared" si="123"/>
        <v>14</v>
      </c>
      <c r="AJ329" s="42">
        <f t="shared" si="124"/>
        <v>0.03</v>
      </c>
      <c r="AK329" s="41">
        <f t="shared" si="125"/>
        <v>1438.76</v>
      </c>
      <c r="AL329" s="39">
        <f>RANK(E329,$E$2:$E$1001,0)+COUNTIF($E$2:E329,E329)-1</f>
        <v>607</v>
      </c>
    </row>
    <row r="330" spans="1:38" x14ac:dyDescent="0.2">
      <c r="A330" s="39">
        <v>1033</v>
      </c>
      <c r="B330" s="40">
        <v>45249</v>
      </c>
      <c r="C330" s="39" t="s">
        <v>76</v>
      </c>
      <c r="D330" s="39" t="s">
        <v>64</v>
      </c>
      <c r="E330" s="41">
        <v>349.41</v>
      </c>
      <c r="F330" s="39">
        <v>37</v>
      </c>
      <c r="G330" s="39" t="s">
        <v>65</v>
      </c>
      <c r="H330" s="41">
        <v>2600.7600000000002</v>
      </c>
      <c r="I330" s="41">
        <v>2937.57</v>
      </c>
      <c r="J330" s="39" t="s">
        <v>143</v>
      </c>
      <c r="K330" s="42">
        <v>0.17</v>
      </c>
      <c r="L330" s="39" t="s">
        <v>73</v>
      </c>
      <c r="M330" s="39" t="s">
        <v>140</v>
      </c>
      <c r="N330" s="39" t="s">
        <v>152</v>
      </c>
      <c r="O330" s="43">
        <f t="shared" si="105"/>
        <v>108690.09</v>
      </c>
      <c r="P330" s="43">
        <f t="shared" si="106"/>
        <v>90212.77</v>
      </c>
      <c r="Q330" s="43">
        <f t="shared" si="107"/>
        <v>96228.12</v>
      </c>
      <c r="R330" s="43">
        <f t="shared" si="108"/>
        <v>-6015.3499999999913</v>
      </c>
      <c r="S330" s="44">
        <f t="shared" si="109"/>
        <v>-6.6679584276150602E-2</v>
      </c>
      <c r="T330" s="39" t="str">
        <f t="shared" si="110"/>
        <v>Loss</v>
      </c>
      <c r="U330" s="39" t="str">
        <f t="shared" si="111"/>
        <v>10-19%</v>
      </c>
      <c r="V330" s="39" t="str">
        <f>IF(E330&gt;=Analysis!$B$4,"High",IF(E330&gt;=Analysis!$B$5,"Mid","Low"))</f>
        <v>Low</v>
      </c>
      <c r="W330" s="39" t="str">
        <f t="shared" si="112"/>
        <v>2023-11</v>
      </c>
      <c r="X330" s="40">
        <f t="shared" si="113"/>
        <v>45260</v>
      </c>
      <c r="Y330" s="39" t="str">
        <f t="shared" si="114"/>
        <v>2023-Q4</v>
      </c>
      <c r="Z330" s="39" t="str">
        <f t="shared" si="115"/>
        <v>Sun</v>
      </c>
      <c r="AA330" s="39">
        <f t="shared" si="116"/>
        <v>7</v>
      </c>
      <c r="AB330" s="39">
        <f t="shared" si="117"/>
        <v>47</v>
      </c>
      <c r="AC330" s="39" t="str">
        <f t="shared" si="118"/>
        <v>Weekend</v>
      </c>
      <c r="AD330" s="39">
        <f t="shared" ca="1" si="119"/>
        <v>1070</v>
      </c>
      <c r="AE330" s="39">
        <f t="shared" ca="1" si="120"/>
        <v>35</v>
      </c>
      <c r="AF330" s="39" t="str">
        <f t="shared" si="121"/>
        <v>DAV</v>
      </c>
      <c r="AG330" s="39" t="str">
        <f t="shared" si="122"/>
        <v>NR-231119-0329</v>
      </c>
      <c r="AH330" s="39" t="str">
        <f>IF(AND(OR(Filter!$B$4="All",D330=Filter!$B$4),OR(Filter!$B$5="All",M330=Filter!$B$5),E330&gt;=Filter!$B$6),MAX(AH$1:AH329)+1,"")</f>
        <v/>
      </c>
      <c r="AI330" s="39">
        <f t="shared" si="123"/>
        <v>37</v>
      </c>
      <c r="AJ330" s="42">
        <f t="shared" si="124"/>
        <v>0.17</v>
      </c>
      <c r="AK330" s="41">
        <f t="shared" si="125"/>
        <v>2937.57</v>
      </c>
      <c r="AL330" s="39">
        <f>RANK(E330,$E$2:$E$1001,0)+COUNTIF($E$2:E330,E330)-1</f>
        <v>970</v>
      </c>
    </row>
    <row r="331" spans="1:38" x14ac:dyDescent="0.2">
      <c r="A331" s="39">
        <v>1014</v>
      </c>
      <c r="B331" s="40">
        <v>45181</v>
      </c>
      <c r="C331" s="39" t="s">
        <v>71</v>
      </c>
      <c r="D331" s="39" t="s">
        <v>59</v>
      </c>
      <c r="E331" s="41">
        <v>8406.07</v>
      </c>
      <c r="F331" s="39">
        <v>48</v>
      </c>
      <c r="G331" s="39" t="s">
        <v>75</v>
      </c>
      <c r="H331" s="41">
        <v>556.72</v>
      </c>
      <c r="I331" s="41">
        <v>665.07</v>
      </c>
      <c r="J331" s="39" t="s">
        <v>137</v>
      </c>
      <c r="K331" s="42">
        <v>0.01</v>
      </c>
      <c r="L331" s="39" t="s">
        <v>63</v>
      </c>
      <c r="M331" s="39" t="s">
        <v>140</v>
      </c>
      <c r="N331" s="39" t="s">
        <v>145</v>
      </c>
      <c r="O331" s="43">
        <f t="shared" si="105"/>
        <v>31923.360000000001</v>
      </c>
      <c r="P331" s="43">
        <f t="shared" si="106"/>
        <v>31604.13</v>
      </c>
      <c r="Q331" s="43">
        <f t="shared" si="107"/>
        <v>26722.560000000001</v>
      </c>
      <c r="R331" s="43">
        <f t="shared" si="108"/>
        <v>4881.57</v>
      </c>
      <c r="S331" s="44">
        <f t="shared" si="109"/>
        <v>0.15445987597190619</v>
      </c>
      <c r="T331" s="39" t="str">
        <f t="shared" si="110"/>
        <v>OK</v>
      </c>
      <c r="U331" s="39" t="str">
        <f t="shared" si="111"/>
        <v>0-9%</v>
      </c>
      <c r="V331" s="39" t="str">
        <f>IF(E331&gt;=Analysis!$B$4,"High",IF(E331&gt;=Analysis!$B$5,"Mid","Low"))</f>
        <v>High</v>
      </c>
      <c r="W331" s="39" t="str">
        <f t="shared" si="112"/>
        <v>2023-09</v>
      </c>
      <c r="X331" s="40">
        <f t="shared" si="113"/>
        <v>45199</v>
      </c>
      <c r="Y331" s="39" t="str">
        <f t="shared" si="114"/>
        <v>2023-Q3</v>
      </c>
      <c r="Z331" s="39" t="str">
        <f t="shared" si="115"/>
        <v>Tue</v>
      </c>
      <c r="AA331" s="39">
        <f t="shared" si="116"/>
        <v>2</v>
      </c>
      <c r="AB331" s="39">
        <f t="shared" si="117"/>
        <v>38</v>
      </c>
      <c r="AC331" s="39" t="str">
        <f t="shared" si="118"/>
        <v>Weekday</v>
      </c>
      <c r="AD331" s="39">
        <f t="shared" ca="1" si="119"/>
        <v>1138</v>
      </c>
      <c r="AE331" s="39">
        <f t="shared" ca="1" si="120"/>
        <v>37</v>
      </c>
      <c r="AF331" s="39" t="str">
        <f t="shared" si="121"/>
        <v>CHA</v>
      </c>
      <c r="AG331" s="39" t="str">
        <f t="shared" si="122"/>
        <v>ER-230912-0330</v>
      </c>
      <c r="AH331" s="39" t="str">
        <f>IF(AND(OR(Filter!$B$4="All",D331=Filter!$B$4),OR(Filter!$B$5="All",M331=Filter!$B$5),E331&gt;=Filter!$B$6),MAX(AH$1:AH330)+1,"")</f>
        <v/>
      </c>
      <c r="AI331" s="39">
        <f t="shared" si="123"/>
        <v>48</v>
      </c>
      <c r="AJ331" s="42">
        <f t="shared" si="124"/>
        <v>0.01</v>
      </c>
      <c r="AK331" s="41">
        <f t="shared" si="125"/>
        <v>665.07</v>
      </c>
      <c r="AL331" s="39">
        <f>RANK(E331,$E$2:$E$1001,0)+COUNTIF($E$2:E331,E331)-1</f>
        <v>150</v>
      </c>
    </row>
    <row r="332" spans="1:38" x14ac:dyDescent="0.2">
      <c r="A332" s="39">
        <v>1021</v>
      </c>
      <c r="B332" s="40">
        <v>45254</v>
      </c>
      <c r="C332" s="39" t="s">
        <v>79</v>
      </c>
      <c r="D332" s="39" t="s">
        <v>64</v>
      </c>
      <c r="E332" s="41">
        <v>213.04</v>
      </c>
      <c r="F332" s="39">
        <v>15</v>
      </c>
      <c r="G332" s="39" t="s">
        <v>70</v>
      </c>
      <c r="H332" s="41">
        <v>3771.27</v>
      </c>
      <c r="I332" s="41">
        <v>4212.55</v>
      </c>
      <c r="J332" s="39" t="s">
        <v>137</v>
      </c>
      <c r="K332" s="42">
        <v>0.16</v>
      </c>
      <c r="L332" s="39" t="s">
        <v>73</v>
      </c>
      <c r="M332" s="39" t="s">
        <v>140</v>
      </c>
      <c r="N332" s="39" t="s">
        <v>148</v>
      </c>
      <c r="O332" s="43">
        <f t="shared" si="105"/>
        <v>63188.25</v>
      </c>
      <c r="P332" s="43">
        <f t="shared" si="106"/>
        <v>53078.13</v>
      </c>
      <c r="Q332" s="43">
        <f t="shared" si="107"/>
        <v>56569.05</v>
      </c>
      <c r="R332" s="43">
        <f t="shared" si="108"/>
        <v>-3490.9200000000055</v>
      </c>
      <c r="S332" s="44">
        <f t="shared" si="109"/>
        <v>-6.5769460981387362E-2</v>
      </c>
      <c r="T332" s="39" t="str">
        <f t="shared" si="110"/>
        <v>Loss</v>
      </c>
      <c r="U332" s="39" t="str">
        <f t="shared" si="111"/>
        <v>10-19%</v>
      </c>
      <c r="V332" s="39" t="str">
        <f>IF(E332&gt;=Analysis!$B$4,"High",IF(E332&gt;=Analysis!$B$5,"Mid","Low"))</f>
        <v>Low</v>
      </c>
      <c r="W332" s="39" t="str">
        <f t="shared" si="112"/>
        <v>2023-11</v>
      </c>
      <c r="X332" s="40">
        <f t="shared" si="113"/>
        <v>45260</v>
      </c>
      <c r="Y332" s="39" t="str">
        <f t="shared" si="114"/>
        <v>2023-Q4</v>
      </c>
      <c r="Z332" s="39" t="str">
        <f t="shared" si="115"/>
        <v>Fri</v>
      </c>
      <c r="AA332" s="39">
        <f t="shared" si="116"/>
        <v>5</v>
      </c>
      <c r="AB332" s="39">
        <f t="shared" si="117"/>
        <v>48</v>
      </c>
      <c r="AC332" s="39" t="str">
        <f t="shared" si="118"/>
        <v>Weekday</v>
      </c>
      <c r="AD332" s="39">
        <f t="shared" ca="1" si="119"/>
        <v>1065</v>
      </c>
      <c r="AE332" s="39">
        <f t="shared" ca="1" si="120"/>
        <v>35</v>
      </c>
      <c r="AF332" s="39" t="str">
        <f t="shared" si="121"/>
        <v>EVE</v>
      </c>
      <c r="AG332" s="39" t="str">
        <f t="shared" si="122"/>
        <v>NR-231124-0331</v>
      </c>
      <c r="AH332" s="39" t="str">
        <f>IF(AND(OR(Filter!$B$4="All",D332=Filter!$B$4),OR(Filter!$B$5="All",M332=Filter!$B$5),E332&gt;=Filter!$B$6),MAX(AH$1:AH331)+1,"")</f>
        <v/>
      </c>
      <c r="AI332" s="39">
        <f t="shared" si="123"/>
        <v>15</v>
      </c>
      <c r="AJ332" s="42">
        <f t="shared" si="124"/>
        <v>0.16</v>
      </c>
      <c r="AK332" s="41">
        <f t="shared" si="125"/>
        <v>4212.55</v>
      </c>
      <c r="AL332" s="39">
        <f>RANK(E332,$E$2:$E$1001,0)+COUNTIF($E$2:E332,E332)-1</f>
        <v>987</v>
      </c>
    </row>
    <row r="333" spans="1:38" x14ac:dyDescent="0.2">
      <c r="A333" s="39">
        <v>1048</v>
      </c>
      <c r="B333" s="40">
        <v>44980</v>
      </c>
      <c r="C333" s="39" t="s">
        <v>66</v>
      </c>
      <c r="D333" s="39" t="s">
        <v>74</v>
      </c>
      <c r="E333" s="41">
        <v>7066.63</v>
      </c>
      <c r="F333" s="39">
        <v>47</v>
      </c>
      <c r="G333" s="39" t="s">
        <v>70</v>
      </c>
      <c r="H333" s="41">
        <v>4535.8599999999997</v>
      </c>
      <c r="I333" s="41">
        <v>4641.41</v>
      </c>
      <c r="J333" s="39" t="s">
        <v>143</v>
      </c>
      <c r="K333" s="42">
        <v>0.27</v>
      </c>
      <c r="L333" s="39" t="s">
        <v>73</v>
      </c>
      <c r="M333" s="39" t="s">
        <v>140</v>
      </c>
      <c r="N333" s="39" t="s">
        <v>141</v>
      </c>
      <c r="O333" s="43">
        <f t="shared" si="105"/>
        <v>218146.27</v>
      </c>
      <c r="P333" s="43">
        <f t="shared" si="106"/>
        <v>159246.78</v>
      </c>
      <c r="Q333" s="43">
        <f t="shared" si="107"/>
        <v>213185.42</v>
      </c>
      <c r="R333" s="43">
        <f t="shared" si="108"/>
        <v>-53938.640000000014</v>
      </c>
      <c r="S333" s="44">
        <f t="shared" si="109"/>
        <v>-0.33871102448664903</v>
      </c>
      <c r="T333" s="39" t="str">
        <f t="shared" si="110"/>
        <v>Loss</v>
      </c>
      <c r="U333" s="39" t="str">
        <f t="shared" si="111"/>
        <v>20%+</v>
      </c>
      <c r="V333" s="39" t="str">
        <f>IF(E333&gt;=Analysis!$B$4,"High",IF(E333&gt;=Analysis!$B$5,"Mid","Low"))</f>
        <v>Mid</v>
      </c>
      <c r="W333" s="39" t="str">
        <f t="shared" si="112"/>
        <v>2023-02</v>
      </c>
      <c r="X333" s="40">
        <f t="shared" si="113"/>
        <v>44985</v>
      </c>
      <c r="Y333" s="39" t="str">
        <f t="shared" si="114"/>
        <v>2023-Q1</v>
      </c>
      <c r="Z333" s="39" t="str">
        <f t="shared" si="115"/>
        <v>Thu</v>
      </c>
      <c r="AA333" s="39">
        <f t="shared" si="116"/>
        <v>4</v>
      </c>
      <c r="AB333" s="39">
        <f t="shared" si="117"/>
        <v>9</v>
      </c>
      <c r="AC333" s="39" t="str">
        <f t="shared" si="118"/>
        <v>Weekday</v>
      </c>
      <c r="AD333" s="39">
        <f t="shared" ca="1" si="119"/>
        <v>1339</v>
      </c>
      <c r="AE333" s="39">
        <f t="shared" ca="1" si="120"/>
        <v>44</v>
      </c>
      <c r="AF333" s="39" t="str">
        <f t="shared" si="121"/>
        <v>BOB</v>
      </c>
      <c r="AG333" s="39" t="str">
        <f t="shared" si="122"/>
        <v>WR-230223-0332</v>
      </c>
      <c r="AH333" s="39" t="str">
        <f>IF(AND(OR(Filter!$B$4="All",D333=Filter!$B$4),OR(Filter!$B$5="All",M333=Filter!$B$5),E333&gt;=Filter!$B$6),MAX(AH$1:AH332)+1,"")</f>
        <v/>
      </c>
      <c r="AI333" s="39">
        <f t="shared" si="123"/>
        <v>47</v>
      </c>
      <c r="AJ333" s="42">
        <f t="shared" si="124"/>
        <v>0.27</v>
      </c>
      <c r="AK333" s="41">
        <f t="shared" si="125"/>
        <v>4641.41</v>
      </c>
      <c r="AL333" s="39">
        <f>RANK(E333,$E$2:$E$1001,0)+COUNTIF($E$2:E333,E333)-1</f>
        <v>295</v>
      </c>
    </row>
    <row r="334" spans="1:38" x14ac:dyDescent="0.2">
      <c r="A334" s="39">
        <v>1020</v>
      </c>
      <c r="B334" s="40">
        <v>45175</v>
      </c>
      <c r="C334" s="39" t="s">
        <v>71</v>
      </c>
      <c r="D334" s="39" t="s">
        <v>59</v>
      </c>
      <c r="E334" s="41">
        <v>9705.5499999999993</v>
      </c>
      <c r="F334" s="39">
        <v>4</v>
      </c>
      <c r="G334" s="39" t="s">
        <v>60</v>
      </c>
      <c r="H334" s="41">
        <v>3730</v>
      </c>
      <c r="I334" s="41">
        <v>3893.6</v>
      </c>
      <c r="J334" s="39" t="s">
        <v>143</v>
      </c>
      <c r="K334" s="42">
        <v>0.25</v>
      </c>
      <c r="L334" s="39" t="s">
        <v>63</v>
      </c>
      <c r="M334" s="39" t="s">
        <v>140</v>
      </c>
      <c r="N334" s="39" t="s">
        <v>145</v>
      </c>
      <c r="O334" s="43">
        <f t="shared" si="105"/>
        <v>15574.4</v>
      </c>
      <c r="P334" s="43">
        <f t="shared" si="106"/>
        <v>11680.8</v>
      </c>
      <c r="Q334" s="43">
        <f t="shared" si="107"/>
        <v>14920</v>
      </c>
      <c r="R334" s="43">
        <f t="shared" si="108"/>
        <v>-3239.2000000000007</v>
      </c>
      <c r="S334" s="44">
        <f t="shared" si="109"/>
        <v>-0.2773097733031985</v>
      </c>
      <c r="T334" s="39" t="str">
        <f t="shared" si="110"/>
        <v>Loss</v>
      </c>
      <c r="U334" s="39" t="str">
        <f t="shared" si="111"/>
        <v>20%+</v>
      </c>
      <c r="V334" s="39" t="str">
        <f>IF(E334&gt;=Analysis!$B$4,"High",IF(E334&gt;=Analysis!$B$5,"Mid","Low"))</f>
        <v>High</v>
      </c>
      <c r="W334" s="39" t="str">
        <f t="shared" si="112"/>
        <v>2023-09</v>
      </c>
      <c r="X334" s="40">
        <f t="shared" si="113"/>
        <v>45199</v>
      </c>
      <c r="Y334" s="39" t="str">
        <f t="shared" si="114"/>
        <v>2023-Q3</v>
      </c>
      <c r="Z334" s="39" t="str">
        <f t="shared" si="115"/>
        <v>Wed</v>
      </c>
      <c r="AA334" s="39">
        <f t="shared" si="116"/>
        <v>3</v>
      </c>
      <c r="AB334" s="39">
        <f t="shared" si="117"/>
        <v>37</v>
      </c>
      <c r="AC334" s="39" t="str">
        <f t="shared" si="118"/>
        <v>Weekday</v>
      </c>
      <c r="AD334" s="39">
        <f t="shared" ca="1" si="119"/>
        <v>1144</v>
      </c>
      <c r="AE334" s="39">
        <f t="shared" ca="1" si="120"/>
        <v>37</v>
      </c>
      <c r="AF334" s="39" t="str">
        <f t="shared" si="121"/>
        <v>CHA</v>
      </c>
      <c r="AG334" s="39" t="str">
        <f t="shared" si="122"/>
        <v>ER-230906-0333</v>
      </c>
      <c r="AH334" s="39">
        <f>IF(AND(OR(Filter!$B$4="All",D334=Filter!$B$4),OR(Filter!$B$5="All",M334=Filter!$B$5),E334&gt;=Filter!$B$6),MAX(AH$1:AH333)+1,"")</f>
        <v>38</v>
      </c>
      <c r="AI334" s="39">
        <f t="shared" si="123"/>
        <v>4</v>
      </c>
      <c r="AJ334" s="42">
        <f t="shared" si="124"/>
        <v>0.25</v>
      </c>
      <c r="AK334" s="41">
        <f t="shared" si="125"/>
        <v>3893.6</v>
      </c>
      <c r="AL334" s="39">
        <f>RANK(E334,$E$2:$E$1001,0)+COUNTIF($E$2:E334,E334)-1</f>
        <v>28</v>
      </c>
    </row>
    <row r="335" spans="1:38" x14ac:dyDescent="0.2">
      <c r="A335" s="39">
        <v>1008</v>
      </c>
      <c r="B335" s="40">
        <v>45165</v>
      </c>
      <c r="C335" s="39" t="s">
        <v>76</v>
      </c>
      <c r="D335" s="39" t="s">
        <v>69</v>
      </c>
      <c r="E335" s="41">
        <v>4432.8500000000004</v>
      </c>
      <c r="F335" s="39">
        <v>40</v>
      </c>
      <c r="G335" s="39" t="s">
        <v>60</v>
      </c>
      <c r="H335" s="41">
        <v>2687.49</v>
      </c>
      <c r="I335" s="41">
        <v>3001.56</v>
      </c>
      <c r="J335" s="39" t="s">
        <v>137</v>
      </c>
      <c r="K335" s="42">
        <v>0.26</v>
      </c>
      <c r="L335" s="39" t="s">
        <v>63</v>
      </c>
      <c r="M335" s="39" t="s">
        <v>138</v>
      </c>
      <c r="N335" s="39" t="s">
        <v>142</v>
      </c>
      <c r="O335" s="43">
        <f t="shared" si="105"/>
        <v>120062.39999999999</v>
      </c>
      <c r="P335" s="43">
        <f t="shared" si="106"/>
        <v>88846.18</v>
      </c>
      <c r="Q335" s="43">
        <f t="shared" si="107"/>
        <v>107499.6</v>
      </c>
      <c r="R335" s="43">
        <f t="shared" si="108"/>
        <v>-18653.420000000013</v>
      </c>
      <c r="S335" s="44">
        <f t="shared" si="109"/>
        <v>-0.20995185161590532</v>
      </c>
      <c r="T335" s="39" t="str">
        <f t="shared" si="110"/>
        <v>Loss</v>
      </c>
      <c r="U335" s="39" t="str">
        <f t="shared" si="111"/>
        <v>20%+</v>
      </c>
      <c r="V335" s="39" t="str">
        <f>IF(E335&gt;=Analysis!$B$4,"High",IF(E335&gt;=Analysis!$B$5,"Mid","Low"))</f>
        <v>Mid</v>
      </c>
      <c r="W335" s="39" t="str">
        <f t="shared" si="112"/>
        <v>2023-08</v>
      </c>
      <c r="X335" s="40">
        <f t="shared" si="113"/>
        <v>45169</v>
      </c>
      <c r="Y335" s="39" t="str">
        <f t="shared" si="114"/>
        <v>2023-Q3</v>
      </c>
      <c r="Z335" s="39" t="str">
        <f t="shared" si="115"/>
        <v>Sun</v>
      </c>
      <c r="AA335" s="39">
        <f t="shared" si="116"/>
        <v>7</v>
      </c>
      <c r="AB335" s="39">
        <f t="shared" si="117"/>
        <v>35</v>
      </c>
      <c r="AC335" s="39" t="str">
        <f t="shared" si="118"/>
        <v>Weekend</v>
      </c>
      <c r="AD335" s="39">
        <f t="shared" ca="1" si="119"/>
        <v>1154</v>
      </c>
      <c r="AE335" s="39">
        <f t="shared" ca="1" si="120"/>
        <v>37</v>
      </c>
      <c r="AF335" s="39" t="str">
        <f t="shared" si="121"/>
        <v>DAV</v>
      </c>
      <c r="AG335" s="39" t="str">
        <f t="shared" si="122"/>
        <v>SO-230827-0334</v>
      </c>
      <c r="AH335" s="39" t="str">
        <f>IF(AND(OR(Filter!$B$4="All",D335=Filter!$B$4),OR(Filter!$B$5="All",M335=Filter!$B$5),E335&gt;=Filter!$B$6),MAX(AH$1:AH334)+1,"")</f>
        <v/>
      </c>
      <c r="AI335" s="39">
        <f t="shared" si="123"/>
        <v>40</v>
      </c>
      <c r="AJ335" s="42">
        <f t="shared" si="124"/>
        <v>0.26</v>
      </c>
      <c r="AK335" s="41">
        <f t="shared" si="125"/>
        <v>3001.56</v>
      </c>
      <c r="AL335" s="39">
        <f>RANK(E335,$E$2:$E$1001,0)+COUNTIF($E$2:E335,E335)-1</f>
        <v>553</v>
      </c>
    </row>
    <row r="336" spans="1:38" x14ac:dyDescent="0.2">
      <c r="A336" s="39">
        <v>1007</v>
      </c>
      <c r="B336" s="40">
        <v>45155</v>
      </c>
      <c r="C336" s="39" t="s">
        <v>79</v>
      </c>
      <c r="D336" s="39" t="s">
        <v>59</v>
      </c>
      <c r="E336" s="41">
        <v>2426.2399999999998</v>
      </c>
      <c r="F336" s="39">
        <v>16</v>
      </c>
      <c r="G336" s="39" t="s">
        <v>75</v>
      </c>
      <c r="H336" s="41">
        <v>4310.3100000000004</v>
      </c>
      <c r="I336" s="41">
        <v>4633.1000000000004</v>
      </c>
      <c r="J336" s="39" t="s">
        <v>143</v>
      </c>
      <c r="K336" s="42">
        <v>0.28000000000000003</v>
      </c>
      <c r="L336" s="39" t="s">
        <v>73</v>
      </c>
      <c r="M336" s="39" t="s">
        <v>140</v>
      </c>
      <c r="N336" s="39" t="s">
        <v>155</v>
      </c>
      <c r="O336" s="43">
        <f t="shared" si="105"/>
        <v>74129.600000000006</v>
      </c>
      <c r="P336" s="43">
        <f t="shared" si="106"/>
        <v>53373.31</v>
      </c>
      <c r="Q336" s="43">
        <f t="shared" si="107"/>
        <v>68964.960000000006</v>
      </c>
      <c r="R336" s="43">
        <f t="shared" si="108"/>
        <v>-15591.650000000009</v>
      </c>
      <c r="S336" s="44">
        <f t="shared" si="109"/>
        <v>-0.29212447195049379</v>
      </c>
      <c r="T336" s="39" t="str">
        <f t="shared" si="110"/>
        <v>Loss</v>
      </c>
      <c r="U336" s="39" t="str">
        <f t="shared" si="111"/>
        <v>20%+</v>
      </c>
      <c r="V336" s="39" t="str">
        <f>IF(E336&gt;=Analysis!$B$4,"High",IF(E336&gt;=Analysis!$B$5,"Mid","Low"))</f>
        <v>Low</v>
      </c>
      <c r="W336" s="39" t="str">
        <f t="shared" si="112"/>
        <v>2023-08</v>
      </c>
      <c r="X336" s="40">
        <f t="shared" si="113"/>
        <v>45169</v>
      </c>
      <c r="Y336" s="39" t="str">
        <f t="shared" si="114"/>
        <v>2023-Q3</v>
      </c>
      <c r="Z336" s="39" t="str">
        <f t="shared" si="115"/>
        <v>Thu</v>
      </c>
      <c r="AA336" s="39">
        <f t="shared" si="116"/>
        <v>4</v>
      </c>
      <c r="AB336" s="39">
        <f t="shared" si="117"/>
        <v>34</v>
      </c>
      <c r="AC336" s="39" t="str">
        <f t="shared" si="118"/>
        <v>Weekday</v>
      </c>
      <c r="AD336" s="39">
        <f t="shared" ca="1" si="119"/>
        <v>1164</v>
      </c>
      <c r="AE336" s="39">
        <f t="shared" ca="1" si="120"/>
        <v>38</v>
      </c>
      <c r="AF336" s="39" t="str">
        <f t="shared" si="121"/>
        <v>EVE</v>
      </c>
      <c r="AG336" s="39" t="str">
        <f t="shared" si="122"/>
        <v>ER-230817-0335</v>
      </c>
      <c r="AH336" s="39" t="str">
        <f>IF(AND(OR(Filter!$B$4="All",D336=Filter!$B$4),OR(Filter!$B$5="All",M336=Filter!$B$5),E336&gt;=Filter!$B$6),MAX(AH$1:AH335)+1,"")</f>
        <v/>
      </c>
      <c r="AI336" s="39">
        <f t="shared" si="123"/>
        <v>16</v>
      </c>
      <c r="AJ336" s="42">
        <f t="shared" si="124"/>
        <v>0.28000000000000003</v>
      </c>
      <c r="AK336" s="41">
        <f t="shared" si="125"/>
        <v>4633.1000000000004</v>
      </c>
      <c r="AL336" s="39">
        <f>RANK(E336,$E$2:$E$1001,0)+COUNTIF($E$2:E336,E336)-1</f>
        <v>763</v>
      </c>
    </row>
    <row r="337" spans="1:38" x14ac:dyDescent="0.2">
      <c r="A337" s="39">
        <v>1067</v>
      </c>
      <c r="B337" s="40">
        <v>44993</v>
      </c>
      <c r="C337" s="39" t="s">
        <v>66</v>
      </c>
      <c r="D337" s="39" t="s">
        <v>59</v>
      </c>
      <c r="E337" s="41">
        <v>7078.22</v>
      </c>
      <c r="F337" s="39">
        <v>28</v>
      </c>
      <c r="G337" s="39" t="s">
        <v>65</v>
      </c>
      <c r="H337" s="41">
        <v>3489.85</v>
      </c>
      <c r="I337" s="41">
        <v>3842.55</v>
      </c>
      <c r="J337" s="39" t="s">
        <v>143</v>
      </c>
      <c r="K337" s="42">
        <v>0.03</v>
      </c>
      <c r="L337" s="39" t="s">
        <v>63</v>
      </c>
      <c r="M337" s="39" t="s">
        <v>138</v>
      </c>
      <c r="N337" s="39" t="s">
        <v>153</v>
      </c>
      <c r="O337" s="43">
        <f t="shared" si="105"/>
        <v>107591.4</v>
      </c>
      <c r="P337" s="43">
        <f t="shared" si="106"/>
        <v>104363.66</v>
      </c>
      <c r="Q337" s="43">
        <f t="shared" si="107"/>
        <v>97715.8</v>
      </c>
      <c r="R337" s="43">
        <f t="shared" si="108"/>
        <v>6647.8600000000006</v>
      </c>
      <c r="S337" s="44">
        <f t="shared" si="109"/>
        <v>6.369899254204002E-2</v>
      </c>
      <c r="T337" s="39" t="str">
        <f t="shared" si="110"/>
        <v>OK</v>
      </c>
      <c r="U337" s="39" t="str">
        <f t="shared" si="111"/>
        <v>0-9%</v>
      </c>
      <c r="V337" s="39" t="str">
        <f>IF(E337&gt;=Analysis!$B$4,"High",IF(E337&gt;=Analysis!$B$5,"Mid","Low"))</f>
        <v>Mid</v>
      </c>
      <c r="W337" s="39" t="str">
        <f t="shared" si="112"/>
        <v>2023-03</v>
      </c>
      <c r="X337" s="40">
        <f t="shared" si="113"/>
        <v>45016</v>
      </c>
      <c r="Y337" s="39" t="str">
        <f t="shared" si="114"/>
        <v>2023-Q1</v>
      </c>
      <c r="Z337" s="39" t="str">
        <f t="shared" si="115"/>
        <v>Wed</v>
      </c>
      <c r="AA337" s="39">
        <f t="shared" si="116"/>
        <v>3</v>
      </c>
      <c r="AB337" s="39">
        <f t="shared" si="117"/>
        <v>11</v>
      </c>
      <c r="AC337" s="39" t="str">
        <f t="shared" si="118"/>
        <v>Weekday</v>
      </c>
      <c r="AD337" s="39">
        <f t="shared" ca="1" si="119"/>
        <v>1326</v>
      </c>
      <c r="AE337" s="39">
        <f t="shared" ca="1" si="120"/>
        <v>43</v>
      </c>
      <c r="AF337" s="39" t="str">
        <f t="shared" si="121"/>
        <v>BOB</v>
      </c>
      <c r="AG337" s="39" t="str">
        <f t="shared" si="122"/>
        <v>EO-230308-0336</v>
      </c>
      <c r="AH337" s="39" t="str">
        <f>IF(AND(OR(Filter!$B$4="All",D337=Filter!$B$4),OR(Filter!$B$5="All",M337=Filter!$B$5),E337&gt;=Filter!$B$6),MAX(AH$1:AH336)+1,"")</f>
        <v/>
      </c>
      <c r="AI337" s="39">
        <f t="shared" si="123"/>
        <v>28</v>
      </c>
      <c r="AJ337" s="42">
        <f t="shared" si="124"/>
        <v>0.03</v>
      </c>
      <c r="AK337" s="41">
        <f t="shared" si="125"/>
        <v>3842.55</v>
      </c>
      <c r="AL337" s="39">
        <f>RANK(E337,$E$2:$E$1001,0)+COUNTIF($E$2:E337,E337)-1</f>
        <v>293</v>
      </c>
    </row>
    <row r="338" spans="1:38" x14ac:dyDescent="0.2">
      <c r="A338" s="39">
        <v>1017</v>
      </c>
      <c r="B338" s="40">
        <v>44977</v>
      </c>
      <c r="C338" s="39" t="s">
        <v>71</v>
      </c>
      <c r="D338" s="39" t="s">
        <v>64</v>
      </c>
      <c r="E338" s="41">
        <v>8189.57</v>
      </c>
      <c r="F338" s="39">
        <v>16</v>
      </c>
      <c r="G338" s="39" t="s">
        <v>75</v>
      </c>
      <c r="H338" s="41">
        <v>102.23</v>
      </c>
      <c r="I338" s="41">
        <v>167.12</v>
      </c>
      <c r="J338" s="39" t="s">
        <v>143</v>
      </c>
      <c r="K338" s="42">
        <v>0.04</v>
      </c>
      <c r="L338" s="39" t="s">
        <v>73</v>
      </c>
      <c r="M338" s="39" t="s">
        <v>140</v>
      </c>
      <c r="N338" s="39" t="s">
        <v>160</v>
      </c>
      <c r="O338" s="43">
        <f t="shared" si="105"/>
        <v>2673.92</v>
      </c>
      <c r="P338" s="43">
        <f t="shared" si="106"/>
        <v>2566.96</v>
      </c>
      <c r="Q338" s="43">
        <f t="shared" si="107"/>
        <v>1635.68</v>
      </c>
      <c r="R338" s="43">
        <f t="shared" si="108"/>
        <v>931.28</v>
      </c>
      <c r="S338" s="44">
        <f t="shared" si="109"/>
        <v>0.36279490136192227</v>
      </c>
      <c r="T338" s="39" t="str">
        <f t="shared" si="110"/>
        <v>OK</v>
      </c>
      <c r="U338" s="39" t="str">
        <f t="shared" si="111"/>
        <v>0-9%</v>
      </c>
      <c r="V338" s="39" t="str">
        <f>IF(E338&gt;=Analysis!$B$4,"High",IF(E338&gt;=Analysis!$B$5,"Mid","Low"))</f>
        <v>High</v>
      </c>
      <c r="W338" s="39" t="str">
        <f t="shared" si="112"/>
        <v>2023-02</v>
      </c>
      <c r="X338" s="40">
        <f t="shared" si="113"/>
        <v>44985</v>
      </c>
      <c r="Y338" s="39" t="str">
        <f t="shared" si="114"/>
        <v>2023-Q1</v>
      </c>
      <c r="Z338" s="39" t="str">
        <f t="shared" si="115"/>
        <v>Mon</v>
      </c>
      <c r="AA338" s="39">
        <f t="shared" si="116"/>
        <v>1</v>
      </c>
      <c r="AB338" s="39">
        <f t="shared" si="117"/>
        <v>9</v>
      </c>
      <c r="AC338" s="39" t="str">
        <f t="shared" si="118"/>
        <v>Weekday</v>
      </c>
      <c r="AD338" s="39">
        <f t="shared" ca="1" si="119"/>
        <v>1342</v>
      </c>
      <c r="AE338" s="39">
        <f t="shared" ca="1" si="120"/>
        <v>44</v>
      </c>
      <c r="AF338" s="39" t="str">
        <f t="shared" si="121"/>
        <v>CHA</v>
      </c>
      <c r="AG338" s="39" t="str">
        <f t="shared" si="122"/>
        <v>NR-230220-0337</v>
      </c>
      <c r="AH338" s="39" t="str">
        <f>IF(AND(OR(Filter!$B$4="All",D338=Filter!$B$4),OR(Filter!$B$5="All",M338=Filter!$B$5),E338&gt;=Filter!$B$6),MAX(AH$1:AH337)+1,"")</f>
        <v/>
      </c>
      <c r="AI338" s="39">
        <f t="shared" si="123"/>
        <v>16</v>
      </c>
      <c r="AJ338" s="42">
        <f t="shared" si="124"/>
        <v>0.04</v>
      </c>
      <c r="AK338" s="41">
        <f t="shared" si="125"/>
        <v>167.12</v>
      </c>
      <c r="AL338" s="39">
        <f>RANK(E338,$E$2:$E$1001,0)+COUNTIF($E$2:E338,E338)-1</f>
        <v>171</v>
      </c>
    </row>
    <row r="339" spans="1:38" x14ac:dyDescent="0.2">
      <c r="A339" s="39">
        <v>1033</v>
      </c>
      <c r="B339" s="40">
        <v>45023</v>
      </c>
      <c r="C339" s="39" t="s">
        <v>66</v>
      </c>
      <c r="D339" s="39" t="s">
        <v>59</v>
      </c>
      <c r="E339" s="41">
        <v>5509.66</v>
      </c>
      <c r="F339" s="39">
        <v>4</v>
      </c>
      <c r="G339" s="39" t="s">
        <v>70</v>
      </c>
      <c r="H339" s="41">
        <v>2000.75</v>
      </c>
      <c r="I339" s="41">
        <v>2426.9899999999998</v>
      </c>
      <c r="J339" s="39" t="s">
        <v>137</v>
      </c>
      <c r="K339" s="42">
        <v>0.17</v>
      </c>
      <c r="L339" s="39" t="s">
        <v>63</v>
      </c>
      <c r="M339" s="39" t="s">
        <v>138</v>
      </c>
      <c r="N339" s="39" t="s">
        <v>153</v>
      </c>
      <c r="O339" s="43">
        <f t="shared" si="105"/>
        <v>9707.9599999999991</v>
      </c>
      <c r="P339" s="43">
        <f t="shared" si="106"/>
        <v>8057.61</v>
      </c>
      <c r="Q339" s="43">
        <f t="shared" si="107"/>
        <v>8003</v>
      </c>
      <c r="R339" s="43">
        <f t="shared" si="108"/>
        <v>54.609999999999673</v>
      </c>
      <c r="S339" s="44">
        <f t="shared" si="109"/>
        <v>6.7774439318854691E-3</v>
      </c>
      <c r="T339" s="39" t="str">
        <f t="shared" si="110"/>
        <v>OK</v>
      </c>
      <c r="U339" s="39" t="str">
        <f t="shared" si="111"/>
        <v>10-19%</v>
      </c>
      <c r="V339" s="39" t="str">
        <f>IF(E339&gt;=Analysis!$B$4,"High",IF(E339&gt;=Analysis!$B$5,"Mid","Low"))</f>
        <v>Mid</v>
      </c>
      <c r="W339" s="39" t="str">
        <f t="shared" si="112"/>
        <v>2023-04</v>
      </c>
      <c r="X339" s="40">
        <f t="shared" si="113"/>
        <v>45046</v>
      </c>
      <c r="Y339" s="39" t="str">
        <f t="shared" si="114"/>
        <v>2023-Q2</v>
      </c>
      <c r="Z339" s="39" t="str">
        <f t="shared" si="115"/>
        <v>Fri</v>
      </c>
      <c r="AA339" s="39">
        <f t="shared" si="116"/>
        <v>5</v>
      </c>
      <c r="AB339" s="39">
        <f t="shared" si="117"/>
        <v>15</v>
      </c>
      <c r="AC339" s="39" t="str">
        <f t="shared" si="118"/>
        <v>Weekday</v>
      </c>
      <c r="AD339" s="39">
        <f t="shared" ca="1" si="119"/>
        <v>1296</v>
      </c>
      <c r="AE339" s="39">
        <f t="shared" ca="1" si="120"/>
        <v>42</v>
      </c>
      <c r="AF339" s="39" t="str">
        <f t="shared" si="121"/>
        <v>BOB</v>
      </c>
      <c r="AG339" s="39" t="str">
        <f t="shared" si="122"/>
        <v>EO-230407-0338</v>
      </c>
      <c r="AH339" s="39" t="str">
        <f>IF(AND(OR(Filter!$B$4="All",D339=Filter!$B$4),OR(Filter!$B$5="All",M339=Filter!$B$5),E339&gt;=Filter!$B$6),MAX(AH$1:AH338)+1,"")</f>
        <v/>
      </c>
      <c r="AI339" s="39">
        <f t="shared" si="123"/>
        <v>4</v>
      </c>
      <c r="AJ339" s="42">
        <f t="shared" si="124"/>
        <v>0.17</v>
      </c>
      <c r="AK339" s="41">
        <f t="shared" si="125"/>
        <v>2426.9899999999998</v>
      </c>
      <c r="AL339" s="39">
        <f>RANK(E339,$E$2:$E$1001,0)+COUNTIF($E$2:E339,E339)-1</f>
        <v>455</v>
      </c>
    </row>
    <row r="340" spans="1:38" x14ac:dyDescent="0.2">
      <c r="A340" s="39">
        <v>1048</v>
      </c>
      <c r="B340" s="40">
        <v>45018</v>
      </c>
      <c r="C340" s="39" t="s">
        <v>76</v>
      </c>
      <c r="D340" s="39" t="s">
        <v>69</v>
      </c>
      <c r="E340" s="41">
        <v>9673.65</v>
      </c>
      <c r="F340" s="39">
        <v>45</v>
      </c>
      <c r="G340" s="39" t="s">
        <v>65</v>
      </c>
      <c r="H340" s="41">
        <v>4262.21</v>
      </c>
      <c r="I340" s="41">
        <v>4533.3100000000004</v>
      </c>
      <c r="J340" s="39" t="s">
        <v>137</v>
      </c>
      <c r="K340" s="42">
        <v>0.27</v>
      </c>
      <c r="L340" s="39" t="s">
        <v>73</v>
      </c>
      <c r="M340" s="39" t="s">
        <v>138</v>
      </c>
      <c r="N340" s="39" t="s">
        <v>142</v>
      </c>
      <c r="O340" s="43">
        <f t="shared" si="105"/>
        <v>203998.95</v>
      </c>
      <c r="P340" s="43">
        <f t="shared" si="106"/>
        <v>148919.23000000001</v>
      </c>
      <c r="Q340" s="43">
        <f t="shared" si="107"/>
        <v>191799.45</v>
      </c>
      <c r="R340" s="43">
        <f t="shared" si="108"/>
        <v>-42880.22</v>
      </c>
      <c r="S340" s="44">
        <f t="shared" si="109"/>
        <v>-0.28794279959680158</v>
      </c>
      <c r="T340" s="39" t="str">
        <f t="shared" si="110"/>
        <v>Loss</v>
      </c>
      <c r="U340" s="39" t="str">
        <f t="shared" si="111"/>
        <v>20%+</v>
      </c>
      <c r="V340" s="39" t="str">
        <f>IF(E340&gt;=Analysis!$B$4,"High",IF(E340&gt;=Analysis!$B$5,"Mid","Low"))</f>
        <v>High</v>
      </c>
      <c r="W340" s="39" t="str">
        <f t="shared" si="112"/>
        <v>2023-04</v>
      </c>
      <c r="X340" s="40">
        <f t="shared" si="113"/>
        <v>45046</v>
      </c>
      <c r="Y340" s="39" t="str">
        <f t="shared" si="114"/>
        <v>2023-Q2</v>
      </c>
      <c r="Z340" s="39" t="str">
        <f t="shared" si="115"/>
        <v>Sun</v>
      </c>
      <c r="AA340" s="39">
        <f t="shared" si="116"/>
        <v>7</v>
      </c>
      <c r="AB340" s="39">
        <f t="shared" si="117"/>
        <v>14</v>
      </c>
      <c r="AC340" s="39" t="str">
        <f t="shared" si="118"/>
        <v>Weekend</v>
      </c>
      <c r="AD340" s="39">
        <f t="shared" ca="1" si="119"/>
        <v>1301</v>
      </c>
      <c r="AE340" s="39">
        <f t="shared" ca="1" si="120"/>
        <v>42</v>
      </c>
      <c r="AF340" s="39" t="str">
        <f t="shared" si="121"/>
        <v>DAV</v>
      </c>
      <c r="AG340" s="39" t="str">
        <f t="shared" si="122"/>
        <v>SO-230402-0339</v>
      </c>
      <c r="AH340" s="39">
        <f>IF(AND(OR(Filter!$B$4="All",D340=Filter!$B$4),OR(Filter!$B$5="All",M340=Filter!$B$5),E340&gt;=Filter!$B$6),MAX(AH$1:AH339)+1,"")</f>
        <v>39</v>
      </c>
      <c r="AI340" s="39">
        <f t="shared" si="123"/>
        <v>45</v>
      </c>
      <c r="AJ340" s="42">
        <f t="shared" si="124"/>
        <v>0.27</v>
      </c>
      <c r="AK340" s="41">
        <f t="shared" si="125"/>
        <v>4533.3100000000004</v>
      </c>
      <c r="AL340" s="39">
        <f>RANK(E340,$E$2:$E$1001,0)+COUNTIF($E$2:E340,E340)-1</f>
        <v>33</v>
      </c>
    </row>
    <row r="341" spans="1:38" x14ac:dyDescent="0.2">
      <c r="A341" s="39">
        <v>1076</v>
      </c>
      <c r="B341" s="40">
        <v>45190</v>
      </c>
      <c r="C341" s="39" t="s">
        <v>66</v>
      </c>
      <c r="D341" s="39" t="s">
        <v>64</v>
      </c>
      <c r="E341" s="41">
        <v>611.52</v>
      </c>
      <c r="F341" s="39">
        <v>26</v>
      </c>
      <c r="G341" s="39" t="s">
        <v>65</v>
      </c>
      <c r="H341" s="41">
        <v>1762</v>
      </c>
      <c r="I341" s="41">
        <v>2002.95</v>
      </c>
      <c r="J341" s="39" t="s">
        <v>137</v>
      </c>
      <c r="K341" s="42">
        <v>0.28999999999999998</v>
      </c>
      <c r="L341" s="39" t="s">
        <v>73</v>
      </c>
      <c r="M341" s="39" t="s">
        <v>140</v>
      </c>
      <c r="N341" s="39" t="s">
        <v>139</v>
      </c>
      <c r="O341" s="43">
        <f t="shared" si="105"/>
        <v>52076.7</v>
      </c>
      <c r="P341" s="43">
        <f t="shared" si="106"/>
        <v>36974.46</v>
      </c>
      <c r="Q341" s="43">
        <f t="shared" si="107"/>
        <v>45812</v>
      </c>
      <c r="R341" s="43">
        <f t="shared" si="108"/>
        <v>-8837.5400000000009</v>
      </c>
      <c r="S341" s="44">
        <f t="shared" si="109"/>
        <v>-0.23901741905088</v>
      </c>
      <c r="T341" s="39" t="str">
        <f t="shared" si="110"/>
        <v>Loss</v>
      </c>
      <c r="U341" s="39" t="str">
        <f t="shared" si="111"/>
        <v>20%+</v>
      </c>
      <c r="V341" s="39" t="str">
        <f>IF(E341&gt;=Analysis!$B$4,"High",IF(E341&gt;=Analysis!$B$5,"Mid","Low"))</f>
        <v>Low</v>
      </c>
      <c r="W341" s="39" t="str">
        <f t="shared" si="112"/>
        <v>2023-09</v>
      </c>
      <c r="X341" s="40">
        <f t="shared" si="113"/>
        <v>45199</v>
      </c>
      <c r="Y341" s="39" t="str">
        <f t="shared" si="114"/>
        <v>2023-Q3</v>
      </c>
      <c r="Z341" s="39" t="str">
        <f t="shared" si="115"/>
        <v>Thu</v>
      </c>
      <c r="AA341" s="39">
        <f t="shared" si="116"/>
        <v>4</v>
      </c>
      <c r="AB341" s="39">
        <f t="shared" si="117"/>
        <v>39</v>
      </c>
      <c r="AC341" s="39" t="str">
        <f t="shared" si="118"/>
        <v>Weekday</v>
      </c>
      <c r="AD341" s="39">
        <f t="shared" ca="1" si="119"/>
        <v>1129</v>
      </c>
      <c r="AE341" s="39">
        <f t="shared" ca="1" si="120"/>
        <v>37</v>
      </c>
      <c r="AF341" s="39" t="str">
        <f t="shared" si="121"/>
        <v>BOB</v>
      </c>
      <c r="AG341" s="39" t="str">
        <f t="shared" si="122"/>
        <v>NR-230921-0340</v>
      </c>
      <c r="AH341" s="39" t="str">
        <f>IF(AND(OR(Filter!$B$4="All",D341=Filter!$B$4),OR(Filter!$B$5="All",M341=Filter!$B$5),E341&gt;=Filter!$B$6),MAX(AH$1:AH340)+1,"")</f>
        <v/>
      </c>
      <c r="AI341" s="39">
        <f t="shared" si="123"/>
        <v>26</v>
      </c>
      <c r="AJ341" s="42">
        <f t="shared" si="124"/>
        <v>0.28999999999999998</v>
      </c>
      <c r="AK341" s="41">
        <f t="shared" si="125"/>
        <v>2002.95</v>
      </c>
      <c r="AL341" s="39">
        <f>RANK(E341,$E$2:$E$1001,0)+COUNTIF($E$2:E341,E341)-1</f>
        <v>953</v>
      </c>
    </row>
    <row r="342" spans="1:38" x14ac:dyDescent="0.2">
      <c r="A342" s="39">
        <v>1059</v>
      </c>
      <c r="B342" s="40">
        <v>45217</v>
      </c>
      <c r="C342" s="39" t="s">
        <v>61</v>
      </c>
      <c r="D342" s="39" t="s">
        <v>64</v>
      </c>
      <c r="E342" s="41">
        <v>5097.4799999999996</v>
      </c>
      <c r="F342" s="39">
        <v>28</v>
      </c>
      <c r="G342" s="39" t="s">
        <v>65</v>
      </c>
      <c r="H342" s="41">
        <v>224.32</v>
      </c>
      <c r="I342" s="41">
        <v>715.06</v>
      </c>
      <c r="J342" s="39" t="s">
        <v>137</v>
      </c>
      <c r="K342" s="42">
        <v>0.01</v>
      </c>
      <c r="L342" s="39" t="s">
        <v>73</v>
      </c>
      <c r="M342" s="39" t="s">
        <v>138</v>
      </c>
      <c r="N342" s="39" t="s">
        <v>156</v>
      </c>
      <c r="O342" s="43">
        <f t="shared" si="105"/>
        <v>20021.68</v>
      </c>
      <c r="P342" s="43">
        <f t="shared" si="106"/>
        <v>19821.46</v>
      </c>
      <c r="Q342" s="43">
        <f t="shared" si="107"/>
        <v>6280.96</v>
      </c>
      <c r="R342" s="43">
        <f t="shared" si="108"/>
        <v>13540.5</v>
      </c>
      <c r="S342" s="44">
        <f t="shared" si="109"/>
        <v>0.68312324117395995</v>
      </c>
      <c r="T342" s="39" t="str">
        <f t="shared" si="110"/>
        <v>OK</v>
      </c>
      <c r="U342" s="39" t="str">
        <f t="shared" si="111"/>
        <v>0-9%</v>
      </c>
      <c r="V342" s="39" t="str">
        <f>IF(E342&gt;=Analysis!$B$4,"High",IF(E342&gt;=Analysis!$B$5,"Mid","Low"))</f>
        <v>Mid</v>
      </c>
      <c r="W342" s="39" t="str">
        <f t="shared" si="112"/>
        <v>2023-10</v>
      </c>
      <c r="X342" s="40">
        <f t="shared" si="113"/>
        <v>45230</v>
      </c>
      <c r="Y342" s="39" t="str">
        <f t="shared" si="114"/>
        <v>2023-Q4</v>
      </c>
      <c r="Z342" s="39" t="str">
        <f t="shared" si="115"/>
        <v>Wed</v>
      </c>
      <c r="AA342" s="39">
        <f t="shared" si="116"/>
        <v>3</v>
      </c>
      <c r="AB342" s="39">
        <f t="shared" si="117"/>
        <v>43</v>
      </c>
      <c r="AC342" s="39" t="str">
        <f t="shared" si="118"/>
        <v>Weekday</v>
      </c>
      <c r="AD342" s="39">
        <f t="shared" ca="1" si="119"/>
        <v>1102</v>
      </c>
      <c r="AE342" s="39">
        <f t="shared" ca="1" si="120"/>
        <v>36</v>
      </c>
      <c r="AF342" s="39" t="str">
        <f t="shared" si="121"/>
        <v>ALI</v>
      </c>
      <c r="AG342" s="39" t="str">
        <f t="shared" si="122"/>
        <v>NO-231018-0341</v>
      </c>
      <c r="AH342" s="39" t="str">
        <f>IF(AND(OR(Filter!$B$4="All",D342=Filter!$B$4),OR(Filter!$B$5="All",M342=Filter!$B$5),E342&gt;=Filter!$B$6),MAX(AH$1:AH341)+1,"")</f>
        <v/>
      </c>
      <c r="AI342" s="39">
        <f t="shared" si="123"/>
        <v>28</v>
      </c>
      <c r="AJ342" s="42">
        <f t="shared" si="124"/>
        <v>0.01</v>
      </c>
      <c r="AK342" s="41">
        <f t="shared" si="125"/>
        <v>715.06</v>
      </c>
      <c r="AL342" s="39">
        <f>RANK(E342,$E$2:$E$1001,0)+COUNTIF($E$2:E342,E342)-1</f>
        <v>492</v>
      </c>
    </row>
    <row r="343" spans="1:38" x14ac:dyDescent="0.2">
      <c r="A343" s="39">
        <v>1086</v>
      </c>
      <c r="B343" s="40">
        <v>45022</v>
      </c>
      <c r="C343" s="39" t="s">
        <v>71</v>
      </c>
      <c r="D343" s="39" t="s">
        <v>74</v>
      </c>
      <c r="E343" s="41">
        <v>7212.69</v>
      </c>
      <c r="F343" s="39">
        <v>32</v>
      </c>
      <c r="G343" s="39" t="s">
        <v>65</v>
      </c>
      <c r="H343" s="41">
        <v>3743.59</v>
      </c>
      <c r="I343" s="41">
        <v>4116.38</v>
      </c>
      <c r="J343" s="39" t="s">
        <v>137</v>
      </c>
      <c r="K343" s="42">
        <v>0.11</v>
      </c>
      <c r="L343" s="39" t="s">
        <v>68</v>
      </c>
      <c r="M343" s="39" t="s">
        <v>138</v>
      </c>
      <c r="N343" s="39" t="s">
        <v>146</v>
      </c>
      <c r="O343" s="43">
        <f t="shared" si="105"/>
        <v>131724.16</v>
      </c>
      <c r="P343" s="43">
        <f t="shared" si="106"/>
        <v>117234.5</v>
      </c>
      <c r="Q343" s="43">
        <f t="shared" si="107"/>
        <v>119794.88</v>
      </c>
      <c r="R343" s="43">
        <f t="shared" si="108"/>
        <v>-2560.3800000000047</v>
      </c>
      <c r="S343" s="44">
        <f t="shared" si="109"/>
        <v>-2.1839816777484485E-2</v>
      </c>
      <c r="T343" s="39" t="str">
        <f t="shared" si="110"/>
        <v>Loss</v>
      </c>
      <c r="U343" s="39" t="str">
        <f t="shared" si="111"/>
        <v>10-19%</v>
      </c>
      <c r="V343" s="39" t="str">
        <f>IF(E343&gt;=Analysis!$B$4,"High",IF(E343&gt;=Analysis!$B$5,"Mid","Low"))</f>
        <v>Mid</v>
      </c>
      <c r="W343" s="39" t="str">
        <f t="shared" si="112"/>
        <v>2023-04</v>
      </c>
      <c r="X343" s="40">
        <f t="shared" si="113"/>
        <v>45046</v>
      </c>
      <c r="Y343" s="39" t="str">
        <f t="shared" si="114"/>
        <v>2023-Q2</v>
      </c>
      <c r="Z343" s="39" t="str">
        <f t="shared" si="115"/>
        <v>Thu</v>
      </c>
      <c r="AA343" s="39">
        <f t="shared" si="116"/>
        <v>4</v>
      </c>
      <c r="AB343" s="39">
        <f t="shared" si="117"/>
        <v>15</v>
      </c>
      <c r="AC343" s="39" t="str">
        <f t="shared" si="118"/>
        <v>Weekday</v>
      </c>
      <c r="AD343" s="39">
        <f t="shared" ca="1" si="119"/>
        <v>1297</v>
      </c>
      <c r="AE343" s="39">
        <f t="shared" ca="1" si="120"/>
        <v>42</v>
      </c>
      <c r="AF343" s="39" t="str">
        <f t="shared" si="121"/>
        <v>CHA</v>
      </c>
      <c r="AG343" s="39" t="str">
        <f t="shared" si="122"/>
        <v>WO-230406-0342</v>
      </c>
      <c r="AH343" s="39" t="str">
        <f>IF(AND(OR(Filter!$B$4="All",D343=Filter!$B$4),OR(Filter!$B$5="All",M343=Filter!$B$5),E343&gt;=Filter!$B$6),MAX(AH$1:AH342)+1,"")</f>
        <v/>
      </c>
      <c r="AI343" s="39">
        <f t="shared" si="123"/>
        <v>32</v>
      </c>
      <c r="AJ343" s="42">
        <f t="shared" si="124"/>
        <v>0.11</v>
      </c>
      <c r="AK343" s="41">
        <f t="shared" si="125"/>
        <v>4116.38</v>
      </c>
      <c r="AL343" s="39">
        <f>RANK(E343,$E$2:$E$1001,0)+COUNTIF($E$2:E343,E343)-1</f>
        <v>276</v>
      </c>
    </row>
    <row r="344" spans="1:38" x14ac:dyDescent="0.2">
      <c r="A344" s="39">
        <v>1022</v>
      </c>
      <c r="B344" s="40">
        <v>45014</v>
      </c>
      <c r="C344" s="39" t="s">
        <v>66</v>
      </c>
      <c r="D344" s="39" t="s">
        <v>74</v>
      </c>
      <c r="E344" s="41">
        <v>8640.14</v>
      </c>
      <c r="F344" s="39">
        <v>45</v>
      </c>
      <c r="G344" s="39" t="s">
        <v>75</v>
      </c>
      <c r="H344" s="41">
        <v>4020.09</v>
      </c>
      <c r="I344" s="41">
        <v>4087.91</v>
      </c>
      <c r="J344" s="39" t="s">
        <v>137</v>
      </c>
      <c r="K344" s="42">
        <v>0.06</v>
      </c>
      <c r="L344" s="39" t="s">
        <v>63</v>
      </c>
      <c r="M344" s="39" t="s">
        <v>138</v>
      </c>
      <c r="N344" s="39" t="s">
        <v>141</v>
      </c>
      <c r="O344" s="43">
        <f t="shared" si="105"/>
        <v>183955.95</v>
      </c>
      <c r="P344" s="43">
        <f t="shared" si="106"/>
        <v>172918.59</v>
      </c>
      <c r="Q344" s="43">
        <f t="shared" si="107"/>
        <v>180904.05</v>
      </c>
      <c r="R344" s="43">
        <f t="shared" si="108"/>
        <v>-7985.4599999999919</v>
      </c>
      <c r="S344" s="44">
        <f t="shared" si="109"/>
        <v>-4.6180459833728649E-2</v>
      </c>
      <c r="T344" s="39" t="str">
        <f t="shared" si="110"/>
        <v>Loss</v>
      </c>
      <c r="U344" s="39" t="str">
        <f t="shared" si="111"/>
        <v>0-9%</v>
      </c>
      <c r="V344" s="39" t="str">
        <f>IF(E344&gt;=Analysis!$B$4,"High",IF(E344&gt;=Analysis!$B$5,"Mid","Low"))</f>
        <v>High</v>
      </c>
      <c r="W344" s="39" t="str">
        <f t="shared" si="112"/>
        <v>2023-03</v>
      </c>
      <c r="X344" s="40">
        <f t="shared" si="113"/>
        <v>45016</v>
      </c>
      <c r="Y344" s="39" t="str">
        <f t="shared" si="114"/>
        <v>2023-Q1</v>
      </c>
      <c r="Z344" s="39" t="str">
        <f t="shared" si="115"/>
        <v>Wed</v>
      </c>
      <c r="AA344" s="39">
        <f t="shared" si="116"/>
        <v>3</v>
      </c>
      <c r="AB344" s="39">
        <f t="shared" si="117"/>
        <v>14</v>
      </c>
      <c r="AC344" s="39" t="str">
        <f t="shared" si="118"/>
        <v>Weekday</v>
      </c>
      <c r="AD344" s="39">
        <f t="shared" ca="1" si="119"/>
        <v>1305</v>
      </c>
      <c r="AE344" s="39">
        <f t="shared" ca="1" si="120"/>
        <v>42</v>
      </c>
      <c r="AF344" s="39" t="str">
        <f t="shared" si="121"/>
        <v>BOB</v>
      </c>
      <c r="AG344" s="39" t="str">
        <f t="shared" si="122"/>
        <v>WO-230329-0343</v>
      </c>
      <c r="AH344" s="39" t="str">
        <f>IF(AND(OR(Filter!$B$4="All",D344=Filter!$B$4),OR(Filter!$B$5="All",M344=Filter!$B$5),E344&gt;=Filter!$B$6),MAX(AH$1:AH343)+1,"")</f>
        <v/>
      </c>
      <c r="AI344" s="39">
        <f t="shared" si="123"/>
        <v>45</v>
      </c>
      <c r="AJ344" s="42">
        <f t="shared" si="124"/>
        <v>0.06</v>
      </c>
      <c r="AK344" s="41">
        <f t="shared" si="125"/>
        <v>4087.91</v>
      </c>
      <c r="AL344" s="39">
        <f>RANK(E344,$E$2:$E$1001,0)+COUNTIF($E$2:E344,E344)-1</f>
        <v>127</v>
      </c>
    </row>
    <row r="345" spans="1:38" x14ac:dyDescent="0.2">
      <c r="A345" s="39">
        <v>1030</v>
      </c>
      <c r="B345" s="40">
        <v>45004</v>
      </c>
      <c r="C345" s="39" t="s">
        <v>76</v>
      </c>
      <c r="D345" s="39" t="s">
        <v>59</v>
      </c>
      <c r="E345" s="41">
        <v>1874.63</v>
      </c>
      <c r="F345" s="39">
        <v>2</v>
      </c>
      <c r="G345" s="39" t="s">
        <v>60</v>
      </c>
      <c r="H345" s="41">
        <v>844.94</v>
      </c>
      <c r="I345" s="41">
        <v>1225.6400000000001</v>
      </c>
      <c r="J345" s="39" t="s">
        <v>137</v>
      </c>
      <c r="K345" s="42">
        <v>0.23</v>
      </c>
      <c r="L345" s="39" t="s">
        <v>73</v>
      </c>
      <c r="M345" s="39" t="s">
        <v>138</v>
      </c>
      <c r="N345" s="39" t="s">
        <v>157</v>
      </c>
      <c r="O345" s="43">
        <f t="shared" si="105"/>
        <v>2451.2800000000002</v>
      </c>
      <c r="P345" s="43">
        <f t="shared" si="106"/>
        <v>1887.49</v>
      </c>
      <c r="Q345" s="43">
        <f t="shared" si="107"/>
        <v>1689.88</v>
      </c>
      <c r="R345" s="43">
        <f t="shared" si="108"/>
        <v>197.6099999999999</v>
      </c>
      <c r="S345" s="44">
        <f t="shared" si="109"/>
        <v>0.10469459440844714</v>
      </c>
      <c r="T345" s="39" t="str">
        <f t="shared" si="110"/>
        <v>OK</v>
      </c>
      <c r="U345" s="39" t="str">
        <f t="shared" si="111"/>
        <v>20%+</v>
      </c>
      <c r="V345" s="39" t="str">
        <f>IF(E345&gt;=Analysis!$B$4,"High",IF(E345&gt;=Analysis!$B$5,"Mid","Low"))</f>
        <v>Low</v>
      </c>
      <c r="W345" s="39" t="str">
        <f t="shared" si="112"/>
        <v>2023-03</v>
      </c>
      <c r="X345" s="40">
        <f t="shared" si="113"/>
        <v>45016</v>
      </c>
      <c r="Y345" s="39" t="str">
        <f t="shared" si="114"/>
        <v>2023-Q1</v>
      </c>
      <c r="Z345" s="39" t="str">
        <f t="shared" si="115"/>
        <v>Sun</v>
      </c>
      <c r="AA345" s="39">
        <f t="shared" si="116"/>
        <v>7</v>
      </c>
      <c r="AB345" s="39">
        <f t="shared" si="117"/>
        <v>12</v>
      </c>
      <c r="AC345" s="39" t="str">
        <f t="shared" si="118"/>
        <v>Weekend</v>
      </c>
      <c r="AD345" s="39">
        <f t="shared" ca="1" si="119"/>
        <v>1315</v>
      </c>
      <c r="AE345" s="39">
        <f t="shared" ca="1" si="120"/>
        <v>43</v>
      </c>
      <c r="AF345" s="39" t="str">
        <f t="shared" si="121"/>
        <v>DAV</v>
      </c>
      <c r="AG345" s="39" t="str">
        <f t="shared" si="122"/>
        <v>EO-230319-0344</v>
      </c>
      <c r="AH345" s="39" t="str">
        <f>IF(AND(OR(Filter!$B$4="All",D345=Filter!$B$4),OR(Filter!$B$5="All",M345=Filter!$B$5),E345&gt;=Filter!$B$6),MAX(AH$1:AH344)+1,"")</f>
        <v/>
      </c>
      <c r="AI345" s="39">
        <f t="shared" si="123"/>
        <v>2</v>
      </c>
      <c r="AJ345" s="42">
        <f t="shared" si="124"/>
        <v>0.23</v>
      </c>
      <c r="AK345" s="41">
        <f t="shared" si="125"/>
        <v>1225.6400000000001</v>
      </c>
      <c r="AL345" s="39">
        <f>RANK(E345,$E$2:$E$1001,0)+COUNTIF($E$2:E345,E345)-1</f>
        <v>832</v>
      </c>
    </row>
    <row r="346" spans="1:38" x14ac:dyDescent="0.2">
      <c r="A346" s="39">
        <v>1038</v>
      </c>
      <c r="B346" s="40">
        <v>45214</v>
      </c>
      <c r="C346" s="39" t="s">
        <v>76</v>
      </c>
      <c r="D346" s="39" t="s">
        <v>74</v>
      </c>
      <c r="E346" s="41">
        <v>8020.03</v>
      </c>
      <c r="F346" s="39">
        <v>31</v>
      </c>
      <c r="G346" s="39" t="s">
        <v>60</v>
      </c>
      <c r="H346" s="41">
        <v>2709.84</v>
      </c>
      <c r="I346" s="41">
        <v>2766.51</v>
      </c>
      <c r="J346" s="39" t="s">
        <v>143</v>
      </c>
      <c r="K346" s="42">
        <v>0.19</v>
      </c>
      <c r="L346" s="39" t="s">
        <v>68</v>
      </c>
      <c r="M346" s="39" t="s">
        <v>140</v>
      </c>
      <c r="N346" s="39" t="s">
        <v>154</v>
      </c>
      <c r="O346" s="43">
        <f t="shared" si="105"/>
        <v>85761.81</v>
      </c>
      <c r="P346" s="43">
        <f t="shared" si="106"/>
        <v>69467.070000000007</v>
      </c>
      <c r="Q346" s="43">
        <f t="shared" si="107"/>
        <v>84005.04</v>
      </c>
      <c r="R346" s="43">
        <f t="shared" si="108"/>
        <v>-14537.969999999987</v>
      </c>
      <c r="S346" s="44">
        <f t="shared" si="109"/>
        <v>-0.20927858336331134</v>
      </c>
      <c r="T346" s="39" t="str">
        <f t="shared" si="110"/>
        <v>Loss</v>
      </c>
      <c r="U346" s="39" t="str">
        <f t="shared" si="111"/>
        <v>10-19%</v>
      </c>
      <c r="V346" s="39" t="str">
        <f>IF(E346&gt;=Analysis!$B$4,"High",IF(E346&gt;=Analysis!$B$5,"Mid","Low"))</f>
        <v>High</v>
      </c>
      <c r="W346" s="39" t="str">
        <f t="shared" si="112"/>
        <v>2023-10</v>
      </c>
      <c r="X346" s="40">
        <f t="shared" si="113"/>
        <v>45230</v>
      </c>
      <c r="Y346" s="39" t="str">
        <f t="shared" si="114"/>
        <v>2023-Q4</v>
      </c>
      <c r="Z346" s="39" t="str">
        <f t="shared" si="115"/>
        <v>Sun</v>
      </c>
      <c r="AA346" s="39">
        <f t="shared" si="116"/>
        <v>7</v>
      </c>
      <c r="AB346" s="39">
        <f t="shared" si="117"/>
        <v>42</v>
      </c>
      <c r="AC346" s="39" t="str">
        <f t="shared" si="118"/>
        <v>Weekend</v>
      </c>
      <c r="AD346" s="39">
        <f t="shared" ca="1" si="119"/>
        <v>1105</v>
      </c>
      <c r="AE346" s="39">
        <f t="shared" ca="1" si="120"/>
        <v>36</v>
      </c>
      <c r="AF346" s="39" t="str">
        <f t="shared" si="121"/>
        <v>DAV</v>
      </c>
      <c r="AG346" s="39" t="str">
        <f t="shared" si="122"/>
        <v>WR-231015-0345</v>
      </c>
      <c r="AH346" s="39" t="str">
        <f>IF(AND(OR(Filter!$B$4="All",D346=Filter!$B$4),OR(Filter!$B$5="All",M346=Filter!$B$5),E346&gt;=Filter!$B$6),MAX(AH$1:AH345)+1,"")</f>
        <v/>
      </c>
      <c r="AI346" s="39">
        <f t="shared" si="123"/>
        <v>31</v>
      </c>
      <c r="AJ346" s="42">
        <f t="shared" si="124"/>
        <v>0.19</v>
      </c>
      <c r="AK346" s="41">
        <f t="shared" si="125"/>
        <v>2766.51</v>
      </c>
      <c r="AL346" s="39">
        <f>RANK(E346,$E$2:$E$1001,0)+COUNTIF($E$2:E346,E346)-1</f>
        <v>193</v>
      </c>
    </row>
    <row r="347" spans="1:38" x14ac:dyDescent="0.2">
      <c r="A347" s="39">
        <v>1051</v>
      </c>
      <c r="B347" s="40">
        <v>45046</v>
      </c>
      <c r="C347" s="39" t="s">
        <v>66</v>
      </c>
      <c r="D347" s="39" t="s">
        <v>74</v>
      </c>
      <c r="E347" s="41">
        <v>5571.8</v>
      </c>
      <c r="F347" s="39">
        <v>3</v>
      </c>
      <c r="G347" s="39" t="s">
        <v>70</v>
      </c>
      <c r="H347" s="41">
        <v>1000.18</v>
      </c>
      <c r="I347" s="41">
        <v>1023.64</v>
      </c>
      <c r="J347" s="39" t="s">
        <v>137</v>
      </c>
      <c r="K347" s="42">
        <v>0.04</v>
      </c>
      <c r="L347" s="39" t="s">
        <v>73</v>
      </c>
      <c r="M347" s="39" t="s">
        <v>138</v>
      </c>
      <c r="N347" s="39" t="s">
        <v>141</v>
      </c>
      <c r="O347" s="43">
        <f t="shared" si="105"/>
        <v>3070.92</v>
      </c>
      <c r="P347" s="43">
        <f t="shared" si="106"/>
        <v>2948.08</v>
      </c>
      <c r="Q347" s="43">
        <f t="shared" si="107"/>
        <v>3000.54</v>
      </c>
      <c r="R347" s="43">
        <f t="shared" si="108"/>
        <v>-52.460000000000036</v>
      </c>
      <c r="S347" s="44">
        <f t="shared" si="109"/>
        <v>-1.7794632438739803E-2</v>
      </c>
      <c r="T347" s="39" t="str">
        <f t="shared" si="110"/>
        <v>Loss</v>
      </c>
      <c r="U347" s="39" t="str">
        <f t="shared" si="111"/>
        <v>0-9%</v>
      </c>
      <c r="V347" s="39" t="str">
        <f>IF(E347&gt;=Analysis!$B$4,"High",IF(E347&gt;=Analysis!$B$5,"Mid","Low"))</f>
        <v>Mid</v>
      </c>
      <c r="W347" s="39" t="str">
        <f t="shared" si="112"/>
        <v>2023-04</v>
      </c>
      <c r="X347" s="40">
        <f t="shared" si="113"/>
        <v>45046</v>
      </c>
      <c r="Y347" s="39" t="str">
        <f t="shared" si="114"/>
        <v>2023-Q2</v>
      </c>
      <c r="Z347" s="39" t="str">
        <f t="shared" si="115"/>
        <v>Sun</v>
      </c>
      <c r="AA347" s="39">
        <f t="shared" si="116"/>
        <v>7</v>
      </c>
      <c r="AB347" s="39">
        <f t="shared" si="117"/>
        <v>18</v>
      </c>
      <c r="AC347" s="39" t="str">
        <f t="shared" si="118"/>
        <v>Weekend</v>
      </c>
      <c r="AD347" s="39">
        <f t="shared" ca="1" si="119"/>
        <v>1273</v>
      </c>
      <c r="AE347" s="39">
        <f t="shared" ca="1" si="120"/>
        <v>41</v>
      </c>
      <c r="AF347" s="39" t="str">
        <f t="shared" si="121"/>
        <v>BOB</v>
      </c>
      <c r="AG347" s="39" t="str">
        <f t="shared" si="122"/>
        <v>WO-230430-0346</v>
      </c>
      <c r="AH347" s="39" t="str">
        <f>IF(AND(OR(Filter!$B$4="All",D347=Filter!$B$4),OR(Filter!$B$5="All",M347=Filter!$B$5),E347&gt;=Filter!$B$6),MAX(AH$1:AH346)+1,"")</f>
        <v/>
      </c>
      <c r="AI347" s="39">
        <f t="shared" si="123"/>
        <v>3</v>
      </c>
      <c r="AJ347" s="42">
        <f t="shared" si="124"/>
        <v>0.04</v>
      </c>
      <c r="AK347" s="41">
        <f t="shared" si="125"/>
        <v>1023.64</v>
      </c>
      <c r="AL347" s="39">
        <f>RANK(E347,$E$2:$E$1001,0)+COUNTIF($E$2:E347,E347)-1</f>
        <v>450</v>
      </c>
    </row>
    <row r="348" spans="1:38" x14ac:dyDescent="0.2">
      <c r="A348" s="39">
        <v>1054</v>
      </c>
      <c r="B348" s="40">
        <v>45228</v>
      </c>
      <c r="C348" s="39" t="s">
        <v>76</v>
      </c>
      <c r="D348" s="39" t="s">
        <v>74</v>
      </c>
      <c r="E348" s="41">
        <v>4025.88</v>
      </c>
      <c r="F348" s="39">
        <v>8</v>
      </c>
      <c r="G348" s="39" t="s">
        <v>60</v>
      </c>
      <c r="H348" s="41">
        <v>3610.21</v>
      </c>
      <c r="I348" s="41">
        <v>3817.99</v>
      </c>
      <c r="J348" s="39" t="s">
        <v>137</v>
      </c>
      <c r="K348" s="42">
        <v>0.15</v>
      </c>
      <c r="L348" s="39" t="s">
        <v>68</v>
      </c>
      <c r="M348" s="39" t="s">
        <v>140</v>
      </c>
      <c r="N348" s="39" t="s">
        <v>154</v>
      </c>
      <c r="O348" s="43">
        <f t="shared" si="105"/>
        <v>30543.919999999998</v>
      </c>
      <c r="P348" s="43">
        <f t="shared" si="106"/>
        <v>25962.33</v>
      </c>
      <c r="Q348" s="43">
        <f t="shared" si="107"/>
        <v>28881.68</v>
      </c>
      <c r="R348" s="43">
        <f t="shared" si="108"/>
        <v>-2919.3499999999985</v>
      </c>
      <c r="S348" s="44">
        <f t="shared" si="109"/>
        <v>-0.11244560869536742</v>
      </c>
      <c r="T348" s="39" t="str">
        <f t="shared" si="110"/>
        <v>Loss</v>
      </c>
      <c r="U348" s="39" t="str">
        <f t="shared" si="111"/>
        <v>10-19%</v>
      </c>
      <c r="V348" s="39" t="str">
        <f>IF(E348&gt;=Analysis!$B$4,"High",IF(E348&gt;=Analysis!$B$5,"Mid","Low"))</f>
        <v>Mid</v>
      </c>
      <c r="W348" s="39" t="str">
        <f t="shared" si="112"/>
        <v>2023-10</v>
      </c>
      <c r="X348" s="40">
        <f t="shared" si="113"/>
        <v>45230</v>
      </c>
      <c r="Y348" s="39" t="str">
        <f t="shared" si="114"/>
        <v>2023-Q4</v>
      </c>
      <c r="Z348" s="39" t="str">
        <f t="shared" si="115"/>
        <v>Sun</v>
      </c>
      <c r="AA348" s="39">
        <f t="shared" si="116"/>
        <v>7</v>
      </c>
      <c r="AB348" s="39">
        <f t="shared" si="117"/>
        <v>44</v>
      </c>
      <c r="AC348" s="39" t="str">
        <f t="shared" si="118"/>
        <v>Weekend</v>
      </c>
      <c r="AD348" s="39">
        <f t="shared" ca="1" si="119"/>
        <v>1091</v>
      </c>
      <c r="AE348" s="39">
        <f t="shared" ca="1" si="120"/>
        <v>35</v>
      </c>
      <c r="AF348" s="39" t="str">
        <f t="shared" si="121"/>
        <v>DAV</v>
      </c>
      <c r="AG348" s="39" t="str">
        <f t="shared" si="122"/>
        <v>WR-231029-0347</v>
      </c>
      <c r="AH348" s="39" t="str">
        <f>IF(AND(OR(Filter!$B$4="All",D348=Filter!$B$4),OR(Filter!$B$5="All",M348=Filter!$B$5),E348&gt;=Filter!$B$6),MAX(AH$1:AH347)+1,"")</f>
        <v/>
      </c>
      <c r="AI348" s="39">
        <f t="shared" si="123"/>
        <v>8</v>
      </c>
      <c r="AJ348" s="42">
        <f t="shared" si="124"/>
        <v>0.15</v>
      </c>
      <c r="AK348" s="41">
        <f t="shared" si="125"/>
        <v>3817.99</v>
      </c>
      <c r="AL348" s="39">
        <f>RANK(E348,$E$2:$E$1001,0)+COUNTIF($E$2:E348,E348)-1</f>
        <v>595</v>
      </c>
    </row>
    <row r="349" spans="1:38" x14ac:dyDescent="0.2">
      <c r="A349" s="39">
        <v>1008</v>
      </c>
      <c r="B349" s="40">
        <v>45091</v>
      </c>
      <c r="C349" s="39" t="s">
        <v>79</v>
      </c>
      <c r="D349" s="39" t="s">
        <v>64</v>
      </c>
      <c r="E349" s="41">
        <v>1403.98</v>
      </c>
      <c r="F349" s="39">
        <v>24</v>
      </c>
      <c r="G349" s="39" t="s">
        <v>60</v>
      </c>
      <c r="H349" s="41">
        <v>1394.17</v>
      </c>
      <c r="I349" s="41">
        <v>1891.02</v>
      </c>
      <c r="J349" s="39" t="s">
        <v>143</v>
      </c>
      <c r="K349" s="42">
        <v>0.21</v>
      </c>
      <c r="L349" s="39" t="s">
        <v>73</v>
      </c>
      <c r="M349" s="39" t="s">
        <v>138</v>
      </c>
      <c r="N349" s="39" t="s">
        <v>148</v>
      </c>
      <c r="O349" s="43">
        <f t="shared" si="105"/>
        <v>45384.480000000003</v>
      </c>
      <c r="P349" s="43">
        <f t="shared" si="106"/>
        <v>35853.74</v>
      </c>
      <c r="Q349" s="43">
        <f t="shared" si="107"/>
        <v>33460.080000000002</v>
      </c>
      <c r="R349" s="43">
        <f t="shared" si="108"/>
        <v>2393.6599999999962</v>
      </c>
      <c r="S349" s="44">
        <f t="shared" si="109"/>
        <v>6.6761793888168885E-2</v>
      </c>
      <c r="T349" s="39" t="str">
        <f t="shared" si="110"/>
        <v>OK</v>
      </c>
      <c r="U349" s="39" t="str">
        <f t="shared" si="111"/>
        <v>20%+</v>
      </c>
      <c r="V349" s="39" t="str">
        <f>IF(E349&gt;=Analysis!$B$4,"High",IF(E349&gt;=Analysis!$B$5,"Mid","Low"))</f>
        <v>Low</v>
      </c>
      <c r="W349" s="39" t="str">
        <f t="shared" si="112"/>
        <v>2023-06</v>
      </c>
      <c r="X349" s="40">
        <f t="shared" si="113"/>
        <v>45107</v>
      </c>
      <c r="Y349" s="39" t="str">
        <f t="shared" si="114"/>
        <v>2023-Q2</v>
      </c>
      <c r="Z349" s="39" t="str">
        <f t="shared" si="115"/>
        <v>Wed</v>
      </c>
      <c r="AA349" s="39">
        <f t="shared" si="116"/>
        <v>3</v>
      </c>
      <c r="AB349" s="39">
        <f t="shared" si="117"/>
        <v>25</v>
      </c>
      <c r="AC349" s="39" t="str">
        <f t="shared" si="118"/>
        <v>Weekday</v>
      </c>
      <c r="AD349" s="39">
        <f t="shared" ca="1" si="119"/>
        <v>1228</v>
      </c>
      <c r="AE349" s="39">
        <f t="shared" ca="1" si="120"/>
        <v>40</v>
      </c>
      <c r="AF349" s="39" t="str">
        <f t="shared" si="121"/>
        <v>EVE</v>
      </c>
      <c r="AG349" s="39" t="str">
        <f t="shared" si="122"/>
        <v>NO-230614-0348</v>
      </c>
      <c r="AH349" s="39" t="str">
        <f>IF(AND(OR(Filter!$B$4="All",D349=Filter!$B$4),OR(Filter!$B$5="All",M349=Filter!$B$5),E349&gt;=Filter!$B$6),MAX(AH$1:AH348)+1,"")</f>
        <v/>
      </c>
      <c r="AI349" s="39">
        <f t="shared" si="123"/>
        <v>24</v>
      </c>
      <c r="AJ349" s="42">
        <f t="shared" si="124"/>
        <v>0.21</v>
      </c>
      <c r="AK349" s="41">
        <f t="shared" si="125"/>
        <v>1891.02</v>
      </c>
      <c r="AL349" s="39">
        <f>RANK(E349,$E$2:$E$1001,0)+COUNTIF($E$2:E349,E349)-1</f>
        <v>875</v>
      </c>
    </row>
    <row r="350" spans="1:38" x14ac:dyDescent="0.2">
      <c r="A350" s="39">
        <v>1027</v>
      </c>
      <c r="B350" s="40">
        <v>45108</v>
      </c>
      <c r="C350" s="39" t="s">
        <v>79</v>
      </c>
      <c r="D350" s="39" t="s">
        <v>64</v>
      </c>
      <c r="E350" s="41">
        <v>8666.43</v>
      </c>
      <c r="F350" s="39">
        <v>15</v>
      </c>
      <c r="G350" s="39" t="s">
        <v>60</v>
      </c>
      <c r="H350" s="41">
        <v>1615.26</v>
      </c>
      <c r="I350" s="41">
        <v>1710.95</v>
      </c>
      <c r="J350" s="39" t="s">
        <v>143</v>
      </c>
      <c r="K350" s="42">
        <v>0.23</v>
      </c>
      <c r="L350" s="39" t="s">
        <v>73</v>
      </c>
      <c r="M350" s="39" t="s">
        <v>140</v>
      </c>
      <c r="N350" s="39" t="s">
        <v>148</v>
      </c>
      <c r="O350" s="43">
        <f t="shared" si="105"/>
        <v>25664.25</v>
      </c>
      <c r="P350" s="43">
        <f t="shared" si="106"/>
        <v>19761.47</v>
      </c>
      <c r="Q350" s="43">
        <f t="shared" si="107"/>
        <v>24228.9</v>
      </c>
      <c r="R350" s="43">
        <f t="shared" si="108"/>
        <v>-4467.43</v>
      </c>
      <c r="S350" s="44">
        <f t="shared" si="109"/>
        <v>-0.22606769638088664</v>
      </c>
      <c r="T350" s="39" t="str">
        <f t="shared" si="110"/>
        <v>Loss</v>
      </c>
      <c r="U350" s="39" t="str">
        <f t="shared" si="111"/>
        <v>20%+</v>
      </c>
      <c r="V350" s="39" t="str">
        <f>IF(E350&gt;=Analysis!$B$4,"High",IF(E350&gt;=Analysis!$B$5,"Mid","Low"))</f>
        <v>High</v>
      </c>
      <c r="W350" s="39" t="str">
        <f t="shared" si="112"/>
        <v>2023-07</v>
      </c>
      <c r="X350" s="40">
        <f t="shared" si="113"/>
        <v>45138</v>
      </c>
      <c r="Y350" s="39" t="str">
        <f t="shared" si="114"/>
        <v>2023-Q3</v>
      </c>
      <c r="Z350" s="39" t="str">
        <f t="shared" si="115"/>
        <v>Sat</v>
      </c>
      <c r="AA350" s="39">
        <f t="shared" si="116"/>
        <v>6</v>
      </c>
      <c r="AB350" s="39">
        <f t="shared" si="117"/>
        <v>27</v>
      </c>
      <c r="AC350" s="39" t="str">
        <f t="shared" si="118"/>
        <v>Weekend</v>
      </c>
      <c r="AD350" s="39">
        <f t="shared" ca="1" si="119"/>
        <v>1211</v>
      </c>
      <c r="AE350" s="39">
        <f t="shared" ca="1" si="120"/>
        <v>39</v>
      </c>
      <c r="AF350" s="39" t="str">
        <f t="shared" si="121"/>
        <v>EVE</v>
      </c>
      <c r="AG350" s="39" t="str">
        <f t="shared" si="122"/>
        <v>NR-230701-0349</v>
      </c>
      <c r="AH350" s="39" t="str">
        <f>IF(AND(OR(Filter!$B$4="All",D350=Filter!$B$4),OR(Filter!$B$5="All",M350=Filter!$B$5),E350&gt;=Filter!$B$6),MAX(AH$1:AH349)+1,"")</f>
        <v/>
      </c>
      <c r="AI350" s="39">
        <f t="shared" si="123"/>
        <v>15</v>
      </c>
      <c r="AJ350" s="42">
        <f t="shared" si="124"/>
        <v>0.23</v>
      </c>
      <c r="AK350" s="41">
        <f t="shared" si="125"/>
        <v>1710.95</v>
      </c>
      <c r="AL350" s="39">
        <f>RANK(E350,$E$2:$E$1001,0)+COUNTIF($E$2:E350,E350)-1</f>
        <v>123</v>
      </c>
    </row>
    <row r="351" spans="1:38" x14ac:dyDescent="0.2">
      <c r="A351" s="39">
        <v>1027</v>
      </c>
      <c r="B351" s="40">
        <v>45149</v>
      </c>
      <c r="C351" s="39" t="s">
        <v>79</v>
      </c>
      <c r="D351" s="39" t="s">
        <v>64</v>
      </c>
      <c r="E351" s="41">
        <v>1657</v>
      </c>
      <c r="F351" s="39">
        <v>43</v>
      </c>
      <c r="G351" s="39" t="s">
        <v>60</v>
      </c>
      <c r="H351" s="41">
        <v>4232.6099999999997</v>
      </c>
      <c r="I351" s="41">
        <v>4572.21</v>
      </c>
      <c r="J351" s="39" t="s">
        <v>143</v>
      </c>
      <c r="K351" s="42">
        <v>0.01</v>
      </c>
      <c r="L351" s="39" t="s">
        <v>68</v>
      </c>
      <c r="M351" s="39" t="s">
        <v>140</v>
      </c>
      <c r="N351" s="39" t="s">
        <v>148</v>
      </c>
      <c r="O351" s="43">
        <f t="shared" si="105"/>
        <v>196605.03</v>
      </c>
      <c r="P351" s="43">
        <f t="shared" si="106"/>
        <v>194638.98</v>
      </c>
      <c r="Q351" s="43">
        <f t="shared" si="107"/>
        <v>182002.23</v>
      </c>
      <c r="R351" s="43">
        <f t="shared" si="108"/>
        <v>12636.75</v>
      </c>
      <c r="S351" s="44">
        <f t="shared" si="109"/>
        <v>6.4924045532914323E-2</v>
      </c>
      <c r="T351" s="39" t="str">
        <f t="shared" si="110"/>
        <v>OK</v>
      </c>
      <c r="U351" s="39" t="str">
        <f t="shared" si="111"/>
        <v>0-9%</v>
      </c>
      <c r="V351" s="39" t="str">
        <f>IF(E351&gt;=Analysis!$B$4,"High",IF(E351&gt;=Analysis!$B$5,"Mid","Low"))</f>
        <v>Low</v>
      </c>
      <c r="W351" s="39" t="str">
        <f t="shared" si="112"/>
        <v>2023-08</v>
      </c>
      <c r="X351" s="40">
        <f t="shared" si="113"/>
        <v>45169</v>
      </c>
      <c r="Y351" s="39" t="str">
        <f t="shared" si="114"/>
        <v>2023-Q3</v>
      </c>
      <c r="Z351" s="39" t="str">
        <f t="shared" si="115"/>
        <v>Fri</v>
      </c>
      <c r="AA351" s="39">
        <f t="shared" si="116"/>
        <v>5</v>
      </c>
      <c r="AB351" s="39">
        <f t="shared" si="117"/>
        <v>33</v>
      </c>
      <c r="AC351" s="39" t="str">
        <f t="shared" si="118"/>
        <v>Weekday</v>
      </c>
      <c r="AD351" s="39">
        <f t="shared" ca="1" si="119"/>
        <v>1170</v>
      </c>
      <c r="AE351" s="39">
        <f t="shared" ca="1" si="120"/>
        <v>38</v>
      </c>
      <c r="AF351" s="39" t="str">
        <f t="shared" si="121"/>
        <v>EVE</v>
      </c>
      <c r="AG351" s="39" t="str">
        <f t="shared" si="122"/>
        <v>NR-230811-0350</v>
      </c>
      <c r="AH351" s="39" t="str">
        <f>IF(AND(OR(Filter!$B$4="All",D351=Filter!$B$4),OR(Filter!$B$5="All",M351=Filter!$B$5),E351&gt;=Filter!$B$6),MAX(AH$1:AH350)+1,"")</f>
        <v/>
      </c>
      <c r="AI351" s="39">
        <f t="shared" si="123"/>
        <v>43</v>
      </c>
      <c r="AJ351" s="42">
        <f t="shared" si="124"/>
        <v>0.01</v>
      </c>
      <c r="AK351" s="41">
        <f t="shared" si="125"/>
        <v>4572.21</v>
      </c>
      <c r="AL351" s="39">
        <f>RANK(E351,$E$2:$E$1001,0)+COUNTIF($E$2:E351,E351)-1</f>
        <v>853</v>
      </c>
    </row>
    <row r="352" spans="1:38" x14ac:dyDescent="0.2">
      <c r="A352" s="39">
        <v>1098</v>
      </c>
      <c r="B352" s="40">
        <v>45237</v>
      </c>
      <c r="C352" s="39" t="s">
        <v>61</v>
      </c>
      <c r="D352" s="39" t="s">
        <v>74</v>
      </c>
      <c r="E352" s="41">
        <v>3166.9</v>
      </c>
      <c r="F352" s="39">
        <v>31</v>
      </c>
      <c r="G352" s="39" t="s">
        <v>70</v>
      </c>
      <c r="H352" s="41">
        <v>2407.8000000000002</v>
      </c>
      <c r="I352" s="41">
        <v>2502.7600000000002</v>
      </c>
      <c r="J352" s="39" t="s">
        <v>137</v>
      </c>
      <c r="K352" s="42">
        <v>0.27</v>
      </c>
      <c r="L352" s="39" t="s">
        <v>68</v>
      </c>
      <c r="M352" s="39" t="s">
        <v>140</v>
      </c>
      <c r="N352" s="39" t="s">
        <v>158</v>
      </c>
      <c r="O352" s="43">
        <f t="shared" si="105"/>
        <v>77585.56</v>
      </c>
      <c r="P352" s="43">
        <f t="shared" si="106"/>
        <v>56637.46</v>
      </c>
      <c r="Q352" s="43">
        <f t="shared" si="107"/>
        <v>74641.8</v>
      </c>
      <c r="R352" s="43">
        <f t="shared" si="108"/>
        <v>-18004.340000000004</v>
      </c>
      <c r="S352" s="44">
        <f t="shared" si="109"/>
        <v>-0.31788749001102812</v>
      </c>
      <c r="T352" s="39" t="str">
        <f t="shared" si="110"/>
        <v>Loss</v>
      </c>
      <c r="U352" s="39" t="str">
        <f t="shared" si="111"/>
        <v>20%+</v>
      </c>
      <c r="V352" s="39" t="str">
        <f>IF(E352&gt;=Analysis!$B$4,"High",IF(E352&gt;=Analysis!$B$5,"Mid","Low"))</f>
        <v>Mid</v>
      </c>
      <c r="W352" s="39" t="str">
        <f t="shared" si="112"/>
        <v>2023-11</v>
      </c>
      <c r="X352" s="40">
        <f t="shared" si="113"/>
        <v>45260</v>
      </c>
      <c r="Y352" s="39" t="str">
        <f t="shared" si="114"/>
        <v>2023-Q4</v>
      </c>
      <c r="Z352" s="39" t="str">
        <f t="shared" si="115"/>
        <v>Tue</v>
      </c>
      <c r="AA352" s="39">
        <f t="shared" si="116"/>
        <v>2</v>
      </c>
      <c r="AB352" s="39">
        <f t="shared" si="117"/>
        <v>46</v>
      </c>
      <c r="AC352" s="39" t="str">
        <f t="shared" si="118"/>
        <v>Weekday</v>
      </c>
      <c r="AD352" s="39">
        <f t="shared" ca="1" si="119"/>
        <v>1082</v>
      </c>
      <c r="AE352" s="39">
        <f t="shared" ca="1" si="120"/>
        <v>35</v>
      </c>
      <c r="AF352" s="39" t="str">
        <f t="shared" si="121"/>
        <v>ALI</v>
      </c>
      <c r="AG352" s="39" t="str">
        <f t="shared" si="122"/>
        <v>WR-231107-0351</v>
      </c>
      <c r="AH352" s="39" t="str">
        <f>IF(AND(OR(Filter!$B$4="All",D352=Filter!$B$4),OR(Filter!$B$5="All",M352=Filter!$B$5),E352&gt;=Filter!$B$6),MAX(AH$1:AH351)+1,"")</f>
        <v/>
      </c>
      <c r="AI352" s="39">
        <f t="shared" si="123"/>
        <v>31</v>
      </c>
      <c r="AJ352" s="42">
        <f t="shared" si="124"/>
        <v>0.27</v>
      </c>
      <c r="AK352" s="41">
        <f t="shared" si="125"/>
        <v>2502.7600000000002</v>
      </c>
      <c r="AL352" s="39">
        <f>RANK(E352,$E$2:$E$1001,0)+COUNTIF($E$2:E352,E352)-1</f>
        <v>678</v>
      </c>
    </row>
    <row r="353" spans="1:38" x14ac:dyDescent="0.2">
      <c r="A353" s="39">
        <v>1021</v>
      </c>
      <c r="B353" s="40">
        <v>44933</v>
      </c>
      <c r="C353" s="39" t="s">
        <v>66</v>
      </c>
      <c r="D353" s="39" t="s">
        <v>64</v>
      </c>
      <c r="E353" s="41">
        <v>2971.45</v>
      </c>
      <c r="F353" s="39">
        <v>9</v>
      </c>
      <c r="G353" s="39" t="s">
        <v>75</v>
      </c>
      <c r="H353" s="41">
        <v>3365.28</v>
      </c>
      <c r="I353" s="41">
        <v>3730.43</v>
      </c>
      <c r="J353" s="39" t="s">
        <v>143</v>
      </c>
      <c r="K353" s="42">
        <v>0.17</v>
      </c>
      <c r="L353" s="39" t="s">
        <v>63</v>
      </c>
      <c r="M353" s="39" t="s">
        <v>138</v>
      </c>
      <c r="N353" s="39" t="s">
        <v>139</v>
      </c>
      <c r="O353" s="43">
        <f t="shared" si="105"/>
        <v>33573.870000000003</v>
      </c>
      <c r="P353" s="43">
        <f t="shared" si="106"/>
        <v>27866.31</v>
      </c>
      <c r="Q353" s="43">
        <f t="shared" si="107"/>
        <v>30287.52</v>
      </c>
      <c r="R353" s="43">
        <f t="shared" si="108"/>
        <v>-2421.2099999999991</v>
      </c>
      <c r="S353" s="44">
        <f t="shared" si="109"/>
        <v>-8.6886638381615616E-2</v>
      </c>
      <c r="T353" s="39" t="str">
        <f t="shared" si="110"/>
        <v>Loss</v>
      </c>
      <c r="U353" s="39" t="str">
        <f t="shared" si="111"/>
        <v>10-19%</v>
      </c>
      <c r="V353" s="39" t="str">
        <f>IF(E353&gt;=Analysis!$B$4,"High",IF(E353&gt;=Analysis!$B$5,"Mid","Low"))</f>
        <v>Mid</v>
      </c>
      <c r="W353" s="39" t="str">
        <f t="shared" si="112"/>
        <v>2023-01</v>
      </c>
      <c r="X353" s="40">
        <f t="shared" si="113"/>
        <v>44957</v>
      </c>
      <c r="Y353" s="39" t="str">
        <f t="shared" si="114"/>
        <v>2023-Q1</v>
      </c>
      <c r="Z353" s="39" t="str">
        <f t="shared" si="115"/>
        <v>Sat</v>
      </c>
      <c r="AA353" s="39">
        <f t="shared" si="116"/>
        <v>6</v>
      </c>
      <c r="AB353" s="39">
        <f t="shared" si="117"/>
        <v>2</v>
      </c>
      <c r="AC353" s="39" t="str">
        <f t="shared" si="118"/>
        <v>Weekend</v>
      </c>
      <c r="AD353" s="39">
        <f t="shared" ca="1" si="119"/>
        <v>1386</v>
      </c>
      <c r="AE353" s="39">
        <f t="shared" ca="1" si="120"/>
        <v>45</v>
      </c>
      <c r="AF353" s="39" t="str">
        <f t="shared" si="121"/>
        <v>BOB</v>
      </c>
      <c r="AG353" s="39" t="str">
        <f t="shared" si="122"/>
        <v>NO-230107-0352</v>
      </c>
      <c r="AH353" s="39" t="str">
        <f>IF(AND(OR(Filter!$B$4="All",D353=Filter!$B$4),OR(Filter!$B$5="All",M353=Filter!$B$5),E353&gt;=Filter!$B$6),MAX(AH$1:AH352)+1,"")</f>
        <v/>
      </c>
      <c r="AI353" s="39">
        <f t="shared" si="123"/>
        <v>9</v>
      </c>
      <c r="AJ353" s="42">
        <f t="shared" si="124"/>
        <v>0.17</v>
      </c>
      <c r="AK353" s="41">
        <f t="shared" si="125"/>
        <v>3730.43</v>
      </c>
      <c r="AL353" s="39">
        <f>RANK(E353,$E$2:$E$1001,0)+COUNTIF($E$2:E353,E353)-1</f>
        <v>697</v>
      </c>
    </row>
    <row r="354" spans="1:38" x14ac:dyDescent="0.2">
      <c r="A354" s="39">
        <v>1030</v>
      </c>
      <c r="B354" s="40">
        <v>45256</v>
      </c>
      <c r="C354" s="39" t="s">
        <v>61</v>
      </c>
      <c r="D354" s="39" t="s">
        <v>74</v>
      </c>
      <c r="E354" s="41">
        <v>8727</v>
      </c>
      <c r="F354" s="39">
        <v>39</v>
      </c>
      <c r="G354" s="39" t="s">
        <v>65</v>
      </c>
      <c r="H354" s="41">
        <v>2041.75</v>
      </c>
      <c r="I354" s="41">
        <v>2299.37</v>
      </c>
      <c r="J354" s="39" t="s">
        <v>137</v>
      </c>
      <c r="K354" s="42">
        <v>0.24</v>
      </c>
      <c r="L354" s="39" t="s">
        <v>63</v>
      </c>
      <c r="M354" s="39" t="s">
        <v>140</v>
      </c>
      <c r="N354" s="39" t="s">
        <v>158</v>
      </c>
      <c r="O354" s="43">
        <f t="shared" si="105"/>
        <v>89675.43</v>
      </c>
      <c r="P354" s="43">
        <f t="shared" si="106"/>
        <v>68153.33</v>
      </c>
      <c r="Q354" s="43">
        <f t="shared" si="107"/>
        <v>79628.25</v>
      </c>
      <c r="R354" s="43">
        <f t="shared" si="108"/>
        <v>-11474.919999999998</v>
      </c>
      <c r="S354" s="44">
        <f t="shared" si="109"/>
        <v>-0.1683691757981598</v>
      </c>
      <c r="T354" s="39" t="str">
        <f t="shared" si="110"/>
        <v>Loss</v>
      </c>
      <c r="U354" s="39" t="str">
        <f t="shared" si="111"/>
        <v>20%+</v>
      </c>
      <c r="V354" s="39" t="str">
        <f>IF(E354&gt;=Analysis!$B$4,"High",IF(E354&gt;=Analysis!$B$5,"Mid","Low"))</f>
        <v>High</v>
      </c>
      <c r="W354" s="39" t="str">
        <f t="shared" si="112"/>
        <v>2023-11</v>
      </c>
      <c r="X354" s="40">
        <f t="shared" si="113"/>
        <v>45260</v>
      </c>
      <c r="Y354" s="39" t="str">
        <f t="shared" si="114"/>
        <v>2023-Q4</v>
      </c>
      <c r="Z354" s="39" t="str">
        <f t="shared" si="115"/>
        <v>Sun</v>
      </c>
      <c r="AA354" s="39">
        <f t="shared" si="116"/>
        <v>7</v>
      </c>
      <c r="AB354" s="39">
        <f t="shared" si="117"/>
        <v>48</v>
      </c>
      <c r="AC354" s="39" t="str">
        <f t="shared" si="118"/>
        <v>Weekend</v>
      </c>
      <c r="AD354" s="39">
        <f t="shared" ca="1" si="119"/>
        <v>1063</v>
      </c>
      <c r="AE354" s="39">
        <f t="shared" ca="1" si="120"/>
        <v>34</v>
      </c>
      <c r="AF354" s="39" t="str">
        <f t="shared" si="121"/>
        <v>ALI</v>
      </c>
      <c r="AG354" s="39" t="str">
        <f t="shared" si="122"/>
        <v>WR-231126-0353</v>
      </c>
      <c r="AH354" s="39" t="str">
        <f>IF(AND(OR(Filter!$B$4="All",D354=Filter!$B$4),OR(Filter!$B$5="All",M354=Filter!$B$5),E354&gt;=Filter!$B$6),MAX(AH$1:AH353)+1,"")</f>
        <v/>
      </c>
      <c r="AI354" s="39">
        <f t="shared" si="123"/>
        <v>39</v>
      </c>
      <c r="AJ354" s="42">
        <f t="shared" si="124"/>
        <v>0.24</v>
      </c>
      <c r="AK354" s="41">
        <f t="shared" si="125"/>
        <v>2299.37</v>
      </c>
      <c r="AL354" s="39">
        <f>RANK(E354,$E$2:$E$1001,0)+COUNTIF($E$2:E354,E354)-1</f>
        <v>118</v>
      </c>
    </row>
    <row r="355" spans="1:38" x14ac:dyDescent="0.2">
      <c r="A355" s="39">
        <v>1097</v>
      </c>
      <c r="B355" s="40">
        <v>45189</v>
      </c>
      <c r="C355" s="39" t="s">
        <v>76</v>
      </c>
      <c r="D355" s="39" t="s">
        <v>64</v>
      </c>
      <c r="E355" s="41">
        <v>6759.76</v>
      </c>
      <c r="F355" s="39">
        <v>45</v>
      </c>
      <c r="G355" s="39" t="s">
        <v>60</v>
      </c>
      <c r="H355" s="41">
        <v>1525.13</v>
      </c>
      <c r="I355" s="41">
        <v>1868.32</v>
      </c>
      <c r="J355" s="39" t="s">
        <v>137</v>
      </c>
      <c r="K355" s="42">
        <v>0.24</v>
      </c>
      <c r="L355" s="39" t="s">
        <v>68</v>
      </c>
      <c r="M355" s="39" t="s">
        <v>140</v>
      </c>
      <c r="N355" s="39" t="s">
        <v>152</v>
      </c>
      <c r="O355" s="43">
        <f t="shared" si="105"/>
        <v>84074.4</v>
      </c>
      <c r="P355" s="43">
        <f t="shared" si="106"/>
        <v>63896.54</v>
      </c>
      <c r="Q355" s="43">
        <f t="shared" si="107"/>
        <v>68630.850000000006</v>
      </c>
      <c r="R355" s="43">
        <f t="shared" si="108"/>
        <v>-4734.3100000000049</v>
      </c>
      <c r="S355" s="44">
        <f t="shared" si="109"/>
        <v>-7.409337031394822E-2</v>
      </c>
      <c r="T355" s="39" t="str">
        <f t="shared" si="110"/>
        <v>Loss</v>
      </c>
      <c r="U355" s="39" t="str">
        <f t="shared" si="111"/>
        <v>20%+</v>
      </c>
      <c r="V355" s="39" t="str">
        <f>IF(E355&gt;=Analysis!$B$4,"High",IF(E355&gt;=Analysis!$B$5,"Mid","Low"))</f>
        <v>Mid</v>
      </c>
      <c r="W355" s="39" t="str">
        <f t="shared" si="112"/>
        <v>2023-09</v>
      </c>
      <c r="X355" s="40">
        <f t="shared" si="113"/>
        <v>45199</v>
      </c>
      <c r="Y355" s="39" t="str">
        <f t="shared" si="114"/>
        <v>2023-Q3</v>
      </c>
      <c r="Z355" s="39" t="str">
        <f t="shared" si="115"/>
        <v>Wed</v>
      </c>
      <c r="AA355" s="39">
        <f t="shared" si="116"/>
        <v>3</v>
      </c>
      <c r="AB355" s="39">
        <f t="shared" si="117"/>
        <v>39</v>
      </c>
      <c r="AC355" s="39" t="str">
        <f t="shared" si="118"/>
        <v>Weekday</v>
      </c>
      <c r="AD355" s="39">
        <f t="shared" ca="1" si="119"/>
        <v>1130</v>
      </c>
      <c r="AE355" s="39">
        <f t="shared" ca="1" si="120"/>
        <v>37</v>
      </c>
      <c r="AF355" s="39" t="str">
        <f t="shared" si="121"/>
        <v>DAV</v>
      </c>
      <c r="AG355" s="39" t="str">
        <f t="shared" si="122"/>
        <v>NR-230920-0354</v>
      </c>
      <c r="AH355" s="39" t="str">
        <f>IF(AND(OR(Filter!$B$4="All",D355=Filter!$B$4),OR(Filter!$B$5="All",M355=Filter!$B$5),E355&gt;=Filter!$B$6),MAX(AH$1:AH354)+1,"")</f>
        <v/>
      </c>
      <c r="AI355" s="39">
        <f t="shared" si="123"/>
        <v>45</v>
      </c>
      <c r="AJ355" s="42">
        <f t="shared" si="124"/>
        <v>0.24</v>
      </c>
      <c r="AK355" s="41">
        <f t="shared" si="125"/>
        <v>1868.32</v>
      </c>
      <c r="AL355" s="39">
        <f>RANK(E355,$E$2:$E$1001,0)+COUNTIF($E$2:E355,E355)-1</f>
        <v>329</v>
      </c>
    </row>
    <row r="356" spans="1:38" x14ac:dyDescent="0.2">
      <c r="A356" s="39">
        <v>1028</v>
      </c>
      <c r="B356" s="40">
        <v>45087</v>
      </c>
      <c r="C356" s="39" t="s">
        <v>61</v>
      </c>
      <c r="D356" s="39" t="s">
        <v>64</v>
      </c>
      <c r="E356" s="41">
        <v>7987.15</v>
      </c>
      <c r="F356" s="39">
        <v>2</v>
      </c>
      <c r="G356" s="39" t="s">
        <v>75</v>
      </c>
      <c r="H356" s="41">
        <v>3146.12</v>
      </c>
      <c r="I356" s="41">
        <v>3255.53</v>
      </c>
      <c r="J356" s="39" t="s">
        <v>137</v>
      </c>
      <c r="K356" s="42">
        <v>0.06</v>
      </c>
      <c r="L356" s="39" t="s">
        <v>63</v>
      </c>
      <c r="M356" s="39" t="s">
        <v>138</v>
      </c>
      <c r="N356" s="39" t="s">
        <v>156</v>
      </c>
      <c r="O356" s="43">
        <f t="shared" si="105"/>
        <v>6511.06</v>
      </c>
      <c r="P356" s="43">
        <f t="shared" si="106"/>
        <v>6120.4</v>
      </c>
      <c r="Q356" s="43">
        <f t="shared" si="107"/>
        <v>6292.24</v>
      </c>
      <c r="R356" s="43">
        <f t="shared" si="108"/>
        <v>-171.84000000000015</v>
      </c>
      <c r="S356" s="44">
        <f t="shared" si="109"/>
        <v>-2.8076596300895391E-2</v>
      </c>
      <c r="T356" s="39" t="str">
        <f t="shared" si="110"/>
        <v>Loss</v>
      </c>
      <c r="U356" s="39" t="str">
        <f t="shared" si="111"/>
        <v>0-9%</v>
      </c>
      <c r="V356" s="39" t="str">
        <f>IF(E356&gt;=Analysis!$B$4,"High",IF(E356&gt;=Analysis!$B$5,"Mid","Low"))</f>
        <v>High</v>
      </c>
      <c r="W356" s="39" t="str">
        <f t="shared" si="112"/>
        <v>2023-06</v>
      </c>
      <c r="X356" s="40">
        <f t="shared" si="113"/>
        <v>45107</v>
      </c>
      <c r="Y356" s="39" t="str">
        <f t="shared" si="114"/>
        <v>2023-Q2</v>
      </c>
      <c r="Z356" s="39" t="str">
        <f t="shared" si="115"/>
        <v>Sat</v>
      </c>
      <c r="AA356" s="39">
        <f t="shared" si="116"/>
        <v>6</v>
      </c>
      <c r="AB356" s="39">
        <f t="shared" si="117"/>
        <v>24</v>
      </c>
      <c r="AC356" s="39" t="str">
        <f t="shared" si="118"/>
        <v>Weekend</v>
      </c>
      <c r="AD356" s="39">
        <f t="shared" ca="1" si="119"/>
        <v>1232</v>
      </c>
      <c r="AE356" s="39">
        <f t="shared" ca="1" si="120"/>
        <v>40</v>
      </c>
      <c r="AF356" s="39" t="str">
        <f t="shared" si="121"/>
        <v>ALI</v>
      </c>
      <c r="AG356" s="39" t="str">
        <f t="shared" si="122"/>
        <v>NO-230610-0355</v>
      </c>
      <c r="AH356" s="39" t="str">
        <f>IF(AND(OR(Filter!$B$4="All",D356=Filter!$B$4),OR(Filter!$B$5="All",M356=Filter!$B$5),E356&gt;=Filter!$B$6),MAX(AH$1:AH355)+1,"")</f>
        <v/>
      </c>
      <c r="AI356" s="39">
        <f t="shared" si="123"/>
        <v>2</v>
      </c>
      <c r="AJ356" s="42">
        <f t="shared" si="124"/>
        <v>0.06</v>
      </c>
      <c r="AK356" s="41">
        <f t="shared" si="125"/>
        <v>3255.53</v>
      </c>
      <c r="AL356" s="39">
        <f>RANK(E356,$E$2:$E$1001,0)+COUNTIF($E$2:E356,E356)-1</f>
        <v>196</v>
      </c>
    </row>
    <row r="357" spans="1:38" x14ac:dyDescent="0.2">
      <c r="A357" s="39">
        <v>1064</v>
      </c>
      <c r="B357" s="40">
        <v>45077</v>
      </c>
      <c r="C357" s="39" t="s">
        <v>76</v>
      </c>
      <c r="D357" s="39" t="s">
        <v>69</v>
      </c>
      <c r="E357" s="41">
        <v>2579.63</v>
      </c>
      <c r="F357" s="39">
        <v>8</v>
      </c>
      <c r="G357" s="39" t="s">
        <v>60</v>
      </c>
      <c r="H357" s="41">
        <v>816.54</v>
      </c>
      <c r="I357" s="41">
        <v>1191.9000000000001</v>
      </c>
      <c r="J357" s="39" t="s">
        <v>143</v>
      </c>
      <c r="K357" s="42">
        <v>0.03</v>
      </c>
      <c r="L357" s="39" t="s">
        <v>68</v>
      </c>
      <c r="M357" s="39" t="s">
        <v>140</v>
      </c>
      <c r="N357" s="39" t="s">
        <v>142</v>
      </c>
      <c r="O357" s="43">
        <f t="shared" si="105"/>
        <v>9535.2000000000007</v>
      </c>
      <c r="P357" s="43">
        <f t="shared" si="106"/>
        <v>9249.14</v>
      </c>
      <c r="Q357" s="43">
        <f t="shared" si="107"/>
        <v>6532.32</v>
      </c>
      <c r="R357" s="43">
        <f t="shared" si="108"/>
        <v>2716.8199999999997</v>
      </c>
      <c r="S357" s="44">
        <f t="shared" si="109"/>
        <v>0.29373757992634991</v>
      </c>
      <c r="T357" s="39" t="str">
        <f t="shared" si="110"/>
        <v>OK</v>
      </c>
      <c r="U357" s="39" t="str">
        <f t="shared" si="111"/>
        <v>0-9%</v>
      </c>
      <c r="V357" s="39" t="str">
        <f>IF(E357&gt;=Analysis!$B$4,"High",IF(E357&gt;=Analysis!$B$5,"Mid","Low"))</f>
        <v>Mid</v>
      </c>
      <c r="W357" s="39" t="str">
        <f t="shared" si="112"/>
        <v>2023-05</v>
      </c>
      <c r="X357" s="40">
        <f t="shared" si="113"/>
        <v>45077</v>
      </c>
      <c r="Y357" s="39" t="str">
        <f t="shared" si="114"/>
        <v>2023-Q2</v>
      </c>
      <c r="Z357" s="39" t="str">
        <f t="shared" si="115"/>
        <v>Wed</v>
      </c>
      <c r="AA357" s="39">
        <f t="shared" si="116"/>
        <v>3</v>
      </c>
      <c r="AB357" s="39">
        <f t="shared" si="117"/>
        <v>23</v>
      </c>
      <c r="AC357" s="39" t="str">
        <f t="shared" si="118"/>
        <v>Weekday</v>
      </c>
      <c r="AD357" s="39">
        <f t="shared" ca="1" si="119"/>
        <v>1242</v>
      </c>
      <c r="AE357" s="39">
        <f t="shared" ca="1" si="120"/>
        <v>40</v>
      </c>
      <c r="AF357" s="39" t="str">
        <f t="shared" si="121"/>
        <v>DAV</v>
      </c>
      <c r="AG357" s="39" t="str">
        <f t="shared" si="122"/>
        <v>SR-230531-0356</v>
      </c>
      <c r="AH357" s="39" t="str">
        <f>IF(AND(OR(Filter!$B$4="All",D357=Filter!$B$4),OR(Filter!$B$5="All",M357=Filter!$B$5),E357&gt;=Filter!$B$6),MAX(AH$1:AH356)+1,"")</f>
        <v/>
      </c>
      <c r="AI357" s="39">
        <f t="shared" si="123"/>
        <v>8</v>
      </c>
      <c r="AJ357" s="42">
        <f t="shared" si="124"/>
        <v>0.03</v>
      </c>
      <c r="AK357" s="41">
        <f t="shared" si="125"/>
        <v>1191.9000000000001</v>
      </c>
      <c r="AL357" s="39">
        <f>RANK(E357,$E$2:$E$1001,0)+COUNTIF($E$2:E357,E357)-1</f>
        <v>744</v>
      </c>
    </row>
    <row r="358" spans="1:38" x14ac:dyDescent="0.2">
      <c r="A358" s="39">
        <v>1097</v>
      </c>
      <c r="B358" s="40">
        <v>45011</v>
      </c>
      <c r="C358" s="39" t="s">
        <v>76</v>
      </c>
      <c r="D358" s="39" t="s">
        <v>59</v>
      </c>
      <c r="E358" s="41">
        <v>6286.25</v>
      </c>
      <c r="F358" s="39">
        <v>7</v>
      </c>
      <c r="G358" s="39" t="s">
        <v>60</v>
      </c>
      <c r="H358" s="41">
        <v>1896.35</v>
      </c>
      <c r="I358" s="41">
        <v>2394.1999999999998</v>
      </c>
      <c r="J358" s="39" t="s">
        <v>143</v>
      </c>
      <c r="K358" s="42">
        <v>0.22</v>
      </c>
      <c r="L358" s="39" t="s">
        <v>63</v>
      </c>
      <c r="M358" s="39" t="s">
        <v>138</v>
      </c>
      <c r="N358" s="39" t="s">
        <v>157</v>
      </c>
      <c r="O358" s="43">
        <f t="shared" si="105"/>
        <v>16759.400000000001</v>
      </c>
      <c r="P358" s="43">
        <f t="shared" si="106"/>
        <v>13072.33</v>
      </c>
      <c r="Q358" s="43">
        <f t="shared" si="107"/>
        <v>13274.45</v>
      </c>
      <c r="R358" s="43">
        <f t="shared" si="108"/>
        <v>-202.1200000000008</v>
      </c>
      <c r="S358" s="44">
        <f t="shared" si="109"/>
        <v>-1.5461665976914658E-2</v>
      </c>
      <c r="T358" s="39" t="str">
        <f t="shared" si="110"/>
        <v>Loss</v>
      </c>
      <c r="U358" s="39" t="str">
        <f t="shared" si="111"/>
        <v>20%+</v>
      </c>
      <c r="V358" s="39" t="str">
        <f>IF(E358&gt;=Analysis!$B$4,"High",IF(E358&gt;=Analysis!$B$5,"Mid","Low"))</f>
        <v>Mid</v>
      </c>
      <c r="W358" s="39" t="str">
        <f t="shared" si="112"/>
        <v>2023-03</v>
      </c>
      <c r="X358" s="40">
        <f t="shared" si="113"/>
        <v>45016</v>
      </c>
      <c r="Y358" s="39" t="str">
        <f t="shared" si="114"/>
        <v>2023-Q1</v>
      </c>
      <c r="Z358" s="39" t="str">
        <f t="shared" si="115"/>
        <v>Sun</v>
      </c>
      <c r="AA358" s="39">
        <f t="shared" si="116"/>
        <v>7</v>
      </c>
      <c r="AB358" s="39">
        <f t="shared" si="117"/>
        <v>13</v>
      </c>
      <c r="AC358" s="39" t="str">
        <f t="shared" si="118"/>
        <v>Weekend</v>
      </c>
      <c r="AD358" s="39">
        <f t="shared" ca="1" si="119"/>
        <v>1308</v>
      </c>
      <c r="AE358" s="39">
        <f t="shared" ca="1" si="120"/>
        <v>42</v>
      </c>
      <c r="AF358" s="39" t="str">
        <f t="shared" si="121"/>
        <v>DAV</v>
      </c>
      <c r="AG358" s="39" t="str">
        <f t="shared" si="122"/>
        <v>EO-230326-0357</v>
      </c>
      <c r="AH358" s="39" t="str">
        <f>IF(AND(OR(Filter!$B$4="All",D358=Filter!$B$4),OR(Filter!$B$5="All",M358=Filter!$B$5),E358&gt;=Filter!$B$6),MAX(AH$1:AH357)+1,"")</f>
        <v/>
      </c>
      <c r="AI358" s="39">
        <f t="shared" si="123"/>
        <v>7</v>
      </c>
      <c r="AJ358" s="42">
        <f t="shared" si="124"/>
        <v>0.22</v>
      </c>
      <c r="AK358" s="41">
        <f t="shared" si="125"/>
        <v>2394.1999999999998</v>
      </c>
      <c r="AL358" s="39">
        <f>RANK(E358,$E$2:$E$1001,0)+COUNTIF($E$2:E358,E358)-1</f>
        <v>378</v>
      </c>
    </row>
    <row r="359" spans="1:38" x14ac:dyDescent="0.2">
      <c r="A359" s="39">
        <v>1069</v>
      </c>
      <c r="B359" s="40">
        <v>45073</v>
      </c>
      <c r="C359" s="39" t="s">
        <v>71</v>
      </c>
      <c r="D359" s="39" t="s">
        <v>74</v>
      </c>
      <c r="E359" s="41">
        <v>5760.29</v>
      </c>
      <c r="F359" s="39">
        <v>44</v>
      </c>
      <c r="G359" s="39" t="s">
        <v>65</v>
      </c>
      <c r="H359" s="41">
        <v>1084.73</v>
      </c>
      <c r="I359" s="41">
        <v>1420.9</v>
      </c>
      <c r="J359" s="39" t="s">
        <v>137</v>
      </c>
      <c r="K359" s="42">
        <v>0.05</v>
      </c>
      <c r="L359" s="39" t="s">
        <v>73</v>
      </c>
      <c r="M359" s="39" t="s">
        <v>138</v>
      </c>
      <c r="N359" s="39" t="s">
        <v>146</v>
      </c>
      <c r="O359" s="43">
        <f t="shared" si="105"/>
        <v>62519.6</v>
      </c>
      <c r="P359" s="43">
        <f t="shared" si="106"/>
        <v>59393.62</v>
      </c>
      <c r="Q359" s="43">
        <f t="shared" si="107"/>
        <v>47728.12</v>
      </c>
      <c r="R359" s="43">
        <f t="shared" si="108"/>
        <v>11665.5</v>
      </c>
      <c r="S359" s="44">
        <f t="shared" si="109"/>
        <v>0.1964099847761426</v>
      </c>
      <c r="T359" s="39" t="str">
        <f t="shared" si="110"/>
        <v>OK</v>
      </c>
      <c r="U359" s="39" t="str">
        <f t="shared" si="111"/>
        <v>0-9%</v>
      </c>
      <c r="V359" s="39" t="str">
        <f>IF(E359&gt;=Analysis!$B$4,"High",IF(E359&gt;=Analysis!$B$5,"Mid","Low"))</f>
        <v>Mid</v>
      </c>
      <c r="W359" s="39" t="str">
        <f t="shared" si="112"/>
        <v>2023-05</v>
      </c>
      <c r="X359" s="40">
        <f t="shared" si="113"/>
        <v>45077</v>
      </c>
      <c r="Y359" s="39" t="str">
        <f t="shared" si="114"/>
        <v>2023-Q2</v>
      </c>
      <c r="Z359" s="39" t="str">
        <f t="shared" si="115"/>
        <v>Sat</v>
      </c>
      <c r="AA359" s="39">
        <f t="shared" si="116"/>
        <v>6</v>
      </c>
      <c r="AB359" s="39">
        <f t="shared" si="117"/>
        <v>22</v>
      </c>
      <c r="AC359" s="39" t="str">
        <f t="shared" si="118"/>
        <v>Weekend</v>
      </c>
      <c r="AD359" s="39">
        <f t="shared" ca="1" si="119"/>
        <v>1246</v>
      </c>
      <c r="AE359" s="39">
        <f t="shared" ca="1" si="120"/>
        <v>40</v>
      </c>
      <c r="AF359" s="39" t="str">
        <f t="shared" si="121"/>
        <v>CHA</v>
      </c>
      <c r="AG359" s="39" t="str">
        <f t="shared" si="122"/>
        <v>WO-230527-0358</v>
      </c>
      <c r="AH359" s="39" t="str">
        <f>IF(AND(OR(Filter!$B$4="All",D359=Filter!$B$4),OR(Filter!$B$5="All",M359=Filter!$B$5),E359&gt;=Filter!$B$6),MAX(AH$1:AH358)+1,"")</f>
        <v/>
      </c>
      <c r="AI359" s="39">
        <f t="shared" si="123"/>
        <v>44</v>
      </c>
      <c r="AJ359" s="42">
        <f t="shared" si="124"/>
        <v>0.05</v>
      </c>
      <c r="AK359" s="41">
        <f t="shared" si="125"/>
        <v>1420.9</v>
      </c>
      <c r="AL359" s="39">
        <f>RANK(E359,$E$2:$E$1001,0)+COUNTIF($E$2:E359,E359)-1</f>
        <v>433</v>
      </c>
    </row>
    <row r="360" spans="1:38" x14ac:dyDescent="0.2">
      <c r="A360" s="39">
        <v>1061</v>
      </c>
      <c r="B360" s="40">
        <v>45038</v>
      </c>
      <c r="C360" s="39" t="s">
        <v>79</v>
      </c>
      <c r="D360" s="39" t="s">
        <v>69</v>
      </c>
      <c r="E360" s="41">
        <v>8345.02</v>
      </c>
      <c r="F360" s="39">
        <v>39</v>
      </c>
      <c r="G360" s="39" t="s">
        <v>65</v>
      </c>
      <c r="H360" s="41">
        <v>3494.19</v>
      </c>
      <c r="I360" s="41">
        <v>3746</v>
      </c>
      <c r="J360" s="39" t="s">
        <v>137</v>
      </c>
      <c r="K360" s="42">
        <v>0.25</v>
      </c>
      <c r="L360" s="39" t="s">
        <v>63</v>
      </c>
      <c r="M360" s="39" t="s">
        <v>140</v>
      </c>
      <c r="N360" s="39" t="s">
        <v>147</v>
      </c>
      <c r="O360" s="43">
        <f t="shared" si="105"/>
        <v>146094</v>
      </c>
      <c r="P360" s="43">
        <f t="shared" si="106"/>
        <v>109570.5</v>
      </c>
      <c r="Q360" s="43">
        <f t="shared" si="107"/>
        <v>136273.41</v>
      </c>
      <c r="R360" s="43">
        <f t="shared" si="108"/>
        <v>-26702.910000000003</v>
      </c>
      <c r="S360" s="44">
        <f t="shared" si="109"/>
        <v>-0.24370528563801391</v>
      </c>
      <c r="T360" s="39" t="str">
        <f t="shared" si="110"/>
        <v>Loss</v>
      </c>
      <c r="U360" s="39" t="str">
        <f t="shared" si="111"/>
        <v>20%+</v>
      </c>
      <c r="V360" s="39" t="str">
        <f>IF(E360&gt;=Analysis!$B$4,"High",IF(E360&gt;=Analysis!$B$5,"Mid","Low"))</f>
        <v>High</v>
      </c>
      <c r="W360" s="39" t="str">
        <f t="shared" si="112"/>
        <v>2023-04</v>
      </c>
      <c r="X360" s="40">
        <f t="shared" si="113"/>
        <v>45046</v>
      </c>
      <c r="Y360" s="39" t="str">
        <f t="shared" si="114"/>
        <v>2023-Q2</v>
      </c>
      <c r="Z360" s="39" t="str">
        <f t="shared" si="115"/>
        <v>Sat</v>
      </c>
      <c r="AA360" s="39">
        <f t="shared" si="116"/>
        <v>6</v>
      </c>
      <c r="AB360" s="39">
        <f t="shared" si="117"/>
        <v>17</v>
      </c>
      <c r="AC360" s="39" t="str">
        <f t="shared" si="118"/>
        <v>Weekend</v>
      </c>
      <c r="AD360" s="39">
        <f t="shared" ca="1" si="119"/>
        <v>1281</v>
      </c>
      <c r="AE360" s="39">
        <f t="shared" ca="1" si="120"/>
        <v>42</v>
      </c>
      <c r="AF360" s="39" t="str">
        <f t="shared" si="121"/>
        <v>EVE</v>
      </c>
      <c r="AG360" s="39" t="str">
        <f t="shared" si="122"/>
        <v>SR-230422-0359</v>
      </c>
      <c r="AH360" s="39" t="str">
        <f>IF(AND(OR(Filter!$B$4="All",D360=Filter!$B$4),OR(Filter!$B$5="All",M360=Filter!$B$5),E360&gt;=Filter!$B$6),MAX(AH$1:AH359)+1,"")</f>
        <v/>
      </c>
      <c r="AI360" s="39">
        <f t="shared" si="123"/>
        <v>39</v>
      </c>
      <c r="AJ360" s="42">
        <f t="shared" si="124"/>
        <v>0.25</v>
      </c>
      <c r="AK360" s="41">
        <f t="shared" si="125"/>
        <v>3746</v>
      </c>
      <c r="AL360" s="39">
        <f>RANK(E360,$E$2:$E$1001,0)+COUNTIF($E$2:E360,E360)-1</f>
        <v>160</v>
      </c>
    </row>
    <row r="361" spans="1:38" x14ac:dyDescent="0.2">
      <c r="A361" s="39">
        <v>1048</v>
      </c>
      <c r="B361" s="40">
        <v>44962</v>
      </c>
      <c r="C361" s="39" t="s">
        <v>76</v>
      </c>
      <c r="D361" s="39" t="s">
        <v>64</v>
      </c>
      <c r="E361" s="41">
        <v>9070.26</v>
      </c>
      <c r="F361" s="39">
        <v>42</v>
      </c>
      <c r="G361" s="39" t="s">
        <v>65</v>
      </c>
      <c r="H361" s="41">
        <v>4723.83</v>
      </c>
      <c r="I361" s="41">
        <v>5186.1899999999996</v>
      </c>
      <c r="J361" s="39" t="s">
        <v>137</v>
      </c>
      <c r="K361" s="42">
        <v>0.22</v>
      </c>
      <c r="L361" s="39" t="s">
        <v>73</v>
      </c>
      <c r="M361" s="39" t="s">
        <v>138</v>
      </c>
      <c r="N361" s="39" t="s">
        <v>152</v>
      </c>
      <c r="O361" s="43">
        <f t="shared" si="105"/>
        <v>217819.98</v>
      </c>
      <c r="P361" s="43">
        <f t="shared" si="106"/>
        <v>169899.58</v>
      </c>
      <c r="Q361" s="43">
        <f t="shared" si="107"/>
        <v>198400.86</v>
      </c>
      <c r="R361" s="43">
        <f t="shared" si="108"/>
        <v>-28501.279999999999</v>
      </c>
      <c r="S361" s="44">
        <f t="shared" si="109"/>
        <v>-0.16775368132163718</v>
      </c>
      <c r="T361" s="39" t="str">
        <f t="shared" si="110"/>
        <v>Loss</v>
      </c>
      <c r="U361" s="39" t="str">
        <f t="shared" si="111"/>
        <v>20%+</v>
      </c>
      <c r="V361" s="39" t="str">
        <f>IF(E361&gt;=Analysis!$B$4,"High",IF(E361&gt;=Analysis!$B$5,"Mid","Low"))</f>
        <v>High</v>
      </c>
      <c r="W361" s="39" t="str">
        <f t="shared" si="112"/>
        <v>2023-02</v>
      </c>
      <c r="X361" s="40">
        <f t="shared" si="113"/>
        <v>44985</v>
      </c>
      <c r="Y361" s="39" t="str">
        <f t="shared" si="114"/>
        <v>2023-Q1</v>
      </c>
      <c r="Z361" s="39" t="str">
        <f t="shared" si="115"/>
        <v>Sun</v>
      </c>
      <c r="AA361" s="39">
        <f t="shared" si="116"/>
        <v>7</v>
      </c>
      <c r="AB361" s="39">
        <f t="shared" si="117"/>
        <v>6</v>
      </c>
      <c r="AC361" s="39" t="str">
        <f t="shared" si="118"/>
        <v>Weekend</v>
      </c>
      <c r="AD361" s="39">
        <f t="shared" ca="1" si="119"/>
        <v>1357</v>
      </c>
      <c r="AE361" s="39">
        <f t="shared" ca="1" si="120"/>
        <v>44</v>
      </c>
      <c r="AF361" s="39" t="str">
        <f t="shared" si="121"/>
        <v>DAV</v>
      </c>
      <c r="AG361" s="39" t="str">
        <f t="shared" si="122"/>
        <v>NO-230205-0360</v>
      </c>
      <c r="AH361" s="39">
        <f>IF(AND(OR(Filter!$B$4="All",D361=Filter!$B$4),OR(Filter!$B$5="All",M361=Filter!$B$5),E361&gt;=Filter!$B$6),MAX(AH$1:AH360)+1,"")</f>
        <v>40</v>
      </c>
      <c r="AI361" s="39">
        <f t="shared" si="123"/>
        <v>42</v>
      </c>
      <c r="AJ361" s="42">
        <f t="shared" si="124"/>
        <v>0.22</v>
      </c>
      <c r="AK361" s="41">
        <f t="shared" si="125"/>
        <v>5186.1899999999996</v>
      </c>
      <c r="AL361" s="39">
        <f>RANK(E361,$E$2:$E$1001,0)+COUNTIF($E$2:E361,E361)-1</f>
        <v>87</v>
      </c>
    </row>
    <row r="362" spans="1:38" x14ac:dyDescent="0.2">
      <c r="A362" s="39">
        <v>1019</v>
      </c>
      <c r="B362" s="40">
        <v>45211</v>
      </c>
      <c r="C362" s="39" t="s">
        <v>71</v>
      </c>
      <c r="D362" s="39" t="s">
        <v>74</v>
      </c>
      <c r="E362" s="41">
        <v>220.35</v>
      </c>
      <c r="F362" s="39">
        <v>16</v>
      </c>
      <c r="G362" s="39" t="s">
        <v>60</v>
      </c>
      <c r="H362" s="41">
        <v>4977.78</v>
      </c>
      <c r="I362" s="41">
        <v>4995.55</v>
      </c>
      <c r="J362" s="39" t="s">
        <v>143</v>
      </c>
      <c r="K362" s="42">
        <v>0.25</v>
      </c>
      <c r="L362" s="39" t="s">
        <v>73</v>
      </c>
      <c r="M362" s="39" t="s">
        <v>138</v>
      </c>
      <c r="N362" s="39" t="s">
        <v>146</v>
      </c>
      <c r="O362" s="43">
        <f t="shared" si="105"/>
        <v>79928.800000000003</v>
      </c>
      <c r="P362" s="43">
        <f t="shared" si="106"/>
        <v>59946.6</v>
      </c>
      <c r="Q362" s="43">
        <f t="shared" si="107"/>
        <v>79644.479999999996</v>
      </c>
      <c r="R362" s="43">
        <f t="shared" si="108"/>
        <v>-19697.879999999997</v>
      </c>
      <c r="S362" s="44">
        <f t="shared" si="109"/>
        <v>-0.32859044549649186</v>
      </c>
      <c r="T362" s="39" t="str">
        <f t="shared" si="110"/>
        <v>Loss</v>
      </c>
      <c r="U362" s="39" t="str">
        <f t="shared" si="111"/>
        <v>20%+</v>
      </c>
      <c r="V362" s="39" t="str">
        <f>IF(E362&gt;=Analysis!$B$4,"High",IF(E362&gt;=Analysis!$B$5,"Mid","Low"))</f>
        <v>Low</v>
      </c>
      <c r="W362" s="39" t="str">
        <f t="shared" si="112"/>
        <v>2023-10</v>
      </c>
      <c r="X362" s="40">
        <f t="shared" si="113"/>
        <v>45230</v>
      </c>
      <c r="Y362" s="39" t="str">
        <f t="shared" si="114"/>
        <v>2023-Q4</v>
      </c>
      <c r="Z362" s="39" t="str">
        <f t="shared" si="115"/>
        <v>Thu</v>
      </c>
      <c r="AA362" s="39">
        <f t="shared" si="116"/>
        <v>4</v>
      </c>
      <c r="AB362" s="39">
        <f t="shared" si="117"/>
        <v>42</v>
      </c>
      <c r="AC362" s="39" t="str">
        <f t="shared" si="118"/>
        <v>Weekday</v>
      </c>
      <c r="AD362" s="39">
        <f t="shared" ca="1" si="119"/>
        <v>1108</v>
      </c>
      <c r="AE362" s="39">
        <f t="shared" ca="1" si="120"/>
        <v>36</v>
      </c>
      <c r="AF362" s="39" t="str">
        <f t="shared" si="121"/>
        <v>CHA</v>
      </c>
      <c r="AG362" s="39" t="str">
        <f t="shared" si="122"/>
        <v>WO-231012-0361</v>
      </c>
      <c r="AH362" s="39" t="str">
        <f>IF(AND(OR(Filter!$B$4="All",D362=Filter!$B$4),OR(Filter!$B$5="All",M362=Filter!$B$5),E362&gt;=Filter!$B$6),MAX(AH$1:AH361)+1,"")</f>
        <v/>
      </c>
      <c r="AI362" s="39">
        <f t="shared" si="123"/>
        <v>16</v>
      </c>
      <c r="AJ362" s="42">
        <f t="shared" si="124"/>
        <v>0.25</v>
      </c>
      <c r="AK362" s="41">
        <f t="shared" si="125"/>
        <v>4995.55</v>
      </c>
      <c r="AL362" s="39">
        <f>RANK(E362,$E$2:$E$1001,0)+COUNTIF($E$2:E362,E362)-1</f>
        <v>985</v>
      </c>
    </row>
    <row r="363" spans="1:38" x14ac:dyDescent="0.2">
      <c r="A363" s="39">
        <v>1004</v>
      </c>
      <c r="B363" s="40">
        <v>45114</v>
      </c>
      <c r="C363" s="39" t="s">
        <v>79</v>
      </c>
      <c r="D363" s="39" t="s">
        <v>64</v>
      </c>
      <c r="E363" s="41">
        <v>6772.8</v>
      </c>
      <c r="F363" s="39">
        <v>35</v>
      </c>
      <c r="G363" s="39" t="s">
        <v>60</v>
      </c>
      <c r="H363" s="41">
        <v>2278.87</v>
      </c>
      <c r="I363" s="41">
        <v>2646.53</v>
      </c>
      <c r="J363" s="39" t="s">
        <v>137</v>
      </c>
      <c r="K363" s="42">
        <v>0.09</v>
      </c>
      <c r="L363" s="39" t="s">
        <v>63</v>
      </c>
      <c r="M363" s="39" t="s">
        <v>138</v>
      </c>
      <c r="N363" s="39" t="s">
        <v>148</v>
      </c>
      <c r="O363" s="43">
        <f t="shared" si="105"/>
        <v>92628.55</v>
      </c>
      <c r="P363" s="43">
        <f t="shared" si="106"/>
        <v>84291.98</v>
      </c>
      <c r="Q363" s="43">
        <f t="shared" si="107"/>
        <v>79760.45</v>
      </c>
      <c r="R363" s="43">
        <f t="shared" si="108"/>
        <v>4531.5299999999988</v>
      </c>
      <c r="S363" s="44">
        <f t="shared" si="109"/>
        <v>5.3759918796545049E-2</v>
      </c>
      <c r="T363" s="39" t="str">
        <f t="shared" si="110"/>
        <v>OK</v>
      </c>
      <c r="U363" s="39" t="str">
        <f t="shared" si="111"/>
        <v>0-9%</v>
      </c>
      <c r="V363" s="39" t="str">
        <f>IF(E363&gt;=Analysis!$B$4,"High",IF(E363&gt;=Analysis!$B$5,"Mid","Low"))</f>
        <v>Mid</v>
      </c>
      <c r="W363" s="39" t="str">
        <f t="shared" si="112"/>
        <v>2023-07</v>
      </c>
      <c r="X363" s="40">
        <f t="shared" si="113"/>
        <v>45138</v>
      </c>
      <c r="Y363" s="39" t="str">
        <f t="shared" si="114"/>
        <v>2023-Q3</v>
      </c>
      <c r="Z363" s="39" t="str">
        <f t="shared" si="115"/>
        <v>Fri</v>
      </c>
      <c r="AA363" s="39">
        <f t="shared" si="116"/>
        <v>5</v>
      </c>
      <c r="AB363" s="39">
        <f t="shared" si="117"/>
        <v>28</v>
      </c>
      <c r="AC363" s="39" t="str">
        <f t="shared" si="118"/>
        <v>Weekday</v>
      </c>
      <c r="AD363" s="39">
        <f t="shared" ca="1" si="119"/>
        <v>1205</v>
      </c>
      <c r="AE363" s="39">
        <f t="shared" ca="1" si="120"/>
        <v>39</v>
      </c>
      <c r="AF363" s="39" t="str">
        <f t="shared" si="121"/>
        <v>EVE</v>
      </c>
      <c r="AG363" s="39" t="str">
        <f t="shared" si="122"/>
        <v>NO-230707-0362</v>
      </c>
      <c r="AH363" s="39" t="str">
        <f>IF(AND(OR(Filter!$B$4="All",D363=Filter!$B$4),OR(Filter!$B$5="All",M363=Filter!$B$5),E363&gt;=Filter!$B$6),MAX(AH$1:AH362)+1,"")</f>
        <v/>
      </c>
      <c r="AI363" s="39">
        <f t="shared" si="123"/>
        <v>35</v>
      </c>
      <c r="AJ363" s="42">
        <f t="shared" si="124"/>
        <v>0.09</v>
      </c>
      <c r="AK363" s="41">
        <f t="shared" si="125"/>
        <v>2646.53</v>
      </c>
      <c r="AL363" s="39">
        <f>RANK(E363,$E$2:$E$1001,0)+COUNTIF($E$2:E363,E363)-1</f>
        <v>324</v>
      </c>
    </row>
    <row r="364" spans="1:38" x14ac:dyDescent="0.2">
      <c r="A364" s="39">
        <v>1035</v>
      </c>
      <c r="B364" s="40">
        <v>45008</v>
      </c>
      <c r="C364" s="39" t="s">
        <v>76</v>
      </c>
      <c r="D364" s="39" t="s">
        <v>59</v>
      </c>
      <c r="E364" s="41">
        <v>613.16999999999996</v>
      </c>
      <c r="F364" s="39">
        <v>30</v>
      </c>
      <c r="G364" s="39" t="s">
        <v>60</v>
      </c>
      <c r="H364" s="41">
        <v>1300.03</v>
      </c>
      <c r="I364" s="41">
        <v>1745.52</v>
      </c>
      <c r="J364" s="39" t="s">
        <v>143</v>
      </c>
      <c r="K364" s="42">
        <v>0.09</v>
      </c>
      <c r="L364" s="39" t="s">
        <v>68</v>
      </c>
      <c r="M364" s="39" t="s">
        <v>140</v>
      </c>
      <c r="N364" s="39" t="s">
        <v>157</v>
      </c>
      <c r="O364" s="43">
        <f t="shared" si="105"/>
        <v>52365.599999999999</v>
      </c>
      <c r="P364" s="43">
        <f t="shared" si="106"/>
        <v>47652.7</v>
      </c>
      <c r="Q364" s="43">
        <f t="shared" si="107"/>
        <v>39000.9</v>
      </c>
      <c r="R364" s="43">
        <f t="shared" si="108"/>
        <v>8651.7999999999956</v>
      </c>
      <c r="S364" s="44">
        <f t="shared" si="109"/>
        <v>0.18155949190706919</v>
      </c>
      <c r="T364" s="39" t="str">
        <f t="shared" si="110"/>
        <v>OK</v>
      </c>
      <c r="U364" s="39" t="str">
        <f t="shared" si="111"/>
        <v>0-9%</v>
      </c>
      <c r="V364" s="39" t="str">
        <f>IF(E364&gt;=Analysis!$B$4,"High",IF(E364&gt;=Analysis!$B$5,"Mid","Low"))</f>
        <v>Low</v>
      </c>
      <c r="W364" s="39" t="str">
        <f t="shared" si="112"/>
        <v>2023-03</v>
      </c>
      <c r="X364" s="40">
        <f t="shared" si="113"/>
        <v>45016</v>
      </c>
      <c r="Y364" s="39" t="str">
        <f t="shared" si="114"/>
        <v>2023-Q1</v>
      </c>
      <c r="Z364" s="39" t="str">
        <f t="shared" si="115"/>
        <v>Thu</v>
      </c>
      <c r="AA364" s="39">
        <f t="shared" si="116"/>
        <v>4</v>
      </c>
      <c r="AB364" s="39">
        <f t="shared" si="117"/>
        <v>13</v>
      </c>
      <c r="AC364" s="39" t="str">
        <f t="shared" si="118"/>
        <v>Weekday</v>
      </c>
      <c r="AD364" s="39">
        <f t="shared" ca="1" si="119"/>
        <v>1311</v>
      </c>
      <c r="AE364" s="39">
        <f t="shared" ca="1" si="120"/>
        <v>43</v>
      </c>
      <c r="AF364" s="39" t="str">
        <f t="shared" si="121"/>
        <v>DAV</v>
      </c>
      <c r="AG364" s="39" t="str">
        <f t="shared" si="122"/>
        <v>ER-230323-0363</v>
      </c>
      <c r="AH364" s="39" t="str">
        <f>IF(AND(OR(Filter!$B$4="All",D364=Filter!$B$4),OR(Filter!$B$5="All",M364=Filter!$B$5),E364&gt;=Filter!$B$6),MAX(AH$1:AH363)+1,"")</f>
        <v/>
      </c>
      <c r="AI364" s="39">
        <f t="shared" si="123"/>
        <v>30</v>
      </c>
      <c r="AJ364" s="42">
        <f t="shared" si="124"/>
        <v>0.09</v>
      </c>
      <c r="AK364" s="41">
        <f t="shared" si="125"/>
        <v>1745.52</v>
      </c>
      <c r="AL364" s="39">
        <f>RANK(E364,$E$2:$E$1001,0)+COUNTIF($E$2:E364,E364)-1</f>
        <v>952</v>
      </c>
    </row>
    <row r="365" spans="1:38" x14ac:dyDescent="0.2">
      <c r="A365" s="39">
        <v>1064</v>
      </c>
      <c r="B365" s="40">
        <v>44928</v>
      </c>
      <c r="C365" s="39" t="s">
        <v>76</v>
      </c>
      <c r="D365" s="39" t="s">
        <v>69</v>
      </c>
      <c r="E365" s="41">
        <v>5533.7</v>
      </c>
      <c r="F365" s="39">
        <v>10</v>
      </c>
      <c r="G365" s="39" t="s">
        <v>65</v>
      </c>
      <c r="H365" s="41">
        <v>2242.0100000000002</v>
      </c>
      <c r="I365" s="41">
        <v>2282.23</v>
      </c>
      <c r="J365" s="39" t="s">
        <v>137</v>
      </c>
      <c r="K365" s="42">
        <v>0.2</v>
      </c>
      <c r="L365" s="39" t="s">
        <v>73</v>
      </c>
      <c r="M365" s="39" t="s">
        <v>138</v>
      </c>
      <c r="N365" s="39" t="s">
        <v>142</v>
      </c>
      <c r="O365" s="43">
        <f t="shared" si="105"/>
        <v>22822.3</v>
      </c>
      <c r="P365" s="43">
        <f t="shared" si="106"/>
        <v>18257.84</v>
      </c>
      <c r="Q365" s="43">
        <f t="shared" si="107"/>
        <v>22420.1</v>
      </c>
      <c r="R365" s="43">
        <f t="shared" si="108"/>
        <v>-4162.2599999999984</v>
      </c>
      <c r="S365" s="44">
        <f t="shared" si="109"/>
        <v>-0.2279711072065479</v>
      </c>
      <c r="T365" s="39" t="str">
        <f t="shared" si="110"/>
        <v>Loss</v>
      </c>
      <c r="U365" s="39" t="str">
        <f t="shared" si="111"/>
        <v>20%+</v>
      </c>
      <c r="V365" s="39" t="str">
        <f>IF(E365&gt;=Analysis!$B$4,"High",IF(E365&gt;=Analysis!$B$5,"Mid","Low"))</f>
        <v>Mid</v>
      </c>
      <c r="W365" s="39" t="str">
        <f t="shared" si="112"/>
        <v>2023-01</v>
      </c>
      <c r="X365" s="40">
        <f t="shared" si="113"/>
        <v>44957</v>
      </c>
      <c r="Y365" s="39" t="str">
        <f t="shared" si="114"/>
        <v>2023-Q1</v>
      </c>
      <c r="Z365" s="39" t="str">
        <f t="shared" si="115"/>
        <v>Mon</v>
      </c>
      <c r="AA365" s="39">
        <f t="shared" si="116"/>
        <v>1</v>
      </c>
      <c r="AB365" s="39">
        <f t="shared" si="117"/>
        <v>2</v>
      </c>
      <c r="AC365" s="39" t="str">
        <f t="shared" si="118"/>
        <v>Weekday</v>
      </c>
      <c r="AD365" s="39">
        <f t="shared" ca="1" si="119"/>
        <v>1391</v>
      </c>
      <c r="AE365" s="39">
        <f t="shared" ca="1" si="120"/>
        <v>45</v>
      </c>
      <c r="AF365" s="39" t="str">
        <f t="shared" si="121"/>
        <v>DAV</v>
      </c>
      <c r="AG365" s="39" t="str">
        <f t="shared" si="122"/>
        <v>SO-230102-0364</v>
      </c>
      <c r="AH365" s="39" t="str">
        <f>IF(AND(OR(Filter!$B$4="All",D365=Filter!$B$4),OR(Filter!$B$5="All",M365=Filter!$B$5),E365&gt;=Filter!$B$6),MAX(AH$1:AH364)+1,"")</f>
        <v/>
      </c>
      <c r="AI365" s="39">
        <f t="shared" si="123"/>
        <v>10</v>
      </c>
      <c r="AJ365" s="42">
        <f t="shared" si="124"/>
        <v>0.2</v>
      </c>
      <c r="AK365" s="41">
        <f t="shared" si="125"/>
        <v>2282.23</v>
      </c>
      <c r="AL365" s="39">
        <f>RANK(E365,$E$2:$E$1001,0)+COUNTIF($E$2:E365,E365)-1</f>
        <v>452</v>
      </c>
    </row>
    <row r="366" spans="1:38" x14ac:dyDescent="0.2">
      <c r="A366" s="39">
        <v>1049</v>
      </c>
      <c r="B366" s="40">
        <v>45229</v>
      </c>
      <c r="C366" s="39" t="s">
        <v>61</v>
      </c>
      <c r="D366" s="39" t="s">
        <v>59</v>
      </c>
      <c r="E366" s="41">
        <v>2947.56</v>
      </c>
      <c r="F366" s="39">
        <v>38</v>
      </c>
      <c r="G366" s="39" t="s">
        <v>70</v>
      </c>
      <c r="H366" s="41">
        <v>4243.9799999999996</v>
      </c>
      <c r="I366" s="41">
        <v>4474.51</v>
      </c>
      <c r="J366" s="39" t="s">
        <v>143</v>
      </c>
      <c r="K366" s="42">
        <v>0.01</v>
      </c>
      <c r="L366" s="39" t="s">
        <v>73</v>
      </c>
      <c r="M366" s="39" t="s">
        <v>138</v>
      </c>
      <c r="N366" s="39" t="s">
        <v>159</v>
      </c>
      <c r="O366" s="43">
        <f t="shared" si="105"/>
        <v>170031.38</v>
      </c>
      <c r="P366" s="43">
        <f t="shared" si="106"/>
        <v>168331.07</v>
      </c>
      <c r="Q366" s="43">
        <f t="shared" si="107"/>
        <v>161271.24</v>
      </c>
      <c r="R366" s="43">
        <f t="shared" si="108"/>
        <v>7059.8300000000163</v>
      </c>
      <c r="S366" s="44">
        <f t="shared" si="109"/>
        <v>4.1940148066545384E-2</v>
      </c>
      <c r="T366" s="39" t="str">
        <f t="shared" si="110"/>
        <v>OK</v>
      </c>
      <c r="U366" s="39" t="str">
        <f t="shared" si="111"/>
        <v>0-9%</v>
      </c>
      <c r="V366" s="39" t="str">
        <f>IF(E366&gt;=Analysis!$B$4,"High",IF(E366&gt;=Analysis!$B$5,"Mid","Low"))</f>
        <v>Mid</v>
      </c>
      <c r="W366" s="39" t="str">
        <f t="shared" si="112"/>
        <v>2023-10</v>
      </c>
      <c r="X366" s="40">
        <f t="shared" si="113"/>
        <v>45230</v>
      </c>
      <c r="Y366" s="39" t="str">
        <f t="shared" si="114"/>
        <v>2023-Q4</v>
      </c>
      <c r="Z366" s="39" t="str">
        <f t="shared" si="115"/>
        <v>Mon</v>
      </c>
      <c r="AA366" s="39">
        <f t="shared" si="116"/>
        <v>1</v>
      </c>
      <c r="AB366" s="39">
        <f t="shared" si="117"/>
        <v>45</v>
      </c>
      <c r="AC366" s="39" t="str">
        <f t="shared" si="118"/>
        <v>Weekday</v>
      </c>
      <c r="AD366" s="39">
        <f t="shared" ca="1" si="119"/>
        <v>1090</v>
      </c>
      <c r="AE366" s="39">
        <f t="shared" ca="1" si="120"/>
        <v>35</v>
      </c>
      <c r="AF366" s="39" t="str">
        <f t="shared" si="121"/>
        <v>ALI</v>
      </c>
      <c r="AG366" s="39" t="str">
        <f t="shared" si="122"/>
        <v>EO-231030-0365</v>
      </c>
      <c r="AH366" s="39" t="str">
        <f>IF(AND(OR(Filter!$B$4="All",D366=Filter!$B$4),OR(Filter!$B$5="All",M366=Filter!$B$5),E366&gt;=Filter!$B$6),MAX(AH$1:AH365)+1,"")</f>
        <v/>
      </c>
      <c r="AI366" s="39">
        <f t="shared" si="123"/>
        <v>38</v>
      </c>
      <c r="AJ366" s="42">
        <f t="shared" si="124"/>
        <v>0.01</v>
      </c>
      <c r="AK366" s="41">
        <f t="shared" si="125"/>
        <v>4474.51</v>
      </c>
      <c r="AL366" s="39">
        <f>RANK(E366,$E$2:$E$1001,0)+COUNTIF($E$2:E366,E366)-1</f>
        <v>700</v>
      </c>
    </row>
    <row r="367" spans="1:38" x14ac:dyDescent="0.2">
      <c r="A367" s="39">
        <v>1017</v>
      </c>
      <c r="B367" s="40">
        <v>45123</v>
      </c>
      <c r="C367" s="39" t="s">
        <v>61</v>
      </c>
      <c r="D367" s="39" t="s">
        <v>69</v>
      </c>
      <c r="E367" s="41">
        <v>3137.09</v>
      </c>
      <c r="F367" s="39">
        <v>18</v>
      </c>
      <c r="G367" s="39" t="s">
        <v>75</v>
      </c>
      <c r="H367" s="41">
        <v>1069.73</v>
      </c>
      <c r="I367" s="41">
        <v>1180.04</v>
      </c>
      <c r="J367" s="39" t="s">
        <v>137</v>
      </c>
      <c r="K367" s="42">
        <v>0.22</v>
      </c>
      <c r="L367" s="39" t="s">
        <v>63</v>
      </c>
      <c r="M367" s="39" t="s">
        <v>138</v>
      </c>
      <c r="N367" s="39" t="s">
        <v>150</v>
      </c>
      <c r="O367" s="43">
        <f t="shared" si="105"/>
        <v>21240.720000000001</v>
      </c>
      <c r="P367" s="43">
        <f t="shared" si="106"/>
        <v>16567.759999999998</v>
      </c>
      <c r="Q367" s="43">
        <f t="shared" si="107"/>
        <v>19255.14</v>
      </c>
      <c r="R367" s="43">
        <f t="shared" si="108"/>
        <v>-2687.380000000001</v>
      </c>
      <c r="S367" s="44">
        <f t="shared" si="109"/>
        <v>-0.1622053916763643</v>
      </c>
      <c r="T367" s="39" t="str">
        <f t="shared" si="110"/>
        <v>Loss</v>
      </c>
      <c r="U367" s="39" t="str">
        <f t="shared" si="111"/>
        <v>20%+</v>
      </c>
      <c r="V367" s="39" t="str">
        <f>IF(E367&gt;=Analysis!$B$4,"High",IF(E367&gt;=Analysis!$B$5,"Mid","Low"))</f>
        <v>Mid</v>
      </c>
      <c r="W367" s="39" t="str">
        <f t="shared" si="112"/>
        <v>2023-07</v>
      </c>
      <c r="X367" s="40">
        <f t="shared" si="113"/>
        <v>45138</v>
      </c>
      <c r="Y367" s="39" t="str">
        <f t="shared" si="114"/>
        <v>2023-Q3</v>
      </c>
      <c r="Z367" s="39" t="str">
        <f t="shared" si="115"/>
        <v>Sun</v>
      </c>
      <c r="AA367" s="39">
        <f t="shared" si="116"/>
        <v>7</v>
      </c>
      <c r="AB367" s="39">
        <f t="shared" si="117"/>
        <v>29</v>
      </c>
      <c r="AC367" s="39" t="str">
        <f t="shared" si="118"/>
        <v>Weekend</v>
      </c>
      <c r="AD367" s="39">
        <f t="shared" ca="1" si="119"/>
        <v>1196</v>
      </c>
      <c r="AE367" s="39">
        <f t="shared" ca="1" si="120"/>
        <v>39</v>
      </c>
      <c r="AF367" s="39" t="str">
        <f t="shared" si="121"/>
        <v>ALI</v>
      </c>
      <c r="AG367" s="39" t="str">
        <f t="shared" si="122"/>
        <v>SO-230716-0366</v>
      </c>
      <c r="AH367" s="39" t="str">
        <f>IF(AND(OR(Filter!$B$4="All",D367=Filter!$B$4),OR(Filter!$B$5="All",M367=Filter!$B$5),E367&gt;=Filter!$B$6),MAX(AH$1:AH366)+1,"")</f>
        <v/>
      </c>
      <c r="AI367" s="39">
        <f t="shared" si="123"/>
        <v>18</v>
      </c>
      <c r="AJ367" s="42">
        <f t="shared" si="124"/>
        <v>0.22</v>
      </c>
      <c r="AK367" s="41">
        <f t="shared" si="125"/>
        <v>1180.04</v>
      </c>
      <c r="AL367" s="39">
        <f>RANK(E367,$E$2:$E$1001,0)+COUNTIF($E$2:E367,E367)-1</f>
        <v>680</v>
      </c>
    </row>
    <row r="368" spans="1:38" x14ac:dyDescent="0.2">
      <c r="A368" s="39">
        <v>1044</v>
      </c>
      <c r="B368" s="40">
        <v>44937</v>
      </c>
      <c r="C368" s="39" t="s">
        <v>79</v>
      </c>
      <c r="D368" s="39" t="s">
        <v>64</v>
      </c>
      <c r="E368" s="41">
        <v>3594.29</v>
      </c>
      <c r="F368" s="39">
        <v>5</v>
      </c>
      <c r="G368" s="39" t="s">
        <v>70</v>
      </c>
      <c r="H368" s="41">
        <v>4762.87</v>
      </c>
      <c r="I368" s="41">
        <v>5050.46</v>
      </c>
      <c r="J368" s="39" t="s">
        <v>143</v>
      </c>
      <c r="K368" s="42">
        <v>0.25</v>
      </c>
      <c r="L368" s="39" t="s">
        <v>68</v>
      </c>
      <c r="M368" s="39" t="s">
        <v>140</v>
      </c>
      <c r="N368" s="39" t="s">
        <v>148</v>
      </c>
      <c r="O368" s="43">
        <f t="shared" si="105"/>
        <v>25252.3</v>
      </c>
      <c r="P368" s="43">
        <f t="shared" si="106"/>
        <v>18939.23</v>
      </c>
      <c r="Q368" s="43">
        <f t="shared" si="107"/>
        <v>23814.35</v>
      </c>
      <c r="R368" s="43">
        <f t="shared" si="108"/>
        <v>-4875.119999999999</v>
      </c>
      <c r="S368" s="44">
        <f t="shared" si="109"/>
        <v>-0.25740856412853103</v>
      </c>
      <c r="T368" s="39" t="str">
        <f t="shared" si="110"/>
        <v>Loss</v>
      </c>
      <c r="U368" s="39" t="str">
        <f t="shared" si="111"/>
        <v>20%+</v>
      </c>
      <c r="V368" s="39" t="str">
        <f>IF(E368&gt;=Analysis!$B$4,"High",IF(E368&gt;=Analysis!$B$5,"Mid","Low"))</f>
        <v>Mid</v>
      </c>
      <c r="W368" s="39" t="str">
        <f t="shared" si="112"/>
        <v>2023-01</v>
      </c>
      <c r="X368" s="40">
        <f t="shared" si="113"/>
        <v>44957</v>
      </c>
      <c r="Y368" s="39" t="str">
        <f t="shared" si="114"/>
        <v>2023-Q1</v>
      </c>
      <c r="Z368" s="39" t="str">
        <f t="shared" si="115"/>
        <v>Wed</v>
      </c>
      <c r="AA368" s="39">
        <f t="shared" si="116"/>
        <v>3</v>
      </c>
      <c r="AB368" s="39">
        <f t="shared" si="117"/>
        <v>3</v>
      </c>
      <c r="AC368" s="39" t="str">
        <f t="shared" si="118"/>
        <v>Weekday</v>
      </c>
      <c r="AD368" s="39">
        <f t="shared" ca="1" si="119"/>
        <v>1382</v>
      </c>
      <c r="AE368" s="39">
        <f t="shared" ca="1" si="120"/>
        <v>45</v>
      </c>
      <c r="AF368" s="39" t="str">
        <f t="shared" si="121"/>
        <v>EVE</v>
      </c>
      <c r="AG368" s="39" t="str">
        <f t="shared" si="122"/>
        <v>NR-230111-0367</v>
      </c>
      <c r="AH368" s="39" t="str">
        <f>IF(AND(OR(Filter!$B$4="All",D368=Filter!$B$4),OR(Filter!$B$5="All",M368=Filter!$B$5),E368&gt;=Filter!$B$6),MAX(AH$1:AH367)+1,"")</f>
        <v/>
      </c>
      <c r="AI368" s="39">
        <f t="shared" si="123"/>
        <v>5</v>
      </c>
      <c r="AJ368" s="42">
        <f t="shared" si="124"/>
        <v>0.25</v>
      </c>
      <c r="AK368" s="41">
        <f t="shared" si="125"/>
        <v>5050.46</v>
      </c>
      <c r="AL368" s="39">
        <f>RANK(E368,$E$2:$E$1001,0)+COUNTIF($E$2:E368,E368)-1</f>
        <v>643</v>
      </c>
    </row>
    <row r="369" spans="1:38" x14ac:dyDescent="0.2">
      <c r="A369" s="39">
        <v>1092</v>
      </c>
      <c r="B369" s="40">
        <v>45160</v>
      </c>
      <c r="C369" s="39" t="s">
        <v>76</v>
      </c>
      <c r="D369" s="39" t="s">
        <v>59</v>
      </c>
      <c r="E369" s="41">
        <v>6250.8</v>
      </c>
      <c r="F369" s="39">
        <v>29</v>
      </c>
      <c r="G369" s="39" t="s">
        <v>60</v>
      </c>
      <c r="H369" s="41">
        <v>1742.24</v>
      </c>
      <c r="I369" s="41">
        <v>2070.52</v>
      </c>
      <c r="J369" s="39" t="s">
        <v>143</v>
      </c>
      <c r="K369" s="42">
        <v>0.12</v>
      </c>
      <c r="L369" s="39" t="s">
        <v>68</v>
      </c>
      <c r="M369" s="39" t="s">
        <v>138</v>
      </c>
      <c r="N369" s="39" t="s">
        <v>157</v>
      </c>
      <c r="O369" s="43">
        <f t="shared" si="105"/>
        <v>60045.08</v>
      </c>
      <c r="P369" s="43">
        <f t="shared" si="106"/>
        <v>52839.67</v>
      </c>
      <c r="Q369" s="43">
        <f t="shared" si="107"/>
        <v>50524.959999999999</v>
      </c>
      <c r="R369" s="43">
        <f t="shared" si="108"/>
        <v>2314.7099999999991</v>
      </c>
      <c r="S369" s="44">
        <f t="shared" si="109"/>
        <v>4.3806291750118791E-2</v>
      </c>
      <c r="T369" s="39" t="str">
        <f t="shared" si="110"/>
        <v>OK</v>
      </c>
      <c r="U369" s="39" t="str">
        <f t="shared" si="111"/>
        <v>10-19%</v>
      </c>
      <c r="V369" s="39" t="str">
        <f>IF(E369&gt;=Analysis!$B$4,"High",IF(E369&gt;=Analysis!$B$5,"Mid","Low"))</f>
        <v>Mid</v>
      </c>
      <c r="W369" s="39" t="str">
        <f t="shared" si="112"/>
        <v>2023-08</v>
      </c>
      <c r="X369" s="40">
        <f t="shared" si="113"/>
        <v>45169</v>
      </c>
      <c r="Y369" s="39" t="str">
        <f t="shared" si="114"/>
        <v>2023-Q3</v>
      </c>
      <c r="Z369" s="39" t="str">
        <f t="shared" si="115"/>
        <v>Tue</v>
      </c>
      <c r="AA369" s="39">
        <f t="shared" si="116"/>
        <v>2</v>
      </c>
      <c r="AB369" s="39">
        <f t="shared" si="117"/>
        <v>35</v>
      </c>
      <c r="AC369" s="39" t="str">
        <f t="shared" si="118"/>
        <v>Weekday</v>
      </c>
      <c r="AD369" s="39">
        <f t="shared" ca="1" si="119"/>
        <v>1159</v>
      </c>
      <c r="AE369" s="39">
        <f t="shared" ca="1" si="120"/>
        <v>38</v>
      </c>
      <c r="AF369" s="39" t="str">
        <f t="shared" si="121"/>
        <v>DAV</v>
      </c>
      <c r="AG369" s="39" t="str">
        <f t="shared" si="122"/>
        <v>EO-230822-0368</v>
      </c>
      <c r="AH369" s="39" t="str">
        <f>IF(AND(OR(Filter!$B$4="All",D369=Filter!$B$4),OR(Filter!$B$5="All",M369=Filter!$B$5),E369&gt;=Filter!$B$6),MAX(AH$1:AH368)+1,"")</f>
        <v/>
      </c>
      <c r="AI369" s="39">
        <f t="shared" si="123"/>
        <v>29</v>
      </c>
      <c r="AJ369" s="42">
        <f t="shared" si="124"/>
        <v>0.12</v>
      </c>
      <c r="AK369" s="41">
        <f t="shared" si="125"/>
        <v>2070.52</v>
      </c>
      <c r="AL369" s="39">
        <f>RANK(E369,$E$2:$E$1001,0)+COUNTIF($E$2:E369,E369)-1</f>
        <v>386</v>
      </c>
    </row>
    <row r="370" spans="1:38" x14ac:dyDescent="0.2">
      <c r="A370" s="39">
        <v>1030</v>
      </c>
      <c r="B370" s="40">
        <v>45121</v>
      </c>
      <c r="C370" s="39" t="s">
        <v>66</v>
      </c>
      <c r="D370" s="39" t="s">
        <v>59</v>
      </c>
      <c r="E370" s="41">
        <v>3407.09</v>
      </c>
      <c r="F370" s="39">
        <v>39</v>
      </c>
      <c r="G370" s="39" t="s">
        <v>60</v>
      </c>
      <c r="H370" s="41">
        <v>4929.7299999999996</v>
      </c>
      <c r="I370" s="41">
        <v>5088.0200000000004</v>
      </c>
      <c r="J370" s="39" t="s">
        <v>143</v>
      </c>
      <c r="K370" s="42">
        <v>0.23</v>
      </c>
      <c r="L370" s="39" t="s">
        <v>63</v>
      </c>
      <c r="M370" s="39" t="s">
        <v>140</v>
      </c>
      <c r="N370" s="39" t="s">
        <v>153</v>
      </c>
      <c r="O370" s="43">
        <f t="shared" si="105"/>
        <v>198432.78</v>
      </c>
      <c r="P370" s="43">
        <f t="shared" si="106"/>
        <v>152793.24</v>
      </c>
      <c r="Q370" s="43">
        <f t="shared" si="107"/>
        <v>192259.47</v>
      </c>
      <c r="R370" s="43">
        <f t="shared" si="108"/>
        <v>-39466.23000000001</v>
      </c>
      <c r="S370" s="44">
        <f t="shared" si="109"/>
        <v>-0.25829827288170609</v>
      </c>
      <c r="T370" s="39" t="str">
        <f t="shared" si="110"/>
        <v>Loss</v>
      </c>
      <c r="U370" s="39" t="str">
        <f t="shared" si="111"/>
        <v>20%+</v>
      </c>
      <c r="V370" s="39" t="str">
        <f>IF(E370&gt;=Analysis!$B$4,"High",IF(E370&gt;=Analysis!$B$5,"Mid","Low"))</f>
        <v>Mid</v>
      </c>
      <c r="W370" s="39" t="str">
        <f t="shared" si="112"/>
        <v>2023-07</v>
      </c>
      <c r="X370" s="40">
        <f t="shared" si="113"/>
        <v>45138</v>
      </c>
      <c r="Y370" s="39" t="str">
        <f t="shared" si="114"/>
        <v>2023-Q3</v>
      </c>
      <c r="Z370" s="39" t="str">
        <f t="shared" si="115"/>
        <v>Fri</v>
      </c>
      <c r="AA370" s="39">
        <f t="shared" si="116"/>
        <v>5</v>
      </c>
      <c r="AB370" s="39">
        <f t="shared" si="117"/>
        <v>29</v>
      </c>
      <c r="AC370" s="39" t="str">
        <f t="shared" si="118"/>
        <v>Weekday</v>
      </c>
      <c r="AD370" s="39">
        <f t="shared" ca="1" si="119"/>
        <v>1198</v>
      </c>
      <c r="AE370" s="39">
        <f t="shared" ca="1" si="120"/>
        <v>39</v>
      </c>
      <c r="AF370" s="39" t="str">
        <f t="shared" si="121"/>
        <v>BOB</v>
      </c>
      <c r="AG370" s="39" t="str">
        <f t="shared" si="122"/>
        <v>ER-230714-0369</v>
      </c>
      <c r="AH370" s="39" t="str">
        <f>IF(AND(OR(Filter!$B$4="All",D370=Filter!$B$4),OR(Filter!$B$5="All",M370=Filter!$B$5),E370&gt;=Filter!$B$6),MAX(AH$1:AH369)+1,"")</f>
        <v/>
      </c>
      <c r="AI370" s="39">
        <f t="shared" si="123"/>
        <v>39</v>
      </c>
      <c r="AJ370" s="42">
        <f t="shared" si="124"/>
        <v>0.23</v>
      </c>
      <c r="AK370" s="41">
        <f t="shared" si="125"/>
        <v>5088.0200000000004</v>
      </c>
      <c r="AL370" s="39">
        <f>RANK(E370,$E$2:$E$1001,0)+COUNTIF($E$2:E370,E370)-1</f>
        <v>656</v>
      </c>
    </row>
    <row r="371" spans="1:38" x14ac:dyDescent="0.2">
      <c r="A371" s="39">
        <v>1093</v>
      </c>
      <c r="B371" s="40">
        <v>45045</v>
      </c>
      <c r="C371" s="39" t="s">
        <v>61</v>
      </c>
      <c r="D371" s="39" t="s">
        <v>64</v>
      </c>
      <c r="E371" s="41">
        <v>7353.72</v>
      </c>
      <c r="F371" s="39">
        <v>34</v>
      </c>
      <c r="G371" s="39" t="s">
        <v>70</v>
      </c>
      <c r="H371" s="41">
        <v>4201.1099999999997</v>
      </c>
      <c r="I371" s="41">
        <v>4436.5</v>
      </c>
      <c r="J371" s="39" t="s">
        <v>143</v>
      </c>
      <c r="K371" s="42">
        <v>0.05</v>
      </c>
      <c r="L371" s="39" t="s">
        <v>68</v>
      </c>
      <c r="M371" s="39" t="s">
        <v>138</v>
      </c>
      <c r="N371" s="39" t="s">
        <v>156</v>
      </c>
      <c r="O371" s="43">
        <f t="shared" si="105"/>
        <v>150841</v>
      </c>
      <c r="P371" s="43">
        <f t="shared" si="106"/>
        <v>143298.95000000001</v>
      </c>
      <c r="Q371" s="43">
        <f t="shared" si="107"/>
        <v>142837.74</v>
      </c>
      <c r="R371" s="43">
        <f t="shared" si="108"/>
        <v>461.21000000002095</v>
      </c>
      <c r="S371" s="44">
        <f t="shared" si="109"/>
        <v>3.2185162557019499E-3</v>
      </c>
      <c r="T371" s="39" t="str">
        <f t="shared" si="110"/>
        <v>OK</v>
      </c>
      <c r="U371" s="39" t="str">
        <f t="shared" si="111"/>
        <v>0-9%</v>
      </c>
      <c r="V371" s="39" t="str">
        <f>IF(E371&gt;=Analysis!$B$4,"High",IF(E371&gt;=Analysis!$B$5,"Mid","Low"))</f>
        <v>Mid</v>
      </c>
      <c r="W371" s="39" t="str">
        <f t="shared" si="112"/>
        <v>2023-04</v>
      </c>
      <c r="X371" s="40">
        <f t="shared" si="113"/>
        <v>45046</v>
      </c>
      <c r="Y371" s="39" t="str">
        <f t="shared" si="114"/>
        <v>2023-Q2</v>
      </c>
      <c r="Z371" s="39" t="str">
        <f t="shared" si="115"/>
        <v>Sat</v>
      </c>
      <c r="AA371" s="39">
        <f t="shared" si="116"/>
        <v>6</v>
      </c>
      <c r="AB371" s="39">
        <f t="shared" si="117"/>
        <v>18</v>
      </c>
      <c r="AC371" s="39" t="str">
        <f t="shared" si="118"/>
        <v>Weekend</v>
      </c>
      <c r="AD371" s="39">
        <f t="shared" ca="1" si="119"/>
        <v>1274</v>
      </c>
      <c r="AE371" s="39">
        <f t="shared" ca="1" si="120"/>
        <v>41</v>
      </c>
      <c r="AF371" s="39" t="str">
        <f t="shared" si="121"/>
        <v>ALI</v>
      </c>
      <c r="AG371" s="39" t="str">
        <f t="shared" si="122"/>
        <v>NO-230429-0370</v>
      </c>
      <c r="AH371" s="39" t="str">
        <f>IF(AND(OR(Filter!$B$4="All",D371=Filter!$B$4),OR(Filter!$B$5="All",M371=Filter!$B$5),E371&gt;=Filter!$B$6),MAX(AH$1:AH370)+1,"")</f>
        <v/>
      </c>
      <c r="AI371" s="39">
        <f t="shared" si="123"/>
        <v>34</v>
      </c>
      <c r="AJ371" s="42">
        <f t="shared" si="124"/>
        <v>0.05</v>
      </c>
      <c r="AK371" s="41">
        <f t="shared" si="125"/>
        <v>4436.5</v>
      </c>
      <c r="AL371" s="39">
        <f>RANK(E371,$E$2:$E$1001,0)+COUNTIF($E$2:E371,E371)-1</f>
        <v>265</v>
      </c>
    </row>
    <row r="372" spans="1:38" x14ac:dyDescent="0.2">
      <c r="A372" s="39">
        <v>1046</v>
      </c>
      <c r="B372" s="40">
        <v>44946</v>
      </c>
      <c r="C372" s="39" t="s">
        <v>79</v>
      </c>
      <c r="D372" s="39" t="s">
        <v>59</v>
      </c>
      <c r="E372" s="41">
        <v>4104.82</v>
      </c>
      <c r="F372" s="39">
        <v>43</v>
      </c>
      <c r="G372" s="39" t="s">
        <v>60</v>
      </c>
      <c r="H372" s="41">
        <v>4052.42</v>
      </c>
      <c r="I372" s="41">
        <v>4199.3</v>
      </c>
      <c r="J372" s="39" t="s">
        <v>143</v>
      </c>
      <c r="K372" s="42">
        <v>0.1</v>
      </c>
      <c r="L372" s="39" t="s">
        <v>63</v>
      </c>
      <c r="M372" s="39" t="s">
        <v>140</v>
      </c>
      <c r="N372" s="39" t="s">
        <v>155</v>
      </c>
      <c r="O372" s="43">
        <f t="shared" si="105"/>
        <v>180569.9</v>
      </c>
      <c r="P372" s="43">
        <f t="shared" si="106"/>
        <v>162512.91</v>
      </c>
      <c r="Q372" s="43">
        <f t="shared" si="107"/>
        <v>174254.06</v>
      </c>
      <c r="R372" s="43">
        <f t="shared" si="108"/>
        <v>-11741.149999999994</v>
      </c>
      <c r="S372" s="44">
        <f t="shared" si="109"/>
        <v>-7.2247490983947019E-2</v>
      </c>
      <c r="T372" s="39" t="str">
        <f t="shared" si="110"/>
        <v>Loss</v>
      </c>
      <c r="U372" s="39" t="str">
        <f t="shared" si="111"/>
        <v>10-19%</v>
      </c>
      <c r="V372" s="39" t="str">
        <f>IF(E372&gt;=Analysis!$B$4,"High",IF(E372&gt;=Analysis!$B$5,"Mid","Low"))</f>
        <v>Mid</v>
      </c>
      <c r="W372" s="39" t="str">
        <f t="shared" si="112"/>
        <v>2023-01</v>
      </c>
      <c r="X372" s="40">
        <f t="shared" si="113"/>
        <v>44957</v>
      </c>
      <c r="Y372" s="39" t="str">
        <f t="shared" si="114"/>
        <v>2023-Q1</v>
      </c>
      <c r="Z372" s="39" t="str">
        <f t="shared" si="115"/>
        <v>Fri</v>
      </c>
      <c r="AA372" s="39">
        <f t="shared" si="116"/>
        <v>5</v>
      </c>
      <c r="AB372" s="39">
        <f t="shared" si="117"/>
        <v>4</v>
      </c>
      <c r="AC372" s="39" t="str">
        <f t="shared" si="118"/>
        <v>Weekday</v>
      </c>
      <c r="AD372" s="39">
        <f t="shared" ca="1" si="119"/>
        <v>1373</v>
      </c>
      <c r="AE372" s="39">
        <f t="shared" ca="1" si="120"/>
        <v>45</v>
      </c>
      <c r="AF372" s="39" t="str">
        <f t="shared" si="121"/>
        <v>EVE</v>
      </c>
      <c r="AG372" s="39" t="str">
        <f t="shared" si="122"/>
        <v>ER-230120-0371</v>
      </c>
      <c r="AH372" s="39" t="str">
        <f>IF(AND(OR(Filter!$B$4="All",D372=Filter!$B$4),OR(Filter!$B$5="All",M372=Filter!$B$5),E372&gt;=Filter!$B$6),MAX(AH$1:AH371)+1,"")</f>
        <v/>
      </c>
      <c r="AI372" s="39">
        <f t="shared" si="123"/>
        <v>43</v>
      </c>
      <c r="AJ372" s="42">
        <f t="shared" si="124"/>
        <v>0.1</v>
      </c>
      <c r="AK372" s="41">
        <f t="shared" si="125"/>
        <v>4199.3</v>
      </c>
      <c r="AL372" s="39">
        <f>RANK(E372,$E$2:$E$1001,0)+COUNTIF($E$2:E372,E372)-1</f>
        <v>587</v>
      </c>
    </row>
    <row r="373" spans="1:38" x14ac:dyDescent="0.2">
      <c r="A373" s="39">
        <v>1006</v>
      </c>
      <c r="B373" s="40">
        <v>45187</v>
      </c>
      <c r="C373" s="39" t="s">
        <v>76</v>
      </c>
      <c r="D373" s="39" t="s">
        <v>74</v>
      </c>
      <c r="E373" s="41">
        <v>776.7</v>
      </c>
      <c r="F373" s="39">
        <v>45</v>
      </c>
      <c r="G373" s="39" t="s">
        <v>75</v>
      </c>
      <c r="H373" s="41">
        <v>1623.63</v>
      </c>
      <c r="I373" s="41">
        <v>1814.63</v>
      </c>
      <c r="J373" s="39" t="s">
        <v>143</v>
      </c>
      <c r="K373" s="42">
        <v>0.28999999999999998</v>
      </c>
      <c r="L373" s="39" t="s">
        <v>63</v>
      </c>
      <c r="M373" s="39" t="s">
        <v>140</v>
      </c>
      <c r="N373" s="39" t="s">
        <v>154</v>
      </c>
      <c r="O373" s="43">
        <f t="shared" si="105"/>
        <v>81658.350000000006</v>
      </c>
      <c r="P373" s="43">
        <f t="shared" si="106"/>
        <v>57977.43</v>
      </c>
      <c r="Q373" s="43">
        <f t="shared" si="107"/>
        <v>73063.350000000006</v>
      </c>
      <c r="R373" s="43">
        <f t="shared" si="108"/>
        <v>-15085.920000000006</v>
      </c>
      <c r="S373" s="44">
        <f t="shared" si="109"/>
        <v>-0.26020332394864698</v>
      </c>
      <c r="T373" s="39" t="str">
        <f t="shared" si="110"/>
        <v>Loss</v>
      </c>
      <c r="U373" s="39" t="str">
        <f t="shared" si="111"/>
        <v>20%+</v>
      </c>
      <c r="V373" s="39" t="str">
        <f>IF(E373&gt;=Analysis!$B$4,"High",IF(E373&gt;=Analysis!$B$5,"Mid","Low"))</f>
        <v>Low</v>
      </c>
      <c r="W373" s="39" t="str">
        <f t="shared" si="112"/>
        <v>2023-09</v>
      </c>
      <c r="X373" s="40">
        <f t="shared" si="113"/>
        <v>45199</v>
      </c>
      <c r="Y373" s="39" t="str">
        <f t="shared" si="114"/>
        <v>2023-Q3</v>
      </c>
      <c r="Z373" s="39" t="str">
        <f t="shared" si="115"/>
        <v>Mon</v>
      </c>
      <c r="AA373" s="39">
        <f t="shared" si="116"/>
        <v>1</v>
      </c>
      <c r="AB373" s="39">
        <f t="shared" si="117"/>
        <v>39</v>
      </c>
      <c r="AC373" s="39" t="str">
        <f t="shared" si="118"/>
        <v>Weekday</v>
      </c>
      <c r="AD373" s="39">
        <f t="shared" ca="1" si="119"/>
        <v>1132</v>
      </c>
      <c r="AE373" s="39">
        <f t="shared" ca="1" si="120"/>
        <v>37</v>
      </c>
      <c r="AF373" s="39" t="str">
        <f t="shared" si="121"/>
        <v>DAV</v>
      </c>
      <c r="AG373" s="39" t="str">
        <f t="shared" si="122"/>
        <v>WR-230918-0372</v>
      </c>
      <c r="AH373" s="39" t="str">
        <f>IF(AND(OR(Filter!$B$4="All",D373=Filter!$B$4),OR(Filter!$B$5="All",M373=Filter!$B$5),E373&gt;=Filter!$B$6),MAX(AH$1:AH372)+1,"")</f>
        <v/>
      </c>
      <c r="AI373" s="39">
        <f t="shared" si="123"/>
        <v>45</v>
      </c>
      <c r="AJ373" s="42">
        <f t="shared" si="124"/>
        <v>0.28999999999999998</v>
      </c>
      <c r="AK373" s="41">
        <f t="shared" si="125"/>
        <v>1814.63</v>
      </c>
      <c r="AL373" s="39">
        <f>RANK(E373,$E$2:$E$1001,0)+COUNTIF($E$2:E373,E373)-1</f>
        <v>929</v>
      </c>
    </row>
    <row r="374" spans="1:38" x14ac:dyDescent="0.2">
      <c r="A374" s="39">
        <v>1099</v>
      </c>
      <c r="B374" s="40">
        <v>45219</v>
      </c>
      <c r="C374" s="39" t="s">
        <v>76</v>
      </c>
      <c r="D374" s="39" t="s">
        <v>69</v>
      </c>
      <c r="E374" s="41">
        <v>7859.22</v>
      </c>
      <c r="F374" s="39">
        <v>23</v>
      </c>
      <c r="G374" s="39" t="s">
        <v>60</v>
      </c>
      <c r="H374" s="41">
        <v>93.45</v>
      </c>
      <c r="I374" s="41">
        <v>181.62</v>
      </c>
      <c r="J374" s="39" t="s">
        <v>137</v>
      </c>
      <c r="K374" s="42">
        <v>0.3</v>
      </c>
      <c r="L374" s="39" t="s">
        <v>63</v>
      </c>
      <c r="M374" s="39" t="s">
        <v>140</v>
      </c>
      <c r="N374" s="39" t="s">
        <v>142</v>
      </c>
      <c r="O374" s="43">
        <f t="shared" si="105"/>
        <v>4177.26</v>
      </c>
      <c r="P374" s="43">
        <f t="shared" si="106"/>
        <v>2924.08</v>
      </c>
      <c r="Q374" s="43">
        <f t="shared" si="107"/>
        <v>2149.35</v>
      </c>
      <c r="R374" s="43">
        <f t="shared" si="108"/>
        <v>774.73</v>
      </c>
      <c r="S374" s="44">
        <f t="shared" si="109"/>
        <v>0.26494829142841508</v>
      </c>
      <c r="T374" s="39" t="str">
        <f t="shared" si="110"/>
        <v>OK</v>
      </c>
      <c r="U374" s="39" t="str">
        <f t="shared" si="111"/>
        <v>20%+</v>
      </c>
      <c r="V374" s="39" t="str">
        <f>IF(E374&gt;=Analysis!$B$4,"High",IF(E374&gt;=Analysis!$B$5,"Mid","Low"))</f>
        <v>High</v>
      </c>
      <c r="W374" s="39" t="str">
        <f t="shared" si="112"/>
        <v>2023-10</v>
      </c>
      <c r="X374" s="40">
        <f t="shared" si="113"/>
        <v>45230</v>
      </c>
      <c r="Y374" s="39" t="str">
        <f t="shared" si="114"/>
        <v>2023-Q4</v>
      </c>
      <c r="Z374" s="39" t="str">
        <f t="shared" si="115"/>
        <v>Fri</v>
      </c>
      <c r="AA374" s="39">
        <f t="shared" si="116"/>
        <v>5</v>
      </c>
      <c r="AB374" s="39">
        <f t="shared" si="117"/>
        <v>43</v>
      </c>
      <c r="AC374" s="39" t="str">
        <f t="shared" si="118"/>
        <v>Weekday</v>
      </c>
      <c r="AD374" s="39">
        <f t="shared" ca="1" si="119"/>
        <v>1100</v>
      </c>
      <c r="AE374" s="39">
        <f t="shared" ca="1" si="120"/>
        <v>36</v>
      </c>
      <c r="AF374" s="39" t="str">
        <f t="shared" si="121"/>
        <v>DAV</v>
      </c>
      <c r="AG374" s="39" t="str">
        <f t="shared" si="122"/>
        <v>SR-231020-0373</v>
      </c>
      <c r="AH374" s="39" t="str">
        <f>IF(AND(OR(Filter!$B$4="All",D374=Filter!$B$4),OR(Filter!$B$5="All",M374=Filter!$B$5),E374&gt;=Filter!$B$6),MAX(AH$1:AH373)+1,"")</f>
        <v/>
      </c>
      <c r="AI374" s="39">
        <f t="shared" si="123"/>
        <v>23</v>
      </c>
      <c r="AJ374" s="42">
        <f t="shared" si="124"/>
        <v>0.3</v>
      </c>
      <c r="AK374" s="41">
        <f t="shared" si="125"/>
        <v>181.62</v>
      </c>
      <c r="AL374" s="39">
        <f>RANK(E374,$E$2:$E$1001,0)+COUNTIF($E$2:E374,E374)-1</f>
        <v>209</v>
      </c>
    </row>
    <row r="375" spans="1:38" x14ac:dyDescent="0.2">
      <c r="A375" s="39">
        <v>1037</v>
      </c>
      <c r="B375" s="40">
        <v>45182</v>
      </c>
      <c r="C375" s="39" t="s">
        <v>66</v>
      </c>
      <c r="D375" s="39" t="s">
        <v>69</v>
      </c>
      <c r="E375" s="41">
        <v>2929.01</v>
      </c>
      <c r="F375" s="39">
        <v>5</v>
      </c>
      <c r="G375" s="39" t="s">
        <v>75</v>
      </c>
      <c r="H375" s="41">
        <v>1941.56</v>
      </c>
      <c r="I375" s="41">
        <v>2385.48</v>
      </c>
      <c r="J375" s="39" t="s">
        <v>137</v>
      </c>
      <c r="K375" s="42">
        <v>0.15</v>
      </c>
      <c r="L375" s="39" t="s">
        <v>73</v>
      </c>
      <c r="M375" s="39" t="s">
        <v>138</v>
      </c>
      <c r="N375" s="39" t="s">
        <v>144</v>
      </c>
      <c r="O375" s="43">
        <f t="shared" si="105"/>
        <v>11927.4</v>
      </c>
      <c r="P375" s="43">
        <f t="shared" si="106"/>
        <v>10138.290000000001</v>
      </c>
      <c r="Q375" s="43">
        <f t="shared" si="107"/>
        <v>9707.7999999999993</v>
      </c>
      <c r="R375" s="43">
        <f t="shared" si="108"/>
        <v>430.4900000000016</v>
      </c>
      <c r="S375" s="44">
        <f t="shared" si="109"/>
        <v>4.246179582552892E-2</v>
      </c>
      <c r="T375" s="39" t="str">
        <f t="shared" si="110"/>
        <v>OK</v>
      </c>
      <c r="U375" s="39" t="str">
        <f t="shared" si="111"/>
        <v>10-19%</v>
      </c>
      <c r="V375" s="39" t="str">
        <f>IF(E375&gt;=Analysis!$B$4,"High",IF(E375&gt;=Analysis!$B$5,"Mid","Low"))</f>
        <v>Mid</v>
      </c>
      <c r="W375" s="39" t="str">
        <f t="shared" si="112"/>
        <v>2023-09</v>
      </c>
      <c r="X375" s="40">
        <f t="shared" si="113"/>
        <v>45199</v>
      </c>
      <c r="Y375" s="39" t="str">
        <f t="shared" si="114"/>
        <v>2023-Q3</v>
      </c>
      <c r="Z375" s="39" t="str">
        <f t="shared" si="115"/>
        <v>Wed</v>
      </c>
      <c r="AA375" s="39">
        <f t="shared" si="116"/>
        <v>3</v>
      </c>
      <c r="AB375" s="39">
        <f t="shared" si="117"/>
        <v>38</v>
      </c>
      <c r="AC375" s="39" t="str">
        <f t="shared" si="118"/>
        <v>Weekday</v>
      </c>
      <c r="AD375" s="39">
        <f t="shared" ca="1" si="119"/>
        <v>1137</v>
      </c>
      <c r="AE375" s="39">
        <f t="shared" ca="1" si="120"/>
        <v>37</v>
      </c>
      <c r="AF375" s="39" t="str">
        <f t="shared" si="121"/>
        <v>BOB</v>
      </c>
      <c r="AG375" s="39" t="str">
        <f t="shared" si="122"/>
        <v>SO-230913-0374</v>
      </c>
      <c r="AH375" s="39" t="str">
        <f>IF(AND(OR(Filter!$B$4="All",D375=Filter!$B$4),OR(Filter!$B$5="All",M375=Filter!$B$5),E375&gt;=Filter!$B$6),MAX(AH$1:AH374)+1,"")</f>
        <v/>
      </c>
      <c r="AI375" s="39">
        <f t="shared" si="123"/>
        <v>5</v>
      </c>
      <c r="AJ375" s="42">
        <f t="shared" si="124"/>
        <v>0.15</v>
      </c>
      <c r="AK375" s="41">
        <f t="shared" si="125"/>
        <v>2385.48</v>
      </c>
      <c r="AL375" s="39">
        <f>RANK(E375,$E$2:$E$1001,0)+COUNTIF($E$2:E375,E375)-1</f>
        <v>704</v>
      </c>
    </row>
    <row r="376" spans="1:38" x14ac:dyDescent="0.2">
      <c r="A376" s="39">
        <v>1024</v>
      </c>
      <c r="B376" s="40">
        <v>45148</v>
      </c>
      <c r="C376" s="39" t="s">
        <v>79</v>
      </c>
      <c r="D376" s="39" t="s">
        <v>69</v>
      </c>
      <c r="E376" s="41">
        <v>4384.3900000000003</v>
      </c>
      <c r="F376" s="39">
        <v>30</v>
      </c>
      <c r="G376" s="39" t="s">
        <v>70</v>
      </c>
      <c r="H376" s="41">
        <v>1543.96</v>
      </c>
      <c r="I376" s="41">
        <v>1558.87</v>
      </c>
      <c r="J376" s="39" t="s">
        <v>137</v>
      </c>
      <c r="K376" s="42">
        <v>0.28000000000000003</v>
      </c>
      <c r="L376" s="39" t="s">
        <v>73</v>
      </c>
      <c r="M376" s="39" t="s">
        <v>138</v>
      </c>
      <c r="N376" s="39" t="s">
        <v>147</v>
      </c>
      <c r="O376" s="43">
        <f t="shared" si="105"/>
        <v>46766.1</v>
      </c>
      <c r="P376" s="43">
        <f t="shared" si="106"/>
        <v>33671.589999999997</v>
      </c>
      <c r="Q376" s="43">
        <f t="shared" si="107"/>
        <v>46318.8</v>
      </c>
      <c r="R376" s="43">
        <f t="shared" si="108"/>
        <v>-12647.210000000006</v>
      </c>
      <c r="S376" s="44">
        <f t="shared" si="109"/>
        <v>-0.37560477542046594</v>
      </c>
      <c r="T376" s="39" t="str">
        <f t="shared" si="110"/>
        <v>Loss</v>
      </c>
      <c r="U376" s="39" t="str">
        <f t="shared" si="111"/>
        <v>20%+</v>
      </c>
      <c r="V376" s="39" t="str">
        <f>IF(E376&gt;=Analysis!$B$4,"High",IF(E376&gt;=Analysis!$B$5,"Mid","Low"))</f>
        <v>Mid</v>
      </c>
      <c r="W376" s="39" t="str">
        <f t="shared" si="112"/>
        <v>2023-08</v>
      </c>
      <c r="X376" s="40">
        <f t="shared" si="113"/>
        <v>45169</v>
      </c>
      <c r="Y376" s="39" t="str">
        <f t="shared" si="114"/>
        <v>2023-Q3</v>
      </c>
      <c r="Z376" s="39" t="str">
        <f t="shared" si="115"/>
        <v>Thu</v>
      </c>
      <c r="AA376" s="39">
        <f t="shared" si="116"/>
        <v>4</v>
      </c>
      <c r="AB376" s="39">
        <f t="shared" si="117"/>
        <v>33</v>
      </c>
      <c r="AC376" s="39" t="str">
        <f t="shared" si="118"/>
        <v>Weekday</v>
      </c>
      <c r="AD376" s="39">
        <f t="shared" ca="1" si="119"/>
        <v>1171</v>
      </c>
      <c r="AE376" s="39">
        <f t="shared" ca="1" si="120"/>
        <v>38</v>
      </c>
      <c r="AF376" s="39" t="str">
        <f t="shared" si="121"/>
        <v>EVE</v>
      </c>
      <c r="AG376" s="39" t="str">
        <f t="shared" si="122"/>
        <v>SO-230810-0375</v>
      </c>
      <c r="AH376" s="39" t="str">
        <f>IF(AND(OR(Filter!$B$4="All",D376=Filter!$B$4),OR(Filter!$B$5="All",M376=Filter!$B$5),E376&gt;=Filter!$B$6),MAX(AH$1:AH375)+1,"")</f>
        <v/>
      </c>
      <c r="AI376" s="39">
        <f t="shared" si="123"/>
        <v>30</v>
      </c>
      <c r="AJ376" s="42">
        <f t="shared" si="124"/>
        <v>0.28000000000000003</v>
      </c>
      <c r="AK376" s="41">
        <f t="shared" si="125"/>
        <v>1558.87</v>
      </c>
      <c r="AL376" s="39">
        <f>RANK(E376,$E$2:$E$1001,0)+COUNTIF($E$2:E376,E376)-1</f>
        <v>561</v>
      </c>
    </row>
    <row r="377" spans="1:38" x14ac:dyDescent="0.2">
      <c r="A377" s="39">
        <v>1093</v>
      </c>
      <c r="B377" s="40">
        <v>45152</v>
      </c>
      <c r="C377" s="39" t="s">
        <v>76</v>
      </c>
      <c r="D377" s="39" t="s">
        <v>74</v>
      </c>
      <c r="E377" s="41">
        <v>6885.89</v>
      </c>
      <c r="F377" s="39">
        <v>6</v>
      </c>
      <c r="G377" s="39" t="s">
        <v>70</v>
      </c>
      <c r="H377" s="41">
        <v>235.12</v>
      </c>
      <c r="I377" s="41">
        <v>677.5</v>
      </c>
      <c r="J377" s="39" t="s">
        <v>137</v>
      </c>
      <c r="K377" s="42">
        <v>0.16</v>
      </c>
      <c r="L377" s="39" t="s">
        <v>73</v>
      </c>
      <c r="M377" s="39" t="s">
        <v>138</v>
      </c>
      <c r="N377" s="39" t="s">
        <v>154</v>
      </c>
      <c r="O377" s="43">
        <f t="shared" si="105"/>
        <v>4065</v>
      </c>
      <c r="P377" s="43">
        <f t="shared" si="106"/>
        <v>3414.6</v>
      </c>
      <c r="Q377" s="43">
        <f t="shared" si="107"/>
        <v>1410.72</v>
      </c>
      <c r="R377" s="43">
        <f t="shared" si="108"/>
        <v>2003.8799999999999</v>
      </c>
      <c r="S377" s="44">
        <f t="shared" si="109"/>
        <v>0.58685643999297132</v>
      </c>
      <c r="T377" s="39" t="str">
        <f t="shared" si="110"/>
        <v>OK</v>
      </c>
      <c r="U377" s="39" t="str">
        <f t="shared" si="111"/>
        <v>10-19%</v>
      </c>
      <c r="V377" s="39" t="str">
        <f>IF(E377&gt;=Analysis!$B$4,"High",IF(E377&gt;=Analysis!$B$5,"Mid","Low"))</f>
        <v>Mid</v>
      </c>
      <c r="W377" s="39" t="str">
        <f t="shared" si="112"/>
        <v>2023-08</v>
      </c>
      <c r="X377" s="40">
        <f t="shared" si="113"/>
        <v>45169</v>
      </c>
      <c r="Y377" s="39" t="str">
        <f t="shared" si="114"/>
        <v>2023-Q3</v>
      </c>
      <c r="Z377" s="39" t="str">
        <f t="shared" si="115"/>
        <v>Mon</v>
      </c>
      <c r="AA377" s="39">
        <f t="shared" si="116"/>
        <v>1</v>
      </c>
      <c r="AB377" s="39">
        <f t="shared" si="117"/>
        <v>34</v>
      </c>
      <c r="AC377" s="39" t="str">
        <f t="shared" si="118"/>
        <v>Weekday</v>
      </c>
      <c r="AD377" s="39">
        <f t="shared" ca="1" si="119"/>
        <v>1167</v>
      </c>
      <c r="AE377" s="39">
        <f t="shared" ca="1" si="120"/>
        <v>38</v>
      </c>
      <c r="AF377" s="39" t="str">
        <f t="shared" si="121"/>
        <v>DAV</v>
      </c>
      <c r="AG377" s="39" t="str">
        <f t="shared" si="122"/>
        <v>WO-230814-0376</v>
      </c>
      <c r="AH377" s="39" t="str">
        <f>IF(AND(OR(Filter!$B$4="All",D377=Filter!$B$4),OR(Filter!$B$5="All",M377=Filter!$B$5),E377&gt;=Filter!$B$6),MAX(AH$1:AH376)+1,"")</f>
        <v/>
      </c>
      <c r="AI377" s="39">
        <f t="shared" si="123"/>
        <v>6</v>
      </c>
      <c r="AJ377" s="42">
        <f t="shared" si="124"/>
        <v>0.16</v>
      </c>
      <c r="AK377" s="41">
        <f t="shared" si="125"/>
        <v>677.5</v>
      </c>
      <c r="AL377" s="39">
        <f>RANK(E377,$E$2:$E$1001,0)+COUNTIF($E$2:E377,E377)-1</f>
        <v>313</v>
      </c>
    </row>
    <row r="378" spans="1:38" x14ac:dyDescent="0.2">
      <c r="A378" s="39">
        <v>1046</v>
      </c>
      <c r="B378" s="40">
        <v>44979</v>
      </c>
      <c r="C378" s="39" t="s">
        <v>61</v>
      </c>
      <c r="D378" s="39" t="s">
        <v>69</v>
      </c>
      <c r="E378" s="41">
        <v>3391.32</v>
      </c>
      <c r="F378" s="39">
        <v>46</v>
      </c>
      <c r="G378" s="39" t="s">
        <v>60</v>
      </c>
      <c r="H378" s="41">
        <v>2551.56</v>
      </c>
      <c r="I378" s="41">
        <v>2841.68</v>
      </c>
      <c r="J378" s="39" t="s">
        <v>143</v>
      </c>
      <c r="K378" s="42">
        <v>0.09</v>
      </c>
      <c r="L378" s="39" t="s">
        <v>63</v>
      </c>
      <c r="M378" s="39" t="s">
        <v>140</v>
      </c>
      <c r="N378" s="39" t="s">
        <v>150</v>
      </c>
      <c r="O378" s="43">
        <f t="shared" si="105"/>
        <v>130717.28</v>
      </c>
      <c r="P378" s="43">
        <f t="shared" si="106"/>
        <v>118952.72</v>
      </c>
      <c r="Q378" s="43">
        <f t="shared" si="107"/>
        <v>117371.76</v>
      </c>
      <c r="R378" s="43">
        <f t="shared" si="108"/>
        <v>1580.9600000000064</v>
      </c>
      <c r="S378" s="44">
        <f t="shared" si="109"/>
        <v>1.3290658675144262E-2</v>
      </c>
      <c r="T378" s="39" t="str">
        <f t="shared" si="110"/>
        <v>OK</v>
      </c>
      <c r="U378" s="39" t="str">
        <f t="shared" si="111"/>
        <v>0-9%</v>
      </c>
      <c r="V378" s="39" t="str">
        <f>IF(E378&gt;=Analysis!$B$4,"High",IF(E378&gt;=Analysis!$B$5,"Mid","Low"))</f>
        <v>Mid</v>
      </c>
      <c r="W378" s="39" t="str">
        <f t="shared" si="112"/>
        <v>2023-02</v>
      </c>
      <c r="X378" s="40">
        <f t="shared" si="113"/>
        <v>44985</v>
      </c>
      <c r="Y378" s="39" t="str">
        <f t="shared" si="114"/>
        <v>2023-Q1</v>
      </c>
      <c r="Z378" s="39" t="str">
        <f t="shared" si="115"/>
        <v>Wed</v>
      </c>
      <c r="AA378" s="39">
        <f t="shared" si="116"/>
        <v>3</v>
      </c>
      <c r="AB378" s="39">
        <f t="shared" si="117"/>
        <v>9</v>
      </c>
      <c r="AC378" s="39" t="str">
        <f t="shared" si="118"/>
        <v>Weekday</v>
      </c>
      <c r="AD378" s="39">
        <f t="shared" ca="1" si="119"/>
        <v>1340</v>
      </c>
      <c r="AE378" s="39">
        <f t="shared" ca="1" si="120"/>
        <v>44</v>
      </c>
      <c r="AF378" s="39" t="str">
        <f t="shared" si="121"/>
        <v>ALI</v>
      </c>
      <c r="AG378" s="39" t="str">
        <f t="shared" si="122"/>
        <v>SR-230222-0377</v>
      </c>
      <c r="AH378" s="39" t="str">
        <f>IF(AND(OR(Filter!$B$4="All",D378=Filter!$B$4),OR(Filter!$B$5="All",M378=Filter!$B$5),E378&gt;=Filter!$B$6),MAX(AH$1:AH377)+1,"")</f>
        <v/>
      </c>
      <c r="AI378" s="39">
        <f t="shared" si="123"/>
        <v>46</v>
      </c>
      <c r="AJ378" s="42">
        <f t="shared" si="124"/>
        <v>0.09</v>
      </c>
      <c r="AK378" s="41">
        <f t="shared" si="125"/>
        <v>2841.68</v>
      </c>
      <c r="AL378" s="39">
        <f>RANK(E378,$E$2:$E$1001,0)+COUNTIF($E$2:E378,E378)-1</f>
        <v>658</v>
      </c>
    </row>
    <row r="379" spans="1:38" x14ac:dyDescent="0.2">
      <c r="A379" s="39">
        <v>1053</v>
      </c>
      <c r="B379" s="40">
        <v>45281</v>
      </c>
      <c r="C379" s="39" t="s">
        <v>66</v>
      </c>
      <c r="D379" s="39" t="s">
        <v>64</v>
      </c>
      <c r="E379" s="41">
        <v>660.2</v>
      </c>
      <c r="F379" s="39">
        <v>44</v>
      </c>
      <c r="G379" s="39" t="s">
        <v>75</v>
      </c>
      <c r="H379" s="41">
        <v>2045</v>
      </c>
      <c r="I379" s="41">
        <v>2217.5100000000002</v>
      </c>
      <c r="J379" s="39" t="s">
        <v>137</v>
      </c>
      <c r="K379" s="42">
        <v>0.08</v>
      </c>
      <c r="L379" s="39" t="s">
        <v>73</v>
      </c>
      <c r="M379" s="39" t="s">
        <v>138</v>
      </c>
      <c r="N379" s="39" t="s">
        <v>139</v>
      </c>
      <c r="O379" s="43">
        <f t="shared" si="105"/>
        <v>97570.44</v>
      </c>
      <c r="P379" s="43">
        <f t="shared" si="106"/>
        <v>89764.800000000003</v>
      </c>
      <c r="Q379" s="43">
        <f t="shared" si="107"/>
        <v>89980</v>
      </c>
      <c r="R379" s="43">
        <f t="shared" si="108"/>
        <v>-215.19999999999709</v>
      </c>
      <c r="S379" s="44">
        <f t="shared" si="109"/>
        <v>-2.397376254389216E-3</v>
      </c>
      <c r="T379" s="39" t="str">
        <f t="shared" si="110"/>
        <v>Loss</v>
      </c>
      <c r="U379" s="39" t="str">
        <f t="shared" si="111"/>
        <v>0-9%</v>
      </c>
      <c r="V379" s="39" t="str">
        <f>IF(E379&gt;=Analysis!$B$4,"High",IF(E379&gt;=Analysis!$B$5,"Mid","Low"))</f>
        <v>Low</v>
      </c>
      <c r="W379" s="39" t="str">
        <f t="shared" si="112"/>
        <v>2023-12</v>
      </c>
      <c r="X379" s="40">
        <f t="shared" si="113"/>
        <v>45291</v>
      </c>
      <c r="Y379" s="39" t="str">
        <f t="shared" si="114"/>
        <v>2023-Q4</v>
      </c>
      <c r="Z379" s="39" t="str">
        <f t="shared" si="115"/>
        <v>Thu</v>
      </c>
      <c r="AA379" s="39">
        <f t="shared" si="116"/>
        <v>4</v>
      </c>
      <c r="AB379" s="39">
        <f t="shared" si="117"/>
        <v>52</v>
      </c>
      <c r="AC379" s="39" t="str">
        <f t="shared" si="118"/>
        <v>Weekday</v>
      </c>
      <c r="AD379" s="39">
        <f t="shared" ca="1" si="119"/>
        <v>1038</v>
      </c>
      <c r="AE379" s="39">
        <f t="shared" ca="1" si="120"/>
        <v>34</v>
      </c>
      <c r="AF379" s="39" t="str">
        <f t="shared" si="121"/>
        <v>BOB</v>
      </c>
      <c r="AG379" s="39" t="str">
        <f t="shared" si="122"/>
        <v>NO-231221-0378</v>
      </c>
      <c r="AH379" s="39" t="str">
        <f>IF(AND(OR(Filter!$B$4="All",D379=Filter!$B$4),OR(Filter!$B$5="All",M379=Filter!$B$5),E379&gt;=Filter!$B$6),MAX(AH$1:AH378)+1,"")</f>
        <v/>
      </c>
      <c r="AI379" s="39">
        <f t="shared" si="123"/>
        <v>44</v>
      </c>
      <c r="AJ379" s="42">
        <f t="shared" si="124"/>
        <v>0.08</v>
      </c>
      <c r="AK379" s="41">
        <f t="shared" si="125"/>
        <v>2217.5100000000002</v>
      </c>
      <c r="AL379" s="39">
        <f>RANK(E379,$E$2:$E$1001,0)+COUNTIF($E$2:E379,E379)-1</f>
        <v>946</v>
      </c>
    </row>
    <row r="380" spans="1:38" x14ac:dyDescent="0.2">
      <c r="A380" s="39">
        <v>1095</v>
      </c>
      <c r="B380" s="40">
        <v>45268</v>
      </c>
      <c r="C380" s="39" t="s">
        <v>79</v>
      </c>
      <c r="D380" s="39" t="s">
        <v>59</v>
      </c>
      <c r="E380" s="41">
        <v>3801.82</v>
      </c>
      <c r="F380" s="39">
        <v>4</v>
      </c>
      <c r="G380" s="39" t="s">
        <v>60</v>
      </c>
      <c r="H380" s="41">
        <v>3191.05</v>
      </c>
      <c r="I380" s="41">
        <v>3555.35</v>
      </c>
      <c r="J380" s="39" t="s">
        <v>143</v>
      </c>
      <c r="K380" s="42">
        <v>0.28000000000000003</v>
      </c>
      <c r="L380" s="39" t="s">
        <v>73</v>
      </c>
      <c r="M380" s="39" t="s">
        <v>138</v>
      </c>
      <c r="N380" s="39" t="s">
        <v>155</v>
      </c>
      <c r="O380" s="43">
        <f t="shared" si="105"/>
        <v>14221.4</v>
      </c>
      <c r="P380" s="43">
        <f t="shared" si="106"/>
        <v>10239.41</v>
      </c>
      <c r="Q380" s="43">
        <f t="shared" si="107"/>
        <v>12764.2</v>
      </c>
      <c r="R380" s="43">
        <f t="shared" si="108"/>
        <v>-2524.7900000000009</v>
      </c>
      <c r="S380" s="44">
        <f t="shared" si="109"/>
        <v>-0.24657573043759365</v>
      </c>
      <c r="T380" s="39" t="str">
        <f t="shared" si="110"/>
        <v>Loss</v>
      </c>
      <c r="U380" s="39" t="str">
        <f t="shared" si="111"/>
        <v>20%+</v>
      </c>
      <c r="V380" s="39" t="str">
        <f>IF(E380&gt;=Analysis!$B$4,"High",IF(E380&gt;=Analysis!$B$5,"Mid","Low"))</f>
        <v>Mid</v>
      </c>
      <c r="W380" s="39" t="str">
        <f t="shared" si="112"/>
        <v>2023-12</v>
      </c>
      <c r="X380" s="40">
        <f t="shared" si="113"/>
        <v>45291</v>
      </c>
      <c r="Y380" s="39" t="str">
        <f t="shared" si="114"/>
        <v>2023-Q4</v>
      </c>
      <c r="Z380" s="39" t="str">
        <f t="shared" si="115"/>
        <v>Fri</v>
      </c>
      <c r="AA380" s="39">
        <f t="shared" si="116"/>
        <v>5</v>
      </c>
      <c r="AB380" s="39">
        <f t="shared" si="117"/>
        <v>50</v>
      </c>
      <c r="AC380" s="39" t="str">
        <f t="shared" si="118"/>
        <v>Weekday</v>
      </c>
      <c r="AD380" s="39">
        <f t="shared" ca="1" si="119"/>
        <v>1051</v>
      </c>
      <c r="AE380" s="39">
        <f t="shared" ca="1" si="120"/>
        <v>34</v>
      </c>
      <c r="AF380" s="39" t="str">
        <f t="shared" si="121"/>
        <v>EVE</v>
      </c>
      <c r="AG380" s="39" t="str">
        <f t="shared" si="122"/>
        <v>EO-231208-0379</v>
      </c>
      <c r="AH380" s="39" t="str">
        <f>IF(AND(OR(Filter!$B$4="All",D380=Filter!$B$4),OR(Filter!$B$5="All",M380=Filter!$B$5),E380&gt;=Filter!$B$6),MAX(AH$1:AH379)+1,"")</f>
        <v/>
      </c>
      <c r="AI380" s="39">
        <f t="shared" si="123"/>
        <v>4</v>
      </c>
      <c r="AJ380" s="42">
        <f t="shared" si="124"/>
        <v>0.28000000000000003</v>
      </c>
      <c r="AK380" s="41">
        <f t="shared" si="125"/>
        <v>3555.35</v>
      </c>
      <c r="AL380" s="39">
        <f>RANK(E380,$E$2:$E$1001,0)+COUNTIF($E$2:E380,E380)-1</f>
        <v>613</v>
      </c>
    </row>
    <row r="381" spans="1:38" x14ac:dyDescent="0.2">
      <c r="A381" s="39">
        <v>1099</v>
      </c>
      <c r="B381" s="40">
        <v>45290</v>
      </c>
      <c r="C381" s="39" t="s">
        <v>66</v>
      </c>
      <c r="D381" s="39" t="s">
        <v>74</v>
      </c>
      <c r="E381" s="41">
        <v>9450.0400000000009</v>
      </c>
      <c r="F381" s="39">
        <v>29</v>
      </c>
      <c r="G381" s="39" t="s">
        <v>65</v>
      </c>
      <c r="H381" s="41">
        <v>3124.87</v>
      </c>
      <c r="I381" s="41">
        <v>3383.67</v>
      </c>
      <c r="J381" s="39" t="s">
        <v>143</v>
      </c>
      <c r="K381" s="42">
        <v>0.05</v>
      </c>
      <c r="L381" s="39" t="s">
        <v>73</v>
      </c>
      <c r="M381" s="39" t="s">
        <v>140</v>
      </c>
      <c r="N381" s="39" t="s">
        <v>141</v>
      </c>
      <c r="O381" s="43">
        <f t="shared" si="105"/>
        <v>98126.43</v>
      </c>
      <c r="P381" s="43">
        <f t="shared" si="106"/>
        <v>93220.11</v>
      </c>
      <c r="Q381" s="43">
        <f t="shared" si="107"/>
        <v>90621.23</v>
      </c>
      <c r="R381" s="43">
        <f t="shared" si="108"/>
        <v>2598.8800000000047</v>
      </c>
      <c r="S381" s="44">
        <f t="shared" si="109"/>
        <v>2.7878963026325594E-2</v>
      </c>
      <c r="T381" s="39" t="str">
        <f t="shared" si="110"/>
        <v>OK</v>
      </c>
      <c r="U381" s="39" t="str">
        <f t="shared" si="111"/>
        <v>0-9%</v>
      </c>
      <c r="V381" s="39" t="str">
        <f>IF(E381&gt;=Analysis!$B$4,"High",IF(E381&gt;=Analysis!$B$5,"Mid","Low"))</f>
        <v>High</v>
      </c>
      <c r="W381" s="39" t="str">
        <f t="shared" si="112"/>
        <v>2023-12</v>
      </c>
      <c r="X381" s="40">
        <f t="shared" si="113"/>
        <v>45291</v>
      </c>
      <c r="Y381" s="39" t="str">
        <f t="shared" si="114"/>
        <v>2023-Q4</v>
      </c>
      <c r="Z381" s="39" t="str">
        <f t="shared" si="115"/>
        <v>Sat</v>
      </c>
      <c r="AA381" s="39">
        <f t="shared" si="116"/>
        <v>6</v>
      </c>
      <c r="AB381" s="39">
        <f t="shared" si="117"/>
        <v>53</v>
      </c>
      <c r="AC381" s="39" t="str">
        <f t="shared" si="118"/>
        <v>Weekend</v>
      </c>
      <c r="AD381" s="39">
        <f t="shared" ca="1" si="119"/>
        <v>1029</v>
      </c>
      <c r="AE381" s="39">
        <f t="shared" ca="1" si="120"/>
        <v>33</v>
      </c>
      <c r="AF381" s="39" t="str">
        <f t="shared" si="121"/>
        <v>BOB</v>
      </c>
      <c r="AG381" s="39" t="str">
        <f t="shared" si="122"/>
        <v>WR-231230-0380</v>
      </c>
      <c r="AH381" s="39">
        <f>IF(AND(OR(Filter!$B$4="All",D381=Filter!$B$4),OR(Filter!$B$5="All",M381=Filter!$B$5),E381&gt;=Filter!$B$6),MAX(AH$1:AH380)+1,"")</f>
        <v>41</v>
      </c>
      <c r="AI381" s="39">
        <f t="shared" si="123"/>
        <v>29</v>
      </c>
      <c r="AJ381" s="42">
        <f t="shared" si="124"/>
        <v>0.05</v>
      </c>
      <c r="AK381" s="41">
        <f t="shared" si="125"/>
        <v>3383.67</v>
      </c>
      <c r="AL381" s="39">
        <f>RANK(E381,$E$2:$E$1001,0)+COUNTIF($E$2:E381,E381)-1</f>
        <v>57</v>
      </c>
    </row>
    <row r="382" spans="1:38" x14ac:dyDescent="0.2">
      <c r="A382" s="39">
        <v>1060</v>
      </c>
      <c r="B382" s="40">
        <v>45206</v>
      </c>
      <c r="C382" s="39" t="s">
        <v>61</v>
      </c>
      <c r="D382" s="39" t="s">
        <v>69</v>
      </c>
      <c r="E382" s="41">
        <v>6453.17</v>
      </c>
      <c r="F382" s="39">
        <v>23</v>
      </c>
      <c r="G382" s="39" t="s">
        <v>65</v>
      </c>
      <c r="H382" s="41">
        <v>647.70000000000005</v>
      </c>
      <c r="I382" s="41">
        <v>902.26</v>
      </c>
      <c r="J382" s="39" t="s">
        <v>143</v>
      </c>
      <c r="K382" s="42">
        <v>0.17</v>
      </c>
      <c r="L382" s="39" t="s">
        <v>63</v>
      </c>
      <c r="M382" s="39" t="s">
        <v>138</v>
      </c>
      <c r="N382" s="39" t="s">
        <v>150</v>
      </c>
      <c r="O382" s="43">
        <f t="shared" si="105"/>
        <v>20751.98</v>
      </c>
      <c r="P382" s="43">
        <f t="shared" si="106"/>
        <v>17224.14</v>
      </c>
      <c r="Q382" s="43">
        <f t="shared" si="107"/>
        <v>14897.1</v>
      </c>
      <c r="R382" s="43">
        <f t="shared" si="108"/>
        <v>2327.0399999999991</v>
      </c>
      <c r="S382" s="44">
        <f t="shared" si="109"/>
        <v>0.13510340719478586</v>
      </c>
      <c r="T382" s="39" t="str">
        <f t="shared" si="110"/>
        <v>OK</v>
      </c>
      <c r="U382" s="39" t="str">
        <f t="shared" si="111"/>
        <v>10-19%</v>
      </c>
      <c r="V382" s="39" t="str">
        <f>IF(E382&gt;=Analysis!$B$4,"High",IF(E382&gt;=Analysis!$B$5,"Mid","Low"))</f>
        <v>Mid</v>
      </c>
      <c r="W382" s="39" t="str">
        <f t="shared" si="112"/>
        <v>2023-10</v>
      </c>
      <c r="X382" s="40">
        <f t="shared" si="113"/>
        <v>45230</v>
      </c>
      <c r="Y382" s="39" t="str">
        <f t="shared" si="114"/>
        <v>2023-Q4</v>
      </c>
      <c r="Z382" s="39" t="str">
        <f t="shared" si="115"/>
        <v>Sat</v>
      </c>
      <c r="AA382" s="39">
        <f t="shared" si="116"/>
        <v>6</v>
      </c>
      <c r="AB382" s="39">
        <f t="shared" si="117"/>
        <v>41</v>
      </c>
      <c r="AC382" s="39" t="str">
        <f t="shared" si="118"/>
        <v>Weekend</v>
      </c>
      <c r="AD382" s="39">
        <f t="shared" ca="1" si="119"/>
        <v>1113</v>
      </c>
      <c r="AE382" s="39">
        <f t="shared" ca="1" si="120"/>
        <v>36</v>
      </c>
      <c r="AF382" s="39" t="str">
        <f t="shared" si="121"/>
        <v>ALI</v>
      </c>
      <c r="AG382" s="39" t="str">
        <f t="shared" si="122"/>
        <v>SO-231007-0381</v>
      </c>
      <c r="AH382" s="39" t="str">
        <f>IF(AND(OR(Filter!$B$4="All",D382=Filter!$B$4),OR(Filter!$B$5="All",M382=Filter!$B$5),E382&gt;=Filter!$B$6),MAX(AH$1:AH381)+1,"")</f>
        <v/>
      </c>
      <c r="AI382" s="39">
        <f t="shared" si="123"/>
        <v>23</v>
      </c>
      <c r="AJ382" s="42">
        <f t="shared" si="124"/>
        <v>0.17</v>
      </c>
      <c r="AK382" s="41">
        <f t="shared" si="125"/>
        <v>902.26</v>
      </c>
      <c r="AL382" s="39">
        <f>RANK(E382,$E$2:$E$1001,0)+COUNTIF($E$2:E382,E382)-1</f>
        <v>364</v>
      </c>
    </row>
    <row r="383" spans="1:38" x14ac:dyDescent="0.2">
      <c r="A383" s="39">
        <v>1097</v>
      </c>
      <c r="B383" s="40">
        <v>45007</v>
      </c>
      <c r="C383" s="39" t="s">
        <v>79</v>
      </c>
      <c r="D383" s="39" t="s">
        <v>64</v>
      </c>
      <c r="E383" s="41">
        <v>6747.64</v>
      </c>
      <c r="F383" s="39">
        <v>6</v>
      </c>
      <c r="G383" s="39" t="s">
        <v>65</v>
      </c>
      <c r="H383" s="41">
        <v>4885.9799999999996</v>
      </c>
      <c r="I383" s="41">
        <v>4949.95</v>
      </c>
      <c r="J383" s="39" t="s">
        <v>137</v>
      </c>
      <c r="K383" s="42">
        <v>0.17</v>
      </c>
      <c r="L383" s="39" t="s">
        <v>63</v>
      </c>
      <c r="M383" s="39" t="s">
        <v>138</v>
      </c>
      <c r="N383" s="39" t="s">
        <v>148</v>
      </c>
      <c r="O383" s="43">
        <f t="shared" si="105"/>
        <v>29699.7</v>
      </c>
      <c r="P383" s="43">
        <f t="shared" si="106"/>
        <v>24650.75</v>
      </c>
      <c r="Q383" s="43">
        <f t="shared" si="107"/>
        <v>29315.88</v>
      </c>
      <c r="R383" s="43">
        <f t="shared" si="108"/>
        <v>-4665.130000000001</v>
      </c>
      <c r="S383" s="44">
        <f t="shared" si="109"/>
        <v>-0.18924900865085245</v>
      </c>
      <c r="T383" s="39" t="str">
        <f t="shared" si="110"/>
        <v>Loss</v>
      </c>
      <c r="U383" s="39" t="str">
        <f t="shared" si="111"/>
        <v>10-19%</v>
      </c>
      <c r="V383" s="39" t="str">
        <f>IF(E383&gt;=Analysis!$B$4,"High",IF(E383&gt;=Analysis!$B$5,"Mid","Low"))</f>
        <v>Mid</v>
      </c>
      <c r="W383" s="39" t="str">
        <f t="shared" si="112"/>
        <v>2023-03</v>
      </c>
      <c r="X383" s="40">
        <f t="shared" si="113"/>
        <v>45016</v>
      </c>
      <c r="Y383" s="39" t="str">
        <f t="shared" si="114"/>
        <v>2023-Q1</v>
      </c>
      <c r="Z383" s="39" t="str">
        <f t="shared" si="115"/>
        <v>Wed</v>
      </c>
      <c r="AA383" s="39">
        <f t="shared" si="116"/>
        <v>3</v>
      </c>
      <c r="AB383" s="39">
        <f t="shared" si="117"/>
        <v>13</v>
      </c>
      <c r="AC383" s="39" t="str">
        <f t="shared" si="118"/>
        <v>Weekday</v>
      </c>
      <c r="AD383" s="39">
        <f t="shared" ca="1" si="119"/>
        <v>1312</v>
      </c>
      <c r="AE383" s="39">
        <f t="shared" ca="1" si="120"/>
        <v>43</v>
      </c>
      <c r="AF383" s="39" t="str">
        <f t="shared" si="121"/>
        <v>EVE</v>
      </c>
      <c r="AG383" s="39" t="str">
        <f t="shared" si="122"/>
        <v>NO-230322-0382</v>
      </c>
      <c r="AH383" s="39" t="str">
        <f>IF(AND(OR(Filter!$B$4="All",D383=Filter!$B$4),OR(Filter!$B$5="All",M383=Filter!$B$5),E383&gt;=Filter!$B$6),MAX(AH$1:AH382)+1,"")</f>
        <v/>
      </c>
      <c r="AI383" s="39">
        <f t="shared" si="123"/>
        <v>6</v>
      </c>
      <c r="AJ383" s="42">
        <f t="shared" si="124"/>
        <v>0.17</v>
      </c>
      <c r="AK383" s="41">
        <f t="shared" si="125"/>
        <v>4949.95</v>
      </c>
      <c r="AL383" s="39">
        <f>RANK(E383,$E$2:$E$1001,0)+COUNTIF($E$2:E383,E383)-1</f>
        <v>331</v>
      </c>
    </row>
    <row r="384" spans="1:38" x14ac:dyDescent="0.2">
      <c r="A384" s="39">
        <v>1063</v>
      </c>
      <c r="B384" s="40">
        <v>45128</v>
      </c>
      <c r="C384" s="39" t="s">
        <v>66</v>
      </c>
      <c r="D384" s="39" t="s">
        <v>59</v>
      </c>
      <c r="E384" s="41">
        <v>6359.59</v>
      </c>
      <c r="F384" s="39">
        <v>32</v>
      </c>
      <c r="G384" s="39" t="s">
        <v>65</v>
      </c>
      <c r="H384" s="41">
        <v>975.31</v>
      </c>
      <c r="I384" s="41">
        <v>1176.17</v>
      </c>
      <c r="J384" s="39" t="s">
        <v>143</v>
      </c>
      <c r="K384" s="42">
        <v>0.22</v>
      </c>
      <c r="L384" s="39" t="s">
        <v>63</v>
      </c>
      <c r="M384" s="39" t="s">
        <v>140</v>
      </c>
      <c r="N384" s="39" t="s">
        <v>153</v>
      </c>
      <c r="O384" s="43">
        <f t="shared" si="105"/>
        <v>37637.440000000002</v>
      </c>
      <c r="P384" s="43">
        <f t="shared" si="106"/>
        <v>29357.200000000001</v>
      </c>
      <c r="Q384" s="43">
        <f t="shared" si="107"/>
        <v>31209.919999999998</v>
      </c>
      <c r="R384" s="43">
        <f t="shared" si="108"/>
        <v>-1852.7199999999975</v>
      </c>
      <c r="S384" s="44">
        <f t="shared" si="109"/>
        <v>-6.3109560857302377E-2</v>
      </c>
      <c r="T384" s="39" t="str">
        <f t="shared" si="110"/>
        <v>Loss</v>
      </c>
      <c r="U384" s="39" t="str">
        <f t="shared" si="111"/>
        <v>20%+</v>
      </c>
      <c r="V384" s="39" t="str">
        <f>IF(E384&gt;=Analysis!$B$4,"High",IF(E384&gt;=Analysis!$B$5,"Mid","Low"))</f>
        <v>Mid</v>
      </c>
      <c r="W384" s="39" t="str">
        <f t="shared" si="112"/>
        <v>2023-07</v>
      </c>
      <c r="X384" s="40">
        <f t="shared" si="113"/>
        <v>45138</v>
      </c>
      <c r="Y384" s="39" t="str">
        <f t="shared" si="114"/>
        <v>2023-Q3</v>
      </c>
      <c r="Z384" s="39" t="str">
        <f t="shared" si="115"/>
        <v>Fri</v>
      </c>
      <c r="AA384" s="39">
        <f t="shared" si="116"/>
        <v>5</v>
      </c>
      <c r="AB384" s="39">
        <f t="shared" si="117"/>
        <v>30</v>
      </c>
      <c r="AC384" s="39" t="str">
        <f t="shared" si="118"/>
        <v>Weekday</v>
      </c>
      <c r="AD384" s="39">
        <f t="shared" ca="1" si="119"/>
        <v>1191</v>
      </c>
      <c r="AE384" s="39">
        <f t="shared" ca="1" si="120"/>
        <v>39</v>
      </c>
      <c r="AF384" s="39" t="str">
        <f t="shared" si="121"/>
        <v>BOB</v>
      </c>
      <c r="AG384" s="39" t="str">
        <f t="shared" si="122"/>
        <v>ER-230721-0383</v>
      </c>
      <c r="AH384" s="39" t="str">
        <f>IF(AND(OR(Filter!$B$4="All",D384=Filter!$B$4),OR(Filter!$B$5="All",M384=Filter!$B$5),E384&gt;=Filter!$B$6),MAX(AH$1:AH383)+1,"")</f>
        <v/>
      </c>
      <c r="AI384" s="39">
        <f t="shared" si="123"/>
        <v>32</v>
      </c>
      <c r="AJ384" s="42">
        <f t="shared" si="124"/>
        <v>0.22</v>
      </c>
      <c r="AK384" s="41">
        <f t="shared" si="125"/>
        <v>1176.17</v>
      </c>
      <c r="AL384" s="39">
        <f>RANK(E384,$E$2:$E$1001,0)+COUNTIF($E$2:E384,E384)-1</f>
        <v>372</v>
      </c>
    </row>
    <row r="385" spans="1:38" x14ac:dyDescent="0.2">
      <c r="A385" s="39">
        <v>1085</v>
      </c>
      <c r="B385" s="40">
        <v>45084</v>
      </c>
      <c r="C385" s="39" t="s">
        <v>71</v>
      </c>
      <c r="D385" s="39" t="s">
        <v>59</v>
      </c>
      <c r="E385" s="41">
        <v>2070.02</v>
      </c>
      <c r="F385" s="39">
        <v>42</v>
      </c>
      <c r="G385" s="39" t="s">
        <v>60</v>
      </c>
      <c r="H385" s="41">
        <v>2254.11</v>
      </c>
      <c r="I385" s="41">
        <v>2382.23</v>
      </c>
      <c r="J385" s="39" t="s">
        <v>137</v>
      </c>
      <c r="K385" s="42">
        <v>0.15</v>
      </c>
      <c r="L385" s="39" t="s">
        <v>73</v>
      </c>
      <c r="M385" s="39" t="s">
        <v>140</v>
      </c>
      <c r="N385" s="39" t="s">
        <v>145</v>
      </c>
      <c r="O385" s="43">
        <f t="shared" si="105"/>
        <v>100053.66</v>
      </c>
      <c r="P385" s="43">
        <f t="shared" si="106"/>
        <v>85045.61</v>
      </c>
      <c r="Q385" s="43">
        <f t="shared" si="107"/>
        <v>94672.62</v>
      </c>
      <c r="R385" s="43">
        <f t="shared" si="108"/>
        <v>-9627.0099999999948</v>
      </c>
      <c r="S385" s="44">
        <f t="shared" si="109"/>
        <v>-0.11319820035390415</v>
      </c>
      <c r="T385" s="39" t="str">
        <f t="shared" si="110"/>
        <v>Loss</v>
      </c>
      <c r="U385" s="39" t="str">
        <f t="shared" si="111"/>
        <v>10-19%</v>
      </c>
      <c r="V385" s="39" t="str">
        <f>IF(E385&gt;=Analysis!$B$4,"High",IF(E385&gt;=Analysis!$B$5,"Mid","Low"))</f>
        <v>Low</v>
      </c>
      <c r="W385" s="39" t="str">
        <f t="shared" si="112"/>
        <v>2023-06</v>
      </c>
      <c r="X385" s="40">
        <f t="shared" si="113"/>
        <v>45107</v>
      </c>
      <c r="Y385" s="39" t="str">
        <f t="shared" si="114"/>
        <v>2023-Q2</v>
      </c>
      <c r="Z385" s="39" t="str">
        <f t="shared" si="115"/>
        <v>Wed</v>
      </c>
      <c r="AA385" s="39">
        <f t="shared" si="116"/>
        <v>3</v>
      </c>
      <c r="AB385" s="39">
        <f t="shared" si="117"/>
        <v>24</v>
      </c>
      <c r="AC385" s="39" t="str">
        <f t="shared" si="118"/>
        <v>Weekday</v>
      </c>
      <c r="AD385" s="39">
        <f t="shared" ca="1" si="119"/>
        <v>1235</v>
      </c>
      <c r="AE385" s="39">
        <f t="shared" ca="1" si="120"/>
        <v>40</v>
      </c>
      <c r="AF385" s="39" t="str">
        <f t="shared" si="121"/>
        <v>CHA</v>
      </c>
      <c r="AG385" s="39" t="str">
        <f t="shared" si="122"/>
        <v>ER-230607-0384</v>
      </c>
      <c r="AH385" s="39" t="str">
        <f>IF(AND(OR(Filter!$B$4="All",D385=Filter!$B$4),OR(Filter!$B$5="All",M385=Filter!$B$5),E385&gt;=Filter!$B$6),MAX(AH$1:AH384)+1,"")</f>
        <v/>
      </c>
      <c r="AI385" s="39">
        <f t="shared" si="123"/>
        <v>42</v>
      </c>
      <c r="AJ385" s="42">
        <f t="shared" si="124"/>
        <v>0.15</v>
      </c>
      <c r="AK385" s="41">
        <f t="shared" si="125"/>
        <v>2382.23</v>
      </c>
      <c r="AL385" s="39">
        <f>RANK(E385,$E$2:$E$1001,0)+COUNTIF($E$2:E385,E385)-1</f>
        <v>809</v>
      </c>
    </row>
    <row r="386" spans="1:38" x14ac:dyDescent="0.2">
      <c r="A386" s="39">
        <v>1032</v>
      </c>
      <c r="B386" s="40">
        <v>45046</v>
      </c>
      <c r="C386" s="39" t="s">
        <v>61</v>
      </c>
      <c r="D386" s="39" t="s">
        <v>74</v>
      </c>
      <c r="E386" s="41">
        <v>4241.51</v>
      </c>
      <c r="F386" s="39">
        <v>18</v>
      </c>
      <c r="G386" s="39" t="s">
        <v>65</v>
      </c>
      <c r="H386" s="41">
        <v>2466.1799999999998</v>
      </c>
      <c r="I386" s="41">
        <v>2483.87</v>
      </c>
      <c r="J386" s="39" t="s">
        <v>137</v>
      </c>
      <c r="K386" s="42">
        <v>0.08</v>
      </c>
      <c r="L386" s="39" t="s">
        <v>68</v>
      </c>
      <c r="M386" s="39" t="s">
        <v>138</v>
      </c>
      <c r="N386" s="39" t="s">
        <v>158</v>
      </c>
      <c r="O386" s="43">
        <f t="shared" ref="O386:O449" si="126">ROUND(F386*I386,2)</f>
        <v>44709.66</v>
      </c>
      <c r="P386" s="43">
        <f t="shared" ref="P386:P449" si="127">ROUND(F386*I386*(1-K386),2)</f>
        <v>41132.89</v>
      </c>
      <c r="Q386" s="43">
        <f t="shared" ref="Q386:Q449" si="128">ROUND(F386*H386,2)</f>
        <v>44391.24</v>
      </c>
      <c r="R386" s="43">
        <f t="shared" ref="R386:R449" si="129">P386-Q386</f>
        <v>-3258.3499999999985</v>
      </c>
      <c r="S386" s="44">
        <f t="shared" ref="S386:S449" si="130">IF(P386=0,0,R386/P386)</f>
        <v>-7.9215197376114307E-2</v>
      </c>
      <c r="T386" s="39" t="str">
        <f t="shared" ref="T386:T449" si="131">IF(R386&lt;0,"Loss","OK")</f>
        <v>Loss</v>
      </c>
      <c r="U386" s="39" t="str">
        <f t="shared" ref="U386:U449" si="132">IF(K386&lt;0.1,"0-9%",IF(K386&lt;0.2,"10-19%","20%+"))</f>
        <v>0-9%</v>
      </c>
      <c r="V386" s="39" t="str">
        <f>IF(E386&gt;=Analysis!$B$4,"High",IF(E386&gt;=Analysis!$B$5,"Mid","Low"))</f>
        <v>Mid</v>
      </c>
      <c r="W386" s="39" t="str">
        <f t="shared" ref="W386:W449" si="133">TEXT(B386,"yyyy-mm")</f>
        <v>2023-04</v>
      </c>
      <c r="X386" s="40">
        <f t="shared" ref="X386:X449" si="134">EOMONTH(B386,0)</f>
        <v>45046</v>
      </c>
      <c r="Y386" s="39" t="str">
        <f t="shared" ref="Y386:Y449" si="135">YEAR(B386)&amp;"-Q"&amp;ROUNDUP(MONTH(B386)/3,0)</f>
        <v>2023-Q2</v>
      </c>
      <c r="Z386" s="39" t="str">
        <f t="shared" ref="Z386:Z449" si="136">TEXT(B386,"ddd")</f>
        <v>Sun</v>
      </c>
      <c r="AA386" s="39">
        <f t="shared" ref="AA386:AA449" si="137">WEEKDAY(B386,2)</f>
        <v>7</v>
      </c>
      <c r="AB386" s="39">
        <f t="shared" ref="AB386:AB449" si="138">WEEKNUM(B386,2)</f>
        <v>18</v>
      </c>
      <c r="AC386" s="39" t="str">
        <f t="shared" ref="AC386:AC449" si="139">IF(AA386&gt;5,"Weekend","Weekday")</f>
        <v>Weekend</v>
      </c>
      <c r="AD386" s="39">
        <f t="shared" ref="AD386:AD449" ca="1" si="140">TODAY()-B386</f>
        <v>1273</v>
      </c>
      <c r="AE386" s="39">
        <f t="shared" ref="AE386:AE449" ca="1" si="141">DATEDIF(B386,TODAY(),"M")</f>
        <v>41</v>
      </c>
      <c r="AF386" s="39" t="str">
        <f t="shared" ref="AF386:AF449" si="142">UPPER(LEFT(C386,3))</f>
        <v>ALI</v>
      </c>
      <c r="AG386" s="39" t="str">
        <f t="shared" ref="AG386:AG449" si="143">UPPER(LEFT(D386,1))&amp;UPPER(LEFT(M386,1))&amp;"-"&amp;TEXT(B386,"yymmdd")&amp;"-"&amp;TEXT(ROW()-1,"0000")</f>
        <v>WO-230430-0385</v>
      </c>
      <c r="AH386" s="39" t="str">
        <f>IF(AND(OR(Filter!$B$4="All",D386=Filter!$B$4),OR(Filter!$B$5="All",M386=Filter!$B$5),E386&gt;=Filter!$B$6),MAX(AH$1:AH385)+1,"")</f>
        <v/>
      </c>
      <c r="AI386" s="39">
        <f t="shared" ref="AI386:AI449" si="144">F386</f>
        <v>18</v>
      </c>
      <c r="AJ386" s="42">
        <f t="shared" ref="AJ386:AJ449" si="145">K386</f>
        <v>0.08</v>
      </c>
      <c r="AK386" s="41">
        <f t="shared" ref="AK386:AK449" si="146">I386</f>
        <v>2483.87</v>
      </c>
      <c r="AL386" s="39">
        <f>RANK(E386,$E$2:$E$1001,0)+COUNTIF($E$2:E386,E386)-1</f>
        <v>576</v>
      </c>
    </row>
    <row r="387" spans="1:38" x14ac:dyDescent="0.2">
      <c r="A387" s="39">
        <v>1087</v>
      </c>
      <c r="B387" s="40">
        <v>44985</v>
      </c>
      <c r="C387" s="39" t="s">
        <v>61</v>
      </c>
      <c r="D387" s="39" t="s">
        <v>74</v>
      </c>
      <c r="E387" s="41">
        <v>7534.3</v>
      </c>
      <c r="F387" s="39">
        <v>15</v>
      </c>
      <c r="G387" s="39" t="s">
        <v>75</v>
      </c>
      <c r="H387" s="41">
        <v>4074.66</v>
      </c>
      <c r="I387" s="41">
        <v>4261.1099999999997</v>
      </c>
      <c r="J387" s="39" t="s">
        <v>137</v>
      </c>
      <c r="K387" s="42">
        <v>0.05</v>
      </c>
      <c r="L387" s="39" t="s">
        <v>73</v>
      </c>
      <c r="M387" s="39" t="s">
        <v>140</v>
      </c>
      <c r="N387" s="39" t="s">
        <v>158</v>
      </c>
      <c r="O387" s="43">
        <f t="shared" si="126"/>
        <v>63916.65</v>
      </c>
      <c r="P387" s="43">
        <f t="shared" si="127"/>
        <v>60720.82</v>
      </c>
      <c r="Q387" s="43">
        <f t="shared" si="128"/>
        <v>61119.9</v>
      </c>
      <c r="R387" s="43">
        <f t="shared" si="129"/>
        <v>-399.08000000000175</v>
      </c>
      <c r="S387" s="44">
        <f t="shared" si="130"/>
        <v>-6.5723750107459311E-3</v>
      </c>
      <c r="T387" s="39" t="str">
        <f t="shared" si="131"/>
        <v>Loss</v>
      </c>
      <c r="U387" s="39" t="str">
        <f t="shared" si="132"/>
        <v>0-9%</v>
      </c>
      <c r="V387" s="39" t="str">
        <f>IF(E387&gt;=Analysis!$B$4,"High",IF(E387&gt;=Analysis!$B$5,"Mid","Low"))</f>
        <v>High</v>
      </c>
      <c r="W387" s="39" t="str">
        <f t="shared" si="133"/>
        <v>2023-02</v>
      </c>
      <c r="X387" s="40">
        <f t="shared" si="134"/>
        <v>44985</v>
      </c>
      <c r="Y387" s="39" t="str">
        <f t="shared" si="135"/>
        <v>2023-Q1</v>
      </c>
      <c r="Z387" s="39" t="str">
        <f t="shared" si="136"/>
        <v>Tue</v>
      </c>
      <c r="AA387" s="39">
        <f t="shared" si="137"/>
        <v>2</v>
      </c>
      <c r="AB387" s="39">
        <f t="shared" si="138"/>
        <v>10</v>
      </c>
      <c r="AC387" s="39" t="str">
        <f t="shared" si="139"/>
        <v>Weekday</v>
      </c>
      <c r="AD387" s="39">
        <f t="shared" ca="1" si="140"/>
        <v>1334</v>
      </c>
      <c r="AE387" s="39">
        <f t="shared" ca="1" si="141"/>
        <v>43</v>
      </c>
      <c r="AF387" s="39" t="str">
        <f t="shared" si="142"/>
        <v>ALI</v>
      </c>
      <c r="AG387" s="39" t="str">
        <f t="shared" si="143"/>
        <v>WR-230228-0386</v>
      </c>
      <c r="AH387" s="39" t="str">
        <f>IF(AND(OR(Filter!$B$4="All",D387=Filter!$B$4),OR(Filter!$B$5="All",M387=Filter!$B$5),E387&gt;=Filter!$B$6),MAX(AH$1:AH386)+1,"")</f>
        <v/>
      </c>
      <c r="AI387" s="39">
        <f t="shared" si="144"/>
        <v>15</v>
      </c>
      <c r="AJ387" s="42">
        <f t="shared" si="145"/>
        <v>0.05</v>
      </c>
      <c r="AK387" s="41">
        <f t="shared" si="146"/>
        <v>4261.1099999999997</v>
      </c>
      <c r="AL387" s="39">
        <f>RANK(E387,$E$2:$E$1001,0)+COUNTIF($E$2:E387,E387)-1</f>
        <v>246</v>
      </c>
    </row>
    <row r="388" spans="1:38" x14ac:dyDescent="0.2">
      <c r="A388" s="39">
        <v>1033</v>
      </c>
      <c r="B388" s="40">
        <v>45141</v>
      </c>
      <c r="C388" s="39" t="s">
        <v>61</v>
      </c>
      <c r="D388" s="39" t="s">
        <v>74</v>
      </c>
      <c r="E388" s="41">
        <v>1103.5899999999999</v>
      </c>
      <c r="F388" s="39">
        <v>40</v>
      </c>
      <c r="G388" s="39" t="s">
        <v>70</v>
      </c>
      <c r="H388" s="41">
        <v>541.19000000000005</v>
      </c>
      <c r="I388" s="41">
        <v>595.20000000000005</v>
      </c>
      <c r="J388" s="39" t="s">
        <v>137</v>
      </c>
      <c r="K388" s="42">
        <v>0.19</v>
      </c>
      <c r="L388" s="39" t="s">
        <v>73</v>
      </c>
      <c r="M388" s="39" t="s">
        <v>138</v>
      </c>
      <c r="N388" s="39" t="s">
        <v>158</v>
      </c>
      <c r="O388" s="43">
        <f t="shared" si="126"/>
        <v>23808</v>
      </c>
      <c r="P388" s="43">
        <f t="shared" si="127"/>
        <v>19284.48</v>
      </c>
      <c r="Q388" s="43">
        <f t="shared" si="128"/>
        <v>21647.599999999999</v>
      </c>
      <c r="R388" s="43">
        <f t="shared" si="129"/>
        <v>-2363.119999999999</v>
      </c>
      <c r="S388" s="44">
        <f t="shared" si="130"/>
        <v>-0.12253999070755338</v>
      </c>
      <c r="T388" s="39" t="str">
        <f t="shared" si="131"/>
        <v>Loss</v>
      </c>
      <c r="U388" s="39" t="str">
        <f t="shared" si="132"/>
        <v>10-19%</v>
      </c>
      <c r="V388" s="39" t="str">
        <f>IF(E388&gt;=Analysis!$B$4,"High",IF(E388&gt;=Analysis!$B$5,"Mid","Low"))</f>
        <v>Low</v>
      </c>
      <c r="W388" s="39" t="str">
        <f t="shared" si="133"/>
        <v>2023-08</v>
      </c>
      <c r="X388" s="40">
        <f t="shared" si="134"/>
        <v>45169</v>
      </c>
      <c r="Y388" s="39" t="str">
        <f t="shared" si="135"/>
        <v>2023-Q3</v>
      </c>
      <c r="Z388" s="39" t="str">
        <f t="shared" si="136"/>
        <v>Thu</v>
      </c>
      <c r="AA388" s="39">
        <f t="shared" si="137"/>
        <v>4</v>
      </c>
      <c r="AB388" s="39">
        <f t="shared" si="138"/>
        <v>32</v>
      </c>
      <c r="AC388" s="39" t="str">
        <f t="shared" si="139"/>
        <v>Weekday</v>
      </c>
      <c r="AD388" s="39">
        <f t="shared" ca="1" si="140"/>
        <v>1178</v>
      </c>
      <c r="AE388" s="39">
        <f t="shared" ca="1" si="141"/>
        <v>38</v>
      </c>
      <c r="AF388" s="39" t="str">
        <f t="shared" si="142"/>
        <v>ALI</v>
      </c>
      <c r="AG388" s="39" t="str">
        <f t="shared" si="143"/>
        <v>WO-230803-0387</v>
      </c>
      <c r="AH388" s="39" t="str">
        <f>IF(AND(OR(Filter!$B$4="All",D388=Filter!$B$4),OR(Filter!$B$5="All",M388=Filter!$B$5),E388&gt;=Filter!$B$6),MAX(AH$1:AH387)+1,"")</f>
        <v/>
      </c>
      <c r="AI388" s="39">
        <f t="shared" si="144"/>
        <v>40</v>
      </c>
      <c r="AJ388" s="42">
        <f t="shared" si="145"/>
        <v>0.19</v>
      </c>
      <c r="AK388" s="41">
        <f t="shared" si="146"/>
        <v>595.20000000000005</v>
      </c>
      <c r="AL388" s="39">
        <f>RANK(E388,$E$2:$E$1001,0)+COUNTIF($E$2:E388,E388)-1</f>
        <v>897</v>
      </c>
    </row>
    <row r="389" spans="1:38" x14ac:dyDescent="0.2">
      <c r="A389" s="39">
        <v>1067</v>
      </c>
      <c r="B389" s="40">
        <v>45054</v>
      </c>
      <c r="C389" s="39" t="s">
        <v>71</v>
      </c>
      <c r="D389" s="39" t="s">
        <v>64</v>
      </c>
      <c r="E389" s="41">
        <v>2850.74</v>
      </c>
      <c r="F389" s="39">
        <v>32</v>
      </c>
      <c r="G389" s="39" t="s">
        <v>70</v>
      </c>
      <c r="H389" s="41">
        <v>2171.79</v>
      </c>
      <c r="I389" s="41">
        <v>2307.64</v>
      </c>
      <c r="J389" s="39" t="s">
        <v>137</v>
      </c>
      <c r="K389" s="42">
        <v>0.22</v>
      </c>
      <c r="L389" s="39" t="s">
        <v>63</v>
      </c>
      <c r="M389" s="39" t="s">
        <v>138</v>
      </c>
      <c r="N389" s="39" t="s">
        <v>160</v>
      </c>
      <c r="O389" s="43">
        <f t="shared" si="126"/>
        <v>73844.479999999996</v>
      </c>
      <c r="P389" s="43">
        <f t="shared" si="127"/>
        <v>57598.69</v>
      </c>
      <c r="Q389" s="43">
        <f t="shared" si="128"/>
        <v>69497.279999999999</v>
      </c>
      <c r="R389" s="43">
        <f t="shared" si="129"/>
        <v>-11898.589999999997</v>
      </c>
      <c r="S389" s="44">
        <f t="shared" si="130"/>
        <v>-0.20657744125777855</v>
      </c>
      <c r="T389" s="39" t="str">
        <f t="shared" si="131"/>
        <v>Loss</v>
      </c>
      <c r="U389" s="39" t="str">
        <f t="shared" si="132"/>
        <v>20%+</v>
      </c>
      <c r="V389" s="39" t="str">
        <f>IF(E389&gt;=Analysis!$B$4,"High",IF(E389&gt;=Analysis!$B$5,"Mid","Low"))</f>
        <v>Mid</v>
      </c>
      <c r="W389" s="39" t="str">
        <f t="shared" si="133"/>
        <v>2023-05</v>
      </c>
      <c r="X389" s="40">
        <f t="shared" si="134"/>
        <v>45077</v>
      </c>
      <c r="Y389" s="39" t="str">
        <f t="shared" si="135"/>
        <v>2023-Q2</v>
      </c>
      <c r="Z389" s="39" t="str">
        <f t="shared" si="136"/>
        <v>Mon</v>
      </c>
      <c r="AA389" s="39">
        <f t="shared" si="137"/>
        <v>1</v>
      </c>
      <c r="AB389" s="39">
        <f t="shared" si="138"/>
        <v>20</v>
      </c>
      <c r="AC389" s="39" t="str">
        <f t="shared" si="139"/>
        <v>Weekday</v>
      </c>
      <c r="AD389" s="39">
        <f t="shared" ca="1" si="140"/>
        <v>1265</v>
      </c>
      <c r="AE389" s="39">
        <f t="shared" ca="1" si="141"/>
        <v>41</v>
      </c>
      <c r="AF389" s="39" t="str">
        <f t="shared" si="142"/>
        <v>CHA</v>
      </c>
      <c r="AG389" s="39" t="str">
        <f t="shared" si="143"/>
        <v>NO-230508-0388</v>
      </c>
      <c r="AH389" s="39" t="str">
        <f>IF(AND(OR(Filter!$B$4="All",D389=Filter!$B$4),OR(Filter!$B$5="All",M389=Filter!$B$5),E389&gt;=Filter!$B$6),MAX(AH$1:AH388)+1,"")</f>
        <v/>
      </c>
      <c r="AI389" s="39">
        <f t="shared" si="144"/>
        <v>32</v>
      </c>
      <c r="AJ389" s="42">
        <f t="shared" si="145"/>
        <v>0.22</v>
      </c>
      <c r="AK389" s="41">
        <f t="shared" si="146"/>
        <v>2307.64</v>
      </c>
      <c r="AL389" s="39">
        <f>RANK(E389,$E$2:$E$1001,0)+COUNTIF($E$2:E389,E389)-1</f>
        <v>711</v>
      </c>
    </row>
    <row r="390" spans="1:38" x14ac:dyDescent="0.2">
      <c r="A390" s="39">
        <v>1018</v>
      </c>
      <c r="B390" s="40">
        <v>45150</v>
      </c>
      <c r="C390" s="39" t="s">
        <v>71</v>
      </c>
      <c r="D390" s="39" t="s">
        <v>64</v>
      </c>
      <c r="E390" s="41">
        <v>2835.56</v>
      </c>
      <c r="F390" s="39">
        <v>9</v>
      </c>
      <c r="G390" s="39" t="s">
        <v>65</v>
      </c>
      <c r="H390" s="41">
        <v>3161.09</v>
      </c>
      <c r="I390" s="41">
        <v>3216.42</v>
      </c>
      <c r="J390" s="39" t="s">
        <v>143</v>
      </c>
      <c r="K390" s="42">
        <v>0.17</v>
      </c>
      <c r="L390" s="39" t="s">
        <v>63</v>
      </c>
      <c r="M390" s="39" t="s">
        <v>138</v>
      </c>
      <c r="N390" s="39" t="s">
        <v>160</v>
      </c>
      <c r="O390" s="43">
        <f t="shared" si="126"/>
        <v>28947.78</v>
      </c>
      <c r="P390" s="43">
        <f t="shared" si="127"/>
        <v>24026.66</v>
      </c>
      <c r="Q390" s="43">
        <f t="shared" si="128"/>
        <v>28449.81</v>
      </c>
      <c r="R390" s="43">
        <f t="shared" si="129"/>
        <v>-4423.1500000000015</v>
      </c>
      <c r="S390" s="44">
        <f t="shared" si="130"/>
        <v>-0.1840934195597724</v>
      </c>
      <c r="T390" s="39" t="str">
        <f t="shared" si="131"/>
        <v>Loss</v>
      </c>
      <c r="U390" s="39" t="str">
        <f t="shared" si="132"/>
        <v>10-19%</v>
      </c>
      <c r="V390" s="39" t="str">
        <f>IF(E390&gt;=Analysis!$B$4,"High",IF(E390&gt;=Analysis!$B$5,"Mid","Low"))</f>
        <v>Mid</v>
      </c>
      <c r="W390" s="39" t="str">
        <f t="shared" si="133"/>
        <v>2023-08</v>
      </c>
      <c r="X390" s="40">
        <f t="shared" si="134"/>
        <v>45169</v>
      </c>
      <c r="Y390" s="39" t="str">
        <f t="shared" si="135"/>
        <v>2023-Q3</v>
      </c>
      <c r="Z390" s="39" t="str">
        <f t="shared" si="136"/>
        <v>Sat</v>
      </c>
      <c r="AA390" s="39">
        <f t="shared" si="137"/>
        <v>6</v>
      </c>
      <c r="AB390" s="39">
        <f t="shared" si="138"/>
        <v>33</v>
      </c>
      <c r="AC390" s="39" t="str">
        <f t="shared" si="139"/>
        <v>Weekend</v>
      </c>
      <c r="AD390" s="39">
        <f t="shared" ca="1" si="140"/>
        <v>1169</v>
      </c>
      <c r="AE390" s="39">
        <f t="shared" ca="1" si="141"/>
        <v>38</v>
      </c>
      <c r="AF390" s="39" t="str">
        <f t="shared" si="142"/>
        <v>CHA</v>
      </c>
      <c r="AG390" s="39" t="str">
        <f t="shared" si="143"/>
        <v>NO-230812-0389</v>
      </c>
      <c r="AH390" s="39" t="str">
        <f>IF(AND(OR(Filter!$B$4="All",D390=Filter!$B$4),OR(Filter!$B$5="All",M390=Filter!$B$5),E390&gt;=Filter!$B$6),MAX(AH$1:AH389)+1,"")</f>
        <v/>
      </c>
      <c r="AI390" s="39">
        <f t="shared" si="144"/>
        <v>9</v>
      </c>
      <c r="AJ390" s="42">
        <f t="shared" si="145"/>
        <v>0.17</v>
      </c>
      <c r="AK390" s="41">
        <f t="shared" si="146"/>
        <v>3216.42</v>
      </c>
      <c r="AL390" s="39">
        <f>RANK(E390,$E$2:$E$1001,0)+COUNTIF($E$2:E390,E390)-1</f>
        <v>713</v>
      </c>
    </row>
    <row r="391" spans="1:38" x14ac:dyDescent="0.2">
      <c r="A391" s="39">
        <v>1025</v>
      </c>
      <c r="B391" s="40">
        <v>45135</v>
      </c>
      <c r="C391" s="39" t="s">
        <v>76</v>
      </c>
      <c r="D391" s="39" t="s">
        <v>74</v>
      </c>
      <c r="E391" s="41">
        <v>4376.99</v>
      </c>
      <c r="F391" s="39">
        <v>37</v>
      </c>
      <c r="G391" s="39" t="s">
        <v>65</v>
      </c>
      <c r="H391" s="41">
        <v>1115.02</v>
      </c>
      <c r="I391" s="41">
        <v>1174.48</v>
      </c>
      <c r="J391" s="39" t="s">
        <v>143</v>
      </c>
      <c r="K391" s="42">
        <v>0.22</v>
      </c>
      <c r="L391" s="39" t="s">
        <v>73</v>
      </c>
      <c r="M391" s="39" t="s">
        <v>138</v>
      </c>
      <c r="N391" s="39" t="s">
        <v>154</v>
      </c>
      <c r="O391" s="43">
        <f t="shared" si="126"/>
        <v>43455.76</v>
      </c>
      <c r="P391" s="43">
        <f t="shared" si="127"/>
        <v>33895.49</v>
      </c>
      <c r="Q391" s="43">
        <f t="shared" si="128"/>
        <v>41255.74</v>
      </c>
      <c r="R391" s="43">
        <f t="shared" si="129"/>
        <v>-7360.25</v>
      </c>
      <c r="S391" s="44">
        <f t="shared" si="130"/>
        <v>-0.21714540784039413</v>
      </c>
      <c r="T391" s="39" t="str">
        <f t="shared" si="131"/>
        <v>Loss</v>
      </c>
      <c r="U391" s="39" t="str">
        <f t="shared" si="132"/>
        <v>20%+</v>
      </c>
      <c r="V391" s="39" t="str">
        <f>IF(E391&gt;=Analysis!$B$4,"High",IF(E391&gt;=Analysis!$B$5,"Mid","Low"))</f>
        <v>Mid</v>
      </c>
      <c r="W391" s="39" t="str">
        <f t="shared" si="133"/>
        <v>2023-07</v>
      </c>
      <c r="X391" s="40">
        <f t="shared" si="134"/>
        <v>45138</v>
      </c>
      <c r="Y391" s="39" t="str">
        <f t="shared" si="135"/>
        <v>2023-Q3</v>
      </c>
      <c r="Z391" s="39" t="str">
        <f t="shared" si="136"/>
        <v>Fri</v>
      </c>
      <c r="AA391" s="39">
        <f t="shared" si="137"/>
        <v>5</v>
      </c>
      <c r="AB391" s="39">
        <f t="shared" si="138"/>
        <v>31</v>
      </c>
      <c r="AC391" s="39" t="str">
        <f t="shared" si="139"/>
        <v>Weekday</v>
      </c>
      <c r="AD391" s="39">
        <f t="shared" ca="1" si="140"/>
        <v>1184</v>
      </c>
      <c r="AE391" s="39">
        <f t="shared" ca="1" si="141"/>
        <v>38</v>
      </c>
      <c r="AF391" s="39" t="str">
        <f t="shared" si="142"/>
        <v>DAV</v>
      </c>
      <c r="AG391" s="39" t="str">
        <f t="shared" si="143"/>
        <v>WO-230728-0390</v>
      </c>
      <c r="AH391" s="39" t="str">
        <f>IF(AND(OR(Filter!$B$4="All",D391=Filter!$B$4),OR(Filter!$B$5="All",M391=Filter!$B$5),E391&gt;=Filter!$B$6),MAX(AH$1:AH390)+1,"")</f>
        <v/>
      </c>
      <c r="AI391" s="39">
        <f t="shared" si="144"/>
        <v>37</v>
      </c>
      <c r="AJ391" s="42">
        <f t="shared" si="145"/>
        <v>0.22</v>
      </c>
      <c r="AK391" s="41">
        <f t="shared" si="146"/>
        <v>1174.48</v>
      </c>
      <c r="AL391" s="39">
        <f>RANK(E391,$E$2:$E$1001,0)+COUNTIF($E$2:E391,E391)-1</f>
        <v>564</v>
      </c>
    </row>
    <row r="392" spans="1:38" x14ac:dyDescent="0.2">
      <c r="A392" s="39">
        <v>1095</v>
      </c>
      <c r="B392" s="40">
        <v>45041</v>
      </c>
      <c r="C392" s="39" t="s">
        <v>66</v>
      </c>
      <c r="D392" s="39" t="s">
        <v>69</v>
      </c>
      <c r="E392" s="41">
        <v>9805.65</v>
      </c>
      <c r="F392" s="39">
        <v>10</v>
      </c>
      <c r="G392" s="39" t="s">
        <v>65</v>
      </c>
      <c r="H392" s="41">
        <v>3155.97</v>
      </c>
      <c r="I392" s="41">
        <v>3263.49</v>
      </c>
      <c r="J392" s="39" t="s">
        <v>137</v>
      </c>
      <c r="K392" s="42">
        <v>0.04</v>
      </c>
      <c r="L392" s="39" t="s">
        <v>73</v>
      </c>
      <c r="M392" s="39" t="s">
        <v>138</v>
      </c>
      <c r="N392" s="39" t="s">
        <v>144</v>
      </c>
      <c r="O392" s="43">
        <f t="shared" si="126"/>
        <v>32634.9</v>
      </c>
      <c r="P392" s="43">
        <f t="shared" si="127"/>
        <v>31329.5</v>
      </c>
      <c r="Q392" s="43">
        <f t="shared" si="128"/>
        <v>31559.7</v>
      </c>
      <c r="R392" s="43">
        <f t="shared" si="129"/>
        <v>-230.20000000000073</v>
      </c>
      <c r="S392" s="44">
        <f t="shared" si="130"/>
        <v>-7.3477074322922716E-3</v>
      </c>
      <c r="T392" s="39" t="str">
        <f t="shared" si="131"/>
        <v>Loss</v>
      </c>
      <c r="U392" s="39" t="str">
        <f t="shared" si="132"/>
        <v>0-9%</v>
      </c>
      <c r="V392" s="39" t="str">
        <f>IF(E392&gt;=Analysis!$B$4,"High",IF(E392&gt;=Analysis!$B$5,"Mid","Low"))</f>
        <v>High</v>
      </c>
      <c r="W392" s="39" t="str">
        <f t="shared" si="133"/>
        <v>2023-04</v>
      </c>
      <c r="X392" s="40">
        <f t="shared" si="134"/>
        <v>45046</v>
      </c>
      <c r="Y392" s="39" t="str">
        <f t="shared" si="135"/>
        <v>2023-Q2</v>
      </c>
      <c r="Z392" s="39" t="str">
        <f t="shared" si="136"/>
        <v>Tue</v>
      </c>
      <c r="AA392" s="39">
        <f t="shared" si="137"/>
        <v>2</v>
      </c>
      <c r="AB392" s="39">
        <f t="shared" si="138"/>
        <v>18</v>
      </c>
      <c r="AC392" s="39" t="str">
        <f t="shared" si="139"/>
        <v>Weekday</v>
      </c>
      <c r="AD392" s="39">
        <f t="shared" ca="1" si="140"/>
        <v>1278</v>
      </c>
      <c r="AE392" s="39">
        <f t="shared" ca="1" si="141"/>
        <v>41</v>
      </c>
      <c r="AF392" s="39" t="str">
        <f t="shared" si="142"/>
        <v>BOB</v>
      </c>
      <c r="AG392" s="39" t="str">
        <f t="shared" si="143"/>
        <v>SO-230425-0391</v>
      </c>
      <c r="AH392" s="39">
        <f>IF(AND(OR(Filter!$B$4="All",D392=Filter!$B$4),OR(Filter!$B$5="All",M392=Filter!$B$5),E392&gt;=Filter!$B$6),MAX(AH$1:AH391)+1,"")</f>
        <v>42</v>
      </c>
      <c r="AI392" s="39">
        <f t="shared" si="144"/>
        <v>10</v>
      </c>
      <c r="AJ392" s="42">
        <f t="shared" si="145"/>
        <v>0.04</v>
      </c>
      <c r="AK392" s="41">
        <f t="shared" si="146"/>
        <v>3263.49</v>
      </c>
      <c r="AL392" s="39">
        <f>RANK(E392,$E$2:$E$1001,0)+COUNTIF($E$2:E392,E392)-1</f>
        <v>17</v>
      </c>
    </row>
    <row r="393" spans="1:38" x14ac:dyDescent="0.2">
      <c r="A393" s="39">
        <v>1054</v>
      </c>
      <c r="B393" s="40">
        <v>45135</v>
      </c>
      <c r="C393" s="39" t="s">
        <v>76</v>
      </c>
      <c r="D393" s="39" t="s">
        <v>59</v>
      </c>
      <c r="E393" s="41">
        <v>768.28</v>
      </c>
      <c r="F393" s="39">
        <v>20</v>
      </c>
      <c r="G393" s="39" t="s">
        <v>60</v>
      </c>
      <c r="H393" s="41">
        <v>4622.1400000000003</v>
      </c>
      <c r="I393" s="41">
        <v>5122.07</v>
      </c>
      <c r="J393" s="39" t="s">
        <v>143</v>
      </c>
      <c r="K393" s="42">
        <v>0.26</v>
      </c>
      <c r="L393" s="39" t="s">
        <v>68</v>
      </c>
      <c r="M393" s="39" t="s">
        <v>140</v>
      </c>
      <c r="N393" s="39" t="s">
        <v>157</v>
      </c>
      <c r="O393" s="43">
        <f t="shared" si="126"/>
        <v>102441.4</v>
      </c>
      <c r="P393" s="43">
        <f t="shared" si="127"/>
        <v>75806.64</v>
      </c>
      <c r="Q393" s="43">
        <f t="shared" si="128"/>
        <v>92442.8</v>
      </c>
      <c r="R393" s="43">
        <f t="shared" si="129"/>
        <v>-16636.160000000003</v>
      </c>
      <c r="S393" s="44">
        <f t="shared" si="130"/>
        <v>-0.21945518229010022</v>
      </c>
      <c r="T393" s="39" t="str">
        <f t="shared" si="131"/>
        <v>Loss</v>
      </c>
      <c r="U393" s="39" t="str">
        <f t="shared" si="132"/>
        <v>20%+</v>
      </c>
      <c r="V393" s="39" t="str">
        <f>IF(E393&gt;=Analysis!$B$4,"High",IF(E393&gt;=Analysis!$B$5,"Mid","Low"))</f>
        <v>Low</v>
      </c>
      <c r="W393" s="39" t="str">
        <f t="shared" si="133"/>
        <v>2023-07</v>
      </c>
      <c r="X393" s="40">
        <f t="shared" si="134"/>
        <v>45138</v>
      </c>
      <c r="Y393" s="39" t="str">
        <f t="shared" si="135"/>
        <v>2023-Q3</v>
      </c>
      <c r="Z393" s="39" t="str">
        <f t="shared" si="136"/>
        <v>Fri</v>
      </c>
      <c r="AA393" s="39">
        <f t="shared" si="137"/>
        <v>5</v>
      </c>
      <c r="AB393" s="39">
        <f t="shared" si="138"/>
        <v>31</v>
      </c>
      <c r="AC393" s="39" t="str">
        <f t="shared" si="139"/>
        <v>Weekday</v>
      </c>
      <c r="AD393" s="39">
        <f t="shared" ca="1" si="140"/>
        <v>1184</v>
      </c>
      <c r="AE393" s="39">
        <f t="shared" ca="1" si="141"/>
        <v>38</v>
      </c>
      <c r="AF393" s="39" t="str">
        <f t="shared" si="142"/>
        <v>DAV</v>
      </c>
      <c r="AG393" s="39" t="str">
        <f t="shared" si="143"/>
        <v>ER-230728-0392</v>
      </c>
      <c r="AH393" s="39" t="str">
        <f>IF(AND(OR(Filter!$B$4="All",D393=Filter!$B$4),OR(Filter!$B$5="All",M393=Filter!$B$5),E393&gt;=Filter!$B$6),MAX(AH$1:AH392)+1,"")</f>
        <v/>
      </c>
      <c r="AI393" s="39">
        <f t="shared" si="144"/>
        <v>20</v>
      </c>
      <c r="AJ393" s="42">
        <f t="shared" si="145"/>
        <v>0.26</v>
      </c>
      <c r="AK393" s="41">
        <f t="shared" si="146"/>
        <v>5122.07</v>
      </c>
      <c r="AL393" s="39">
        <f>RANK(E393,$E$2:$E$1001,0)+COUNTIF($E$2:E393,E393)-1</f>
        <v>930</v>
      </c>
    </row>
    <row r="394" spans="1:38" x14ac:dyDescent="0.2">
      <c r="A394" s="39">
        <v>1058</v>
      </c>
      <c r="B394" s="40">
        <v>44940</v>
      </c>
      <c r="C394" s="39" t="s">
        <v>66</v>
      </c>
      <c r="D394" s="39" t="s">
        <v>59</v>
      </c>
      <c r="E394" s="41">
        <v>5235.1400000000003</v>
      </c>
      <c r="F394" s="39">
        <v>6</v>
      </c>
      <c r="G394" s="39" t="s">
        <v>70</v>
      </c>
      <c r="H394" s="41">
        <v>4987.71</v>
      </c>
      <c r="I394" s="41">
        <v>4998.78</v>
      </c>
      <c r="J394" s="39" t="s">
        <v>137</v>
      </c>
      <c r="K394" s="42">
        <v>0.17</v>
      </c>
      <c r="L394" s="39" t="s">
        <v>68</v>
      </c>
      <c r="M394" s="39" t="s">
        <v>140</v>
      </c>
      <c r="N394" s="39" t="s">
        <v>153</v>
      </c>
      <c r="O394" s="43">
        <f t="shared" si="126"/>
        <v>29992.68</v>
      </c>
      <c r="P394" s="43">
        <f t="shared" si="127"/>
        <v>24893.919999999998</v>
      </c>
      <c r="Q394" s="43">
        <f t="shared" si="128"/>
        <v>29926.26</v>
      </c>
      <c r="R394" s="43">
        <f t="shared" si="129"/>
        <v>-5032.34</v>
      </c>
      <c r="S394" s="44">
        <f t="shared" si="130"/>
        <v>-0.2021513686876153</v>
      </c>
      <c r="T394" s="39" t="str">
        <f t="shared" si="131"/>
        <v>Loss</v>
      </c>
      <c r="U394" s="39" t="str">
        <f t="shared" si="132"/>
        <v>10-19%</v>
      </c>
      <c r="V394" s="39" t="str">
        <f>IF(E394&gt;=Analysis!$B$4,"High",IF(E394&gt;=Analysis!$B$5,"Mid","Low"))</f>
        <v>Mid</v>
      </c>
      <c r="W394" s="39" t="str">
        <f t="shared" si="133"/>
        <v>2023-01</v>
      </c>
      <c r="X394" s="40">
        <f t="shared" si="134"/>
        <v>44957</v>
      </c>
      <c r="Y394" s="39" t="str">
        <f t="shared" si="135"/>
        <v>2023-Q1</v>
      </c>
      <c r="Z394" s="39" t="str">
        <f t="shared" si="136"/>
        <v>Sat</v>
      </c>
      <c r="AA394" s="39">
        <f t="shared" si="137"/>
        <v>6</v>
      </c>
      <c r="AB394" s="39">
        <f t="shared" si="138"/>
        <v>3</v>
      </c>
      <c r="AC394" s="39" t="str">
        <f t="shared" si="139"/>
        <v>Weekend</v>
      </c>
      <c r="AD394" s="39">
        <f t="shared" ca="1" si="140"/>
        <v>1379</v>
      </c>
      <c r="AE394" s="39">
        <f t="shared" ca="1" si="141"/>
        <v>45</v>
      </c>
      <c r="AF394" s="39" t="str">
        <f t="shared" si="142"/>
        <v>BOB</v>
      </c>
      <c r="AG394" s="39" t="str">
        <f t="shared" si="143"/>
        <v>ER-230114-0393</v>
      </c>
      <c r="AH394" s="39" t="str">
        <f>IF(AND(OR(Filter!$B$4="All",D394=Filter!$B$4),OR(Filter!$B$5="All",M394=Filter!$B$5),E394&gt;=Filter!$B$6),MAX(AH$1:AH393)+1,"")</f>
        <v/>
      </c>
      <c r="AI394" s="39">
        <f t="shared" si="144"/>
        <v>6</v>
      </c>
      <c r="AJ394" s="42">
        <f t="shared" si="145"/>
        <v>0.17</v>
      </c>
      <c r="AK394" s="41">
        <f t="shared" si="146"/>
        <v>4998.78</v>
      </c>
      <c r="AL394" s="39">
        <f>RANK(E394,$E$2:$E$1001,0)+COUNTIF($E$2:E394,E394)-1</f>
        <v>477</v>
      </c>
    </row>
    <row r="395" spans="1:38" x14ac:dyDescent="0.2">
      <c r="A395" s="39">
        <v>1067</v>
      </c>
      <c r="B395" s="40">
        <v>44935</v>
      </c>
      <c r="C395" s="39" t="s">
        <v>71</v>
      </c>
      <c r="D395" s="39" t="s">
        <v>64</v>
      </c>
      <c r="E395" s="41">
        <v>1875.71</v>
      </c>
      <c r="F395" s="39">
        <v>48</v>
      </c>
      <c r="G395" s="39" t="s">
        <v>65</v>
      </c>
      <c r="H395" s="41">
        <v>210.63</v>
      </c>
      <c r="I395" s="41">
        <v>533.58000000000004</v>
      </c>
      <c r="J395" s="39" t="s">
        <v>143</v>
      </c>
      <c r="K395" s="42">
        <v>0.04</v>
      </c>
      <c r="L395" s="39" t="s">
        <v>63</v>
      </c>
      <c r="M395" s="39" t="s">
        <v>138</v>
      </c>
      <c r="N395" s="39" t="s">
        <v>160</v>
      </c>
      <c r="O395" s="43">
        <f t="shared" si="126"/>
        <v>25611.84</v>
      </c>
      <c r="P395" s="43">
        <f t="shared" si="127"/>
        <v>24587.37</v>
      </c>
      <c r="Q395" s="43">
        <f t="shared" si="128"/>
        <v>10110.24</v>
      </c>
      <c r="R395" s="43">
        <f t="shared" si="129"/>
        <v>14477.13</v>
      </c>
      <c r="S395" s="44">
        <f t="shared" si="130"/>
        <v>0.58880351985592605</v>
      </c>
      <c r="T395" s="39" t="str">
        <f t="shared" si="131"/>
        <v>OK</v>
      </c>
      <c r="U395" s="39" t="str">
        <f t="shared" si="132"/>
        <v>0-9%</v>
      </c>
      <c r="V395" s="39" t="str">
        <f>IF(E395&gt;=Analysis!$B$4,"High",IF(E395&gt;=Analysis!$B$5,"Mid","Low"))</f>
        <v>Low</v>
      </c>
      <c r="W395" s="39" t="str">
        <f t="shared" si="133"/>
        <v>2023-01</v>
      </c>
      <c r="X395" s="40">
        <f t="shared" si="134"/>
        <v>44957</v>
      </c>
      <c r="Y395" s="39" t="str">
        <f t="shared" si="135"/>
        <v>2023-Q1</v>
      </c>
      <c r="Z395" s="39" t="str">
        <f t="shared" si="136"/>
        <v>Mon</v>
      </c>
      <c r="AA395" s="39">
        <f t="shared" si="137"/>
        <v>1</v>
      </c>
      <c r="AB395" s="39">
        <f t="shared" si="138"/>
        <v>3</v>
      </c>
      <c r="AC395" s="39" t="str">
        <f t="shared" si="139"/>
        <v>Weekday</v>
      </c>
      <c r="AD395" s="39">
        <f t="shared" ca="1" si="140"/>
        <v>1384</v>
      </c>
      <c r="AE395" s="39">
        <f t="shared" ca="1" si="141"/>
        <v>45</v>
      </c>
      <c r="AF395" s="39" t="str">
        <f t="shared" si="142"/>
        <v>CHA</v>
      </c>
      <c r="AG395" s="39" t="str">
        <f t="shared" si="143"/>
        <v>NO-230109-0394</v>
      </c>
      <c r="AH395" s="39" t="str">
        <f>IF(AND(OR(Filter!$B$4="All",D395=Filter!$B$4),OR(Filter!$B$5="All",M395=Filter!$B$5),E395&gt;=Filter!$B$6),MAX(AH$1:AH394)+1,"")</f>
        <v/>
      </c>
      <c r="AI395" s="39">
        <f t="shared" si="144"/>
        <v>48</v>
      </c>
      <c r="AJ395" s="42">
        <f t="shared" si="145"/>
        <v>0.04</v>
      </c>
      <c r="AK395" s="41">
        <f t="shared" si="146"/>
        <v>533.58000000000004</v>
      </c>
      <c r="AL395" s="39">
        <f>RANK(E395,$E$2:$E$1001,0)+COUNTIF($E$2:E395,E395)-1</f>
        <v>830</v>
      </c>
    </row>
    <row r="396" spans="1:38" x14ac:dyDescent="0.2">
      <c r="A396" s="39">
        <v>1046</v>
      </c>
      <c r="B396" s="40">
        <v>44966</v>
      </c>
      <c r="C396" s="39" t="s">
        <v>71</v>
      </c>
      <c r="D396" s="39" t="s">
        <v>59</v>
      </c>
      <c r="E396" s="41">
        <v>9709.7000000000007</v>
      </c>
      <c r="F396" s="39">
        <v>3</v>
      </c>
      <c r="G396" s="39" t="s">
        <v>75</v>
      </c>
      <c r="H396" s="41">
        <v>1216.1600000000001</v>
      </c>
      <c r="I396" s="41">
        <v>1295.3699999999999</v>
      </c>
      <c r="J396" s="39" t="s">
        <v>143</v>
      </c>
      <c r="K396" s="42">
        <v>0.14000000000000001</v>
      </c>
      <c r="L396" s="39" t="s">
        <v>68</v>
      </c>
      <c r="M396" s="39" t="s">
        <v>140</v>
      </c>
      <c r="N396" s="39" t="s">
        <v>145</v>
      </c>
      <c r="O396" s="43">
        <f t="shared" si="126"/>
        <v>3886.11</v>
      </c>
      <c r="P396" s="43">
        <f t="shared" si="127"/>
        <v>3342.05</v>
      </c>
      <c r="Q396" s="43">
        <f t="shared" si="128"/>
        <v>3648.48</v>
      </c>
      <c r="R396" s="43">
        <f t="shared" si="129"/>
        <v>-306.42999999999984</v>
      </c>
      <c r="S396" s="44">
        <f t="shared" si="130"/>
        <v>-9.1689232656602934E-2</v>
      </c>
      <c r="T396" s="39" t="str">
        <f t="shared" si="131"/>
        <v>Loss</v>
      </c>
      <c r="U396" s="39" t="str">
        <f t="shared" si="132"/>
        <v>10-19%</v>
      </c>
      <c r="V396" s="39" t="str">
        <f>IF(E396&gt;=Analysis!$B$4,"High",IF(E396&gt;=Analysis!$B$5,"Mid","Low"))</f>
        <v>High</v>
      </c>
      <c r="W396" s="39" t="str">
        <f t="shared" si="133"/>
        <v>2023-02</v>
      </c>
      <c r="X396" s="40">
        <f t="shared" si="134"/>
        <v>44985</v>
      </c>
      <c r="Y396" s="39" t="str">
        <f t="shared" si="135"/>
        <v>2023-Q1</v>
      </c>
      <c r="Z396" s="39" t="str">
        <f t="shared" si="136"/>
        <v>Thu</v>
      </c>
      <c r="AA396" s="39">
        <f t="shared" si="137"/>
        <v>4</v>
      </c>
      <c r="AB396" s="39">
        <f t="shared" si="138"/>
        <v>7</v>
      </c>
      <c r="AC396" s="39" t="str">
        <f t="shared" si="139"/>
        <v>Weekday</v>
      </c>
      <c r="AD396" s="39">
        <f t="shared" ca="1" si="140"/>
        <v>1353</v>
      </c>
      <c r="AE396" s="39">
        <f t="shared" ca="1" si="141"/>
        <v>44</v>
      </c>
      <c r="AF396" s="39" t="str">
        <f t="shared" si="142"/>
        <v>CHA</v>
      </c>
      <c r="AG396" s="39" t="str">
        <f t="shared" si="143"/>
        <v>ER-230209-0395</v>
      </c>
      <c r="AH396" s="39">
        <f>IF(AND(OR(Filter!$B$4="All",D396=Filter!$B$4),OR(Filter!$B$5="All",M396=Filter!$B$5),E396&gt;=Filter!$B$6),MAX(AH$1:AH395)+1,"")</f>
        <v>43</v>
      </c>
      <c r="AI396" s="39">
        <f t="shared" si="144"/>
        <v>3</v>
      </c>
      <c r="AJ396" s="42">
        <f t="shared" si="145"/>
        <v>0.14000000000000001</v>
      </c>
      <c r="AK396" s="41">
        <f t="shared" si="146"/>
        <v>1295.3699999999999</v>
      </c>
      <c r="AL396" s="39">
        <f>RANK(E396,$E$2:$E$1001,0)+COUNTIF($E$2:E396,E396)-1</f>
        <v>27</v>
      </c>
    </row>
    <row r="397" spans="1:38" x14ac:dyDescent="0.2">
      <c r="A397" s="39">
        <v>1024</v>
      </c>
      <c r="B397" s="40">
        <v>45163</v>
      </c>
      <c r="C397" s="39" t="s">
        <v>76</v>
      </c>
      <c r="D397" s="39" t="s">
        <v>69</v>
      </c>
      <c r="E397" s="41">
        <v>1221.7</v>
      </c>
      <c r="F397" s="39">
        <v>42</v>
      </c>
      <c r="G397" s="39" t="s">
        <v>65</v>
      </c>
      <c r="H397" s="41">
        <v>1586.02</v>
      </c>
      <c r="I397" s="41">
        <v>2047.13</v>
      </c>
      <c r="J397" s="39" t="s">
        <v>143</v>
      </c>
      <c r="K397" s="42">
        <v>0.25</v>
      </c>
      <c r="L397" s="39" t="s">
        <v>68</v>
      </c>
      <c r="M397" s="39" t="s">
        <v>140</v>
      </c>
      <c r="N397" s="39" t="s">
        <v>142</v>
      </c>
      <c r="O397" s="43">
        <f t="shared" si="126"/>
        <v>85979.46</v>
      </c>
      <c r="P397" s="43">
        <f t="shared" si="127"/>
        <v>64484.6</v>
      </c>
      <c r="Q397" s="43">
        <f t="shared" si="128"/>
        <v>66612.84</v>
      </c>
      <c r="R397" s="43">
        <f t="shared" si="129"/>
        <v>-2128.239999999998</v>
      </c>
      <c r="S397" s="44">
        <f t="shared" si="130"/>
        <v>-3.300384898099698E-2</v>
      </c>
      <c r="T397" s="39" t="str">
        <f t="shared" si="131"/>
        <v>Loss</v>
      </c>
      <c r="U397" s="39" t="str">
        <f t="shared" si="132"/>
        <v>20%+</v>
      </c>
      <c r="V397" s="39" t="str">
        <f>IF(E397&gt;=Analysis!$B$4,"High",IF(E397&gt;=Analysis!$B$5,"Mid","Low"))</f>
        <v>Low</v>
      </c>
      <c r="W397" s="39" t="str">
        <f t="shared" si="133"/>
        <v>2023-08</v>
      </c>
      <c r="X397" s="40">
        <f t="shared" si="134"/>
        <v>45169</v>
      </c>
      <c r="Y397" s="39" t="str">
        <f t="shared" si="135"/>
        <v>2023-Q3</v>
      </c>
      <c r="Z397" s="39" t="str">
        <f t="shared" si="136"/>
        <v>Fri</v>
      </c>
      <c r="AA397" s="39">
        <f t="shared" si="137"/>
        <v>5</v>
      </c>
      <c r="AB397" s="39">
        <f t="shared" si="138"/>
        <v>35</v>
      </c>
      <c r="AC397" s="39" t="str">
        <f t="shared" si="139"/>
        <v>Weekday</v>
      </c>
      <c r="AD397" s="39">
        <f t="shared" ca="1" si="140"/>
        <v>1156</v>
      </c>
      <c r="AE397" s="39">
        <f t="shared" ca="1" si="141"/>
        <v>37</v>
      </c>
      <c r="AF397" s="39" t="str">
        <f t="shared" si="142"/>
        <v>DAV</v>
      </c>
      <c r="AG397" s="39" t="str">
        <f t="shared" si="143"/>
        <v>SR-230825-0396</v>
      </c>
      <c r="AH397" s="39" t="str">
        <f>IF(AND(OR(Filter!$B$4="All",D397=Filter!$B$4),OR(Filter!$B$5="All",M397=Filter!$B$5),E397&gt;=Filter!$B$6),MAX(AH$1:AH396)+1,"")</f>
        <v/>
      </c>
      <c r="AI397" s="39">
        <f t="shared" si="144"/>
        <v>42</v>
      </c>
      <c r="AJ397" s="42">
        <f t="shared" si="145"/>
        <v>0.25</v>
      </c>
      <c r="AK397" s="41">
        <f t="shared" si="146"/>
        <v>2047.13</v>
      </c>
      <c r="AL397" s="39">
        <f>RANK(E397,$E$2:$E$1001,0)+COUNTIF($E$2:E397,E397)-1</f>
        <v>887</v>
      </c>
    </row>
    <row r="398" spans="1:38" x14ac:dyDescent="0.2">
      <c r="A398" s="39">
        <v>1032</v>
      </c>
      <c r="B398" s="40">
        <v>45207</v>
      </c>
      <c r="C398" s="39" t="s">
        <v>79</v>
      </c>
      <c r="D398" s="39" t="s">
        <v>59</v>
      </c>
      <c r="E398" s="41">
        <v>4095.65</v>
      </c>
      <c r="F398" s="39">
        <v>11</v>
      </c>
      <c r="G398" s="39" t="s">
        <v>70</v>
      </c>
      <c r="H398" s="41">
        <v>2025.67</v>
      </c>
      <c r="I398" s="41">
        <v>2081.5500000000002</v>
      </c>
      <c r="J398" s="39" t="s">
        <v>143</v>
      </c>
      <c r="K398" s="42">
        <v>0.27</v>
      </c>
      <c r="L398" s="39" t="s">
        <v>63</v>
      </c>
      <c r="M398" s="39" t="s">
        <v>138</v>
      </c>
      <c r="N398" s="39" t="s">
        <v>155</v>
      </c>
      <c r="O398" s="43">
        <f t="shared" si="126"/>
        <v>22897.05</v>
      </c>
      <c r="P398" s="43">
        <f t="shared" si="127"/>
        <v>16714.849999999999</v>
      </c>
      <c r="Q398" s="43">
        <f t="shared" si="128"/>
        <v>22282.37</v>
      </c>
      <c r="R398" s="43">
        <f t="shared" si="129"/>
        <v>-5567.52</v>
      </c>
      <c r="S398" s="44">
        <f t="shared" si="130"/>
        <v>-0.33308824189268832</v>
      </c>
      <c r="T398" s="39" t="str">
        <f t="shared" si="131"/>
        <v>Loss</v>
      </c>
      <c r="U398" s="39" t="str">
        <f t="shared" si="132"/>
        <v>20%+</v>
      </c>
      <c r="V398" s="39" t="str">
        <f>IF(E398&gt;=Analysis!$B$4,"High",IF(E398&gt;=Analysis!$B$5,"Mid","Low"))</f>
        <v>Mid</v>
      </c>
      <c r="W398" s="39" t="str">
        <f t="shared" si="133"/>
        <v>2023-10</v>
      </c>
      <c r="X398" s="40">
        <f t="shared" si="134"/>
        <v>45230</v>
      </c>
      <c r="Y398" s="39" t="str">
        <f t="shared" si="135"/>
        <v>2023-Q4</v>
      </c>
      <c r="Z398" s="39" t="str">
        <f t="shared" si="136"/>
        <v>Sun</v>
      </c>
      <c r="AA398" s="39">
        <f t="shared" si="137"/>
        <v>7</v>
      </c>
      <c r="AB398" s="39">
        <f t="shared" si="138"/>
        <v>41</v>
      </c>
      <c r="AC398" s="39" t="str">
        <f t="shared" si="139"/>
        <v>Weekend</v>
      </c>
      <c r="AD398" s="39">
        <f t="shared" ca="1" si="140"/>
        <v>1112</v>
      </c>
      <c r="AE398" s="39">
        <f t="shared" ca="1" si="141"/>
        <v>36</v>
      </c>
      <c r="AF398" s="39" t="str">
        <f t="shared" si="142"/>
        <v>EVE</v>
      </c>
      <c r="AG398" s="39" t="str">
        <f t="shared" si="143"/>
        <v>EO-231008-0397</v>
      </c>
      <c r="AH398" s="39" t="str">
        <f>IF(AND(OR(Filter!$B$4="All",D398=Filter!$B$4),OR(Filter!$B$5="All",M398=Filter!$B$5),E398&gt;=Filter!$B$6),MAX(AH$1:AH397)+1,"")</f>
        <v/>
      </c>
      <c r="AI398" s="39">
        <f t="shared" si="144"/>
        <v>11</v>
      </c>
      <c r="AJ398" s="42">
        <f t="shared" si="145"/>
        <v>0.27</v>
      </c>
      <c r="AK398" s="41">
        <f t="shared" si="146"/>
        <v>2081.5500000000002</v>
      </c>
      <c r="AL398" s="39">
        <f>RANK(E398,$E$2:$E$1001,0)+COUNTIF($E$2:E398,E398)-1</f>
        <v>589</v>
      </c>
    </row>
    <row r="399" spans="1:38" x14ac:dyDescent="0.2">
      <c r="A399" s="39">
        <v>1047</v>
      </c>
      <c r="B399" s="40">
        <v>45285</v>
      </c>
      <c r="C399" s="39" t="s">
        <v>76</v>
      </c>
      <c r="D399" s="39" t="s">
        <v>64</v>
      </c>
      <c r="E399" s="41">
        <v>7405.06</v>
      </c>
      <c r="F399" s="39">
        <v>43</v>
      </c>
      <c r="G399" s="39" t="s">
        <v>65</v>
      </c>
      <c r="H399" s="41">
        <v>1249.17</v>
      </c>
      <c r="I399" s="41">
        <v>1727.15</v>
      </c>
      <c r="J399" s="39" t="s">
        <v>143</v>
      </c>
      <c r="K399" s="42">
        <v>0.08</v>
      </c>
      <c r="L399" s="39" t="s">
        <v>68</v>
      </c>
      <c r="M399" s="39" t="s">
        <v>140</v>
      </c>
      <c r="N399" s="39" t="s">
        <v>152</v>
      </c>
      <c r="O399" s="43">
        <f t="shared" si="126"/>
        <v>74267.45</v>
      </c>
      <c r="P399" s="43">
        <f t="shared" si="127"/>
        <v>68326.05</v>
      </c>
      <c r="Q399" s="43">
        <f t="shared" si="128"/>
        <v>53714.31</v>
      </c>
      <c r="R399" s="43">
        <f t="shared" si="129"/>
        <v>14611.740000000005</v>
      </c>
      <c r="S399" s="44">
        <f t="shared" si="130"/>
        <v>0.21385313507805595</v>
      </c>
      <c r="T399" s="39" t="str">
        <f t="shared" si="131"/>
        <v>OK</v>
      </c>
      <c r="U399" s="39" t="str">
        <f t="shared" si="132"/>
        <v>0-9%</v>
      </c>
      <c r="V399" s="39" t="str">
        <f>IF(E399&gt;=Analysis!$B$4,"High",IF(E399&gt;=Analysis!$B$5,"Mid","Low"))</f>
        <v>Mid</v>
      </c>
      <c r="W399" s="39" t="str">
        <f t="shared" si="133"/>
        <v>2023-12</v>
      </c>
      <c r="X399" s="40">
        <f t="shared" si="134"/>
        <v>45291</v>
      </c>
      <c r="Y399" s="39" t="str">
        <f t="shared" si="135"/>
        <v>2023-Q4</v>
      </c>
      <c r="Z399" s="39" t="str">
        <f t="shared" si="136"/>
        <v>Mon</v>
      </c>
      <c r="AA399" s="39">
        <f t="shared" si="137"/>
        <v>1</v>
      </c>
      <c r="AB399" s="39">
        <f t="shared" si="138"/>
        <v>53</v>
      </c>
      <c r="AC399" s="39" t="str">
        <f t="shared" si="139"/>
        <v>Weekday</v>
      </c>
      <c r="AD399" s="39">
        <f t="shared" ca="1" si="140"/>
        <v>1034</v>
      </c>
      <c r="AE399" s="39">
        <f t="shared" ca="1" si="141"/>
        <v>33</v>
      </c>
      <c r="AF399" s="39" t="str">
        <f t="shared" si="142"/>
        <v>DAV</v>
      </c>
      <c r="AG399" s="39" t="str">
        <f t="shared" si="143"/>
        <v>NR-231225-0398</v>
      </c>
      <c r="AH399" s="39" t="str">
        <f>IF(AND(OR(Filter!$B$4="All",D399=Filter!$B$4),OR(Filter!$B$5="All",M399=Filter!$B$5),E399&gt;=Filter!$B$6),MAX(AH$1:AH398)+1,"")</f>
        <v/>
      </c>
      <c r="AI399" s="39">
        <f t="shared" si="144"/>
        <v>43</v>
      </c>
      <c r="AJ399" s="42">
        <f t="shared" si="145"/>
        <v>0.08</v>
      </c>
      <c r="AK399" s="41">
        <f t="shared" si="146"/>
        <v>1727.15</v>
      </c>
      <c r="AL399" s="39">
        <f>RANK(E399,$E$2:$E$1001,0)+COUNTIF($E$2:E399,E399)-1</f>
        <v>260</v>
      </c>
    </row>
    <row r="400" spans="1:38" x14ac:dyDescent="0.2">
      <c r="A400" s="39">
        <v>1086</v>
      </c>
      <c r="B400" s="40">
        <v>45127</v>
      </c>
      <c r="C400" s="39" t="s">
        <v>66</v>
      </c>
      <c r="D400" s="39" t="s">
        <v>64</v>
      </c>
      <c r="E400" s="41">
        <v>7075.09</v>
      </c>
      <c r="F400" s="39">
        <v>17</v>
      </c>
      <c r="G400" s="39" t="s">
        <v>70</v>
      </c>
      <c r="H400" s="41">
        <v>1057.27</v>
      </c>
      <c r="I400" s="41">
        <v>1366.62</v>
      </c>
      <c r="J400" s="39" t="s">
        <v>143</v>
      </c>
      <c r="K400" s="42">
        <v>0.21</v>
      </c>
      <c r="L400" s="39" t="s">
        <v>73</v>
      </c>
      <c r="M400" s="39" t="s">
        <v>140</v>
      </c>
      <c r="N400" s="39" t="s">
        <v>139</v>
      </c>
      <c r="O400" s="43">
        <f t="shared" si="126"/>
        <v>23232.54</v>
      </c>
      <c r="P400" s="43">
        <f t="shared" si="127"/>
        <v>18353.71</v>
      </c>
      <c r="Q400" s="43">
        <f t="shared" si="128"/>
        <v>17973.59</v>
      </c>
      <c r="R400" s="43">
        <f t="shared" si="129"/>
        <v>380.11999999999898</v>
      </c>
      <c r="S400" s="44">
        <f t="shared" si="130"/>
        <v>2.0710799070051723E-2</v>
      </c>
      <c r="T400" s="39" t="str">
        <f t="shared" si="131"/>
        <v>OK</v>
      </c>
      <c r="U400" s="39" t="str">
        <f t="shared" si="132"/>
        <v>20%+</v>
      </c>
      <c r="V400" s="39" t="str">
        <f>IF(E400&gt;=Analysis!$B$4,"High",IF(E400&gt;=Analysis!$B$5,"Mid","Low"))</f>
        <v>Mid</v>
      </c>
      <c r="W400" s="39" t="str">
        <f t="shared" si="133"/>
        <v>2023-07</v>
      </c>
      <c r="X400" s="40">
        <f t="shared" si="134"/>
        <v>45138</v>
      </c>
      <c r="Y400" s="39" t="str">
        <f t="shared" si="135"/>
        <v>2023-Q3</v>
      </c>
      <c r="Z400" s="39" t="str">
        <f t="shared" si="136"/>
        <v>Thu</v>
      </c>
      <c r="AA400" s="39">
        <f t="shared" si="137"/>
        <v>4</v>
      </c>
      <c r="AB400" s="39">
        <f t="shared" si="138"/>
        <v>30</v>
      </c>
      <c r="AC400" s="39" t="str">
        <f t="shared" si="139"/>
        <v>Weekday</v>
      </c>
      <c r="AD400" s="39">
        <f t="shared" ca="1" si="140"/>
        <v>1192</v>
      </c>
      <c r="AE400" s="39">
        <f t="shared" ca="1" si="141"/>
        <v>39</v>
      </c>
      <c r="AF400" s="39" t="str">
        <f t="shared" si="142"/>
        <v>BOB</v>
      </c>
      <c r="AG400" s="39" t="str">
        <f t="shared" si="143"/>
        <v>NR-230720-0399</v>
      </c>
      <c r="AH400" s="39" t="str">
        <f>IF(AND(OR(Filter!$B$4="All",D400=Filter!$B$4),OR(Filter!$B$5="All",M400=Filter!$B$5),E400&gt;=Filter!$B$6),MAX(AH$1:AH399)+1,"")</f>
        <v/>
      </c>
      <c r="AI400" s="39">
        <f t="shared" si="144"/>
        <v>17</v>
      </c>
      <c r="AJ400" s="42">
        <f t="shared" si="145"/>
        <v>0.21</v>
      </c>
      <c r="AK400" s="41">
        <f t="shared" si="146"/>
        <v>1366.62</v>
      </c>
      <c r="AL400" s="39">
        <f>RANK(E400,$E$2:$E$1001,0)+COUNTIF($E$2:E400,E400)-1</f>
        <v>294</v>
      </c>
    </row>
    <row r="401" spans="1:38" x14ac:dyDescent="0.2">
      <c r="A401" s="39">
        <v>1023</v>
      </c>
      <c r="B401" s="40">
        <v>45172</v>
      </c>
      <c r="C401" s="39" t="s">
        <v>76</v>
      </c>
      <c r="D401" s="39" t="s">
        <v>69</v>
      </c>
      <c r="E401" s="41">
        <v>4285.01</v>
      </c>
      <c r="F401" s="39">
        <v>32</v>
      </c>
      <c r="G401" s="39" t="s">
        <v>65</v>
      </c>
      <c r="H401" s="41">
        <v>4775.04</v>
      </c>
      <c r="I401" s="41">
        <v>4785.66</v>
      </c>
      <c r="J401" s="39" t="s">
        <v>143</v>
      </c>
      <c r="K401" s="42">
        <v>0.03</v>
      </c>
      <c r="L401" s="39" t="s">
        <v>68</v>
      </c>
      <c r="M401" s="39" t="s">
        <v>138</v>
      </c>
      <c r="N401" s="39" t="s">
        <v>142</v>
      </c>
      <c r="O401" s="43">
        <f t="shared" si="126"/>
        <v>153141.12</v>
      </c>
      <c r="P401" s="43">
        <f t="shared" si="127"/>
        <v>148546.89000000001</v>
      </c>
      <c r="Q401" s="43">
        <f t="shared" si="128"/>
        <v>152801.28</v>
      </c>
      <c r="R401" s="43">
        <f t="shared" si="129"/>
        <v>-4254.3899999999849</v>
      </c>
      <c r="S401" s="44">
        <f t="shared" si="130"/>
        <v>-2.8640047597091964E-2</v>
      </c>
      <c r="T401" s="39" t="str">
        <f t="shared" si="131"/>
        <v>Loss</v>
      </c>
      <c r="U401" s="39" t="str">
        <f t="shared" si="132"/>
        <v>0-9%</v>
      </c>
      <c r="V401" s="39" t="str">
        <f>IF(E401&gt;=Analysis!$B$4,"High",IF(E401&gt;=Analysis!$B$5,"Mid","Low"))</f>
        <v>Mid</v>
      </c>
      <c r="W401" s="39" t="str">
        <f t="shared" si="133"/>
        <v>2023-09</v>
      </c>
      <c r="X401" s="40">
        <f t="shared" si="134"/>
        <v>45199</v>
      </c>
      <c r="Y401" s="39" t="str">
        <f t="shared" si="135"/>
        <v>2023-Q3</v>
      </c>
      <c r="Z401" s="39" t="str">
        <f t="shared" si="136"/>
        <v>Sun</v>
      </c>
      <c r="AA401" s="39">
        <f t="shared" si="137"/>
        <v>7</v>
      </c>
      <c r="AB401" s="39">
        <f t="shared" si="138"/>
        <v>36</v>
      </c>
      <c r="AC401" s="39" t="str">
        <f t="shared" si="139"/>
        <v>Weekend</v>
      </c>
      <c r="AD401" s="39">
        <f t="shared" ca="1" si="140"/>
        <v>1147</v>
      </c>
      <c r="AE401" s="39">
        <f t="shared" ca="1" si="141"/>
        <v>37</v>
      </c>
      <c r="AF401" s="39" t="str">
        <f t="shared" si="142"/>
        <v>DAV</v>
      </c>
      <c r="AG401" s="39" t="str">
        <f t="shared" si="143"/>
        <v>SO-230903-0400</v>
      </c>
      <c r="AH401" s="39" t="str">
        <f>IF(AND(OR(Filter!$B$4="All",D401=Filter!$B$4),OR(Filter!$B$5="All",M401=Filter!$B$5),E401&gt;=Filter!$B$6),MAX(AH$1:AH400)+1,"")</f>
        <v/>
      </c>
      <c r="AI401" s="39">
        <f t="shared" si="144"/>
        <v>32</v>
      </c>
      <c r="AJ401" s="42">
        <f t="shared" si="145"/>
        <v>0.03</v>
      </c>
      <c r="AK401" s="41">
        <f t="shared" si="146"/>
        <v>4785.66</v>
      </c>
      <c r="AL401" s="39">
        <f>RANK(E401,$E$2:$E$1001,0)+COUNTIF($E$2:E401,E401)-1</f>
        <v>571</v>
      </c>
    </row>
    <row r="402" spans="1:38" x14ac:dyDescent="0.2">
      <c r="A402" s="39">
        <v>1066</v>
      </c>
      <c r="B402" s="40">
        <v>45204</v>
      </c>
      <c r="C402" s="39" t="s">
        <v>61</v>
      </c>
      <c r="D402" s="39" t="s">
        <v>69</v>
      </c>
      <c r="E402" s="41">
        <v>3530.59</v>
      </c>
      <c r="F402" s="39">
        <v>4</v>
      </c>
      <c r="G402" s="39" t="s">
        <v>75</v>
      </c>
      <c r="H402" s="41">
        <v>4596.68</v>
      </c>
      <c r="I402" s="41">
        <v>5044.74</v>
      </c>
      <c r="J402" s="39" t="s">
        <v>143</v>
      </c>
      <c r="K402" s="42">
        <v>0.01</v>
      </c>
      <c r="L402" s="39" t="s">
        <v>63</v>
      </c>
      <c r="M402" s="39" t="s">
        <v>138</v>
      </c>
      <c r="N402" s="39" t="s">
        <v>150</v>
      </c>
      <c r="O402" s="43">
        <f t="shared" si="126"/>
        <v>20178.96</v>
      </c>
      <c r="P402" s="43">
        <f t="shared" si="127"/>
        <v>19977.169999999998</v>
      </c>
      <c r="Q402" s="43">
        <f t="shared" si="128"/>
        <v>18386.72</v>
      </c>
      <c r="R402" s="43">
        <f t="shared" si="129"/>
        <v>1590.4499999999971</v>
      </c>
      <c r="S402" s="44">
        <f t="shared" si="130"/>
        <v>7.9613378671753665E-2</v>
      </c>
      <c r="T402" s="39" t="str">
        <f t="shared" si="131"/>
        <v>OK</v>
      </c>
      <c r="U402" s="39" t="str">
        <f t="shared" si="132"/>
        <v>0-9%</v>
      </c>
      <c r="V402" s="39" t="str">
        <f>IF(E402&gt;=Analysis!$B$4,"High",IF(E402&gt;=Analysis!$B$5,"Mid","Low"))</f>
        <v>Mid</v>
      </c>
      <c r="W402" s="39" t="str">
        <f t="shared" si="133"/>
        <v>2023-10</v>
      </c>
      <c r="X402" s="40">
        <f t="shared" si="134"/>
        <v>45230</v>
      </c>
      <c r="Y402" s="39" t="str">
        <f t="shared" si="135"/>
        <v>2023-Q4</v>
      </c>
      <c r="Z402" s="39" t="str">
        <f t="shared" si="136"/>
        <v>Thu</v>
      </c>
      <c r="AA402" s="39">
        <f t="shared" si="137"/>
        <v>4</v>
      </c>
      <c r="AB402" s="39">
        <f t="shared" si="138"/>
        <v>41</v>
      </c>
      <c r="AC402" s="39" t="str">
        <f t="shared" si="139"/>
        <v>Weekday</v>
      </c>
      <c r="AD402" s="39">
        <f t="shared" ca="1" si="140"/>
        <v>1115</v>
      </c>
      <c r="AE402" s="39">
        <f t="shared" ca="1" si="141"/>
        <v>36</v>
      </c>
      <c r="AF402" s="39" t="str">
        <f t="shared" si="142"/>
        <v>ALI</v>
      </c>
      <c r="AG402" s="39" t="str">
        <f t="shared" si="143"/>
        <v>SO-231005-0401</v>
      </c>
      <c r="AH402" s="39" t="str">
        <f>IF(AND(OR(Filter!$B$4="All",D402=Filter!$B$4),OR(Filter!$B$5="All",M402=Filter!$B$5),E402&gt;=Filter!$B$6),MAX(AH$1:AH401)+1,"")</f>
        <v/>
      </c>
      <c r="AI402" s="39">
        <f t="shared" si="144"/>
        <v>4</v>
      </c>
      <c r="AJ402" s="42">
        <f t="shared" si="145"/>
        <v>0.01</v>
      </c>
      <c r="AK402" s="41">
        <f t="shared" si="146"/>
        <v>5044.74</v>
      </c>
      <c r="AL402" s="39">
        <f>RANK(E402,$E$2:$E$1001,0)+COUNTIF($E$2:E402,E402)-1</f>
        <v>647</v>
      </c>
    </row>
    <row r="403" spans="1:38" x14ac:dyDescent="0.2">
      <c r="A403" s="39">
        <v>1027</v>
      </c>
      <c r="B403" s="40">
        <v>45161</v>
      </c>
      <c r="C403" s="39" t="s">
        <v>66</v>
      </c>
      <c r="D403" s="39" t="s">
        <v>59</v>
      </c>
      <c r="E403" s="41">
        <v>4036.36</v>
      </c>
      <c r="F403" s="39">
        <v>4</v>
      </c>
      <c r="G403" s="39" t="s">
        <v>65</v>
      </c>
      <c r="H403" s="41">
        <v>282.61</v>
      </c>
      <c r="I403" s="41">
        <v>548.25</v>
      </c>
      <c r="J403" s="39" t="s">
        <v>143</v>
      </c>
      <c r="K403" s="42">
        <v>0.17</v>
      </c>
      <c r="L403" s="39" t="s">
        <v>73</v>
      </c>
      <c r="M403" s="39" t="s">
        <v>138</v>
      </c>
      <c r="N403" s="39" t="s">
        <v>153</v>
      </c>
      <c r="O403" s="43">
        <f t="shared" si="126"/>
        <v>2193</v>
      </c>
      <c r="P403" s="43">
        <f t="shared" si="127"/>
        <v>1820.19</v>
      </c>
      <c r="Q403" s="43">
        <f t="shared" si="128"/>
        <v>1130.44</v>
      </c>
      <c r="R403" s="43">
        <f t="shared" si="129"/>
        <v>689.75</v>
      </c>
      <c r="S403" s="44">
        <f t="shared" si="130"/>
        <v>0.37894395640015599</v>
      </c>
      <c r="T403" s="39" t="str">
        <f t="shared" si="131"/>
        <v>OK</v>
      </c>
      <c r="U403" s="39" t="str">
        <f t="shared" si="132"/>
        <v>10-19%</v>
      </c>
      <c r="V403" s="39" t="str">
        <f>IF(E403&gt;=Analysis!$B$4,"High",IF(E403&gt;=Analysis!$B$5,"Mid","Low"))</f>
        <v>Mid</v>
      </c>
      <c r="W403" s="39" t="str">
        <f t="shared" si="133"/>
        <v>2023-08</v>
      </c>
      <c r="X403" s="40">
        <f t="shared" si="134"/>
        <v>45169</v>
      </c>
      <c r="Y403" s="39" t="str">
        <f t="shared" si="135"/>
        <v>2023-Q3</v>
      </c>
      <c r="Z403" s="39" t="str">
        <f t="shared" si="136"/>
        <v>Wed</v>
      </c>
      <c r="AA403" s="39">
        <f t="shared" si="137"/>
        <v>3</v>
      </c>
      <c r="AB403" s="39">
        <f t="shared" si="138"/>
        <v>35</v>
      </c>
      <c r="AC403" s="39" t="str">
        <f t="shared" si="139"/>
        <v>Weekday</v>
      </c>
      <c r="AD403" s="39">
        <f t="shared" ca="1" si="140"/>
        <v>1158</v>
      </c>
      <c r="AE403" s="39">
        <f t="shared" ca="1" si="141"/>
        <v>38</v>
      </c>
      <c r="AF403" s="39" t="str">
        <f t="shared" si="142"/>
        <v>BOB</v>
      </c>
      <c r="AG403" s="39" t="str">
        <f t="shared" si="143"/>
        <v>EO-230823-0402</v>
      </c>
      <c r="AH403" s="39" t="str">
        <f>IF(AND(OR(Filter!$B$4="All",D403=Filter!$B$4),OR(Filter!$B$5="All",M403=Filter!$B$5),E403&gt;=Filter!$B$6),MAX(AH$1:AH402)+1,"")</f>
        <v/>
      </c>
      <c r="AI403" s="39">
        <f t="shared" si="144"/>
        <v>4</v>
      </c>
      <c r="AJ403" s="42">
        <f t="shared" si="145"/>
        <v>0.17</v>
      </c>
      <c r="AK403" s="41">
        <f t="shared" si="146"/>
        <v>548.25</v>
      </c>
      <c r="AL403" s="39">
        <f>RANK(E403,$E$2:$E$1001,0)+COUNTIF($E$2:E403,E403)-1</f>
        <v>594</v>
      </c>
    </row>
    <row r="404" spans="1:38" x14ac:dyDescent="0.2">
      <c r="A404" s="39">
        <v>1002</v>
      </c>
      <c r="B404" s="40">
        <v>44930</v>
      </c>
      <c r="C404" s="39" t="s">
        <v>66</v>
      </c>
      <c r="D404" s="39" t="s">
        <v>59</v>
      </c>
      <c r="E404" s="41">
        <v>2716.34</v>
      </c>
      <c r="F404" s="39">
        <v>17</v>
      </c>
      <c r="G404" s="39" t="s">
        <v>75</v>
      </c>
      <c r="H404" s="41">
        <v>1727.12</v>
      </c>
      <c r="I404" s="41">
        <v>1865.83</v>
      </c>
      <c r="J404" s="39" t="s">
        <v>143</v>
      </c>
      <c r="K404" s="42">
        <v>0.21</v>
      </c>
      <c r="L404" s="39" t="s">
        <v>68</v>
      </c>
      <c r="M404" s="39" t="s">
        <v>138</v>
      </c>
      <c r="N404" s="39" t="s">
        <v>153</v>
      </c>
      <c r="O404" s="43">
        <f t="shared" si="126"/>
        <v>31719.11</v>
      </c>
      <c r="P404" s="43">
        <f t="shared" si="127"/>
        <v>25058.1</v>
      </c>
      <c r="Q404" s="43">
        <f t="shared" si="128"/>
        <v>29361.040000000001</v>
      </c>
      <c r="R404" s="43">
        <f t="shared" si="129"/>
        <v>-4302.9400000000023</v>
      </c>
      <c r="S404" s="44">
        <f t="shared" si="130"/>
        <v>-0.17171852614523858</v>
      </c>
      <c r="T404" s="39" t="str">
        <f t="shared" si="131"/>
        <v>Loss</v>
      </c>
      <c r="U404" s="39" t="str">
        <f t="shared" si="132"/>
        <v>20%+</v>
      </c>
      <c r="V404" s="39" t="str">
        <f>IF(E404&gt;=Analysis!$B$4,"High",IF(E404&gt;=Analysis!$B$5,"Mid","Low"))</f>
        <v>Mid</v>
      </c>
      <c r="W404" s="39" t="str">
        <f t="shared" si="133"/>
        <v>2023-01</v>
      </c>
      <c r="X404" s="40">
        <f t="shared" si="134"/>
        <v>44957</v>
      </c>
      <c r="Y404" s="39" t="str">
        <f t="shared" si="135"/>
        <v>2023-Q1</v>
      </c>
      <c r="Z404" s="39" t="str">
        <f t="shared" si="136"/>
        <v>Wed</v>
      </c>
      <c r="AA404" s="39">
        <f t="shared" si="137"/>
        <v>3</v>
      </c>
      <c r="AB404" s="39">
        <f t="shared" si="138"/>
        <v>2</v>
      </c>
      <c r="AC404" s="39" t="str">
        <f t="shared" si="139"/>
        <v>Weekday</v>
      </c>
      <c r="AD404" s="39">
        <f t="shared" ca="1" si="140"/>
        <v>1389</v>
      </c>
      <c r="AE404" s="39">
        <f t="shared" ca="1" si="141"/>
        <v>45</v>
      </c>
      <c r="AF404" s="39" t="str">
        <f t="shared" si="142"/>
        <v>BOB</v>
      </c>
      <c r="AG404" s="39" t="str">
        <f t="shared" si="143"/>
        <v>EO-230104-0403</v>
      </c>
      <c r="AH404" s="39" t="str">
        <f>IF(AND(OR(Filter!$B$4="All",D404=Filter!$B$4),OR(Filter!$B$5="All",M404=Filter!$B$5),E404&gt;=Filter!$B$6),MAX(AH$1:AH403)+1,"")</f>
        <v/>
      </c>
      <c r="AI404" s="39">
        <f t="shared" si="144"/>
        <v>17</v>
      </c>
      <c r="AJ404" s="42">
        <f t="shared" si="145"/>
        <v>0.21</v>
      </c>
      <c r="AK404" s="41">
        <f t="shared" si="146"/>
        <v>1865.83</v>
      </c>
      <c r="AL404" s="39">
        <f>RANK(E404,$E$2:$E$1001,0)+COUNTIF($E$2:E404,E404)-1</f>
        <v>731</v>
      </c>
    </row>
    <row r="405" spans="1:38" x14ac:dyDescent="0.2">
      <c r="A405" s="39">
        <v>1090</v>
      </c>
      <c r="B405" s="40">
        <v>45080</v>
      </c>
      <c r="C405" s="39" t="s">
        <v>79</v>
      </c>
      <c r="D405" s="39" t="s">
        <v>64</v>
      </c>
      <c r="E405" s="41">
        <v>2132.8000000000002</v>
      </c>
      <c r="F405" s="39">
        <v>41</v>
      </c>
      <c r="G405" s="39" t="s">
        <v>75</v>
      </c>
      <c r="H405" s="41">
        <v>2055.4899999999998</v>
      </c>
      <c r="I405" s="41">
        <v>2441.46</v>
      </c>
      <c r="J405" s="39" t="s">
        <v>143</v>
      </c>
      <c r="K405" s="42">
        <v>0.24</v>
      </c>
      <c r="L405" s="39" t="s">
        <v>73</v>
      </c>
      <c r="M405" s="39" t="s">
        <v>138</v>
      </c>
      <c r="N405" s="39" t="s">
        <v>148</v>
      </c>
      <c r="O405" s="43">
        <f t="shared" si="126"/>
        <v>100099.86</v>
      </c>
      <c r="P405" s="43">
        <f t="shared" si="127"/>
        <v>76075.89</v>
      </c>
      <c r="Q405" s="43">
        <f t="shared" si="128"/>
        <v>84275.09</v>
      </c>
      <c r="R405" s="43">
        <f t="shared" si="129"/>
        <v>-8199.1999999999971</v>
      </c>
      <c r="S405" s="44">
        <f t="shared" si="130"/>
        <v>-0.10777658992881972</v>
      </c>
      <c r="T405" s="39" t="str">
        <f t="shared" si="131"/>
        <v>Loss</v>
      </c>
      <c r="U405" s="39" t="str">
        <f t="shared" si="132"/>
        <v>20%+</v>
      </c>
      <c r="V405" s="39" t="str">
        <f>IF(E405&gt;=Analysis!$B$4,"High",IF(E405&gt;=Analysis!$B$5,"Mid","Low"))</f>
        <v>Low</v>
      </c>
      <c r="W405" s="39" t="str">
        <f t="shared" si="133"/>
        <v>2023-06</v>
      </c>
      <c r="X405" s="40">
        <f t="shared" si="134"/>
        <v>45107</v>
      </c>
      <c r="Y405" s="39" t="str">
        <f t="shared" si="135"/>
        <v>2023-Q2</v>
      </c>
      <c r="Z405" s="39" t="str">
        <f t="shared" si="136"/>
        <v>Sat</v>
      </c>
      <c r="AA405" s="39">
        <f t="shared" si="137"/>
        <v>6</v>
      </c>
      <c r="AB405" s="39">
        <f t="shared" si="138"/>
        <v>23</v>
      </c>
      <c r="AC405" s="39" t="str">
        <f t="shared" si="139"/>
        <v>Weekend</v>
      </c>
      <c r="AD405" s="39">
        <f t="shared" ca="1" si="140"/>
        <v>1239</v>
      </c>
      <c r="AE405" s="39">
        <f t="shared" ca="1" si="141"/>
        <v>40</v>
      </c>
      <c r="AF405" s="39" t="str">
        <f t="shared" si="142"/>
        <v>EVE</v>
      </c>
      <c r="AG405" s="39" t="str">
        <f t="shared" si="143"/>
        <v>NO-230603-0404</v>
      </c>
      <c r="AH405" s="39" t="str">
        <f>IF(AND(OR(Filter!$B$4="All",D405=Filter!$B$4),OR(Filter!$B$5="All",M405=Filter!$B$5),E405&gt;=Filter!$B$6),MAX(AH$1:AH404)+1,"")</f>
        <v/>
      </c>
      <c r="AI405" s="39">
        <f t="shared" si="144"/>
        <v>41</v>
      </c>
      <c r="AJ405" s="42">
        <f t="shared" si="145"/>
        <v>0.24</v>
      </c>
      <c r="AK405" s="41">
        <f t="shared" si="146"/>
        <v>2441.46</v>
      </c>
      <c r="AL405" s="39">
        <f>RANK(E405,$E$2:$E$1001,0)+COUNTIF($E$2:E405,E405)-1</f>
        <v>800</v>
      </c>
    </row>
    <row r="406" spans="1:38" x14ac:dyDescent="0.2">
      <c r="A406" s="39">
        <v>1017</v>
      </c>
      <c r="B406" s="40">
        <v>44955</v>
      </c>
      <c r="C406" s="39" t="s">
        <v>71</v>
      </c>
      <c r="D406" s="39" t="s">
        <v>69</v>
      </c>
      <c r="E406" s="41">
        <v>4882.09</v>
      </c>
      <c r="F406" s="39">
        <v>19</v>
      </c>
      <c r="G406" s="39" t="s">
        <v>65</v>
      </c>
      <c r="H406" s="41">
        <v>1233.1199999999999</v>
      </c>
      <c r="I406" s="41">
        <v>1697.19</v>
      </c>
      <c r="J406" s="39" t="s">
        <v>143</v>
      </c>
      <c r="K406" s="42">
        <v>0.1</v>
      </c>
      <c r="L406" s="39" t="s">
        <v>73</v>
      </c>
      <c r="M406" s="39" t="s">
        <v>138</v>
      </c>
      <c r="N406" s="39" t="s">
        <v>151</v>
      </c>
      <c r="O406" s="43">
        <f t="shared" si="126"/>
        <v>32246.61</v>
      </c>
      <c r="P406" s="43">
        <f t="shared" si="127"/>
        <v>29021.95</v>
      </c>
      <c r="Q406" s="43">
        <f t="shared" si="128"/>
        <v>23429.279999999999</v>
      </c>
      <c r="R406" s="43">
        <f t="shared" si="129"/>
        <v>5592.6700000000019</v>
      </c>
      <c r="S406" s="44">
        <f t="shared" si="130"/>
        <v>0.19270483203230665</v>
      </c>
      <c r="T406" s="39" t="str">
        <f t="shared" si="131"/>
        <v>OK</v>
      </c>
      <c r="U406" s="39" t="str">
        <f t="shared" si="132"/>
        <v>10-19%</v>
      </c>
      <c r="V406" s="39" t="str">
        <f>IF(E406&gt;=Analysis!$B$4,"High",IF(E406&gt;=Analysis!$B$5,"Mid","Low"))</f>
        <v>Mid</v>
      </c>
      <c r="W406" s="39" t="str">
        <f t="shared" si="133"/>
        <v>2023-01</v>
      </c>
      <c r="X406" s="40">
        <f t="shared" si="134"/>
        <v>44957</v>
      </c>
      <c r="Y406" s="39" t="str">
        <f t="shared" si="135"/>
        <v>2023-Q1</v>
      </c>
      <c r="Z406" s="39" t="str">
        <f t="shared" si="136"/>
        <v>Sun</v>
      </c>
      <c r="AA406" s="39">
        <f t="shared" si="137"/>
        <v>7</v>
      </c>
      <c r="AB406" s="39">
        <f t="shared" si="138"/>
        <v>5</v>
      </c>
      <c r="AC406" s="39" t="str">
        <f t="shared" si="139"/>
        <v>Weekend</v>
      </c>
      <c r="AD406" s="39">
        <f t="shared" ca="1" si="140"/>
        <v>1364</v>
      </c>
      <c r="AE406" s="39">
        <f t="shared" ca="1" si="141"/>
        <v>44</v>
      </c>
      <c r="AF406" s="39" t="str">
        <f t="shared" si="142"/>
        <v>CHA</v>
      </c>
      <c r="AG406" s="39" t="str">
        <f t="shared" si="143"/>
        <v>SO-230129-0405</v>
      </c>
      <c r="AH406" s="39" t="str">
        <f>IF(AND(OR(Filter!$B$4="All",D406=Filter!$B$4),OR(Filter!$B$5="All",M406=Filter!$B$5),E406&gt;=Filter!$B$6),MAX(AH$1:AH405)+1,"")</f>
        <v/>
      </c>
      <c r="AI406" s="39">
        <f t="shared" si="144"/>
        <v>19</v>
      </c>
      <c r="AJ406" s="42">
        <f t="shared" si="145"/>
        <v>0.1</v>
      </c>
      <c r="AK406" s="41">
        <f t="shared" si="146"/>
        <v>1697.19</v>
      </c>
      <c r="AL406" s="39">
        <f>RANK(E406,$E$2:$E$1001,0)+COUNTIF($E$2:E406,E406)-1</f>
        <v>516</v>
      </c>
    </row>
    <row r="407" spans="1:38" x14ac:dyDescent="0.2">
      <c r="A407" s="39">
        <v>1033</v>
      </c>
      <c r="B407" s="40">
        <v>45035</v>
      </c>
      <c r="C407" s="39" t="s">
        <v>66</v>
      </c>
      <c r="D407" s="39" t="s">
        <v>69</v>
      </c>
      <c r="E407" s="41">
        <v>2758.48</v>
      </c>
      <c r="F407" s="39">
        <v>5</v>
      </c>
      <c r="G407" s="39" t="s">
        <v>75</v>
      </c>
      <c r="H407" s="41">
        <v>3162.92</v>
      </c>
      <c r="I407" s="41">
        <v>3409.93</v>
      </c>
      <c r="J407" s="39" t="s">
        <v>143</v>
      </c>
      <c r="K407" s="42">
        <v>0</v>
      </c>
      <c r="L407" s="39" t="s">
        <v>68</v>
      </c>
      <c r="M407" s="39" t="s">
        <v>138</v>
      </c>
      <c r="N407" s="39" t="s">
        <v>144</v>
      </c>
      <c r="O407" s="43">
        <f t="shared" si="126"/>
        <v>17049.650000000001</v>
      </c>
      <c r="P407" s="43">
        <f t="shared" si="127"/>
        <v>17049.650000000001</v>
      </c>
      <c r="Q407" s="43">
        <f t="shared" si="128"/>
        <v>15814.6</v>
      </c>
      <c r="R407" s="43">
        <f t="shared" si="129"/>
        <v>1235.0500000000011</v>
      </c>
      <c r="S407" s="44">
        <f t="shared" si="130"/>
        <v>7.2438437152668886E-2</v>
      </c>
      <c r="T407" s="39" t="str">
        <f t="shared" si="131"/>
        <v>OK</v>
      </c>
      <c r="U407" s="39" t="str">
        <f t="shared" si="132"/>
        <v>0-9%</v>
      </c>
      <c r="V407" s="39" t="str">
        <f>IF(E407&gt;=Analysis!$B$4,"High",IF(E407&gt;=Analysis!$B$5,"Mid","Low"))</f>
        <v>Mid</v>
      </c>
      <c r="W407" s="39" t="str">
        <f t="shared" si="133"/>
        <v>2023-04</v>
      </c>
      <c r="X407" s="40">
        <f t="shared" si="134"/>
        <v>45046</v>
      </c>
      <c r="Y407" s="39" t="str">
        <f t="shared" si="135"/>
        <v>2023-Q2</v>
      </c>
      <c r="Z407" s="39" t="str">
        <f t="shared" si="136"/>
        <v>Wed</v>
      </c>
      <c r="AA407" s="39">
        <f t="shared" si="137"/>
        <v>3</v>
      </c>
      <c r="AB407" s="39">
        <f t="shared" si="138"/>
        <v>17</v>
      </c>
      <c r="AC407" s="39" t="str">
        <f t="shared" si="139"/>
        <v>Weekday</v>
      </c>
      <c r="AD407" s="39">
        <f t="shared" ca="1" si="140"/>
        <v>1284</v>
      </c>
      <c r="AE407" s="39">
        <f t="shared" ca="1" si="141"/>
        <v>42</v>
      </c>
      <c r="AF407" s="39" t="str">
        <f t="shared" si="142"/>
        <v>BOB</v>
      </c>
      <c r="AG407" s="39" t="str">
        <f t="shared" si="143"/>
        <v>SO-230419-0406</v>
      </c>
      <c r="AH407" s="39" t="str">
        <f>IF(AND(OR(Filter!$B$4="All",D407=Filter!$B$4),OR(Filter!$B$5="All",M407=Filter!$B$5),E407&gt;=Filter!$B$6),MAX(AH$1:AH406)+1,"")</f>
        <v/>
      </c>
      <c r="AI407" s="39">
        <f t="shared" si="144"/>
        <v>5</v>
      </c>
      <c r="AJ407" s="42">
        <f t="shared" si="145"/>
        <v>0</v>
      </c>
      <c r="AK407" s="41">
        <f t="shared" si="146"/>
        <v>3409.93</v>
      </c>
      <c r="AL407" s="39">
        <f>RANK(E407,$E$2:$E$1001,0)+COUNTIF($E$2:E407,E407)-1</f>
        <v>725</v>
      </c>
    </row>
    <row r="408" spans="1:38" x14ac:dyDescent="0.2">
      <c r="A408" s="39">
        <v>1009</v>
      </c>
      <c r="B408" s="40">
        <v>45024</v>
      </c>
      <c r="C408" s="39" t="s">
        <v>71</v>
      </c>
      <c r="D408" s="39" t="s">
        <v>69</v>
      </c>
      <c r="E408" s="41">
        <v>2945.87</v>
      </c>
      <c r="F408" s="39">
        <v>32</v>
      </c>
      <c r="G408" s="39" t="s">
        <v>60</v>
      </c>
      <c r="H408" s="41">
        <v>3219.88</v>
      </c>
      <c r="I408" s="41">
        <v>3384.5</v>
      </c>
      <c r="J408" s="39" t="s">
        <v>137</v>
      </c>
      <c r="K408" s="42">
        <v>0.14000000000000001</v>
      </c>
      <c r="L408" s="39" t="s">
        <v>68</v>
      </c>
      <c r="M408" s="39" t="s">
        <v>140</v>
      </c>
      <c r="N408" s="39" t="s">
        <v>151</v>
      </c>
      <c r="O408" s="43">
        <f t="shared" si="126"/>
        <v>108304</v>
      </c>
      <c r="P408" s="43">
        <f t="shared" si="127"/>
        <v>93141.440000000002</v>
      </c>
      <c r="Q408" s="43">
        <f t="shared" si="128"/>
        <v>103036.16</v>
      </c>
      <c r="R408" s="43">
        <f t="shared" si="129"/>
        <v>-9894.7200000000012</v>
      </c>
      <c r="S408" s="44">
        <f t="shared" si="130"/>
        <v>-0.10623327275163451</v>
      </c>
      <c r="T408" s="39" t="str">
        <f t="shared" si="131"/>
        <v>Loss</v>
      </c>
      <c r="U408" s="39" t="str">
        <f t="shared" si="132"/>
        <v>10-19%</v>
      </c>
      <c r="V408" s="39" t="str">
        <f>IF(E408&gt;=Analysis!$B$4,"High",IF(E408&gt;=Analysis!$B$5,"Mid","Low"))</f>
        <v>Mid</v>
      </c>
      <c r="W408" s="39" t="str">
        <f t="shared" si="133"/>
        <v>2023-04</v>
      </c>
      <c r="X408" s="40">
        <f t="shared" si="134"/>
        <v>45046</v>
      </c>
      <c r="Y408" s="39" t="str">
        <f t="shared" si="135"/>
        <v>2023-Q2</v>
      </c>
      <c r="Z408" s="39" t="str">
        <f t="shared" si="136"/>
        <v>Sat</v>
      </c>
      <c r="AA408" s="39">
        <f t="shared" si="137"/>
        <v>6</v>
      </c>
      <c r="AB408" s="39">
        <f t="shared" si="138"/>
        <v>15</v>
      </c>
      <c r="AC408" s="39" t="str">
        <f t="shared" si="139"/>
        <v>Weekend</v>
      </c>
      <c r="AD408" s="39">
        <f t="shared" ca="1" si="140"/>
        <v>1295</v>
      </c>
      <c r="AE408" s="39">
        <f t="shared" ca="1" si="141"/>
        <v>42</v>
      </c>
      <c r="AF408" s="39" t="str">
        <f t="shared" si="142"/>
        <v>CHA</v>
      </c>
      <c r="AG408" s="39" t="str">
        <f t="shared" si="143"/>
        <v>SR-230408-0407</v>
      </c>
      <c r="AH408" s="39" t="str">
        <f>IF(AND(OR(Filter!$B$4="All",D408=Filter!$B$4),OR(Filter!$B$5="All",M408=Filter!$B$5),E408&gt;=Filter!$B$6),MAX(AH$1:AH407)+1,"")</f>
        <v/>
      </c>
      <c r="AI408" s="39">
        <f t="shared" si="144"/>
        <v>32</v>
      </c>
      <c r="AJ408" s="42">
        <f t="shared" si="145"/>
        <v>0.14000000000000001</v>
      </c>
      <c r="AK408" s="41">
        <f t="shared" si="146"/>
        <v>3384.5</v>
      </c>
      <c r="AL408" s="39">
        <f>RANK(E408,$E$2:$E$1001,0)+COUNTIF($E$2:E408,E408)-1</f>
        <v>701</v>
      </c>
    </row>
    <row r="409" spans="1:38" x14ac:dyDescent="0.2">
      <c r="A409" s="39">
        <v>1043</v>
      </c>
      <c r="B409" s="40">
        <v>45141</v>
      </c>
      <c r="C409" s="39" t="s">
        <v>76</v>
      </c>
      <c r="D409" s="39" t="s">
        <v>59</v>
      </c>
      <c r="E409" s="41">
        <v>6601.89</v>
      </c>
      <c r="F409" s="39">
        <v>22</v>
      </c>
      <c r="G409" s="39" t="s">
        <v>65</v>
      </c>
      <c r="H409" s="41">
        <v>4260</v>
      </c>
      <c r="I409" s="41">
        <v>4656.58</v>
      </c>
      <c r="J409" s="39" t="s">
        <v>143</v>
      </c>
      <c r="K409" s="42">
        <v>0</v>
      </c>
      <c r="L409" s="39" t="s">
        <v>63</v>
      </c>
      <c r="M409" s="39" t="s">
        <v>138</v>
      </c>
      <c r="N409" s="39" t="s">
        <v>157</v>
      </c>
      <c r="O409" s="43">
        <f t="shared" si="126"/>
        <v>102444.76</v>
      </c>
      <c r="P409" s="43">
        <f t="shared" si="127"/>
        <v>102444.76</v>
      </c>
      <c r="Q409" s="43">
        <f t="shared" si="128"/>
        <v>93720</v>
      </c>
      <c r="R409" s="43">
        <f t="shared" si="129"/>
        <v>8724.7599999999948</v>
      </c>
      <c r="S409" s="44">
        <f t="shared" si="130"/>
        <v>8.5165507733143159E-2</v>
      </c>
      <c r="T409" s="39" t="str">
        <f t="shared" si="131"/>
        <v>OK</v>
      </c>
      <c r="U409" s="39" t="str">
        <f t="shared" si="132"/>
        <v>0-9%</v>
      </c>
      <c r="V409" s="39" t="str">
        <f>IF(E409&gt;=Analysis!$B$4,"High",IF(E409&gt;=Analysis!$B$5,"Mid","Low"))</f>
        <v>Mid</v>
      </c>
      <c r="W409" s="39" t="str">
        <f t="shared" si="133"/>
        <v>2023-08</v>
      </c>
      <c r="X409" s="40">
        <f t="shared" si="134"/>
        <v>45169</v>
      </c>
      <c r="Y409" s="39" t="str">
        <f t="shared" si="135"/>
        <v>2023-Q3</v>
      </c>
      <c r="Z409" s="39" t="str">
        <f t="shared" si="136"/>
        <v>Thu</v>
      </c>
      <c r="AA409" s="39">
        <f t="shared" si="137"/>
        <v>4</v>
      </c>
      <c r="AB409" s="39">
        <f t="shared" si="138"/>
        <v>32</v>
      </c>
      <c r="AC409" s="39" t="str">
        <f t="shared" si="139"/>
        <v>Weekday</v>
      </c>
      <c r="AD409" s="39">
        <f t="shared" ca="1" si="140"/>
        <v>1178</v>
      </c>
      <c r="AE409" s="39">
        <f t="shared" ca="1" si="141"/>
        <v>38</v>
      </c>
      <c r="AF409" s="39" t="str">
        <f t="shared" si="142"/>
        <v>DAV</v>
      </c>
      <c r="AG409" s="39" t="str">
        <f t="shared" si="143"/>
        <v>EO-230803-0408</v>
      </c>
      <c r="AH409" s="39" t="str">
        <f>IF(AND(OR(Filter!$B$4="All",D409=Filter!$B$4),OR(Filter!$B$5="All",M409=Filter!$B$5),E409&gt;=Filter!$B$6),MAX(AH$1:AH408)+1,"")</f>
        <v/>
      </c>
      <c r="AI409" s="39">
        <f t="shared" si="144"/>
        <v>22</v>
      </c>
      <c r="AJ409" s="42">
        <f t="shared" si="145"/>
        <v>0</v>
      </c>
      <c r="AK409" s="41">
        <f t="shared" si="146"/>
        <v>4656.58</v>
      </c>
      <c r="AL409" s="39">
        <f>RANK(E409,$E$2:$E$1001,0)+COUNTIF($E$2:E409,E409)-1</f>
        <v>348</v>
      </c>
    </row>
    <row r="410" spans="1:38" x14ac:dyDescent="0.2">
      <c r="A410" s="39">
        <v>1048</v>
      </c>
      <c r="B410" s="40">
        <v>45219</v>
      </c>
      <c r="C410" s="39" t="s">
        <v>61</v>
      </c>
      <c r="D410" s="39" t="s">
        <v>69</v>
      </c>
      <c r="E410" s="41">
        <v>9688.52</v>
      </c>
      <c r="F410" s="39">
        <v>6</v>
      </c>
      <c r="G410" s="39" t="s">
        <v>65</v>
      </c>
      <c r="H410" s="41">
        <v>3717.3</v>
      </c>
      <c r="I410" s="41">
        <v>4061.37</v>
      </c>
      <c r="J410" s="39" t="s">
        <v>143</v>
      </c>
      <c r="K410" s="42">
        <v>0.03</v>
      </c>
      <c r="L410" s="39" t="s">
        <v>63</v>
      </c>
      <c r="M410" s="39" t="s">
        <v>140</v>
      </c>
      <c r="N410" s="39" t="s">
        <v>150</v>
      </c>
      <c r="O410" s="43">
        <f t="shared" si="126"/>
        <v>24368.22</v>
      </c>
      <c r="P410" s="43">
        <f t="shared" si="127"/>
        <v>23637.17</v>
      </c>
      <c r="Q410" s="43">
        <f t="shared" si="128"/>
        <v>22303.8</v>
      </c>
      <c r="R410" s="43">
        <f t="shared" si="129"/>
        <v>1333.369999999999</v>
      </c>
      <c r="S410" s="44">
        <f t="shared" si="130"/>
        <v>5.6409883247444559E-2</v>
      </c>
      <c r="T410" s="39" t="str">
        <f t="shared" si="131"/>
        <v>OK</v>
      </c>
      <c r="U410" s="39" t="str">
        <f t="shared" si="132"/>
        <v>0-9%</v>
      </c>
      <c r="V410" s="39" t="str">
        <f>IF(E410&gt;=Analysis!$B$4,"High",IF(E410&gt;=Analysis!$B$5,"Mid","Low"))</f>
        <v>High</v>
      </c>
      <c r="W410" s="39" t="str">
        <f t="shared" si="133"/>
        <v>2023-10</v>
      </c>
      <c r="X410" s="40">
        <f t="shared" si="134"/>
        <v>45230</v>
      </c>
      <c r="Y410" s="39" t="str">
        <f t="shared" si="135"/>
        <v>2023-Q4</v>
      </c>
      <c r="Z410" s="39" t="str">
        <f t="shared" si="136"/>
        <v>Fri</v>
      </c>
      <c r="AA410" s="39">
        <f t="shared" si="137"/>
        <v>5</v>
      </c>
      <c r="AB410" s="39">
        <f t="shared" si="138"/>
        <v>43</v>
      </c>
      <c r="AC410" s="39" t="str">
        <f t="shared" si="139"/>
        <v>Weekday</v>
      </c>
      <c r="AD410" s="39">
        <f t="shared" ca="1" si="140"/>
        <v>1100</v>
      </c>
      <c r="AE410" s="39">
        <f t="shared" ca="1" si="141"/>
        <v>36</v>
      </c>
      <c r="AF410" s="39" t="str">
        <f t="shared" si="142"/>
        <v>ALI</v>
      </c>
      <c r="AG410" s="39" t="str">
        <f t="shared" si="143"/>
        <v>SR-231020-0409</v>
      </c>
      <c r="AH410" s="39">
        <f>IF(AND(OR(Filter!$B$4="All",D410=Filter!$B$4),OR(Filter!$B$5="All",M410=Filter!$B$5),E410&gt;=Filter!$B$6),MAX(AH$1:AH409)+1,"")</f>
        <v>44</v>
      </c>
      <c r="AI410" s="39">
        <f t="shared" si="144"/>
        <v>6</v>
      </c>
      <c r="AJ410" s="42">
        <f t="shared" si="145"/>
        <v>0.03</v>
      </c>
      <c r="AK410" s="41">
        <f t="shared" si="146"/>
        <v>4061.37</v>
      </c>
      <c r="AL410" s="39">
        <f>RANK(E410,$E$2:$E$1001,0)+COUNTIF($E$2:E410,E410)-1</f>
        <v>30</v>
      </c>
    </row>
    <row r="411" spans="1:38" x14ac:dyDescent="0.2">
      <c r="A411" s="39">
        <v>1039</v>
      </c>
      <c r="B411" s="40">
        <v>45001</v>
      </c>
      <c r="C411" s="39" t="s">
        <v>79</v>
      </c>
      <c r="D411" s="39" t="s">
        <v>64</v>
      </c>
      <c r="E411" s="41">
        <v>6076.01</v>
      </c>
      <c r="F411" s="39">
        <v>35</v>
      </c>
      <c r="G411" s="39" t="s">
        <v>75</v>
      </c>
      <c r="H411" s="41">
        <v>2735.74</v>
      </c>
      <c r="I411" s="41">
        <v>3181.23</v>
      </c>
      <c r="J411" s="39" t="s">
        <v>143</v>
      </c>
      <c r="K411" s="42">
        <v>0.1</v>
      </c>
      <c r="L411" s="39" t="s">
        <v>73</v>
      </c>
      <c r="M411" s="39" t="s">
        <v>140</v>
      </c>
      <c r="N411" s="39" t="s">
        <v>148</v>
      </c>
      <c r="O411" s="43">
        <f t="shared" si="126"/>
        <v>111343.05</v>
      </c>
      <c r="P411" s="43">
        <f t="shared" si="127"/>
        <v>100208.75</v>
      </c>
      <c r="Q411" s="43">
        <f t="shared" si="128"/>
        <v>95750.9</v>
      </c>
      <c r="R411" s="43">
        <f t="shared" si="129"/>
        <v>4457.8500000000058</v>
      </c>
      <c r="S411" s="44">
        <f t="shared" si="130"/>
        <v>4.4485636234360831E-2</v>
      </c>
      <c r="T411" s="39" t="str">
        <f t="shared" si="131"/>
        <v>OK</v>
      </c>
      <c r="U411" s="39" t="str">
        <f t="shared" si="132"/>
        <v>10-19%</v>
      </c>
      <c r="V411" s="39" t="str">
        <f>IF(E411&gt;=Analysis!$B$4,"High",IF(E411&gt;=Analysis!$B$5,"Mid","Low"))</f>
        <v>Mid</v>
      </c>
      <c r="W411" s="39" t="str">
        <f t="shared" si="133"/>
        <v>2023-03</v>
      </c>
      <c r="X411" s="40">
        <f t="shared" si="134"/>
        <v>45016</v>
      </c>
      <c r="Y411" s="39" t="str">
        <f t="shared" si="135"/>
        <v>2023-Q1</v>
      </c>
      <c r="Z411" s="39" t="str">
        <f t="shared" si="136"/>
        <v>Thu</v>
      </c>
      <c r="AA411" s="39">
        <f t="shared" si="137"/>
        <v>4</v>
      </c>
      <c r="AB411" s="39">
        <f t="shared" si="138"/>
        <v>12</v>
      </c>
      <c r="AC411" s="39" t="str">
        <f t="shared" si="139"/>
        <v>Weekday</v>
      </c>
      <c r="AD411" s="39">
        <f t="shared" ca="1" si="140"/>
        <v>1318</v>
      </c>
      <c r="AE411" s="39">
        <f t="shared" ca="1" si="141"/>
        <v>43</v>
      </c>
      <c r="AF411" s="39" t="str">
        <f t="shared" si="142"/>
        <v>EVE</v>
      </c>
      <c r="AG411" s="39" t="str">
        <f t="shared" si="143"/>
        <v>NR-230316-0410</v>
      </c>
      <c r="AH411" s="39" t="str">
        <f>IF(AND(OR(Filter!$B$4="All",D411=Filter!$B$4),OR(Filter!$B$5="All",M411=Filter!$B$5),E411&gt;=Filter!$B$6),MAX(AH$1:AH410)+1,"")</f>
        <v/>
      </c>
      <c r="AI411" s="39">
        <f t="shared" si="144"/>
        <v>35</v>
      </c>
      <c r="AJ411" s="42">
        <f t="shared" si="145"/>
        <v>0.1</v>
      </c>
      <c r="AK411" s="41">
        <f t="shared" si="146"/>
        <v>3181.23</v>
      </c>
      <c r="AL411" s="39">
        <f>RANK(E411,$E$2:$E$1001,0)+COUNTIF($E$2:E411,E411)-1</f>
        <v>400</v>
      </c>
    </row>
    <row r="412" spans="1:38" x14ac:dyDescent="0.2">
      <c r="A412" s="39">
        <v>1093</v>
      </c>
      <c r="B412" s="40">
        <v>45252</v>
      </c>
      <c r="C412" s="39" t="s">
        <v>71</v>
      </c>
      <c r="D412" s="39" t="s">
        <v>64</v>
      </c>
      <c r="E412" s="41">
        <v>862.1</v>
      </c>
      <c r="F412" s="39">
        <v>22</v>
      </c>
      <c r="G412" s="39" t="s">
        <v>75</v>
      </c>
      <c r="H412" s="41">
        <v>3285.25</v>
      </c>
      <c r="I412" s="41">
        <v>3634.58</v>
      </c>
      <c r="J412" s="39" t="s">
        <v>143</v>
      </c>
      <c r="K412" s="42">
        <v>0.13</v>
      </c>
      <c r="L412" s="39" t="s">
        <v>63</v>
      </c>
      <c r="M412" s="39" t="s">
        <v>138</v>
      </c>
      <c r="N412" s="39" t="s">
        <v>160</v>
      </c>
      <c r="O412" s="43">
        <f t="shared" si="126"/>
        <v>79960.759999999995</v>
      </c>
      <c r="P412" s="43">
        <f t="shared" si="127"/>
        <v>69565.86</v>
      </c>
      <c r="Q412" s="43">
        <f t="shared" si="128"/>
        <v>72275.5</v>
      </c>
      <c r="R412" s="43">
        <f t="shared" si="129"/>
        <v>-2709.6399999999994</v>
      </c>
      <c r="S412" s="44">
        <f t="shared" si="130"/>
        <v>-3.8950715192768395E-2</v>
      </c>
      <c r="T412" s="39" t="str">
        <f t="shared" si="131"/>
        <v>Loss</v>
      </c>
      <c r="U412" s="39" t="str">
        <f t="shared" si="132"/>
        <v>10-19%</v>
      </c>
      <c r="V412" s="39" t="str">
        <f>IF(E412&gt;=Analysis!$B$4,"High",IF(E412&gt;=Analysis!$B$5,"Mid","Low"))</f>
        <v>Low</v>
      </c>
      <c r="W412" s="39" t="str">
        <f t="shared" si="133"/>
        <v>2023-11</v>
      </c>
      <c r="X412" s="40">
        <f t="shared" si="134"/>
        <v>45260</v>
      </c>
      <c r="Y412" s="39" t="str">
        <f t="shared" si="135"/>
        <v>2023-Q4</v>
      </c>
      <c r="Z412" s="39" t="str">
        <f t="shared" si="136"/>
        <v>Wed</v>
      </c>
      <c r="AA412" s="39">
        <f t="shared" si="137"/>
        <v>3</v>
      </c>
      <c r="AB412" s="39">
        <f t="shared" si="138"/>
        <v>48</v>
      </c>
      <c r="AC412" s="39" t="str">
        <f t="shared" si="139"/>
        <v>Weekday</v>
      </c>
      <c r="AD412" s="39">
        <f t="shared" ca="1" si="140"/>
        <v>1067</v>
      </c>
      <c r="AE412" s="39">
        <f t="shared" ca="1" si="141"/>
        <v>35</v>
      </c>
      <c r="AF412" s="39" t="str">
        <f t="shared" si="142"/>
        <v>CHA</v>
      </c>
      <c r="AG412" s="39" t="str">
        <f t="shared" si="143"/>
        <v>NO-231122-0411</v>
      </c>
      <c r="AH412" s="39" t="str">
        <f>IF(AND(OR(Filter!$B$4="All",D412=Filter!$B$4),OR(Filter!$B$5="All",M412=Filter!$B$5),E412&gt;=Filter!$B$6),MAX(AH$1:AH411)+1,"")</f>
        <v/>
      </c>
      <c r="AI412" s="39">
        <f t="shared" si="144"/>
        <v>22</v>
      </c>
      <c r="AJ412" s="42">
        <f t="shared" si="145"/>
        <v>0.13</v>
      </c>
      <c r="AK412" s="41">
        <f t="shared" si="146"/>
        <v>3634.58</v>
      </c>
      <c r="AL412" s="39">
        <f>RANK(E412,$E$2:$E$1001,0)+COUNTIF($E$2:E412,E412)-1</f>
        <v>914</v>
      </c>
    </row>
    <row r="413" spans="1:38" x14ac:dyDescent="0.2">
      <c r="A413" s="39">
        <v>1042</v>
      </c>
      <c r="B413" s="40">
        <v>45072</v>
      </c>
      <c r="C413" s="39" t="s">
        <v>66</v>
      </c>
      <c r="D413" s="39" t="s">
        <v>59</v>
      </c>
      <c r="E413" s="41">
        <v>848.28</v>
      </c>
      <c r="F413" s="39">
        <v>1</v>
      </c>
      <c r="G413" s="39" t="s">
        <v>65</v>
      </c>
      <c r="H413" s="41">
        <v>1406.24</v>
      </c>
      <c r="I413" s="41">
        <v>1535.57</v>
      </c>
      <c r="J413" s="39" t="s">
        <v>143</v>
      </c>
      <c r="K413" s="42">
        <v>0.08</v>
      </c>
      <c r="L413" s="39" t="s">
        <v>73</v>
      </c>
      <c r="M413" s="39" t="s">
        <v>140</v>
      </c>
      <c r="N413" s="39" t="s">
        <v>153</v>
      </c>
      <c r="O413" s="43">
        <f t="shared" si="126"/>
        <v>1535.57</v>
      </c>
      <c r="P413" s="43">
        <f t="shared" si="127"/>
        <v>1412.72</v>
      </c>
      <c r="Q413" s="43">
        <f t="shared" si="128"/>
        <v>1406.24</v>
      </c>
      <c r="R413" s="43">
        <f t="shared" si="129"/>
        <v>6.4800000000000182</v>
      </c>
      <c r="S413" s="44">
        <f t="shared" si="130"/>
        <v>4.5868962002378515E-3</v>
      </c>
      <c r="T413" s="39" t="str">
        <f t="shared" si="131"/>
        <v>OK</v>
      </c>
      <c r="U413" s="39" t="str">
        <f t="shared" si="132"/>
        <v>0-9%</v>
      </c>
      <c r="V413" s="39" t="str">
        <f>IF(E413&gt;=Analysis!$B$4,"High",IF(E413&gt;=Analysis!$B$5,"Mid","Low"))</f>
        <v>Low</v>
      </c>
      <c r="W413" s="39" t="str">
        <f t="shared" si="133"/>
        <v>2023-05</v>
      </c>
      <c r="X413" s="40">
        <f t="shared" si="134"/>
        <v>45077</v>
      </c>
      <c r="Y413" s="39" t="str">
        <f t="shared" si="135"/>
        <v>2023-Q2</v>
      </c>
      <c r="Z413" s="39" t="str">
        <f t="shared" si="136"/>
        <v>Fri</v>
      </c>
      <c r="AA413" s="39">
        <f t="shared" si="137"/>
        <v>5</v>
      </c>
      <c r="AB413" s="39">
        <f t="shared" si="138"/>
        <v>22</v>
      </c>
      <c r="AC413" s="39" t="str">
        <f t="shared" si="139"/>
        <v>Weekday</v>
      </c>
      <c r="AD413" s="39">
        <f t="shared" ca="1" si="140"/>
        <v>1247</v>
      </c>
      <c r="AE413" s="39">
        <f t="shared" ca="1" si="141"/>
        <v>40</v>
      </c>
      <c r="AF413" s="39" t="str">
        <f t="shared" si="142"/>
        <v>BOB</v>
      </c>
      <c r="AG413" s="39" t="str">
        <f t="shared" si="143"/>
        <v>ER-230526-0412</v>
      </c>
      <c r="AH413" s="39" t="str">
        <f>IF(AND(OR(Filter!$B$4="All",D413=Filter!$B$4),OR(Filter!$B$5="All",M413=Filter!$B$5),E413&gt;=Filter!$B$6),MAX(AH$1:AH412)+1,"")</f>
        <v/>
      </c>
      <c r="AI413" s="39">
        <f t="shared" si="144"/>
        <v>1</v>
      </c>
      <c r="AJ413" s="42">
        <f t="shared" si="145"/>
        <v>0.08</v>
      </c>
      <c r="AK413" s="41">
        <f t="shared" si="146"/>
        <v>1535.57</v>
      </c>
      <c r="AL413" s="39">
        <f>RANK(E413,$E$2:$E$1001,0)+COUNTIF($E$2:E413,E413)-1</f>
        <v>919</v>
      </c>
    </row>
    <row r="414" spans="1:38" x14ac:dyDescent="0.2">
      <c r="A414" s="39">
        <v>1026</v>
      </c>
      <c r="B414" s="40">
        <v>45054</v>
      </c>
      <c r="C414" s="39" t="s">
        <v>71</v>
      </c>
      <c r="D414" s="39" t="s">
        <v>74</v>
      </c>
      <c r="E414" s="41">
        <v>9519.09</v>
      </c>
      <c r="F414" s="39">
        <v>20</v>
      </c>
      <c r="G414" s="39" t="s">
        <v>60</v>
      </c>
      <c r="H414" s="41">
        <v>2985.63</v>
      </c>
      <c r="I414" s="41">
        <v>3452.14</v>
      </c>
      <c r="J414" s="39" t="s">
        <v>143</v>
      </c>
      <c r="K414" s="42">
        <v>0.17</v>
      </c>
      <c r="L414" s="39" t="s">
        <v>73</v>
      </c>
      <c r="M414" s="39" t="s">
        <v>140</v>
      </c>
      <c r="N414" s="39" t="s">
        <v>146</v>
      </c>
      <c r="O414" s="43">
        <f t="shared" si="126"/>
        <v>69042.8</v>
      </c>
      <c r="P414" s="43">
        <f t="shared" si="127"/>
        <v>57305.52</v>
      </c>
      <c r="Q414" s="43">
        <f t="shared" si="128"/>
        <v>59712.6</v>
      </c>
      <c r="R414" s="43">
        <f t="shared" si="129"/>
        <v>-2407.0800000000017</v>
      </c>
      <c r="S414" s="44">
        <f t="shared" si="130"/>
        <v>-4.2004330472875946E-2</v>
      </c>
      <c r="T414" s="39" t="str">
        <f t="shared" si="131"/>
        <v>Loss</v>
      </c>
      <c r="U414" s="39" t="str">
        <f t="shared" si="132"/>
        <v>10-19%</v>
      </c>
      <c r="V414" s="39" t="str">
        <f>IF(E414&gt;=Analysis!$B$4,"High",IF(E414&gt;=Analysis!$B$5,"Mid","Low"))</f>
        <v>High</v>
      </c>
      <c r="W414" s="39" t="str">
        <f t="shared" si="133"/>
        <v>2023-05</v>
      </c>
      <c r="X414" s="40">
        <f t="shared" si="134"/>
        <v>45077</v>
      </c>
      <c r="Y414" s="39" t="str">
        <f t="shared" si="135"/>
        <v>2023-Q2</v>
      </c>
      <c r="Z414" s="39" t="str">
        <f t="shared" si="136"/>
        <v>Mon</v>
      </c>
      <c r="AA414" s="39">
        <f t="shared" si="137"/>
        <v>1</v>
      </c>
      <c r="AB414" s="39">
        <f t="shared" si="138"/>
        <v>20</v>
      </c>
      <c r="AC414" s="39" t="str">
        <f t="shared" si="139"/>
        <v>Weekday</v>
      </c>
      <c r="AD414" s="39">
        <f t="shared" ca="1" si="140"/>
        <v>1265</v>
      </c>
      <c r="AE414" s="39">
        <f t="shared" ca="1" si="141"/>
        <v>41</v>
      </c>
      <c r="AF414" s="39" t="str">
        <f t="shared" si="142"/>
        <v>CHA</v>
      </c>
      <c r="AG414" s="39" t="str">
        <f t="shared" si="143"/>
        <v>WR-230508-0413</v>
      </c>
      <c r="AH414" s="39">
        <f>IF(AND(OR(Filter!$B$4="All",D414=Filter!$B$4),OR(Filter!$B$5="All",M414=Filter!$B$5),E414&gt;=Filter!$B$6),MAX(AH$1:AH413)+1,"")</f>
        <v>45</v>
      </c>
      <c r="AI414" s="39">
        <f t="shared" si="144"/>
        <v>20</v>
      </c>
      <c r="AJ414" s="42">
        <f t="shared" si="145"/>
        <v>0.17</v>
      </c>
      <c r="AK414" s="41">
        <f t="shared" si="146"/>
        <v>3452.14</v>
      </c>
      <c r="AL414" s="39">
        <f>RANK(E414,$E$2:$E$1001,0)+COUNTIF($E$2:E414,E414)-1</f>
        <v>50</v>
      </c>
    </row>
    <row r="415" spans="1:38" x14ac:dyDescent="0.2">
      <c r="A415" s="39">
        <v>1099</v>
      </c>
      <c r="B415" s="40">
        <v>45267</v>
      </c>
      <c r="C415" s="39" t="s">
        <v>66</v>
      </c>
      <c r="D415" s="39" t="s">
        <v>59</v>
      </c>
      <c r="E415" s="41">
        <v>3043.18</v>
      </c>
      <c r="F415" s="39">
        <v>22</v>
      </c>
      <c r="G415" s="39" t="s">
        <v>75</v>
      </c>
      <c r="H415" s="41">
        <v>2471.67</v>
      </c>
      <c r="I415" s="41">
        <v>2533.04</v>
      </c>
      <c r="J415" s="39" t="s">
        <v>137</v>
      </c>
      <c r="K415" s="42">
        <v>0.02</v>
      </c>
      <c r="L415" s="39" t="s">
        <v>63</v>
      </c>
      <c r="M415" s="39" t="s">
        <v>140</v>
      </c>
      <c r="N415" s="39" t="s">
        <v>153</v>
      </c>
      <c r="O415" s="43">
        <f t="shared" si="126"/>
        <v>55726.879999999997</v>
      </c>
      <c r="P415" s="43">
        <f t="shared" si="127"/>
        <v>54612.34</v>
      </c>
      <c r="Q415" s="43">
        <f t="shared" si="128"/>
        <v>54376.74</v>
      </c>
      <c r="R415" s="43">
        <f t="shared" si="129"/>
        <v>235.59999999999854</v>
      </c>
      <c r="S415" s="44">
        <f t="shared" si="130"/>
        <v>4.3140433096256004E-3</v>
      </c>
      <c r="T415" s="39" t="str">
        <f t="shared" si="131"/>
        <v>OK</v>
      </c>
      <c r="U415" s="39" t="str">
        <f t="shared" si="132"/>
        <v>0-9%</v>
      </c>
      <c r="V415" s="39" t="str">
        <f>IF(E415&gt;=Analysis!$B$4,"High",IF(E415&gt;=Analysis!$B$5,"Mid","Low"))</f>
        <v>Mid</v>
      </c>
      <c r="W415" s="39" t="str">
        <f t="shared" si="133"/>
        <v>2023-12</v>
      </c>
      <c r="X415" s="40">
        <f t="shared" si="134"/>
        <v>45291</v>
      </c>
      <c r="Y415" s="39" t="str">
        <f t="shared" si="135"/>
        <v>2023-Q4</v>
      </c>
      <c r="Z415" s="39" t="str">
        <f t="shared" si="136"/>
        <v>Thu</v>
      </c>
      <c r="AA415" s="39">
        <f t="shared" si="137"/>
        <v>4</v>
      </c>
      <c r="AB415" s="39">
        <f t="shared" si="138"/>
        <v>50</v>
      </c>
      <c r="AC415" s="39" t="str">
        <f t="shared" si="139"/>
        <v>Weekday</v>
      </c>
      <c r="AD415" s="39">
        <f t="shared" ca="1" si="140"/>
        <v>1052</v>
      </c>
      <c r="AE415" s="39">
        <f t="shared" ca="1" si="141"/>
        <v>34</v>
      </c>
      <c r="AF415" s="39" t="str">
        <f t="shared" si="142"/>
        <v>BOB</v>
      </c>
      <c r="AG415" s="39" t="str">
        <f t="shared" si="143"/>
        <v>ER-231207-0414</v>
      </c>
      <c r="AH415" s="39" t="str">
        <f>IF(AND(OR(Filter!$B$4="All",D415=Filter!$B$4),OR(Filter!$B$5="All",M415=Filter!$B$5),E415&gt;=Filter!$B$6),MAX(AH$1:AH414)+1,"")</f>
        <v/>
      </c>
      <c r="AI415" s="39">
        <f t="shared" si="144"/>
        <v>22</v>
      </c>
      <c r="AJ415" s="42">
        <f t="shared" si="145"/>
        <v>0.02</v>
      </c>
      <c r="AK415" s="41">
        <f t="shared" si="146"/>
        <v>2533.04</v>
      </c>
      <c r="AL415" s="39">
        <f>RANK(E415,$E$2:$E$1001,0)+COUNTIF($E$2:E415,E415)-1</f>
        <v>690</v>
      </c>
    </row>
    <row r="416" spans="1:38" x14ac:dyDescent="0.2">
      <c r="A416" s="39">
        <v>1050</v>
      </c>
      <c r="B416" s="40">
        <v>44968</v>
      </c>
      <c r="C416" s="39" t="s">
        <v>71</v>
      </c>
      <c r="D416" s="39" t="s">
        <v>74</v>
      </c>
      <c r="E416" s="41">
        <v>1011.46</v>
      </c>
      <c r="F416" s="39">
        <v>48</v>
      </c>
      <c r="G416" s="39" t="s">
        <v>75</v>
      </c>
      <c r="H416" s="41">
        <v>710.06</v>
      </c>
      <c r="I416" s="41">
        <v>851.35</v>
      </c>
      <c r="J416" s="39" t="s">
        <v>137</v>
      </c>
      <c r="K416" s="42">
        <v>0.04</v>
      </c>
      <c r="L416" s="39" t="s">
        <v>63</v>
      </c>
      <c r="M416" s="39" t="s">
        <v>138</v>
      </c>
      <c r="N416" s="39" t="s">
        <v>146</v>
      </c>
      <c r="O416" s="43">
        <f t="shared" si="126"/>
        <v>40864.800000000003</v>
      </c>
      <c r="P416" s="43">
        <f t="shared" si="127"/>
        <v>39230.21</v>
      </c>
      <c r="Q416" s="43">
        <f t="shared" si="128"/>
        <v>34082.879999999997</v>
      </c>
      <c r="R416" s="43">
        <f t="shared" si="129"/>
        <v>5147.3300000000017</v>
      </c>
      <c r="S416" s="44">
        <f t="shared" si="130"/>
        <v>0.13120832134214938</v>
      </c>
      <c r="T416" s="39" t="str">
        <f t="shared" si="131"/>
        <v>OK</v>
      </c>
      <c r="U416" s="39" t="str">
        <f t="shared" si="132"/>
        <v>0-9%</v>
      </c>
      <c r="V416" s="39" t="str">
        <f>IF(E416&gt;=Analysis!$B$4,"High",IF(E416&gt;=Analysis!$B$5,"Mid","Low"))</f>
        <v>Low</v>
      </c>
      <c r="W416" s="39" t="str">
        <f t="shared" si="133"/>
        <v>2023-02</v>
      </c>
      <c r="X416" s="40">
        <f t="shared" si="134"/>
        <v>44985</v>
      </c>
      <c r="Y416" s="39" t="str">
        <f t="shared" si="135"/>
        <v>2023-Q1</v>
      </c>
      <c r="Z416" s="39" t="str">
        <f t="shared" si="136"/>
        <v>Sat</v>
      </c>
      <c r="AA416" s="39">
        <f t="shared" si="137"/>
        <v>6</v>
      </c>
      <c r="AB416" s="39">
        <f t="shared" si="138"/>
        <v>7</v>
      </c>
      <c r="AC416" s="39" t="str">
        <f t="shared" si="139"/>
        <v>Weekend</v>
      </c>
      <c r="AD416" s="39">
        <f t="shared" ca="1" si="140"/>
        <v>1351</v>
      </c>
      <c r="AE416" s="39">
        <f t="shared" ca="1" si="141"/>
        <v>44</v>
      </c>
      <c r="AF416" s="39" t="str">
        <f t="shared" si="142"/>
        <v>CHA</v>
      </c>
      <c r="AG416" s="39" t="str">
        <f t="shared" si="143"/>
        <v>WO-230211-0415</v>
      </c>
      <c r="AH416" s="39" t="str">
        <f>IF(AND(OR(Filter!$B$4="All",D416=Filter!$B$4),OR(Filter!$B$5="All",M416=Filter!$B$5),E416&gt;=Filter!$B$6),MAX(AH$1:AH415)+1,"")</f>
        <v/>
      </c>
      <c r="AI416" s="39">
        <f t="shared" si="144"/>
        <v>48</v>
      </c>
      <c r="AJ416" s="42">
        <f t="shared" si="145"/>
        <v>0.04</v>
      </c>
      <c r="AK416" s="41">
        <f t="shared" si="146"/>
        <v>851.35</v>
      </c>
      <c r="AL416" s="39">
        <f>RANK(E416,$E$2:$E$1001,0)+COUNTIF($E$2:E416,E416)-1</f>
        <v>903</v>
      </c>
    </row>
    <row r="417" spans="1:38" x14ac:dyDescent="0.2">
      <c r="A417" s="39">
        <v>1025</v>
      </c>
      <c r="B417" s="40">
        <v>45282</v>
      </c>
      <c r="C417" s="39" t="s">
        <v>66</v>
      </c>
      <c r="D417" s="39" t="s">
        <v>69</v>
      </c>
      <c r="E417" s="41">
        <v>6030.54</v>
      </c>
      <c r="F417" s="39">
        <v>11</v>
      </c>
      <c r="G417" s="39" t="s">
        <v>70</v>
      </c>
      <c r="H417" s="41">
        <v>1250.5899999999999</v>
      </c>
      <c r="I417" s="41">
        <v>1515.49</v>
      </c>
      <c r="J417" s="39" t="s">
        <v>137</v>
      </c>
      <c r="K417" s="42">
        <v>0.21</v>
      </c>
      <c r="L417" s="39" t="s">
        <v>63</v>
      </c>
      <c r="M417" s="39" t="s">
        <v>140</v>
      </c>
      <c r="N417" s="39" t="s">
        <v>144</v>
      </c>
      <c r="O417" s="43">
        <f t="shared" si="126"/>
        <v>16670.39</v>
      </c>
      <c r="P417" s="43">
        <f t="shared" si="127"/>
        <v>13169.61</v>
      </c>
      <c r="Q417" s="43">
        <f t="shared" si="128"/>
        <v>13756.49</v>
      </c>
      <c r="R417" s="43">
        <f t="shared" si="129"/>
        <v>-586.8799999999992</v>
      </c>
      <c r="S417" s="44">
        <f t="shared" si="130"/>
        <v>-4.4563202706837876E-2</v>
      </c>
      <c r="T417" s="39" t="str">
        <f t="shared" si="131"/>
        <v>Loss</v>
      </c>
      <c r="U417" s="39" t="str">
        <f t="shared" si="132"/>
        <v>20%+</v>
      </c>
      <c r="V417" s="39" t="str">
        <f>IF(E417&gt;=Analysis!$B$4,"High",IF(E417&gt;=Analysis!$B$5,"Mid","Low"))</f>
        <v>Mid</v>
      </c>
      <c r="W417" s="39" t="str">
        <f t="shared" si="133"/>
        <v>2023-12</v>
      </c>
      <c r="X417" s="40">
        <f t="shared" si="134"/>
        <v>45291</v>
      </c>
      <c r="Y417" s="39" t="str">
        <f t="shared" si="135"/>
        <v>2023-Q4</v>
      </c>
      <c r="Z417" s="39" t="str">
        <f t="shared" si="136"/>
        <v>Fri</v>
      </c>
      <c r="AA417" s="39">
        <f t="shared" si="137"/>
        <v>5</v>
      </c>
      <c r="AB417" s="39">
        <f t="shared" si="138"/>
        <v>52</v>
      </c>
      <c r="AC417" s="39" t="str">
        <f t="shared" si="139"/>
        <v>Weekday</v>
      </c>
      <c r="AD417" s="39">
        <f t="shared" ca="1" si="140"/>
        <v>1037</v>
      </c>
      <c r="AE417" s="39">
        <f t="shared" ca="1" si="141"/>
        <v>34</v>
      </c>
      <c r="AF417" s="39" t="str">
        <f t="shared" si="142"/>
        <v>BOB</v>
      </c>
      <c r="AG417" s="39" t="str">
        <f t="shared" si="143"/>
        <v>SR-231222-0416</v>
      </c>
      <c r="AH417" s="39" t="str">
        <f>IF(AND(OR(Filter!$B$4="All",D417=Filter!$B$4),OR(Filter!$B$5="All",M417=Filter!$B$5),E417&gt;=Filter!$B$6),MAX(AH$1:AH416)+1,"")</f>
        <v/>
      </c>
      <c r="AI417" s="39">
        <f t="shared" si="144"/>
        <v>11</v>
      </c>
      <c r="AJ417" s="42">
        <f t="shared" si="145"/>
        <v>0.21</v>
      </c>
      <c r="AK417" s="41">
        <f t="shared" si="146"/>
        <v>1515.49</v>
      </c>
      <c r="AL417" s="39">
        <f>RANK(E417,$E$2:$E$1001,0)+COUNTIF($E$2:E417,E417)-1</f>
        <v>403</v>
      </c>
    </row>
    <row r="418" spans="1:38" x14ac:dyDescent="0.2">
      <c r="A418" s="39">
        <v>1024</v>
      </c>
      <c r="B418" s="40">
        <v>44967</v>
      </c>
      <c r="C418" s="39" t="s">
        <v>76</v>
      </c>
      <c r="D418" s="39" t="s">
        <v>59</v>
      </c>
      <c r="E418" s="41">
        <v>6274.12</v>
      </c>
      <c r="F418" s="39">
        <v>13</v>
      </c>
      <c r="G418" s="39" t="s">
        <v>60</v>
      </c>
      <c r="H418" s="41">
        <v>1493.88</v>
      </c>
      <c r="I418" s="41">
        <v>1781.09</v>
      </c>
      <c r="J418" s="39" t="s">
        <v>143</v>
      </c>
      <c r="K418" s="42">
        <v>0.04</v>
      </c>
      <c r="L418" s="39" t="s">
        <v>68</v>
      </c>
      <c r="M418" s="39" t="s">
        <v>140</v>
      </c>
      <c r="N418" s="39" t="s">
        <v>157</v>
      </c>
      <c r="O418" s="43">
        <f t="shared" si="126"/>
        <v>23154.17</v>
      </c>
      <c r="P418" s="43">
        <f t="shared" si="127"/>
        <v>22228</v>
      </c>
      <c r="Q418" s="43">
        <f t="shared" si="128"/>
        <v>19420.439999999999</v>
      </c>
      <c r="R418" s="43">
        <f t="shared" si="129"/>
        <v>2807.5600000000013</v>
      </c>
      <c r="S418" s="44">
        <f t="shared" si="130"/>
        <v>0.12630736008637761</v>
      </c>
      <c r="T418" s="39" t="str">
        <f t="shared" si="131"/>
        <v>OK</v>
      </c>
      <c r="U418" s="39" t="str">
        <f t="shared" si="132"/>
        <v>0-9%</v>
      </c>
      <c r="V418" s="39" t="str">
        <f>IF(E418&gt;=Analysis!$B$4,"High",IF(E418&gt;=Analysis!$B$5,"Mid","Low"))</f>
        <v>Mid</v>
      </c>
      <c r="W418" s="39" t="str">
        <f t="shared" si="133"/>
        <v>2023-02</v>
      </c>
      <c r="X418" s="40">
        <f t="shared" si="134"/>
        <v>44985</v>
      </c>
      <c r="Y418" s="39" t="str">
        <f t="shared" si="135"/>
        <v>2023-Q1</v>
      </c>
      <c r="Z418" s="39" t="str">
        <f t="shared" si="136"/>
        <v>Fri</v>
      </c>
      <c r="AA418" s="39">
        <f t="shared" si="137"/>
        <v>5</v>
      </c>
      <c r="AB418" s="39">
        <f t="shared" si="138"/>
        <v>7</v>
      </c>
      <c r="AC418" s="39" t="str">
        <f t="shared" si="139"/>
        <v>Weekday</v>
      </c>
      <c r="AD418" s="39">
        <f t="shared" ca="1" si="140"/>
        <v>1352</v>
      </c>
      <c r="AE418" s="39">
        <f t="shared" ca="1" si="141"/>
        <v>44</v>
      </c>
      <c r="AF418" s="39" t="str">
        <f t="shared" si="142"/>
        <v>DAV</v>
      </c>
      <c r="AG418" s="39" t="str">
        <f t="shared" si="143"/>
        <v>ER-230210-0417</v>
      </c>
      <c r="AH418" s="39" t="str">
        <f>IF(AND(OR(Filter!$B$4="All",D418=Filter!$B$4),OR(Filter!$B$5="All",M418=Filter!$B$5),E418&gt;=Filter!$B$6),MAX(AH$1:AH417)+1,"")</f>
        <v/>
      </c>
      <c r="AI418" s="39">
        <f t="shared" si="144"/>
        <v>13</v>
      </c>
      <c r="AJ418" s="42">
        <f t="shared" si="145"/>
        <v>0.04</v>
      </c>
      <c r="AK418" s="41">
        <f t="shared" si="146"/>
        <v>1781.09</v>
      </c>
      <c r="AL418" s="39">
        <f>RANK(E418,$E$2:$E$1001,0)+COUNTIF($E$2:E418,E418)-1</f>
        <v>382</v>
      </c>
    </row>
    <row r="419" spans="1:38" x14ac:dyDescent="0.2">
      <c r="A419" s="39">
        <v>1013</v>
      </c>
      <c r="B419" s="40">
        <v>44960</v>
      </c>
      <c r="C419" s="39" t="s">
        <v>66</v>
      </c>
      <c r="D419" s="39" t="s">
        <v>64</v>
      </c>
      <c r="E419" s="41">
        <v>6520.2</v>
      </c>
      <c r="F419" s="39">
        <v>42</v>
      </c>
      <c r="G419" s="39" t="s">
        <v>60</v>
      </c>
      <c r="H419" s="41">
        <v>4625.33</v>
      </c>
      <c r="I419" s="41">
        <v>4642.83</v>
      </c>
      <c r="J419" s="39" t="s">
        <v>143</v>
      </c>
      <c r="K419" s="42">
        <v>0.19</v>
      </c>
      <c r="L419" s="39" t="s">
        <v>73</v>
      </c>
      <c r="M419" s="39" t="s">
        <v>138</v>
      </c>
      <c r="N419" s="39" t="s">
        <v>139</v>
      </c>
      <c r="O419" s="43">
        <f t="shared" si="126"/>
        <v>194998.86</v>
      </c>
      <c r="P419" s="43">
        <f t="shared" si="127"/>
        <v>157949.07999999999</v>
      </c>
      <c r="Q419" s="43">
        <f t="shared" si="128"/>
        <v>194263.86</v>
      </c>
      <c r="R419" s="43">
        <f t="shared" si="129"/>
        <v>-36314.78</v>
      </c>
      <c r="S419" s="44">
        <f t="shared" si="130"/>
        <v>-0.2299144762349993</v>
      </c>
      <c r="T419" s="39" t="str">
        <f t="shared" si="131"/>
        <v>Loss</v>
      </c>
      <c r="U419" s="39" t="str">
        <f t="shared" si="132"/>
        <v>10-19%</v>
      </c>
      <c r="V419" s="39" t="str">
        <f>IF(E419&gt;=Analysis!$B$4,"High",IF(E419&gt;=Analysis!$B$5,"Mid","Low"))</f>
        <v>Mid</v>
      </c>
      <c r="W419" s="39" t="str">
        <f t="shared" si="133"/>
        <v>2023-02</v>
      </c>
      <c r="X419" s="40">
        <f t="shared" si="134"/>
        <v>44985</v>
      </c>
      <c r="Y419" s="39" t="str">
        <f t="shared" si="135"/>
        <v>2023-Q1</v>
      </c>
      <c r="Z419" s="39" t="str">
        <f t="shared" si="136"/>
        <v>Fri</v>
      </c>
      <c r="AA419" s="39">
        <f t="shared" si="137"/>
        <v>5</v>
      </c>
      <c r="AB419" s="39">
        <f t="shared" si="138"/>
        <v>6</v>
      </c>
      <c r="AC419" s="39" t="str">
        <f t="shared" si="139"/>
        <v>Weekday</v>
      </c>
      <c r="AD419" s="39">
        <f t="shared" ca="1" si="140"/>
        <v>1359</v>
      </c>
      <c r="AE419" s="39">
        <f t="shared" ca="1" si="141"/>
        <v>44</v>
      </c>
      <c r="AF419" s="39" t="str">
        <f t="shared" si="142"/>
        <v>BOB</v>
      </c>
      <c r="AG419" s="39" t="str">
        <f t="shared" si="143"/>
        <v>NO-230203-0418</v>
      </c>
      <c r="AH419" s="39" t="str">
        <f>IF(AND(OR(Filter!$B$4="All",D419=Filter!$B$4),OR(Filter!$B$5="All",M419=Filter!$B$5),E419&gt;=Filter!$B$6),MAX(AH$1:AH418)+1,"")</f>
        <v/>
      </c>
      <c r="AI419" s="39">
        <f t="shared" si="144"/>
        <v>42</v>
      </c>
      <c r="AJ419" s="42">
        <f t="shared" si="145"/>
        <v>0.19</v>
      </c>
      <c r="AK419" s="41">
        <f t="shared" si="146"/>
        <v>4642.83</v>
      </c>
      <c r="AL419" s="39">
        <f>RANK(E419,$E$2:$E$1001,0)+COUNTIF($E$2:E419,E419)-1</f>
        <v>359</v>
      </c>
    </row>
    <row r="420" spans="1:38" x14ac:dyDescent="0.2">
      <c r="A420" s="39">
        <v>1060</v>
      </c>
      <c r="B420" s="40">
        <v>44943</v>
      </c>
      <c r="C420" s="39" t="s">
        <v>66</v>
      </c>
      <c r="D420" s="39" t="s">
        <v>69</v>
      </c>
      <c r="E420" s="41">
        <v>2747.28</v>
      </c>
      <c r="F420" s="39">
        <v>3</v>
      </c>
      <c r="G420" s="39" t="s">
        <v>65</v>
      </c>
      <c r="H420" s="41">
        <v>1190.4100000000001</v>
      </c>
      <c r="I420" s="41">
        <v>1582.89</v>
      </c>
      <c r="J420" s="39" t="s">
        <v>143</v>
      </c>
      <c r="K420" s="42">
        <v>0.02</v>
      </c>
      <c r="L420" s="39" t="s">
        <v>73</v>
      </c>
      <c r="M420" s="39" t="s">
        <v>140</v>
      </c>
      <c r="N420" s="39" t="s">
        <v>144</v>
      </c>
      <c r="O420" s="43">
        <f t="shared" si="126"/>
        <v>4748.67</v>
      </c>
      <c r="P420" s="43">
        <f t="shared" si="127"/>
        <v>4653.7</v>
      </c>
      <c r="Q420" s="43">
        <f t="shared" si="128"/>
        <v>3571.23</v>
      </c>
      <c r="R420" s="43">
        <f t="shared" si="129"/>
        <v>1082.4699999999998</v>
      </c>
      <c r="S420" s="44">
        <f t="shared" si="130"/>
        <v>0.23260416442830434</v>
      </c>
      <c r="T420" s="39" t="str">
        <f t="shared" si="131"/>
        <v>OK</v>
      </c>
      <c r="U420" s="39" t="str">
        <f t="shared" si="132"/>
        <v>0-9%</v>
      </c>
      <c r="V420" s="39" t="str">
        <f>IF(E420&gt;=Analysis!$B$4,"High",IF(E420&gt;=Analysis!$B$5,"Mid","Low"))</f>
        <v>Mid</v>
      </c>
      <c r="W420" s="39" t="str">
        <f t="shared" si="133"/>
        <v>2023-01</v>
      </c>
      <c r="X420" s="40">
        <f t="shared" si="134"/>
        <v>44957</v>
      </c>
      <c r="Y420" s="39" t="str">
        <f t="shared" si="135"/>
        <v>2023-Q1</v>
      </c>
      <c r="Z420" s="39" t="str">
        <f t="shared" si="136"/>
        <v>Tue</v>
      </c>
      <c r="AA420" s="39">
        <f t="shared" si="137"/>
        <v>2</v>
      </c>
      <c r="AB420" s="39">
        <f t="shared" si="138"/>
        <v>4</v>
      </c>
      <c r="AC420" s="39" t="str">
        <f t="shared" si="139"/>
        <v>Weekday</v>
      </c>
      <c r="AD420" s="39">
        <f t="shared" ca="1" si="140"/>
        <v>1376</v>
      </c>
      <c r="AE420" s="39">
        <f t="shared" ca="1" si="141"/>
        <v>45</v>
      </c>
      <c r="AF420" s="39" t="str">
        <f t="shared" si="142"/>
        <v>BOB</v>
      </c>
      <c r="AG420" s="39" t="str">
        <f t="shared" si="143"/>
        <v>SR-230117-0419</v>
      </c>
      <c r="AH420" s="39" t="str">
        <f>IF(AND(OR(Filter!$B$4="All",D420=Filter!$B$4),OR(Filter!$B$5="All",M420=Filter!$B$5),E420&gt;=Filter!$B$6),MAX(AH$1:AH419)+1,"")</f>
        <v/>
      </c>
      <c r="AI420" s="39">
        <f t="shared" si="144"/>
        <v>3</v>
      </c>
      <c r="AJ420" s="42">
        <f t="shared" si="145"/>
        <v>0.02</v>
      </c>
      <c r="AK420" s="41">
        <f t="shared" si="146"/>
        <v>1582.89</v>
      </c>
      <c r="AL420" s="39">
        <f>RANK(E420,$E$2:$E$1001,0)+COUNTIF($E$2:E420,E420)-1</f>
        <v>727</v>
      </c>
    </row>
    <row r="421" spans="1:38" x14ac:dyDescent="0.2">
      <c r="A421" s="39">
        <v>1007</v>
      </c>
      <c r="B421" s="40">
        <v>45091</v>
      </c>
      <c r="C421" s="39" t="s">
        <v>61</v>
      </c>
      <c r="D421" s="39" t="s">
        <v>64</v>
      </c>
      <c r="E421" s="41">
        <v>249.6</v>
      </c>
      <c r="F421" s="39">
        <v>9</v>
      </c>
      <c r="G421" s="39" t="s">
        <v>60</v>
      </c>
      <c r="H421" s="41">
        <v>1481.76</v>
      </c>
      <c r="I421" s="41">
        <v>1668.95</v>
      </c>
      <c r="J421" s="39" t="s">
        <v>137</v>
      </c>
      <c r="K421" s="42">
        <v>0.12</v>
      </c>
      <c r="L421" s="39" t="s">
        <v>73</v>
      </c>
      <c r="M421" s="39" t="s">
        <v>140</v>
      </c>
      <c r="N421" s="39" t="s">
        <v>156</v>
      </c>
      <c r="O421" s="43">
        <f t="shared" si="126"/>
        <v>15020.55</v>
      </c>
      <c r="P421" s="43">
        <f t="shared" si="127"/>
        <v>13218.08</v>
      </c>
      <c r="Q421" s="43">
        <f t="shared" si="128"/>
        <v>13335.84</v>
      </c>
      <c r="R421" s="43">
        <f t="shared" si="129"/>
        <v>-117.76000000000022</v>
      </c>
      <c r="S421" s="44">
        <f t="shared" si="130"/>
        <v>-8.9090094779272194E-3</v>
      </c>
      <c r="T421" s="39" t="str">
        <f t="shared" si="131"/>
        <v>Loss</v>
      </c>
      <c r="U421" s="39" t="str">
        <f t="shared" si="132"/>
        <v>10-19%</v>
      </c>
      <c r="V421" s="39" t="str">
        <f>IF(E421&gt;=Analysis!$B$4,"High",IF(E421&gt;=Analysis!$B$5,"Mid","Low"))</f>
        <v>Low</v>
      </c>
      <c r="W421" s="39" t="str">
        <f t="shared" si="133"/>
        <v>2023-06</v>
      </c>
      <c r="X421" s="40">
        <f t="shared" si="134"/>
        <v>45107</v>
      </c>
      <c r="Y421" s="39" t="str">
        <f t="shared" si="135"/>
        <v>2023-Q2</v>
      </c>
      <c r="Z421" s="39" t="str">
        <f t="shared" si="136"/>
        <v>Wed</v>
      </c>
      <c r="AA421" s="39">
        <f t="shared" si="137"/>
        <v>3</v>
      </c>
      <c r="AB421" s="39">
        <f t="shared" si="138"/>
        <v>25</v>
      </c>
      <c r="AC421" s="39" t="str">
        <f t="shared" si="139"/>
        <v>Weekday</v>
      </c>
      <c r="AD421" s="39">
        <f t="shared" ca="1" si="140"/>
        <v>1228</v>
      </c>
      <c r="AE421" s="39">
        <f t="shared" ca="1" si="141"/>
        <v>40</v>
      </c>
      <c r="AF421" s="39" t="str">
        <f t="shared" si="142"/>
        <v>ALI</v>
      </c>
      <c r="AG421" s="39" t="str">
        <f t="shared" si="143"/>
        <v>NR-230614-0420</v>
      </c>
      <c r="AH421" s="39" t="str">
        <f>IF(AND(OR(Filter!$B$4="All",D421=Filter!$B$4),OR(Filter!$B$5="All",M421=Filter!$B$5),E421&gt;=Filter!$B$6),MAX(AH$1:AH420)+1,"")</f>
        <v/>
      </c>
      <c r="AI421" s="39">
        <f t="shared" si="144"/>
        <v>9</v>
      </c>
      <c r="AJ421" s="42">
        <f t="shared" si="145"/>
        <v>0.12</v>
      </c>
      <c r="AK421" s="41">
        <f t="shared" si="146"/>
        <v>1668.95</v>
      </c>
      <c r="AL421" s="39">
        <f>RANK(E421,$E$2:$E$1001,0)+COUNTIF($E$2:E421,E421)-1</f>
        <v>981</v>
      </c>
    </row>
    <row r="422" spans="1:38" x14ac:dyDescent="0.2">
      <c r="A422" s="39">
        <v>1057</v>
      </c>
      <c r="B422" s="40">
        <v>45079</v>
      </c>
      <c r="C422" s="39" t="s">
        <v>66</v>
      </c>
      <c r="D422" s="39" t="s">
        <v>69</v>
      </c>
      <c r="E422" s="41">
        <v>9653.65</v>
      </c>
      <c r="F422" s="39">
        <v>12</v>
      </c>
      <c r="G422" s="39" t="s">
        <v>65</v>
      </c>
      <c r="H422" s="41">
        <v>1878.3</v>
      </c>
      <c r="I422" s="41">
        <v>2087.4499999999998</v>
      </c>
      <c r="J422" s="39" t="s">
        <v>143</v>
      </c>
      <c r="K422" s="42">
        <v>0.05</v>
      </c>
      <c r="L422" s="39" t="s">
        <v>63</v>
      </c>
      <c r="M422" s="39" t="s">
        <v>140</v>
      </c>
      <c r="N422" s="39" t="s">
        <v>144</v>
      </c>
      <c r="O422" s="43">
        <f t="shared" si="126"/>
        <v>25049.4</v>
      </c>
      <c r="P422" s="43">
        <f t="shared" si="127"/>
        <v>23796.93</v>
      </c>
      <c r="Q422" s="43">
        <f t="shared" si="128"/>
        <v>22539.599999999999</v>
      </c>
      <c r="R422" s="43">
        <f t="shared" si="129"/>
        <v>1257.3300000000017</v>
      </c>
      <c r="S422" s="44">
        <f t="shared" si="130"/>
        <v>5.2835806971739702E-2</v>
      </c>
      <c r="T422" s="39" t="str">
        <f t="shared" si="131"/>
        <v>OK</v>
      </c>
      <c r="U422" s="39" t="str">
        <f t="shared" si="132"/>
        <v>0-9%</v>
      </c>
      <c r="V422" s="39" t="str">
        <f>IF(E422&gt;=Analysis!$B$4,"High",IF(E422&gt;=Analysis!$B$5,"Mid","Low"))</f>
        <v>High</v>
      </c>
      <c r="W422" s="39" t="str">
        <f t="shared" si="133"/>
        <v>2023-06</v>
      </c>
      <c r="X422" s="40">
        <f t="shared" si="134"/>
        <v>45107</v>
      </c>
      <c r="Y422" s="39" t="str">
        <f t="shared" si="135"/>
        <v>2023-Q2</v>
      </c>
      <c r="Z422" s="39" t="str">
        <f t="shared" si="136"/>
        <v>Fri</v>
      </c>
      <c r="AA422" s="39">
        <f t="shared" si="137"/>
        <v>5</v>
      </c>
      <c r="AB422" s="39">
        <f t="shared" si="138"/>
        <v>23</v>
      </c>
      <c r="AC422" s="39" t="str">
        <f t="shared" si="139"/>
        <v>Weekday</v>
      </c>
      <c r="AD422" s="39">
        <f t="shared" ca="1" si="140"/>
        <v>1240</v>
      </c>
      <c r="AE422" s="39">
        <f t="shared" ca="1" si="141"/>
        <v>40</v>
      </c>
      <c r="AF422" s="39" t="str">
        <f t="shared" si="142"/>
        <v>BOB</v>
      </c>
      <c r="AG422" s="39" t="str">
        <f t="shared" si="143"/>
        <v>SR-230602-0421</v>
      </c>
      <c r="AH422" s="39">
        <f>IF(AND(OR(Filter!$B$4="All",D422=Filter!$B$4),OR(Filter!$B$5="All",M422=Filter!$B$5),E422&gt;=Filter!$B$6),MAX(AH$1:AH421)+1,"")</f>
        <v>46</v>
      </c>
      <c r="AI422" s="39">
        <f t="shared" si="144"/>
        <v>12</v>
      </c>
      <c r="AJ422" s="42">
        <f t="shared" si="145"/>
        <v>0.05</v>
      </c>
      <c r="AK422" s="41">
        <f t="shared" si="146"/>
        <v>2087.4499999999998</v>
      </c>
      <c r="AL422" s="39">
        <f>RANK(E422,$E$2:$E$1001,0)+COUNTIF($E$2:E422,E422)-1</f>
        <v>35</v>
      </c>
    </row>
    <row r="423" spans="1:38" x14ac:dyDescent="0.2">
      <c r="A423" s="39">
        <v>1036</v>
      </c>
      <c r="B423" s="40">
        <v>45002</v>
      </c>
      <c r="C423" s="39" t="s">
        <v>61</v>
      </c>
      <c r="D423" s="39" t="s">
        <v>59</v>
      </c>
      <c r="E423" s="41">
        <v>2583.84</v>
      </c>
      <c r="F423" s="39">
        <v>23</v>
      </c>
      <c r="G423" s="39" t="s">
        <v>70</v>
      </c>
      <c r="H423" s="41">
        <v>3335.53</v>
      </c>
      <c r="I423" s="41">
        <v>3742.12</v>
      </c>
      <c r="J423" s="39" t="s">
        <v>143</v>
      </c>
      <c r="K423" s="42">
        <v>0.03</v>
      </c>
      <c r="L423" s="39" t="s">
        <v>63</v>
      </c>
      <c r="M423" s="39" t="s">
        <v>140</v>
      </c>
      <c r="N423" s="39" t="s">
        <v>159</v>
      </c>
      <c r="O423" s="43">
        <f t="shared" si="126"/>
        <v>86068.76</v>
      </c>
      <c r="P423" s="43">
        <f t="shared" si="127"/>
        <v>83486.7</v>
      </c>
      <c r="Q423" s="43">
        <f t="shared" si="128"/>
        <v>76717.19</v>
      </c>
      <c r="R423" s="43">
        <f t="shared" si="129"/>
        <v>6769.5099999999948</v>
      </c>
      <c r="S423" s="44">
        <f t="shared" si="130"/>
        <v>8.1084891365930084E-2</v>
      </c>
      <c r="T423" s="39" t="str">
        <f t="shared" si="131"/>
        <v>OK</v>
      </c>
      <c r="U423" s="39" t="str">
        <f t="shared" si="132"/>
        <v>0-9%</v>
      </c>
      <c r="V423" s="39" t="str">
        <f>IF(E423&gt;=Analysis!$B$4,"High",IF(E423&gt;=Analysis!$B$5,"Mid","Low"))</f>
        <v>Mid</v>
      </c>
      <c r="W423" s="39" t="str">
        <f t="shared" si="133"/>
        <v>2023-03</v>
      </c>
      <c r="X423" s="40">
        <f t="shared" si="134"/>
        <v>45016</v>
      </c>
      <c r="Y423" s="39" t="str">
        <f t="shared" si="135"/>
        <v>2023-Q1</v>
      </c>
      <c r="Z423" s="39" t="str">
        <f t="shared" si="136"/>
        <v>Fri</v>
      </c>
      <c r="AA423" s="39">
        <f t="shared" si="137"/>
        <v>5</v>
      </c>
      <c r="AB423" s="39">
        <f t="shared" si="138"/>
        <v>12</v>
      </c>
      <c r="AC423" s="39" t="str">
        <f t="shared" si="139"/>
        <v>Weekday</v>
      </c>
      <c r="AD423" s="39">
        <f t="shared" ca="1" si="140"/>
        <v>1317</v>
      </c>
      <c r="AE423" s="39">
        <f t="shared" ca="1" si="141"/>
        <v>43</v>
      </c>
      <c r="AF423" s="39" t="str">
        <f t="shared" si="142"/>
        <v>ALI</v>
      </c>
      <c r="AG423" s="39" t="str">
        <f t="shared" si="143"/>
        <v>ER-230317-0422</v>
      </c>
      <c r="AH423" s="39" t="str">
        <f>IF(AND(OR(Filter!$B$4="All",D423=Filter!$B$4),OR(Filter!$B$5="All",M423=Filter!$B$5),E423&gt;=Filter!$B$6),MAX(AH$1:AH422)+1,"")</f>
        <v/>
      </c>
      <c r="AI423" s="39">
        <f t="shared" si="144"/>
        <v>23</v>
      </c>
      <c r="AJ423" s="42">
        <f t="shared" si="145"/>
        <v>0.03</v>
      </c>
      <c r="AK423" s="41">
        <f t="shared" si="146"/>
        <v>3742.12</v>
      </c>
      <c r="AL423" s="39">
        <f>RANK(E423,$E$2:$E$1001,0)+COUNTIF($E$2:E423,E423)-1</f>
        <v>743</v>
      </c>
    </row>
    <row r="424" spans="1:38" x14ac:dyDescent="0.2">
      <c r="A424" s="39">
        <v>1045</v>
      </c>
      <c r="B424" s="40">
        <v>45013</v>
      </c>
      <c r="C424" s="39" t="s">
        <v>79</v>
      </c>
      <c r="D424" s="39" t="s">
        <v>74</v>
      </c>
      <c r="E424" s="41">
        <v>6792.66</v>
      </c>
      <c r="F424" s="39">
        <v>14</v>
      </c>
      <c r="G424" s="39" t="s">
        <v>60</v>
      </c>
      <c r="H424" s="41">
        <v>635.28</v>
      </c>
      <c r="I424" s="41">
        <v>831.13</v>
      </c>
      <c r="J424" s="39" t="s">
        <v>137</v>
      </c>
      <c r="K424" s="42">
        <v>0.17</v>
      </c>
      <c r="L424" s="39" t="s">
        <v>63</v>
      </c>
      <c r="M424" s="39" t="s">
        <v>140</v>
      </c>
      <c r="N424" s="39" t="s">
        <v>149</v>
      </c>
      <c r="O424" s="43">
        <f t="shared" si="126"/>
        <v>11635.82</v>
      </c>
      <c r="P424" s="43">
        <f t="shared" si="127"/>
        <v>9657.73</v>
      </c>
      <c r="Q424" s="43">
        <f t="shared" si="128"/>
        <v>8893.92</v>
      </c>
      <c r="R424" s="43">
        <f t="shared" si="129"/>
        <v>763.80999999999949</v>
      </c>
      <c r="S424" s="44">
        <f t="shared" si="130"/>
        <v>7.9087943025949112E-2</v>
      </c>
      <c r="T424" s="39" t="str">
        <f t="shared" si="131"/>
        <v>OK</v>
      </c>
      <c r="U424" s="39" t="str">
        <f t="shared" si="132"/>
        <v>10-19%</v>
      </c>
      <c r="V424" s="39" t="str">
        <f>IF(E424&gt;=Analysis!$B$4,"High",IF(E424&gt;=Analysis!$B$5,"Mid","Low"))</f>
        <v>Mid</v>
      </c>
      <c r="W424" s="39" t="str">
        <f t="shared" si="133"/>
        <v>2023-03</v>
      </c>
      <c r="X424" s="40">
        <f t="shared" si="134"/>
        <v>45016</v>
      </c>
      <c r="Y424" s="39" t="str">
        <f t="shared" si="135"/>
        <v>2023-Q1</v>
      </c>
      <c r="Z424" s="39" t="str">
        <f t="shared" si="136"/>
        <v>Tue</v>
      </c>
      <c r="AA424" s="39">
        <f t="shared" si="137"/>
        <v>2</v>
      </c>
      <c r="AB424" s="39">
        <f t="shared" si="138"/>
        <v>14</v>
      </c>
      <c r="AC424" s="39" t="str">
        <f t="shared" si="139"/>
        <v>Weekday</v>
      </c>
      <c r="AD424" s="39">
        <f t="shared" ca="1" si="140"/>
        <v>1306</v>
      </c>
      <c r="AE424" s="39">
        <f t="shared" ca="1" si="141"/>
        <v>42</v>
      </c>
      <c r="AF424" s="39" t="str">
        <f t="shared" si="142"/>
        <v>EVE</v>
      </c>
      <c r="AG424" s="39" t="str">
        <f t="shared" si="143"/>
        <v>WR-230328-0423</v>
      </c>
      <c r="AH424" s="39" t="str">
        <f>IF(AND(OR(Filter!$B$4="All",D424=Filter!$B$4),OR(Filter!$B$5="All",M424=Filter!$B$5),E424&gt;=Filter!$B$6),MAX(AH$1:AH423)+1,"")</f>
        <v/>
      </c>
      <c r="AI424" s="39">
        <f t="shared" si="144"/>
        <v>14</v>
      </c>
      <c r="AJ424" s="42">
        <f t="shared" si="145"/>
        <v>0.17</v>
      </c>
      <c r="AK424" s="41">
        <f t="shared" si="146"/>
        <v>831.13</v>
      </c>
      <c r="AL424" s="39">
        <f>RANK(E424,$E$2:$E$1001,0)+COUNTIF($E$2:E424,E424)-1</f>
        <v>321</v>
      </c>
    </row>
    <row r="425" spans="1:38" x14ac:dyDescent="0.2">
      <c r="A425" s="39">
        <v>1020</v>
      </c>
      <c r="B425" s="40">
        <v>45043</v>
      </c>
      <c r="C425" s="39" t="s">
        <v>61</v>
      </c>
      <c r="D425" s="39" t="s">
        <v>69</v>
      </c>
      <c r="E425" s="41">
        <v>7095.64</v>
      </c>
      <c r="F425" s="39">
        <v>33</v>
      </c>
      <c r="G425" s="39" t="s">
        <v>75</v>
      </c>
      <c r="H425" s="41">
        <v>4772.03</v>
      </c>
      <c r="I425" s="41">
        <v>4805.17</v>
      </c>
      <c r="J425" s="39" t="s">
        <v>137</v>
      </c>
      <c r="K425" s="42">
        <v>0.28000000000000003</v>
      </c>
      <c r="L425" s="39" t="s">
        <v>63</v>
      </c>
      <c r="M425" s="39" t="s">
        <v>138</v>
      </c>
      <c r="N425" s="39" t="s">
        <v>150</v>
      </c>
      <c r="O425" s="43">
        <f t="shared" si="126"/>
        <v>158570.60999999999</v>
      </c>
      <c r="P425" s="43">
        <f t="shared" si="127"/>
        <v>114170.84</v>
      </c>
      <c r="Q425" s="43">
        <f t="shared" si="128"/>
        <v>157476.99</v>
      </c>
      <c r="R425" s="43">
        <f t="shared" si="129"/>
        <v>-43306.149999999994</v>
      </c>
      <c r="S425" s="44">
        <f t="shared" si="130"/>
        <v>-0.37931007602291439</v>
      </c>
      <c r="T425" s="39" t="str">
        <f t="shared" si="131"/>
        <v>Loss</v>
      </c>
      <c r="U425" s="39" t="str">
        <f t="shared" si="132"/>
        <v>20%+</v>
      </c>
      <c r="V425" s="39" t="str">
        <f>IF(E425&gt;=Analysis!$B$4,"High",IF(E425&gt;=Analysis!$B$5,"Mid","Low"))</f>
        <v>Mid</v>
      </c>
      <c r="W425" s="39" t="str">
        <f t="shared" si="133"/>
        <v>2023-04</v>
      </c>
      <c r="X425" s="40">
        <f t="shared" si="134"/>
        <v>45046</v>
      </c>
      <c r="Y425" s="39" t="str">
        <f t="shared" si="135"/>
        <v>2023-Q2</v>
      </c>
      <c r="Z425" s="39" t="str">
        <f t="shared" si="136"/>
        <v>Thu</v>
      </c>
      <c r="AA425" s="39">
        <f t="shared" si="137"/>
        <v>4</v>
      </c>
      <c r="AB425" s="39">
        <f t="shared" si="138"/>
        <v>18</v>
      </c>
      <c r="AC425" s="39" t="str">
        <f t="shared" si="139"/>
        <v>Weekday</v>
      </c>
      <c r="AD425" s="39">
        <f t="shared" ca="1" si="140"/>
        <v>1276</v>
      </c>
      <c r="AE425" s="39">
        <f t="shared" ca="1" si="141"/>
        <v>41</v>
      </c>
      <c r="AF425" s="39" t="str">
        <f t="shared" si="142"/>
        <v>ALI</v>
      </c>
      <c r="AG425" s="39" t="str">
        <f t="shared" si="143"/>
        <v>SO-230427-0424</v>
      </c>
      <c r="AH425" s="39" t="str">
        <f>IF(AND(OR(Filter!$B$4="All",D425=Filter!$B$4),OR(Filter!$B$5="All",M425=Filter!$B$5),E425&gt;=Filter!$B$6),MAX(AH$1:AH424)+1,"")</f>
        <v/>
      </c>
      <c r="AI425" s="39">
        <f t="shared" si="144"/>
        <v>33</v>
      </c>
      <c r="AJ425" s="42">
        <f t="shared" si="145"/>
        <v>0.28000000000000003</v>
      </c>
      <c r="AK425" s="41">
        <f t="shared" si="146"/>
        <v>4805.17</v>
      </c>
      <c r="AL425" s="39">
        <f>RANK(E425,$E$2:$E$1001,0)+COUNTIF($E$2:E425,E425)-1</f>
        <v>290</v>
      </c>
    </row>
    <row r="426" spans="1:38" x14ac:dyDescent="0.2">
      <c r="A426" s="39">
        <v>1065</v>
      </c>
      <c r="B426" s="40">
        <v>45288</v>
      </c>
      <c r="C426" s="39" t="s">
        <v>76</v>
      </c>
      <c r="D426" s="39" t="s">
        <v>74</v>
      </c>
      <c r="E426" s="41">
        <v>6139.07</v>
      </c>
      <c r="F426" s="39">
        <v>18</v>
      </c>
      <c r="G426" s="39" t="s">
        <v>70</v>
      </c>
      <c r="H426" s="41">
        <v>4334.58</v>
      </c>
      <c r="I426" s="41">
        <v>4431.04</v>
      </c>
      <c r="J426" s="39" t="s">
        <v>143</v>
      </c>
      <c r="K426" s="42">
        <v>0.02</v>
      </c>
      <c r="L426" s="39" t="s">
        <v>63</v>
      </c>
      <c r="M426" s="39" t="s">
        <v>140</v>
      </c>
      <c r="N426" s="39" t="s">
        <v>154</v>
      </c>
      <c r="O426" s="43">
        <f t="shared" si="126"/>
        <v>79758.720000000001</v>
      </c>
      <c r="P426" s="43">
        <f t="shared" si="127"/>
        <v>78163.55</v>
      </c>
      <c r="Q426" s="43">
        <f t="shared" si="128"/>
        <v>78022.44</v>
      </c>
      <c r="R426" s="43">
        <f t="shared" si="129"/>
        <v>141.11000000000058</v>
      </c>
      <c r="S426" s="44">
        <f t="shared" si="130"/>
        <v>1.8053171842885921E-3</v>
      </c>
      <c r="T426" s="39" t="str">
        <f t="shared" si="131"/>
        <v>OK</v>
      </c>
      <c r="U426" s="39" t="str">
        <f t="shared" si="132"/>
        <v>0-9%</v>
      </c>
      <c r="V426" s="39" t="str">
        <f>IF(E426&gt;=Analysis!$B$4,"High",IF(E426&gt;=Analysis!$B$5,"Mid","Low"))</f>
        <v>Mid</v>
      </c>
      <c r="W426" s="39" t="str">
        <f t="shared" si="133"/>
        <v>2023-12</v>
      </c>
      <c r="X426" s="40">
        <f t="shared" si="134"/>
        <v>45291</v>
      </c>
      <c r="Y426" s="39" t="str">
        <f t="shared" si="135"/>
        <v>2023-Q4</v>
      </c>
      <c r="Z426" s="39" t="str">
        <f t="shared" si="136"/>
        <v>Thu</v>
      </c>
      <c r="AA426" s="39">
        <f t="shared" si="137"/>
        <v>4</v>
      </c>
      <c r="AB426" s="39">
        <f t="shared" si="138"/>
        <v>53</v>
      </c>
      <c r="AC426" s="39" t="str">
        <f t="shared" si="139"/>
        <v>Weekday</v>
      </c>
      <c r="AD426" s="39">
        <f t="shared" ca="1" si="140"/>
        <v>1031</v>
      </c>
      <c r="AE426" s="39">
        <f t="shared" ca="1" si="141"/>
        <v>33</v>
      </c>
      <c r="AF426" s="39" t="str">
        <f t="shared" si="142"/>
        <v>DAV</v>
      </c>
      <c r="AG426" s="39" t="str">
        <f t="shared" si="143"/>
        <v>WR-231228-0425</v>
      </c>
      <c r="AH426" s="39" t="str">
        <f>IF(AND(OR(Filter!$B$4="All",D426=Filter!$B$4),OR(Filter!$B$5="All",M426=Filter!$B$5),E426&gt;=Filter!$B$6),MAX(AH$1:AH425)+1,"")</f>
        <v/>
      </c>
      <c r="AI426" s="39">
        <f t="shared" si="144"/>
        <v>18</v>
      </c>
      <c r="AJ426" s="42">
        <f t="shared" si="145"/>
        <v>0.02</v>
      </c>
      <c r="AK426" s="41">
        <f t="shared" si="146"/>
        <v>4431.04</v>
      </c>
      <c r="AL426" s="39">
        <f>RANK(E426,$E$2:$E$1001,0)+COUNTIF($E$2:E426,E426)-1</f>
        <v>393</v>
      </c>
    </row>
    <row r="427" spans="1:38" x14ac:dyDescent="0.2">
      <c r="A427" s="39">
        <v>1008</v>
      </c>
      <c r="B427" s="40">
        <v>45268</v>
      </c>
      <c r="C427" s="39" t="s">
        <v>61</v>
      </c>
      <c r="D427" s="39" t="s">
        <v>69</v>
      </c>
      <c r="E427" s="41">
        <v>3197.78</v>
      </c>
      <c r="F427" s="39">
        <v>49</v>
      </c>
      <c r="G427" s="39" t="s">
        <v>65</v>
      </c>
      <c r="H427" s="41">
        <v>2907.22</v>
      </c>
      <c r="I427" s="41">
        <v>3385.61</v>
      </c>
      <c r="J427" s="39" t="s">
        <v>143</v>
      </c>
      <c r="K427" s="42">
        <v>0.13</v>
      </c>
      <c r="L427" s="39" t="s">
        <v>68</v>
      </c>
      <c r="M427" s="39" t="s">
        <v>138</v>
      </c>
      <c r="N427" s="39" t="s">
        <v>150</v>
      </c>
      <c r="O427" s="43">
        <f t="shared" si="126"/>
        <v>165894.89000000001</v>
      </c>
      <c r="P427" s="43">
        <f t="shared" si="127"/>
        <v>144328.54999999999</v>
      </c>
      <c r="Q427" s="43">
        <f t="shared" si="128"/>
        <v>142453.78</v>
      </c>
      <c r="R427" s="43">
        <f t="shared" si="129"/>
        <v>1874.7699999999895</v>
      </c>
      <c r="S427" s="44">
        <f t="shared" si="130"/>
        <v>1.2989599077937038E-2</v>
      </c>
      <c r="T427" s="39" t="str">
        <f t="shared" si="131"/>
        <v>OK</v>
      </c>
      <c r="U427" s="39" t="str">
        <f t="shared" si="132"/>
        <v>10-19%</v>
      </c>
      <c r="V427" s="39" t="str">
        <f>IF(E427&gt;=Analysis!$B$4,"High",IF(E427&gt;=Analysis!$B$5,"Mid","Low"))</f>
        <v>Mid</v>
      </c>
      <c r="W427" s="39" t="str">
        <f t="shared" si="133"/>
        <v>2023-12</v>
      </c>
      <c r="X427" s="40">
        <f t="shared" si="134"/>
        <v>45291</v>
      </c>
      <c r="Y427" s="39" t="str">
        <f t="shared" si="135"/>
        <v>2023-Q4</v>
      </c>
      <c r="Z427" s="39" t="str">
        <f t="shared" si="136"/>
        <v>Fri</v>
      </c>
      <c r="AA427" s="39">
        <f t="shared" si="137"/>
        <v>5</v>
      </c>
      <c r="AB427" s="39">
        <f t="shared" si="138"/>
        <v>50</v>
      </c>
      <c r="AC427" s="39" t="str">
        <f t="shared" si="139"/>
        <v>Weekday</v>
      </c>
      <c r="AD427" s="39">
        <f t="shared" ca="1" si="140"/>
        <v>1051</v>
      </c>
      <c r="AE427" s="39">
        <f t="shared" ca="1" si="141"/>
        <v>34</v>
      </c>
      <c r="AF427" s="39" t="str">
        <f t="shared" si="142"/>
        <v>ALI</v>
      </c>
      <c r="AG427" s="39" t="str">
        <f t="shared" si="143"/>
        <v>SO-231208-0426</v>
      </c>
      <c r="AH427" s="39" t="str">
        <f>IF(AND(OR(Filter!$B$4="All",D427=Filter!$B$4),OR(Filter!$B$5="All",M427=Filter!$B$5),E427&gt;=Filter!$B$6),MAX(AH$1:AH426)+1,"")</f>
        <v/>
      </c>
      <c r="AI427" s="39">
        <f t="shared" si="144"/>
        <v>49</v>
      </c>
      <c r="AJ427" s="42">
        <f t="shared" si="145"/>
        <v>0.13</v>
      </c>
      <c r="AK427" s="41">
        <f t="shared" si="146"/>
        <v>3385.61</v>
      </c>
      <c r="AL427" s="39">
        <f>RANK(E427,$E$2:$E$1001,0)+COUNTIF($E$2:E427,E427)-1</f>
        <v>674</v>
      </c>
    </row>
    <row r="428" spans="1:38" x14ac:dyDescent="0.2">
      <c r="A428" s="39">
        <v>1016</v>
      </c>
      <c r="B428" s="40">
        <v>44953</v>
      </c>
      <c r="C428" s="39" t="s">
        <v>79</v>
      </c>
      <c r="D428" s="39" t="s">
        <v>64</v>
      </c>
      <c r="E428" s="41">
        <v>2783.85</v>
      </c>
      <c r="F428" s="39">
        <v>41</v>
      </c>
      <c r="G428" s="39" t="s">
        <v>70</v>
      </c>
      <c r="H428" s="41">
        <v>3386.49</v>
      </c>
      <c r="I428" s="41">
        <v>3430.99</v>
      </c>
      <c r="J428" s="39" t="s">
        <v>143</v>
      </c>
      <c r="K428" s="42">
        <v>0.21</v>
      </c>
      <c r="L428" s="39" t="s">
        <v>63</v>
      </c>
      <c r="M428" s="39" t="s">
        <v>140</v>
      </c>
      <c r="N428" s="39" t="s">
        <v>148</v>
      </c>
      <c r="O428" s="43">
        <f t="shared" si="126"/>
        <v>140670.59</v>
      </c>
      <c r="P428" s="43">
        <f t="shared" si="127"/>
        <v>111129.77</v>
      </c>
      <c r="Q428" s="43">
        <f t="shared" si="128"/>
        <v>138846.09</v>
      </c>
      <c r="R428" s="43">
        <f t="shared" si="129"/>
        <v>-27716.319999999992</v>
      </c>
      <c r="S428" s="44">
        <f t="shared" si="130"/>
        <v>-0.24940499741878339</v>
      </c>
      <c r="T428" s="39" t="str">
        <f t="shared" si="131"/>
        <v>Loss</v>
      </c>
      <c r="U428" s="39" t="str">
        <f t="shared" si="132"/>
        <v>20%+</v>
      </c>
      <c r="V428" s="39" t="str">
        <f>IF(E428&gt;=Analysis!$B$4,"High",IF(E428&gt;=Analysis!$B$5,"Mid","Low"))</f>
        <v>Mid</v>
      </c>
      <c r="W428" s="39" t="str">
        <f t="shared" si="133"/>
        <v>2023-01</v>
      </c>
      <c r="X428" s="40">
        <f t="shared" si="134"/>
        <v>44957</v>
      </c>
      <c r="Y428" s="39" t="str">
        <f t="shared" si="135"/>
        <v>2023-Q1</v>
      </c>
      <c r="Z428" s="39" t="str">
        <f t="shared" si="136"/>
        <v>Fri</v>
      </c>
      <c r="AA428" s="39">
        <f t="shared" si="137"/>
        <v>5</v>
      </c>
      <c r="AB428" s="39">
        <f t="shared" si="138"/>
        <v>5</v>
      </c>
      <c r="AC428" s="39" t="str">
        <f t="shared" si="139"/>
        <v>Weekday</v>
      </c>
      <c r="AD428" s="39">
        <f t="shared" ca="1" si="140"/>
        <v>1366</v>
      </c>
      <c r="AE428" s="39">
        <f t="shared" ca="1" si="141"/>
        <v>44</v>
      </c>
      <c r="AF428" s="39" t="str">
        <f t="shared" si="142"/>
        <v>EVE</v>
      </c>
      <c r="AG428" s="39" t="str">
        <f t="shared" si="143"/>
        <v>NR-230127-0427</v>
      </c>
      <c r="AH428" s="39" t="str">
        <f>IF(AND(OR(Filter!$B$4="All",D428=Filter!$B$4),OR(Filter!$B$5="All",M428=Filter!$B$5),E428&gt;=Filter!$B$6),MAX(AH$1:AH427)+1,"")</f>
        <v/>
      </c>
      <c r="AI428" s="39">
        <f t="shared" si="144"/>
        <v>41</v>
      </c>
      <c r="AJ428" s="42">
        <f t="shared" si="145"/>
        <v>0.21</v>
      </c>
      <c r="AK428" s="41">
        <f t="shared" si="146"/>
        <v>3430.99</v>
      </c>
      <c r="AL428" s="39">
        <f>RANK(E428,$E$2:$E$1001,0)+COUNTIF($E$2:E428,E428)-1</f>
        <v>719</v>
      </c>
    </row>
    <row r="429" spans="1:38" x14ac:dyDescent="0.2">
      <c r="A429" s="39">
        <v>1014</v>
      </c>
      <c r="B429" s="40">
        <v>45239</v>
      </c>
      <c r="C429" s="39" t="s">
        <v>76</v>
      </c>
      <c r="D429" s="39" t="s">
        <v>64</v>
      </c>
      <c r="E429" s="41">
        <v>6016.92</v>
      </c>
      <c r="F429" s="39">
        <v>9</v>
      </c>
      <c r="G429" s="39" t="s">
        <v>65</v>
      </c>
      <c r="H429" s="41">
        <v>132.47</v>
      </c>
      <c r="I429" s="41">
        <v>316.39</v>
      </c>
      <c r="J429" s="39" t="s">
        <v>143</v>
      </c>
      <c r="K429" s="42">
        <v>0.14000000000000001</v>
      </c>
      <c r="L429" s="39" t="s">
        <v>73</v>
      </c>
      <c r="M429" s="39" t="s">
        <v>138</v>
      </c>
      <c r="N429" s="39" t="s">
        <v>152</v>
      </c>
      <c r="O429" s="43">
        <f t="shared" si="126"/>
        <v>2847.51</v>
      </c>
      <c r="P429" s="43">
        <f t="shared" si="127"/>
        <v>2448.86</v>
      </c>
      <c r="Q429" s="43">
        <f t="shared" si="128"/>
        <v>1192.23</v>
      </c>
      <c r="R429" s="43">
        <f t="shared" si="129"/>
        <v>1256.6300000000001</v>
      </c>
      <c r="S429" s="44">
        <f t="shared" si="130"/>
        <v>0.51314897544163407</v>
      </c>
      <c r="T429" s="39" t="str">
        <f t="shared" si="131"/>
        <v>OK</v>
      </c>
      <c r="U429" s="39" t="str">
        <f t="shared" si="132"/>
        <v>10-19%</v>
      </c>
      <c r="V429" s="39" t="str">
        <f>IF(E429&gt;=Analysis!$B$4,"High",IF(E429&gt;=Analysis!$B$5,"Mid","Low"))</f>
        <v>Mid</v>
      </c>
      <c r="W429" s="39" t="str">
        <f t="shared" si="133"/>
        <v>2023-11</v>
      </c>
      <c r="X429" s="40">
        <f t="shared" si="134"/>
        <v>45260</v>
      </c>
      <c r="Y429" s="39" t="str">
        <f t="shared" si="135"/>
        <v>2023-Q4</v>
      </c>
      <c r="Z429" s="39" t="str">
        <f t="shared" si="136"/>
        <v>Thu</v>
      </c>
      <c r="AA429" s="39">
        <f t="shared" si="137"/>
        <v>4</v>
      </c>
      <c r="AB429" s="39">
        <f t="shared" si="138"/>
        <v>46</v>
      </c>
      <c r="AC429" s="39" t="str">
        <f t="shared" si="139"/>
        <v>Weekday</v>
      </c>
      <c r="AD429" s="39">
        <f t="shared" ca="1" si="140"/>
        <v>1080</v>
      </c>
      <c r="AE429" s="39">
        <f t="shared" ca="1" si="141"/>
        <v>35</v>
      </c>
      <c r="AF429" s="39" t="str">
        <f t="shared" si="142"/>
        <v>DAV</v>
      </c>
      <c r="AG429" s="39" t="str">
        <f t="shared" si="143"/>
        <v>NO-231109-0428</v>
      </c>
      <c r="AH429" s="39" t="str">
        <f>IF(AND(OR(Filter!$B$4="All",D429=Filter!$B$4),OR(Filter!$B$5="All",M429=Filter!$B$5),E429&gt;=Filter!$B$6),MAX(AH$1:AH428)+1,"")</f>
        <v/>
      </c>
      <c r="AI429" s="39">
        <f t="shared" si="144"/>
        <v>9</v>
      </c>
      <c r="AJ429" s="42">
        <f t="shared" si="145"/>
        <v>0.14000000000000001</v>
      </c>
      <c r="AK429" s="41">
        <f t="shared" si="146"/>
        <v>316.39</v>
      </c>
      <c r="AL429" s="39">
        <f>RANK(E429,$E$2:$E$1001,0)+COUNTIF($E$2:E429,E429)-1</f>
        <v>404</v>
      </c>
    </row>
    <row r="430" spans="1:38" x14ac:dyDescent="0.2">
      <c r="A430" s="39">
        <v>1076</v>
      </c>
      <c r="B430" s="40">
        <v>45213</v>
      </c>
      <c r="C430" s="39" t="s">
        <v>71</v>
      </c>
      <c r="D430" s="39" t="s">
        <v>69</v>
      </c>
      <c r="E430" s="41">
        <v>8674.35</v>
      </c>
      <c r="F430" s="39">
        <v>23</v>
      </c>
      <c r="G430" s="39" t="s">
        <v>70</v>
      </c>
      <c r="H430" s="41">
        <v>1727.78</v>
      </c>
      <c r="I430" s="41">
        <v>1984.34</v>
      </c>
      <c r="J430" s="39" t="s">
        <v>137</v>
      </c>
      <c r="K430" s="42">
        <v>0.24</v>
      </c>
      <c r="L430" s="39" t="s">
        <v>63</v>
      </c>
      <c r="M430" s="39" t="s">
        <v>138</v>
      </c>
      <c r="N430" s="39" t="s">
        <v>151</v>
      </c>
      <c r="O430" s="43">
        <f t="shared" si="126"/>
        <v>45639.82</v>
      </c>
      <c r="P430" s="43">
        <f t="shared" si="127"/>
        <v>34686.26</v>
      </c>
      <c r="Q430" s="43">
        <f t="shared" si="128"/>
        <v>39738.94</v>
      </c>
      <c r="R430" s="43">
        <f t="shared" si="129"/>
        <v>-5052.68</v>
      </c>
      <c r="S430" s="44">
        <f t="shared" si="130"/>
        <v>-0.14566805415170156</v>
      </c>
      <c r="T430" s="39" t="str">
        <f t="shared" si="131"/>
        <v>Loss</v>
      </c>
      <c r="U430" s="39" t="str">
        <f t="shared" si="132"/>
        <v>20%+</v>
      </c>
      <c r="V430" s="39" t="str">
        <f>IF(E430&gt;=Analysis!$B$4,"High",IF(E430&gt;=Analysis!$B$5,"Mid","Low"))</f>
        <v>High</v>
      </c>
      <c r="W430" s="39" t="str">
        <f t="shared" si="133"/>
        <v>2023-10</v>
      </c>
      <c r="X430" s="40">
        <f t="shared" si="134"/>
        <v>45230</v>
      </c>
      <c r="Y430" s="39" t="str">
        <f t="shared" si="135"/>
        <v>2023-Q4</v>
      </c>
      <c r="Z430" s="39" t="str">
        <f t="shared" si="136"/>
        <v>Sat</v>
      </c>
      <c r="AA430" s="39">
        <f t="shared" si="137"/>
        <v>6</v>
      </c>
      <c r="AB430" s="39">
        <f t="shared" si="138"/>
        <v>42</v>
      </c>
      <c r="AC430" s="39" t="str">
        <f t="shared" si="139"/>
        <v>Weekend</v>
      </c>
      <c r="AD430" s="39">
        <f t="shared" ca="1" si="140"/>
        <v>1106</v>
      </c>
      <c r="AE430" s="39">
        <f t="shared" ca="1" si="141"/>
        <v>36</v>
      </c>
      <c r="AF430" s="39" t="str">
        <f t="shared" si="142"/>
        <v>CHA</v>
      </c>
      <c r="AG430" s="39" t="str">
        <f t="shared" si="143"/>
        <v>SO-231014-0429</v>
      </c>
      <c r="AH430" s="39" t="str">
        <f>IF(AND(OR(Filter!$B$4="All",D430=Filter!$B$4),OR(Filter!$B$5="All",M430=Filter!$B$5),E430&gt;=Filter!$B$6),MAX(AH$1:AH429)+1,"")</f>
        <v/>
      </c>
      <c r="AI430" s="39">
        <f t="shared" si="144"/>
        <v>23</v>
      </c>
      <c r="AJ430" s="42">
        <f t="shared" si="145"/>
        <v>0.24</v>
      </c>
      <c r="AK430" s="41">
        <f t="shared" si="146"/>
        <v>1984.34</v>
      </c>
      <c r="AL430" s="39">
        <f>RANK(E430,$E$2:$E$1001,0)+COUNTIF($E$2:E430,E430)-1</f>
        <v>122</v>
      </c>
    </row>
    <row r="431" spans="1:38" x14ac:dyDescent="0.2">
      <c r="A431" s="39">
        <v>1087</v>
      </c>
      <c r="B431" s="40">
        <v>45060</v>
      </c>
      <c r="C431" s="39" t="s">
        <v>71</v>
      </c>
      <c r="D431" s="39" t="s">
        <v>74</v>
      </c>
      <c r="E431" s="41">
        <v>9472.66</v>
      </c>
      <c r="F431" s="39">
        <v>10</v>
      </c>
      <c r="G431" s="39" t="s">
        <v>65</v>
      </c>
      <c r="H431" s="41">
        <v>3988.52</v>
      </c>
      <c r="I431" s="41">
        <v>4240.2299999999996</v>
      </c>
      <c r="J431" s="39" t="s">
        <v>143</v>
      </c>
      <c r="K431" s="42">
        <v>0.05</v>
      </c>
      <c r="L431" s="39" t="s">
        <v>73</v>
      </c>
      <c r="M431" s="39" t="s">
        <v>138</v>
      </c>
      <c r="N431" s="39" t="s">
        <v>146</v>
      </c>
      <c r="O431" s="43">
        <f t="shared" si="126"/>
        <v>42402.3</v>
      </c>
      <c r="P431" s="43">
        <f t="shared" si="127"/>
        <v>40282.19</v>
      </c>
      <c r="Q431" s="43">
        <f t="shared" si="128"/>
        <v>39885.199999999997</v>
      </c>
      <c r="R431" s="43">
        <f t="shared" si="129"/>
        <v>396.99000000000524</v>
      </c>
      <c r="S431" s="44">
        <f t="shared" si="130"/>
        <v>9.855223859477482E-3</v>
      </c>
      <c r="T431" s="39" t="str">
        <f t="shared" si="131"/>
        <v>OK</v>
      </c>
      <c r="U431" s="39" t="str">
        <f t="shared" si="132"/>
        <v>0-9%</v>
      </c>
      <c r="V431" s="39" t="str">
        <f>IF(E431&gt;=Analysis!$B$4,"High",IF(E431&gt;=Analysis!$B$5,"Mid","Low"))</f>
        <v>High</v>
      </c>
      <c r="W431" s="39" t="str">
        <f t="shared" si="133"/>
        <v>2023-05</v>
      </c>
      <c r="X431" s="40">
        <f t="shared" si="134"/>
        <v>45077</v>
      </c>
      <c r="Y431" s="39" t="str">
        <f t="shared" si="135"/>
        <v>2023-Q2</v>
      </c>
      <c r="Z431" s="39" t="str">
        <f t="shared" si="136"/>
        <v>Sun</v>
      </c>
      <c r="AA431" s="39">
        <f t="shared" si="137"/>
        <v>7</v>
      </c>
      <c r="AB431" s="39">
        <f t="shared" si="138"/>
        <v>20</v>
      </c>
      <c r="AC431" s="39" t="str">
        <f t="shared" si="139"/>
        <v>Weekend</v>
      </c>
      <c r="AD431" s="39">
        <f t="shared" ca="1" si="140"/>
        <v>1259</v>
      </c>
      <c r="AE431" s="39">
        <f t="shared" ca="1" si="141"/>
        <v>41</v>
      </c>
      <c r="AF431" s="39" t="str">
        <f t="shared" si="142"/>
        <v>CHA</v>
      </c>
      <c r="AG431" s="39" t="str">
        <f t="shared" si="143"/>
        <v>WO-230514-0430</v>
      </c>
      <c r="AH431" s="39">
        <f>IF(AND(OR(Filter!$B$4="All",D431=Filter!$B$4),OR(Filter!$B$5="All",M431=Filter!$B$5),E431&gt;=Filter!$B$6),MAX(AH$1:AH430)+1,"")</f>
        <v>47</v>
      </c>
      <c r="AI431" s="39">
        <f t="shared" si="144"/>
        <v>10</v>
      </c>
      <c r="AJ431" s="42">
        <f t="shared" si="145"/>
        <v>0.05</v>
      </c>
      <c r="AK431" s="41">
        <f t="shared" si="146"/>
        <v>4240.2299999999996</v>
      </c>
      <c r="AL431" s="39">
        <f>RANK(E431,$E$2:$E$1001,0)+COUNTIF($E$2:E431,E431)-1</f>
        <v>54</v>
      </c>
    </row>
    <row r="432" spans="1:38" x14ac:dyDescent="0.2">
      <c r="A432" s="39">
        <v>1015</v>
      </c>
      <c r="B432" s="40">
        <v>45145</v>
      </c>
      <c r="C432" s="39" t="s">
        <v>61</v>
      </c>
      <c r="D432" s="39" t="s">
        <v>59</v>
      </c>
      <c r="E432" s="41">
        <v>1148.47</v>
      </c>
      <c r="F432" s="39">
        <v>19</v>
      </c>
      <c r="G432" s="39" t="s">
        <v>60</v>
      </c>
      <c r="H432" s="41">
        <v>433.54</v>
      </c>
      <c r="I432" s="41">
        <v>445.48</v>
      </c>
      <c r="J432" s="39" t="s">
        <v>143</v>
      </c>
      <c r="K432" s="42">
        <v>0.28999999999999998</v>
      </c>
      <c r="L432" s="39" t="s">
        <v>63</v>
      </c>
      <c r="M432" s="39" t="s">
        <v>140</v>
      </c>
      <c r="N432" s="39" t="s">
        <v>159</v>
      </c>
      <c r="O432" s="43">
        <f t="shared" si="126"/>
        <v>8464.1200000000008</v>
      </c>
      <c r="P432" s="43">
        <f t="shared" si="127"/>
        <v>6009.53</v>
      </c>
      <c r="Q432" s="43">
        <f t="shared" si="128"/>
        <v>8237.26</v>
      </c>
      <c r="R432" s="43">
        <f t="shared" si="129"/>
        <v>-2227.7300000000005</v>
      </c>
      <c r="S432" s="44">
        <f t="shared" si="130"/>
        <v>-0.37069953889904877</v>
      </c>
      <c r="T432" s="39" t="str">
        <f t="shared" si="131"/>
        <v>Loss</v>
      </c>
      <c r="U432" s="39" t="str">
        <f t="shared" si="132"/>
        <v>20%+</v>
      </c>
      <c r="V432" s="39" t="str">
        <f>IF(E432&gt;=Analysis!$B$4,"High",IF(E432&gt;=Analysis!$B$5,"Mid","Low"))</f>
        <v>Low</v>
      </c>
      <c r="W432" s="39" t="str">
        <f t="shared" si="133"/>
        <v>2023-08</v>
      </c>
      <c r="X432" s="40">
        <f t="shared" si="134"/>
        <v>45169</v>
      </c>
      <c r="Y432" s="39" t="str">
        <f t="shared" si="135"/>
        <v>2023-Q3</v>
      </c>
      <c r="Z432" s="39" t="str">
        <f t="shared" si="136"/>
        <v>Mon</v>
      </c>
      <c r="AA432" s="39">
        <f t="shared" si="137"/>
        <v>1</v>
      </c>
      <c r="AB432" s="39">
        <f t="shared" si="138"/>
        <v>33</v>
      </c>
      <c r="AC432" s="39" t="str">
        <f t="shared" si="139"/>
        <v>Weekday</v>
      </c>
      <c r="AD432" s="39">
        <f t="shared" ca="1" si="140"/>
        <v>1174</v>
      </c>
      <c r="AE432" s="39">
        <f t="shared" ca="1" si="141"/>
        <v>38</v>
      </c>
      <c r="AF432" s="39" t="str">
        <f t="shared" si="142"/>
        <v>ALI</v>
      </c>
      <c r="AG432" s="39" t="str">
        <f t="shared" si="143"/>
        <v>ER-230807-0431</v>
      </c>
      <c r="AH432" s="39" t="str">
        <f>IF(AND(OR(Filter!$B$4="All",D432=Filter!$B$4),OR(Filter!$B$5="All",M432=Filter!$B$5),E432&gt;=Filter!$B$6),MAX(AH$1:AH431)+1,"")</f>
        <v/>
      </c>
      <c r="AI432" s="39">
        <f t="shared" si="144"/>
        <v>19</v>
      </c>
      <c r="AJ432" s="42">
        <f t="shared" si="145"/>
        <v>0.28999999999999998</v>
      </c>
      <c r="AK432" s="41">
        <f t="shared" si="146"/>
        <v>445.48</v>
      </c>
      <c r="AL432" s="39">
        <f>RANK(E432,$E$2:$E$1001,0)+COUNTIF($E$2:E432,E432)-1</f>
        <v>890</v>
      </c>
    </row>
    <row r="433" spans="1:38" x14ac:dyDescent="0.2">
      <c r="A433" s="39">
        <v>1092</v>
      </c>
      <c r="B433" s="40">
        <v>45094</v>
      </c>
      <c r="C433" s="39" t="s">
        <v>61</v>
      </c>
      <c r="D433" s="39" t="s">
        <v>59</v>
      </c>
      <c r="E433" s="41">
        <v>1632.8</v>
      </c>
      <c r="F433" s="39">
        <v>47</v>
      </c>
      <c r="G433" s="39" t="s">
        <v>75</v>
      </c>
      <c r="H433" s="41">
        <v>1447.45</v>
      </c>
      <c r="I433" s="41">
        <v>1703.02</v>
      </c>
      <c r="J433" s="39" t="s">
        <v>137</v>
      </c>
      <c r="K433" s="42">
        <v>0.12</v>
      </c>
      <c r="L433" s="39" t="s">
        <v>63</v>
      </c>
      <c r="M433" s="39" t="s">
        <v>140</v>
      </c>
      <c r="N433" s="39" t="s">
        <v>159</v>
      </c>
      <c r="O433" s="43">
        <f t="shared" si="126"/>
        <v>80041.94</v>
      </c>
      <c r="P433" s="43">
        <f t="shared" si="127"/>
        <v>70436.91</v>
      </c>
      <c r="Q433" s="43">
        <f t="shared" si="128"/>
        <v>68030.149999999994</v>
      </c>
      <c r="R433" s="43">
        <f t="shared" si="129"/>
        <v>2406.7600000000093</v>
      </c>
      <c r="S433" s="44">
        <f t="shared" si="130"/>
        <v>3.416901735184024E-2</v>
      </c>
      <c r="T433" s="39" t="str">
        <f t="shared" si="131"/>
        <v>OK</v>
      </c>
      <c r="U433" s="39" t="str">
        <f t="shared" si="132"/>
        <v>10-19%</v>
      </c>
      <c r="V433" s="39" t="str">
        <f>IF(E433&gt;=Analysis!$B$4,"High",IF(E433&gt;=Analysis!$B$5,"Mid","Low"))</f>
        <v>Low</v>
      </c>
      <c r="W433" s="39" t="str">
        <f t="shared" si="133"/>
        <v>2023-06</v>
      </c>
      <c r="X433" s="40">
        <f t="shared" si="134"/>
        <v>45107</v>
      </c>
      <c r="Y433" s="39" t="str">
        <f t="shared" si="135"/>
        <v>2023-Q2</v>
      </c>
      <c r="Z433" s="39" t="str">
        <f t="shared" si="136"/>
        <v>Sat</v>
      </c>
      <c r="AA433" s="39">
        <f t="shared" si="137"/>
        <v>6</v>
      </c>
      <c r="AB433" s="39">
        <f t="shared" si="138"/>
        <v>25</v>
      </c>
      <c r="AC433" s="39" t="str">
        <f t="shared" si="139"/>
        <v>Weekend</v>
      </c>
      <c r="AD433" s="39">
        <f t="shared" ca="1" si="140"/>
        <v>1225</v>
      </c>
      <c r="AE433" s="39">
        <f t="shared" ca="1" si="141"/>
        <v>40</v>
      </c>
      <c r="AF433" s="39" t="str">
        <f t="shared" si="142"/>
        <v>ALI</v>
      </c>
      <c r="AG433" s="39" t="str">
        <f t="shared" si="143"/>
        <v>ER-230617-0432</v>
      </c>
      <c r="AH433" s="39" t="str">
        <f>IF(AND(OR(Filter!$B$4="All",D433=Filter!$B$4),OR(Filter!$B$5="All",M433=Filter!$B$5),E433&gt;=Filter!$B$6),MAX(AH$1:AH432)+1,"")</f>
        <v/>
      </c>
      <c r="AI433" s="39">
        <f t="shared" si="144"/>
        <v>47</v>
      </c>
      <c r="AJ433" s="42">
        <f t="shared" si="145"/>
        <v>0.12</v>
      </c>
      <c r="AK433" s="41">
        <f t="shared" si="146"/>
        <v>1703.02</v>
      </c>
      <c r="AL433" s="39">
        <f>RANK(E433,$E$2:$E$1001,0)+COUNTIF($E$2:E433,E433)-1</f>
        <v>857</v>
      </c>
    </row>
    <row r="434" spans="1:38" x14ac:dyDescent="0.2">
      <c r="A434" s="39">
        <v>1098</v>
      </c>
      <c r="B434" s="40">
        <v>45024</v>
      </c>
      <c r="C434" s="39" t="s">
        <v>79</v>
      </c>
      <c r="D434" s="39" t="s">
        <v>64</v>
      </c>
      <c r="E434" s="41">
        <v>9452.89</v>
      </c>
      <c r="F434" s="39">
        <v>5</v>
      </c>
      <c r="G434" s="39" t="s">
        <v>65</v>
      </c>
      <c r="H434" s="41">
        <v>2947.22</v>
      </c>
      <c r="I434" s="41">
        <v>3145.27</v>
      </c>
      <c r="J434" s="39" t="s">
        <v>143</v>
      </c>
      <c r="K434" s="42">
        <v>0.1</v>
      </c>
      <c r="L434" s="39" t="s">
        <v>73</v>
      </c>
      <c r="M434" s="39" t="s">
        <v>140</v>
      </c>
      <c r="N434" s="39" t="s">
        <v>148</v>
      </c>
      <c r="O434" s="43">
        <f t="shared" si="126"/>
        <v>15726.35</v>
      </c>
      <c r="P434" s="43">
        <f t="shared" si="127"/>
        <v>14153.72</v>
      </c>
      <c r="Q434" s="43">
        <f t="shared" si="128"/>
        <v>14736.1</v>
      </c>
      <c r="R434" s="43">
        <f t="shared" si="129"/>
        <v>-582.38000000000102</v>
      </c>
      <c r="S434" s="44">
        <f t="shared" si="130"/>
        <v>-4.1146779786515562E-2</v>
      </c>
      <c r="T434" s="39" t="str">
        <f t="shared" si="131"/>
        <v>Loss</v>
      </c>
      <c r="U434" s="39" t="str">
        <f t="shared" si="132"/>
        <v>10-19%</v>
      </c>
      <c r="V434" s="39" t="str">
        <f>IF(E434&gt;=Analysis!$B$4,"High",IF(E434&gt;=Analysis!$B$5,"Mid","Low"))</f>
        <v>High</v>
      </c>
      <c r="W434" s="39" t="str">
        <f t="shared" si="133"/>
        <v>2023-04</v>
      </c>
      <c r="X434" s="40">
        <f t="shared" si="134"/>
        <v>45046</v>
      </c>
      <c r="Y434" s="39" t="str">
        <f t="shared" si="135"/>
        <v>2023-Q2</v>
      </c>
      <c r="Z434" s="39" t="str">
        <f t="shared" si="136"/>
        <v>Sat</v>
      </c>
      <c r="AA434" s="39">
        <f t="shared" si="137"/>
        <v>6</v>
      </c>
      <c r="AB434" s="39">
        <f t="shared" si="138"/>
        <v>15</v>
      </c>
      <c r="AC434" s="39" t="str">
        <f t="shared" si="139"/>
        <v>Weekend</v>
      </c>
      <c r="AD434" s="39">
        <f t="shared" ca="1" si="140"/>
        <v>1295</v>
      </c>
      <c r="AE434" s="39">
        <f t="shared" ca="1" si="141"/>
        <v>42</v>
      </c>
      <c r="AF434" s="39" t="str">
        <f t="shared" si="142"/>
        <v>EVE</v>
      </c>
      <c r="AG434" s="39" t="str">
        <f t="shared" si="143"/>
        <v>NR-230408-0433</v>
      </c>
      <c r="AH434" s="39">
        <f>IF(AND(OR(Filter!$B$4="All",D434=Filter!$B$4),OR(Filter!$B$5="All",M434=Filter!$B$5),E434&gt;=Filter!$B$6),MAX(AH$1:AH433)+1,"")</f>
        <v>48</v>
      </c>
      <c r="AI434" s="39">
        <f t="shared" si="144"/>
        <v>5</v>
      </c>
      <c r="AJ434" s="42">
        <f t="shared" si="145"/>
        <v>0.1</v>
      </c>
      <c r="AK434" s="41">
        <f t="shared" si="146"/>
        <v>3145.27</v>
      </c>
      <c r="AL434" s="39">
        <f>RANK(E434,$E$2:$E$1001,0)+COUNTIF($E$2:E434,E434)-1</f>
        <v>56</v>
      </c>
    </row>
    <row r="435" spans="1:38" x14ac:dyDescent="0.2">
      <c r="A435" s="39">
        <v>1066</v>
      </c>
      <c r="B435" s="40">
        <v>45194</v>
      </c>
      <c r="C435" s="39" t="s">
        <v>79</v>
      </c>
      <c r="D435" s="39" t="s">
        <v>59</v>
      </c>
      <c r="E435" s="41">
        <v>7391.7</v>
      </c>
      <c r="F435" s="39">
        <v>47</v>
      </c>
      <c r="G435" s="39" t="s">
        <v>70</v>
      </c>
      <c r="H435" s="41">
        <v>1319.24</v>
      </c>
      <c r="I435" s="41">
        <v>1805.56</v>
      </c>
      <c r="J435" s="39" t="s">
        <v>143</v>
      </c>
      <c r="K435" s="42">
        <v>0.26</v>
      </c>
      <c r="L435" s="39" t="s">
        <v>73</v>
      </c>
      <c r="M435" s="39" t="s">
        <v>140</v>
      </c>
      <c r="N435" s="39" t="s">
        <v>155</v>
      </c>
      <c r="O435" s="43">
        <f t="shared" si="126"/>
        <v>84861.32</v>
      </c>
      <c r="P435" s="43">
        <f t="shared" si="127"/>
        <v>62797.38</v>
      </c>
      <c r="Q435" s="43">
        <f t="shared" si="128"/>
        <v>62004.28</v>
      </c>
      <c r="R435" s="43">
        <f t="shared" si="129"/>
        <v>793.09999999999854</v>
      </c>
      <c r="S435" s="44">
        <f t="shared" si="130"/>
        <v>1.2629507791567077E-2</v>
      </c>
      <c r="T435" s="39" t="str">
        <f t="shared" si="131"/>
        <v>OK</v>
      </c>
      <c r="U435" s="39" t="str">
        <f t="shared" si="132"/>
        <v>20%+</v>
      </c>
      <c r="V435" s="39" t="str">
        <f>IF(E435&gt;=Analysis!$B$4,"High",IF(E435&gt;=Analysis!$B$5,"Mid","Low"))</f>
        <v>Mid</v>
      </c>
      <c r="W435" s="39" t="str">
        <f t="shared" si="133"/>
        <v>2023-09</v>
      </c>
      <c r="X435" s="40">
        <f t="shared" si="134"/>
        <v>45199</v>
      </c>
      <c r="Y435" s="39" t="str">
        <f t="shared" si="135"/>
        <v>2023-Q3</v>
      </c>
      <c r="Z435" s="39" t="str">
        <f t="shared" si="136"/>
        <v>Mon</v>
      </c>
      <c r="AA435" s="39">
        <f t="shared" si="137"/>
        <v>1</v>
      </c>
      <c r="AB435" s="39">
        <f t="shared" si="138"/>
        <v>40</v>
      </c>
      <c r="AC435" s="39" t="str">
        <f t="shared" si="139"/>
        <v>Weekday</v>
      </c>
      <c r="AD435" s="39">
        <f t="shared" ca="1" si="140"/>
        <v>1125</v>
      </c>
      <c r="AE435" s="39">
        <f t="shared" ca="1" si="141"/>
        <v>36</v>
      </c>
      <c r="AF435" s="39" t="str">
        <f t="shared" si="142"/>
        <v>EVE</v>
      </c>
      <c r="AG435" s="39" t="str">
        <f t="shared" si="143"/>
        <v>ER-230925-0434</v>
      </c>
      <c r="AH435" s="39" t="str">
        <f>IF(AND(OR(Filter!$B$4="All",D435=Filter!$B$4),OR(Filter!$B$5="All",M435=Filter!$B$5),E435&gt;=Filter!$B$6),MAX(AH$1:AH434)+1,"")</f>
        <v/>
      </c>
      <c r="AI435" s="39">
        <f t="shared" si="144"/>
        <v>47</v>
      </c>
      <c r="AJ435" s="42">
        <f t="shared" si="145"/>
        <v>0.26</v>
      </c>
      <c r="AK435" s="41">
        <f t="shared" si="146"/>
        <v>1805.56</v>
      </c>
      <c r="AL435" s="39">
        <f>RANK(E435,$E$2:$E$1001,0)+COUNTIF($E$2:E435,E435)-1</f>
        <v>262</v>
      </c>
    </row>
    <row r="436" spans="1:38" x14ac:dyDescent="0.2">
      <c r="A436" s="39">
        <v>1032</v>
      </c>
      <c r="B436" s="40">
        <v>45163</v>
      </c>
      <c r="C436" s="39" t="s">
        <v>66</v>
      </c>
      <c r="D436" s="39" t="s">
        <v>64</v>
      </c>
      <c r="E436" s="41">
        <v>8841.64</v>
      </c>
      <c r="F436" s="39">
        <v>23</v>
      </c>
      <c r="G436" s="39" t="s">
        <v>65</v>
      </c>
      <c r="H436" s="41">
        <v>4673.1899999999996</v>
      </c>
      <c r="I436" s="41">
        <v>4761.18</v>
      </c>
      <c r="J436" s="39" t="s">
        <v>137</v>
      </c>
      <c r="K436" s="42">
        <v>0.17</v>
      </c>
      <c r="L436" s="39" t="s">
        <v>73</v>
      </c>
      <c r="M436" s="39" t="s">
        <v>140</v>
      </c>
      <c r="N436" s="39" t="s">
        <v>139</v>
      </c>
      <c r="O436" s="43">
        <f t="shared" si="126"/>
        <v>109507.14</v>
      </c>
      <c r="P436" s="43">
        <f t="shared" si="127"/>
        <v>90890.93</v>
      </c>
      <c r="Q436" s="43">
        <f t="shared" si="128"/>
        <v>107483.37</v>
      </c>
      <c r="R436" s="43">
        <f t="shared" si="129"/>
        <v>-16592.440000000002</v>
      </c>
      <c r="S436" s="44">
        <f t="shared" si="130"/>
        <v>-0.18255330867447395</v>
      </c>
      <c r="T436" s="39" t="str">
        <f t="shared" si="131"/>
        <v>Loss</v>
      </c>
      <c r="U436" s="39" t="str">
        <f t="shared" si="132"/>
        <v>10-19%</v>
      </c>
      <c r="V436" s="39" t="str">
        <f>IF(E436&gt;=Analysis!$B$4,"High",IF(E436&gt;=Analysis!$B$5,"Mid","Low"))</f>
        <v>High</v>
      </c>
      <c r="W436" s="39" t="str">
        <f t="shared" si="133"/>
        <v>2023-08</v>
      </c>
      <c r="X436" s="40">
        <f t="shared" si="134"/>
        <v>45169</v>
      </c>
      <c r="Y436" s="39" t="str">
        <f t="shared" si="135"/>
        <v>2023-Q3</v>
      </c>
      <c r="Z436" s="39" t="str">
        <f t="shared" si="136"/>
        <v>Fri</v>
      </c>
      <c r="AA436" s="39">
        <f t="shared" si="137"/>
        <v>5</v>
      </c>
      <c r="AB436" s="39">
        <f t="shared" si="138"/>
        <v>35</v>
      </c>
      <c r="AC436" s="39" t="str">
        <f t="shared" si="139"/>
        <v>Weekday</v>
      </c>
      <c r="AD436" s="39">
        <f t="shared" ca="1" si="140"/>
        <v>1156</v>
      </c>
      <c r="AE436" s="39">
        <f t="shared" ca="1" si="141"/>
        <v>37</v>
      </c>
      <c r="AF436" s="39" t="str">
        <f t="shared" si="142"/>
        <v>BOB</v>
      </c>
      <c r="AG436" s="39" t="str">
        <f t="shared" si="143"/>
        <v>NR-230825-0435</v>
      </c>
      <c r="AH436" s="39" t="str">
        <f>IF(AND(OR(Filter!$B$4="All",D436=Filter!$B$4),OR(Filter!$B$5="All",M436=Filter!$B$5),E436&gt;=Filter!$B$6),MAX(AH$1:AH435)+1,"")</f>
        <v/>
      </c>
      <c r="AI436" s="39">
        <f t="shared" si="144"/>
        <v>23</v>
      </c>
      <c r="AJ436" s="42">
        <f t="shared" si="145"/>
        <v>0.17</v>
      </c>
      <c r="AK436" s="41">
        <f t="shared" si="146"/>
        <v>4761.18</v>
      </c>
      <c r="AL436" s="39">
        <f>RANK(E436,$E$2:$E$1001,0)+COUNTIF($E$2:E436,E436)-1</f>
        <v>106</v>
      </c>
    </row>
    <row r="437" spans="1:38" x14ac:dyDescent="0.2">
      <c r="A437" s="39">
        <v>1087</v>
      </c>
      <c r="B437" s="40">
        <v>45235</v>
      </c>
      <c r="C437" s="39" t="s">
        <v>79</v>
      </c>
      <c r="D437" s="39" t="s">
        <v>59</v>
      </c>
      <c r="E437" s="41">
        <v>2106.06</v>
      </c>
      <c r="F437" s="39">
        <v>30</v>
      </c>
      <c r="G437" s="39" t="s">
        <v>65</v>
      </c>
      <c r="H437" s="41">
        <v>698.74</v>
      </c>
      <c r="I437" s="41">
        <v>882.28</v>
      </c>
      <c r="J437" s="39" t="s">
        <v>137</v>
      </c>
      <c r="K437" s="42">
        <v>0.15</v>
      </c>
      <c r="L437" s="39" t="s">
        <v>73</v>
      </c>
      <c r="M437" s="39" t="s">
        <v>138</v>
      </c>
      <c r="N437" s="39" t="s">
        <v>155</v>
      </c>
      <c r="O437" s="43">
        <f t="shared" si="126"/>
        <v>26468.400000000001</v>
      </c>
      <c r="P437" s="43">
        <f t="shared" si="127"/>
        <v>22498.14</v>
      </c>
      <c r="Q437" s="43">
        <f t="shared" si="128"/>
        <v>20962.2</v>
      </c>
      <c r="R437" s="43">
        <f t="shared" si="129"/>
        <v>1535.9399999999987</v>
      </c>
      <c r="S437" s="44">
        <f t="shared" si="130"/>
        <v>6.8269643623872847E-2</v>
      </c>
      <c r="T437" s="39" t="str">
        <f t="shared" si="131"/>
        <v>OK</v>
      </c>
      <c r="U437" s="39" t="str">
        <f t="shared" si="132"/>
        <v>10-19%</v>
      </c>
      <c r="V437" s="39" t="str">
        <f>IF(E437&gt;=Analysis!$B$4,"High",IF(E437&gt;=Analysis!$B$5,"Mid","Low"))</f>
        <v>Low</v>
      </c>
      <c r="W437" s="39" t="str">
        <f t="shared" si="133"/>
        <v>2023-11</v>
      </c>
      <c r="X437" s="40">
        <f t="shared" si="134"/>
        <v>45260</v>
      </c>
      <c r="Y437" s="39" t="str">
        <f t="shared" si="135"/>
        <v>2023-Q4</v>
      </c>
      <c r="Z437" s="39" t="str">
        <f t="shared" si="136"/>
        <v>Sun</v>
      </c>
      <c r="AA437" s="39">
        <f t="shared" si="137"/>
        <v>7</v>
      </c>
      <c r="AB437" s="39">
        <f t="shared" si="138"/>
        <v>45</v>
      </c>
      <c r="AC437" s="39" t="str">
        <f t="shared" si="139"/>
        <v>Weekend</v>
      </c>
      <c r="AD437" s="39">
        <f t="shared" ca="1" si="140"/>
        <v>1084</v>
      </c>
      <c r="AE437" s="39">
        <f t="shared" ca="1" si="141"/>
        <v>35</v>
      </c>
      <c r="AF437" s="39" t="str">
        <f t="shared" si="142"/>
        <v>EVE</v>
      </c>
      <c r="AG437" s="39" t="str">
        <f t="shared" si="143"/>
        <v>EO-231105-0436</v>
      </c>
      <c r="AH437" s="39" t="str">
        <f>IF(AND(OR(Filter!$B$4="All",D437=Filter!$B$4),OR(Filter!$B$5="All",M437=Filter!$B$5),E437&gt;=Filter!$B$6),MAX(AH$1:AH436)+1,"")</f>
        <v/>
      </c>
      <c r="AI437" s="39">
        <f t="shared" si="144"/>
        <v>30</v>
      </c>
      <c r="AJ437" s="42">
        <f t="shared" si="145"/>
        <v>0.15</v>
      </c>
      <c r="AK437" s="41">
        <f t="shared" si="146"/>
        <v>882.28</v>
      </c>
      <c r="AL437" s="39">
        <f>RANK(E437,$E$2:$E$1001,0)+COUNTIF($E$2:E437,E437)-1</f>
        <v>804</v>
      </c>
    </row>
    <row r="438" spans="1:38" x14ac:dyDescent="0.2">
      <c r="A438" s="39">
        <v>1063</v>
      </c>
      <c r="B438" s="40">
        <v>45099</v>
      </c>
      <c r="C438" s="39" t="s">
        <v>66</v>
      </c>
      <c r="D438" s="39" t="s">
        <v>69</v>
      </c>
      <c r="E438" s="41">
        <v>5917.1</v>
      </c>
      <c r="F438" s="39">
        <v>25</v>
      </c>
      <c r="G438" s="39" t="s">
        <v>65</v>
      </c>
      <c r="H438" s="41">
        <v>3997.1</v>
      </c>
      <c r="I438" s="41">
        <v>4212.6499999999996</v>
      </c>
      <c r="J438" s="39" t="s">
        <v>143</v>
      </c>
      <c r="K438" s="42">
        <v>0.22</v>
      </c>
      <c r="L438" s="39" t="s">
        <v>68</v>
      </c>
      <c r="M438" s="39" t="s">
        <v>138</v>
      </c>
      <c r="N438" s="39" t="s">
        <v>144</v>
      </c>
      <c r="O438" s="43">
        <f t="shared" si="126"/>
        <v>105316.25</v>
      </c>
      <c r="P438" s="43">
        <f t="shared" si="127"/>
        <v>82146.679999999993</v>
      </c>
      <c r="Q438" s="43">
        <f t="shared" si="128"/>
        <v>99927.5</v>
      </c>
      <c r="R438" s="43">
        <f t="shared" si="129"/>
        <v>-17780.820000000007</v>
      </c>
      <c r="S438" s="44">
        <f t="shared" si="130"/>
        <v>-0.21645208303001423</v>
      </c>
      <c r="T438" s="39" t="str">
        <f t="shared" si="131"/>
        <v>Loss</v>
      </c>
      <c r="U438" s="39" t="str">
        <f t="shared" si="132"/>
        <v>20%+</v>
      </c>
      <c r="V438" s="39" t="str">
        <f>IF(E438&gt;=Analysis!$B$4,"High",IF(E438&gt;=Analysis!$B$5,"Mid","Low"))</f>
        <v>Mid</v>
      </c>
      <c r="W438" s="39" t="str">
        <f t="shared" si="133"/>
        <v>2023-06</v>
      </c>
      <c r="X438" s="40">
        <f t="shared" si="134"/>
        <v>45107</v>
      </c>
      <c r="Y438" s="39" t="str">
        <f t="shared" si="135"/>
        <v>2023-Q2</v>
      </c>
      <c r="Z438" s="39" t="str">
        <f t="shared" si="136"/>
        <v>Thu</v>
      </c>
      <c r="AA438" s="39">
        <f t="shared" si="137"/>
        <v>4</v>
      </c>
      <c r="AB438" s="39">
        <f t="shared" si="138"/>
        <v>26</v>
      </c>
      <c r="AC438" s="39" t="str">
        <f t="shared" si="139"/>
        <v>Weekday</v>
      </c>
      <c r="AD438" s="39">
        <f t="shared" ca="1" si="140"/>
        <v>1220</v>
      </c>
      <c r="AE438" s="39">
        <f t="shared" ca="1" si="141"/>
        <v>40</v>
      </c>
      <c r="AF438" s="39" t="str">
        <f t="shared" si="142"/>
        <v>BOB</v>
      </c>
      <c r="AG438" s="39" t="str">
        <f t="shared" si="143"/>
        <v>SO-230622-0437</v>
      </c>
      <c r="AH438" s="39" t="str">
        <f>IF(AND(OR(Filter!$B$4="All",D438=Filter!$B$4),OR(Filter!$B$5="All",M438=Filter!$B$5),E438&gt;=Filter!$B$6),MAX(AH$1:AH437)+1,"")</f>
        <v/>
      </c>
      <c r="AI438" s="39">
        <f t="shared" si="144"/>
        <v>25</v>
      </c>
      <c r="AJ438" s="42">
        <f t="shared" si="145"/>
        <v>0.22</v>
      </c>
      <c r="AK438" s="41">
        <f t="shared" si="146"/>
        <v>4212.6499999999996</v>
      </c>
      <c r="AL438" s="39">
        <f>RANK(E438,$E$2:$E$1001,0)+COUNTIF($E$2:E438,E438)-1</f>
        <v>415</v>
      </c>
    </row>
    <row r="439" spans="1:38" x14ac:dyDescent="0.2">
      <c r="A439" s="39">
        <v>1086</v>
      </c>
      <c r="B439" s="40">
        <v>45116</v>
      </c>
      <c r="C439" s="39" t="s">
        <v>76</v>
      </c>
      <c r="D439" s="39" t="s">
        <v>64</v>
      </c>
      <c r="E439" s="41">
        <v>7041.28</v>
      </c>
      <c r="F439" s="39">
        <v>28</v>
      </c>
      <c r="G439" s="39" t="s">
        <v>70</v>
      </c>
      <c r="H439" s="41">
        <v>2564.35</v>
      </c>
      <c r="I439" s="41">
        <v>2765.79</v>
      </c>
      <c r="J439" s="39" t="s">
        <v>137</v>
      </c>
      <c r="K439" s="42">
        <v>0.17</v>
      </c>
      <c r="L439" s="39" t="s">
        <v>73</v>
      </c>
      <c r="M439" s="39" t="s">
        <v>138</v>
      </c>
      <c r="N439" s="39" t="s">
        <v>152</v>
      </c>
      <c r="O439" s="43">
        <f t="shared" si="126"/>
        <v>77442.12</v>
      </c>
      <c r="P439" s="43">
        <f t="shared" si="127"/>
        <v>64276.959999999999</v>
      </c>
      <c r="Q439" s="43">
        <f t="shared" si="128"/>
        <v>71801.8</v>
      </c>
      <c r="R439" s="43">
        <f t="shared" si="129"/>
        <v>-7524.8400000000038</v>
      </c>
      <c r="S439" s="44">
        <f t="shared" si="130"/>
        <v>-0.1170690088641405</v>
      </c>
      <c r="T439" s="39" t="str">
        <f t="shared" si="131"/>
        <v>Loss</v>
      </c>
      <c r="U439" s="39" t="str">
        <f t="shared" si="132"/>
        <v>10-19%</v>
      </c>
      <c r="V439" s="39" t="str">
        <f>IF(E439&gt;=Analysis!$B$4,"High",IF(E439&gt;=Analysis!$B$5,"Mid","Low"))</f>
        <v>Mid</v>
      </c>
      <c r="W439" s="39" t="str">
        <f t="shared" si="133"/>
        <v>2023-07</v>
      </c>
      <c r="X439" s="40">
        <f t="shared" si="134"/>
        <v>45138</v>
      </c>
      <c r="Y439" s="39" t="str">
        <f t="shared" si="135"/>
        <v>2023-Q3</v>
      </c>
      <c r="Z439" s="39" t="str">
        <f t="shared" si="136"/>
        <v>Sun</v>
      </c>
      <c r="AA439" s="39">
        <f t="shared" si="137"/>
        <v>7</v>
      </c>
      <c r="AB439" s="39">
        <f t="shared" si="138"/>
        <v>28</v>
      </c>
      <c r="AC439" s="39" t="str">
        <f t="shared" si="139"/>
        <v>Weekend</v>
      </c>
      <c r="AD439" s="39">
        <f t="shared" ca="1" si="140"/>
        <v>1203</v>
      </c>
      <c r="AE439" s="39">
        <f t="shared" ca="1" si="141"/>
        <v>39</v>
      </c>
      <c r="AF439" s="39" t="str">
        <f t="shared" si="142"/>
        <v>DAV</v>
      </c>
      <c r="AG439" s="39" t="str">
        <f t="shared" si="143"/>
        <v>NO-230709-0438</v>
      </c>
      <c r="AH439" s="39" t="str">
        <f>IF(AND(OR(Filter!$B$4="All",D439=Filter!$B$4),OR(Filter!$B$5="All",M439=Filter!$B$5),E439&gt;=Filter!$B$6),MAX(AH$1:AH438)+1,"")</f>
        <v/>
      </c>
      <c r="AI439" s="39">
        <f t="shared" si="144"/>
        <v>28</v>
      </c>
      <c r="AJ439" s="42">
        <f t="shared" si="145"/>
        <v>0.17</v>
      </c>
      <c r="AK439" s="41">
        <f t="shared" si="146"/>
        <v>2765.79</v>
      </c>
      <c r="AL439" s="39">
        <f>RANK(E439,$E$2:$E$1001,0)+COUNTIF($E$2:E439,E439)-1</f>
        <v>298</v>
      </c>
    </row>
    <row r="440" spans="1:38" x14ac:dyDescent="0.2">
      <c r="A440" s="39">
        <v>1051</v>
      </c>
      <c r="B440" s="40">
        <v>45048</v>
      </c>
      <c r="C440" s="39" t="s">
        <v>61</v>
      </c>
      <c r="D440" s="39" t="s">
        <v>64</v>
      </c>
      <c r="E440" s="41">
        <v>6833.11</v>
      </c>
      <c r="F440" s="39">
        <v>34</v>
      </c>
      <c r="G440" s="39" t="s">
        <v>75</v>
      </c>
      <c r="H440" s="41">
        <v>3764.14</v>
      </c>
      <c r="I440" s="41">
        <v>4100.3999999999996</v>
      </c>
      <c r="J440" s="39" t="s">
        <v>137</v>
      </c>
      <c r="K440" s="42">
        <v>0.05</v>
      </c>
      <c r="L440" s="39" t="s">
        <v>63</v>
      </c>
      <c r="M440" s="39" t="s">
        <v>140</v>
      </c>
      <c r="N440" s="39" t="s">
        <v>156</v>
      </c>
      <c r="O440" s="43">
        <f t="shared" si="126"/>
        <v>139413.6</v>
      </c>
      <c r="P440" s="43">
        <f t="shared" si="127"/>
        <v>132442.92000000001</v>
      </c>
      <c r="Q440" s="43">
        <f t="shared" si="128"/>
        <v>127980.76</v>
      </c>
      <c r="R440" s="43">
        <f t="shared" si="129"/>
        <v>4462.160000000018</v>
      </c>
      <c r="S440" s="44">
        <f t="shared" si="130"/>
        <v>3.3691193157022042E-2</v>
      </c>
      <c r="T440" s="39" t="str">
        <f t="shared" si="131"/>
        <v>OK</v>
      </c>
      <c r="U440" s="39" t="str">
        <f t="shared" si="132"/>
        <v>0-9%</v>
      </c>
      <c r="V440" s="39" t="str">
        <f>IF(E440&gt;=Analysis!$B$4,"High",IF(E440&gt;=Analysis!$B$5,"Mid","Low"))</f>
        <v>Mid</v>
      </c>
      <c r="W440" s="39" t="str">
        <f t="shared" si="133"/>
        <v>2023-05</v>
      </c>
      <c r="X440" s="40">
        <f t="shared" si="134"/>
        <v>45077</v>
      </c>
      <c r="Y440" s="39" t="str">
        <f t="shared" si="135"/>
        <v>2023-Q2</v>
      </c>
      <c r="Z440" s="39" t="str">
        <f t="shared" si="136"/>
        <v>Tue</v>
      </c>
      <c r="AA440" s="39">
        <f t="shared" si="137"/>
        <v>2</v>
      </c>
      <c r="AB440" s="39">
        <f t="shared" si="138"/>
        <v>19</v>
      </c>
      <c r="AC440" s="39" t="str">
        <f t="shared" si="139"/>
        <v>Weekday</v>
      </c>
      <c r="AD440" s="39">
        <f t="shared" ca="1" si="140"/>
        <v>1271</v>
      </c>
      <c r="AE440" s="39">
        <f t="shared" ca="1" si="141"/>
        <v>41</v>
      </c>
      <c r="AF440" s="39" t="str">
        <f t="shared" si="142"/>
        <v>ALI</v>
      </c>
      <c r="AG440" s="39" t="str">
        <f t="shared" si="143"/>
        <v>NR-230502-0439</v>
      </c>
      <c r="AH440" s="39" t="str">
        <f>IF(AND(OR(Filter!$B$4="All",D440=Filter!$B$4),OR(Filter!$B$5="All",M440=Filter!$B$5),E440&gt;=Filter!$B$6),MAX(AH$1:AH439)+1,"")</f>
        <v/>
      </c>
      <c r="AI440" s="39">
        <f t="shared" si="144"/>
        <v>34</v>
      </c>
      <c r="AJ440" s="42">
        <f t="shared" si="145"/>
        <v>0.05</v>
      </c>
      <c r="AK440" s="41">
        <f t="shared" si="146"/>
        <v>4100.3999999999996</v>
      </c>
      <c r="AL440" s="39">
        <f>RANK(E440,$E$2:$E$1001,0)+COUNTIF($E$2:E440,E440)-1</f>
        <v>315</v>
      </c>
    </row>
    <row r="441" spans="1:38" x14ac:dyDescent="0.2">
      <c r="A441" s="39">
        <v>1025</v>
      </c>
      <c r="B441" s="40">
        <v>44972</v>
      </c>
      <c r="C441" s="39" t="s">
        <v>76</v>
      </c>
      <c r="D441" s="39" t="s">
        <v>69</v>
      </c>
      <c r="E441" s="41">
        <v>4140.7</v>
      </c>
      <c r="F441" s="39">
        <v>45</v>
      </c>
      <c r="G441" s="39" t="s">
        <v>60</v>
      </c>
      <c r="H441" s="41">
        <v>1588.04</v>
      </c>
      <c r="I441" s="41">
        <v>1703.64</v>
      </c>
      <c r="J441" s="39" t="s">
        <v>143</v>
      </c>
      <c r="K441" s="42">
        <v>0.2</v>
      </c>
      <c r="L441" s="39" t="s">
        <v>63</v>
      </c>
      <c r="M441" s="39" t="s">
        <v>140</v>
      </c>
      <c r="N441" s="39" t="s">
        <v>142</v>
      </c>
      <c r="O441" s="43">
        <f t="shared" si="126"/>
        <v>76663.8</v>
      </c>
      <c r="P441" s="43">
        <f t="shared" si="127"/>
        <v>61331.040000000001</v>
      </c>
      <c r="Q441" s="43">
        <f t="shared" si="128"/>
        <v>71461.8</v>
      </c>
      <c r="R441" s="43">
        <f t="shared" si="129"/>
        <v>-10130.760000000002</v>
      </c>
      <c r="S441" s="44">
        <f t="shared" si="130"/>
        <v>-0.16518161113850346</v>
      </c>
      <c r="T441" s="39" t="str">
        <f t="shared" si="131"/>
        <v>Loss</v>
      </c>
      <c r="U441" s="39" t="str">
        <f t="shared" si="132"/>
        <v>20%+</v>
      </c>
      <c r="V441" s="39" t="str">
        <f>IF(E441&gt;=Analysis!$B$4,"High",IF(E441&gt;=Analysis!$B$5,"Mid","Low"))</f>
        <v>Mid</v>
      </c>
      <c r="W441" s="39" t="str">
        <f t="shared" si="133"/>
        <v>2023-02</v>
      </c>
      <c r="X441" s="40">
        <f t="shared" si="134"/>
        <v>44985</v>
      </c>
      <c r="Y441" s="39" t="str">
        <f t="shared" si="135"/>
        <v>2023-Q1</v>
      </c>
      <c r="Z441" s="39" t="str">
        <f t="shared" si="136"/>
        <v>Wed</v>
      </c>
      <c r="AA441" s="39">
        <f t="shared" si="137"/>
        <v>3</v>
      </c>
      <c r="AB441" s="39">
        <f t="shared" si="138"/>
        <v>8</v>
      </c>
      <c r="AC441" s="39" t="str">
        <f t="shared" si="139"/>
        <v>Weekday</v>
      </c>
      <c r="AD441" s="39">
        <f t="shared" ca="1" si="140"/>
        <v>1347</v>
      </c>
      <c r="AE441" s="39">
        <f t="shared" ca="1" si="141"/>
        <v>44</v>
      </c>
      <c r="AF441" s="39" t="str">
        <f t="shared" si="142"/>
        <v>DAV</v>
      </c>
      <c r="AG441" s="39" t="str">
        <f t="shared" si="143"/>
        <v>SR-230215-0440</v>
      </c>
      <c r="AH441" s="39" t="str">
        <f>IF(AND(OR(Filter!$B$4="All",D441=Filter!$B$4),OR(Filter!$B$5="All",M441=Filter!$B$5),E441&gt;=Filter!$B$6),MAX(AH$1:AH440)+1,"")</f>
        <v/>
      </c>
      <c r="AI441" s="39">
        <f t="shared" si="144"/>
        <v>45</v>
      </c>
      <c r="AJ441" s="42">
        <f t="shared" si="145"/>
        <v>0.2</v>
      </c>
      <c r="AK441" s="41">
        <f t="shared" si="146"/>
        <v>1703.64</v>
      </c>
      <c r="AL441" s="39">
        <f>RANK(E441,$E$2:$E$1001,0)+COUNTIF($E$2:E441,E441)-1</f>
        <v>585</v>
      </c>
    </row>
    <row r="442" spans="1:38" x14ac:dyDescent="0.2">
      <c r="A442" s="39">
        <v>1058</v>
      </c>
      <c r="B442" s="40">
        <v>44990</v>
      </c>
      <c r="C442" s="39" t="s">
        <v>79</v>
      </c>
      <c r="D442" s="39" t="s">
        <v>64</v>
      </c>
      <c r="E442" s="41">
        <v>252.41</v>
      </c>
      <c r="F442" s="39">
        <v>48</v>
      </c>
      <c r="G442" s="39" t="s">
        <v>75</v>
      </c>
      <c r="H442" s="41">
        <v>2596.7199999999998</v>
      </c>
      <c r="I442" s="41">
        <v>2715.05</v>
      </c>
      <c r="J442" s="39" t="s">
        <v>137</v>
      </c>
      <c r="K442" s="42">
        <v>0.04</v>
      </c>
      <c r="L442" s="39" t="s">
        <v>68</v>
      </c>
      <c r="M442" s="39" t="s">
        <v>138</v>
      </c>
      <c r="N442" s="39" t="s">
        <v>148</v>
      </c>
      <c r="O442" s="43">
        <f t="shared" si="126"/>
        <v>130322.4</v>
      </c>
      <c r="P442" s="43">
        <f t="shared" si="127"/>
        <v>125109.5</v>
      </c>
      <c r="Q442" s="43">
        <f t="shared" si="128"/>
        <v>124642.56</v>
      </c>
      <c r="R442" s="43">
        <f t="shared" si="129"/>
        <v>466.94000000000233</v>
      </c>
      <c r="S442" s="44">
        <f t="shared" si="130"/>
        <v>3.7322505485195157E-3</v>
      </c>
      <c r="T442" s="39" t="str">
        <f t="shared" si="131"/>
        <v>OK</v>
      </c>
      <c r="U442" s="39" t="str">
        <f t="shared" si="132"/>
        <v>0-9%</v>
      </c>
      <c r="V442" s="39" t="str">
        <f>IF(E442&gt;=Analysis!$B$4,"High",IF(E442&gt;=Analysis!$B$5,"Mid","Low"))</f>
        <v>Low</v>
      </c>
      <c r="W442" s="39" t="str">
        <f t="shared" si="133"/>
        <v>2023-03</v>
      </c>
      <c r="X442" s="40">
        <f t="shared" si="134"/>
        <v>45016</v>
      </c>
      <c r="Y442" s="39" t="str">
        <f t="shared" si="135"/>
        <v>2023-Q1</v>
      </c>
      <c r="Z442" s="39" t="str">
        <f t="shared" si="136"/>
        <v>Sun</v>
      </c>
      <c r="AA442" s="39">
        <f t="shared" si="137"/>
        <v>7</v>
      </c>
      <c r="AB442" s="39">
        <f t="shared" si="138"/>
        <v>10</v>
      </c>
      <c r="AC442" s="39" t="str">
        <f t="shared" si="139"/>
        <v>Weekend</v>
      </c>
      <c r="AD442" s="39">
        <f t="shared" ca="1" si="140"/>
        <v>1329</v>
      </c>
      <c r="AE442" s="39">
        <f t="shared" ca="1" si="141"/>
        <v>43</v>
      </c>
      <c r="AF442" s="39" t="str">
        <f t="shared" si="142"/>
        <v>EVE</v>
      </c>
      <c r="AG442" s="39" t="str">
        <f t="shared" si="143"/>
        <v>NO-230305-0441</v>
      </c>
      <c r="AH442" s="39" t="str">
        <f>IF(AND(OR(Filter!$B$4="All",D442=Filter!$B$4),OR(Filter!$B$5="All",M442=Filter!$B$5),E442&gt;=Filter!$B$6),MAX(AH$1:AH441)+1,"")</f>
        <v/>
      </c>
      <c r="AI442" s="39">
        <f t="shared" si="144"/>
        <v>48</v>
      </c>
      <c r="AJ442" s="42">
        <f t="shared" si="145"/>
        <v>0.04</v>
      </c>
      <c r="AK442" s="41">
        <f t="shared" si="146"/>
        <v>2715.05</v>
      </c>
      <c r="AL442" s="39">
        <f>RANK(E442,$E$2:$E$1001,0)+COUNTIF($E$2:E442,E442)-1</f>
        <v>980</v>
      </c>
    </row>
    <row r="443" spans="1:38" x14ac:dyDescent="0.2">
      <c r="A443" s="39">
        <v>1063</v>
      </c>
      <c r="B443" s="40">
        <v>45056</v>
      </c>
      <c r="C443" s="39" t="s">
        <v>76</v>
      </c>
      <c r="D443" s="39" t="s">
        <v>59</v>
      </c>
      <c r="E443" s="41">
        <v>5870.97</v>
      </c>
      <c r="F443" s="39">
        <v>47</v>
      </c>
      <c r="G443" s="39" t="s">
        <v>65</v>
      </c>
      <c r="H443" s="41">
        <v>4291.33</v>
      </c>
      <c r="I443" s="41">
        <v>4658.6400000000003</v>
      </c>
      <c r="J443" s="39" t="s">
        <v>143</v>
      </c>
      <c r="K443" s="42">
        <v>0.24</v>
      </c>
      <c r="L443" s="39" t="s">
        <v>73</v>
      </c>
      <c r="M443" s="39" t="s">
        <v>140</v>
      </c>
      <c r="N443" s="39" t="s">
        <v>157</v>
      </c>
      <c r="O443" s="43">
        <f t="shared" si="126"/>
        <v>218956.08</v>
      </c>
      <c r="P443" s="43">
        <f t="shared" si="127"/>
        <v>166406.62</v>
      </c>
      <c r="Q443" s="43">
        <f t="shared" si="128"/>
        <v>201692.51</v>
      </c>
      <c r="R443" s="43">
        <f t="shared" si="129"/>
        <v>-35285.890000000014</v>
      </c>
      <c r="S443" s="44">
        <f t="shared" si="130"/>
        <v>-0.21204619143156694</v>
      </c>
      <c r="T443" s="39" t="str">
        <f t="shared" si="131"/>
        <v>Loss</v>
      </c>
      <c r="U443" s="39" t="str">
        <f t="shared" si="132"/>
        <v>20%+</v>
      </c>
      <c r="V443" s="39" t="str">
        <f>IF(E443&gt;=Analysis!$B$4,"High",IF(E443&gt;=Analysis!$B$5,"Mid","Low"))</f>
        <v>Mid</v>
      </c>
      <c r="W443" s="39" t="str">
        <f t="shared" si="133"/>
        <v>2023-05</v>
      </c>
      <c r="X443" s="40">
        <f t="shared" si="134"/>
        <v>45077</v>
      </c>
      <c r="Y443" s="39" t="str">
        <f t="shared" si="135"/>
        <v>2023-Q2</v>
      </c>
      <c r="Z443" s="39" t="str">
        <f t="shared" si="136"/>
        <v>Wed</v>
      </c>
      <c r="AA443" s="39">
        <f t="shared" si="137"/>
        <v>3</v>
      </c>
      <c r="AB443" s="39">
        <f t="shared" si="138"/>
        <v>20</v>
      </c>
      <c r="AC443" s="39" t="str">
        <f t="shared" si="139"/>
        <v>Weekday</v>
      </c>
      <c r="AD443" s="39">
        <f t="shared" ca="1" si="140"/>
        <v>1263</v>
      </c>
      <c r="AE443" s="39">
        <f t="shared" ca="1" si="141"/>
        <v>41</v>
      </c>
      <c r="AF443" s="39" t="str">
        <f t="shared" si="142"/>
        <v>DAV</v>
      </c>
      <c r="AG443" s="39" t="str">
        <f t="shared" si="143"/>
        <v>ER-230510-0442</v>
      </c>
      <c r="AH443" s="39" t="str">
        <f>IF(AND(OR(Filter!$B$4="All",D443=Filter!$B$4),OR(Filter!$B$5="All",M443=Filter!$B$5),E443&gt;=Filter!$B$6),MAX(AH$1:AH442)+1,"")</f>
        <v/>
      </c>
      <c r="AI443" s="39">
        <f t="shared" si="144"/>
        <v>47</v>
      </c>
      <c r="AJ443" s="42">
        <f t="shared" si="145"/>
        <v>0.24</v>
      </c>
      <c r="AK443" s="41">
        <f t="shared" si="146"/>
        <v>4658.6400000000003</v>
      </c>
      <c r="AL443" s="39">
        <f>RANK(E443,$E$2:$E$1001,0)+COUNTIF($E$2:E443,E443)-1</f>
        <v>421</v>
      </c>
    </row>
    <row r="444" spans="1:38" x14ac:dyDescent="0.2">
      <c r="A444" s="39">
        <v>1062</v>
      </c>
      <c r="B444" s="40">
        <v>45236</v>
      </c>
      <c r="C444" s="39" t="s">
        <v>76</v>
      </c>
      <c r="D444" s="39" t="s">
        <v>59</v>
      </c>
      <c r="E444" s="41">
        <v>2605.71</v>
      </c>
      <c r="F444" s="39">
        <v>25</v>
      </c>
      <c r="G444" s="39" t="s">
        <v>70</v>
      </c>
      <c r="H444" s="41">
        <v>2361.0500000000002</v>
      </c>
      <c r="I444" s="41">
        <v>2616.19</v>
      </c>
      <c r="J444" s="39" t="s">
        <v>143</v>
      </c>
      <c r="K444" s="42">
        <v>0.3</v>
      </c>
      <c r="L444" s="39" t="s">
        <v>63</v>
      </c>
      <c r="M444" s="39" t="s">
        <v>140</v>
      </c>
      <c r="N444" s="39" t="s">
        <v>157</v>
      </c>
      <c r="O444" s="43">
        <f t="shared" si="126"/>
        <v>65404.75</v>
      </c>
      <c r="P444" s="43">
        <f t="shared" si="127"/>
        <v>45783.33</v>
      </c>
      <c r="Q444" s="43">
        <f t="shared" si="128"/>
        <v>59026.25</v>
      </c>
      <c r="R444" s="43">
        <f t="shared" si="129"/>
        <v>-13242.919999999998</v>
      </c>
      <c r="S444" s="44">
        <f t="shared" si="130"/>
        <v>-0.28925200504200976</v>
      </c>
      <c r="T444" s="39" t="str">
        <f t="shared" si="131"/>
        <v>Loss</v>
      </c>
      <c r="U444" s="39" t="str">
        <f t="shared" si="132"/>
        <v>20%+</v>
      </c>
      <c r="V444" s="39" t="str">
        <f>IF(E444&gt;=Analysis!$B$4,"High",IF(E444&gt;=Analysis!$B$5,"Mid","Low"))</f>
        <v>Mid</v>
      </c>
      <c r="W444" s="39" t="str">
        <f t="shared" si="133"/>
        <v>2023-11</v>
      </c>
      <c r="X444" s="40">
        <f t="shared" si="134"/>
        <v>45260</v>
      </c>
      <c r="Y444" s="39" t="str">
        <f t="shared" si="135"/>
        <v>2023-Q4</v>
      </c>
      <c r="Z444" s="39" t="str">
        <f t="shared" si="136"/>
        <v>Mon</v>
      </c>
      <c r="AA444" s="39">
        <f t="shared" si="137"/>
        <v>1</v>
      </c>
      <c r="AB444" s="39">
        <f t="shared" si="138"/>
        <v>46</v>
      </c>
      <c r="AC444" s="39" t="str">
        <f t="shared" si="139"/>
        <v>Weekday</v>
      </c>
      <c r="AD444" s="39">
        <f t="shared" ca="1" si="140"/>
        <v>1083</v>
      </c>
      <c r="AE444" s="39">
        <f t="shared" ca="1" si="141"/>
        <v>35</v>
      </c>
      <c r="AF444" s="39" t="str">
        <f t="shared" si="142"/>
        <v>DAV</v>
      </c>
      <c r="AG444" s="39" t="str">
        <f t="shared" si="143"/>
        <v>ER-231106-0443</v>
      </c>
      <c r="AH444" s="39" t="str">
        <f>IF(AND(OR(Filter!$B$4="All",D444=Filter!$B$4),OR(Filter!$B$5="All",M444=Filter!$B$5),E444&gt;=Filter!$B$6),MAX(AH$1:AH443)+1,"")</f>
        <v/>
      </c>
      <c r="AI444" s="39">
        <f t="shared" si="144"/>
        <v>25</v>
      </c>
      <c r="AJ444" s="42">
        <f t="shared" si="145"/>
        <v>0.3</v>
      </c>
      <c r="AK444" s="41">
        <f t="shared" si="146"/>
        <v>2616.19</v>
      </c>
      <c r="AL444" s="39">
        <f>RANK(E444,$E$2:$E$1001,0)+COUNTIF($E$2:E444,E444)-1</f>
        <v>741</v>
      </c>
    </row>
    <row r="445" spans="1:38" x14ac:dyDescent="0.2">
      <c r="A445" s="39">
        <v>1022</v>
      </c>
      <c r="B445" s="40">
        <v>45289</v>
      </c>
      <c r="C445" s="39" t="s">
        <v>76</v>
      </c>
      <c r="D445" s="39" t="s">
        <v>64</v>
      </c>
      <c r="E445" s="41">
        <v>4557.5200000000004</v>
      </c>
      <c r="F445" s="39">
        <v>10</v>
      </c>
      <c r="G445" s="39" t="s">
        <v>75</v>
      </c>
      <c r="H445" s="41">
        <v>1830.61</v>
      </c>
      <c r="I445" s="41">
        <v>2044.04</v>
      </c>
      <c r="J445" s="39" t="s">
        <v>143</v>
      </c>
      <c r="K445" s="42">
        <v>0.11</v>
      </c>
      <c r="L445" s="39" t="s">
        <v>68</v>
      </c>
      <c r="M445" s="39" t="s">
        <v>138</v>
      </c>
      <c r="N445" s="39" t="s">
        <v>152</v>
      </c>
      <c r="O445" s="43">
        <f t="shared" si="126"/>
        <v>20440.400000000001</v>
      </c>
      <c r="P445" s="43">
        <f t="shared" si="127"/>
        <v>18191.96</v>
      </c>
      <c r="Q445" s="43">
        <f t="shared" si="128"/>
        <v>18306.099999999999</v>
      </c>
      <c r="R445" s="43">
        <f t="shared" si="129"/>
        <v>-114.13999999999942</v>
      </c>
      <c r="S445" s="44">
        <f t="shared" si="130"/>
        <v>-6.2742002510999045E-3</v>
      </c>
      <c r="T445" s="39" t="str">
        <f t="shared" si="131"/>
        <v>Loss</v>
      </c>
      <c r="U445" s="39" t="str">
        <f t="shared" si="132"/>
        <v>10-19%</v>
      </c>
      <c r="V445" s="39" t="str">
        <f>IF(E445&gt;=Analysis!$B$4,"High",IF(E445&gt;=Analysis!$B$5,"Mid","Low"))</f>
        <v>Mid</v>
      </c>
      <c r="W445" s="39" t="str">
        <f t="shared" si="133"/>
        <v>2023-12</v>
      </c>
      <c r="X445" s="40">
        <f t="shared" si="134"/>
        <v>45291</v>
      </c>
      <c r="Y445" s="39" t="str">
        <f t="shared" si="135"/>
        <v>2023-Q4</v>
      </c>
      <c r="Z445" s="39" t="str">
        <f t="shared" si="136"/>
        <v>Fri</v>
      </c>
      <c r="AA445" s="39">
        <f t="shared" si="137"/>
        <v>5</v>
      </c>
      <c r="AB445" s="39">
        <f t="shared" si="138"/>
        <v>53</v>
      </c>
      <c r="AC445" s="39" t="str">
        <f t="shared" si="139"/>
        <v>Weekday</v>
      </c>
      <c r="AD445" s="39">
        <f t="shared" ca="1" si="140"/>
        <v>1030</v>
      </c>
      <c r="AE445" s="39">
        <f t="shared" ca="1" si="141"/>
        <v>33</v>
      </c>
      <c r="AF445" s="39" t="str">
        <f t="shared" si="142"/>
        <v>DAV</v>
      </c>
      <c r="AG445" s="39" t="str">
        <f t="shared" si="143"/>
        <v>NO-231229-0444</v>
      </c>
      <c r="AH445" s="39" t="str">
        <f>IF(AND(OR(Filter!$B$4="All",D445=Filter!$B$4),OR(Filter!$B$5="All",M445=Filter!$B$5),E445&gt;=Filter!$B$6),MAX(AH$1:AH444)+1,"")</f>
        <v/>
      </c>
      <c r="AI445" s="39">
        <f t="shared" si="144"/>
        <v>10</v>
      </c>
      <c r="AJ445" s="42">
        <f t="shared" si="145"/>
        <v>0.11</v>
      </c>
      <c r="AK445" s="41">
        <f t="shared" si="146"/>
        <v>2044.04</v>
      </c>
      <c r="AL445" s="39">
        <f>RANK(E445,$E$2:$E$1001,0)+COUNTIF($E$2:E445,E445)-1</f>
        <v>545</v>
      </c>
    </row>
    <row r="446" spans="1:38" x14ac:dyDescent="0.2">
      <c r="A446" s="39">
        <v>1058</v>
      </c>
      <c r="B446" s="40">
        <v>45119</v>
      </c>
      <c r="C446" s="39" t="s">
        <v>79</v>
      </c>
      <c r="D446" s="39" t="s">
        <v>59</v>
      </c>
      <c r="E446" s="41">
        <v>9580.0499999999993</v>
      </c>
      <c r="F446" s="39">
        <v>14</v>
      </c>
      <c r="G446" s="39" t="s">
        <v>65</v>
      </c>
      <c r="H446" s="41">
        <v>2703.97</v>
      </c>
      <c r="I446" s="41">
        <v>2796.88</v>
      </c>
      <c r="J446" s="39" t="s">
        <v>143</v>
      </c>
      <c r="K446" s="42">
        <v>0.13</v>
      </c>
      <c r="L446" s="39" t="s">
        <v>63</v>
      </c>
      <c r="M446" s="39" t="s">
        <v>138</v>
      </c>
      <c r="N446" s="39" t="s">
        <v>155</v>
      </c>
      <c r="O446" s="43">
        <f t="shared" si="126"/>
        <v>39156.32</v>
      </c>
      <c r="P446" s="43">
        <f t="shared" si="127"/>
        <v>34066</v>
      </c>
      <c r="Q446" s="43">
        <f t="shared" si="128"/>
        <v>37855.58</v>
      </c>
      <c r="R446" s="43">
        <f t="shared" si="129"/>
        <v>-3789.5800000000017</v>
      </c>
      <c r="S446" s="44">
        <f t="shared" si="130"/>
        <v>-0.11124229436975289</v>
      </c>
      <c r="T446" s="39" t="str">
        <f t="shared" si="131"/>
        <v>Loss</v>
      </c>
      <c r="U446" s="39" t="str">
        <f t="shared" si="132"/>
        <v>10-19%</v>
      </c>
      <c r="V446" s="39" t="str">
        <f>IF(E446&gt;=Analysis!$B$4,"High",IF(E446&gt;=Analysis!$B$5,"Mid","Low"))</f>
        <v>High</v>
      </c>
      <c r="W446" s="39" t="str">
        <f t="shared" si="133"/>
        <v>2023-07</v>
      </c>
      <c r="X446" s="40">
        <f t="shared" si="134"/>
        <v>45138</v>
      </c>
      <c r="Y446" s="39" t="str">
        <f t="shared" si="135"/>
        <v>2023-Q3</v>
      </c>
      <c r="Z446" s="39" t="str">
        <f t="shared" si="136"/>
        <v>Wed</v>
      </c>
      <c r="AA446" s="39">
        <f t="shared" si="137"/>
        <v>3</v>
      </c>
      <c r="AB446" s="39">
        <f t="shared" si="138"/>
        <v>29</v>
      </c>
      <c r="AC446" s="39" t="str">
        <f t="shared" si="139"/>
        <v>Weekday</v>
      </c>
      <c r="AD446" s="39">
        <f t="shared" ca="1" si="140"/>
        <v>1200</v>
      </c>
      <c r="AE446" s="39">
        <f t="shared" ca="1" si="141"/>
        <v>39</v>
      </c>
      <c r="AF446" s="39" t="str">
        <f t="shared" si="142"/>
        <v>EVE</v>
      </c>
      <c r="AG446" s="39" t="str">
        <f t="shared" si="143"/>
        <v>EO-230712-0445</v>
      </c>
      <c r="AH446" s="39">
        <f>IF(AND(OR(Filter!$B$4="All",D446=Filter!$B$4),OR(Filter!$B$5="All",M446=Filter!$B$5),E446&gt;=Filter!$B$6),MAX(AH$1:AH445)+1,"")</f>
        <v>49</v>
      </c>
      <c r="AI446" s="39">
        <f t="shared" si="144"/>
        <v>14</v>
      </c>
      <c r="AJ446" s="42">
        <f t="shared" si="145"/>
        <v>0.13</v>
      </c>
      <c r="AK446" s="41">
        <f t="shared" si="146"/>
        <v>2796.88</v>
      </c>
      <c r="AL446" s="39">
        <f>RANK(E446,$E$2:$E$1001,0)+COUNTIF($E$2:E446,E446)-1</f>
        <v>44</v>
      </c>
    </row>
    <row r="447" spans="1:38" x14ac:dyDescent="0.2">
      <c r="A447" s="39">
        <v>1058</v>
      </c>
      <c r="B447" s="40">
        <v>45233</v>
      </c>
      <c r="C447" s="39" t="s">
        <v>76</v>
      </c>
      <c r="D447" s="39" t="s">
        <v>74</v>
      </c>
      <c r="E447" s="41">
        <v>4050.45</v>
      </c>
      <c r="F447" s="39">
        <v>42</v>
      </c>
      <c r="G447" s="39" t="s">
        <v>60</v>
      </c>
      <c r="H447" s="41">
        <v>3600.95</v>
      </c>
      <c r="I447" s="41">
        <v>3702.84</v>
      </c>
      <c r="J447" s="39" t="s">
        <v>137</v>
      </c>
      <c r="K447" s="42">
        <v>0.01</v>
      </c>
      <c r="L447" s="39" t="s">
        <v>68</v>
      </c>
      <c r="M447" s="39" t="s">
        <v>140</v>
      </c>
      <c r="N447" s="39" t="s">
        <v>154</v>
      </c>
      <c r="O447" s="43">
        <f t="shared" si="126"/>
        <v>155519.28</v>
      </c>
      <c r="P447" s="43">
        <f t="shared" si="127"/>
        <v>153964.09</v>
      </c>
      <c r="Q447" s="43">
        <f t="shared" si="128"/>
        <v>151239.9</v>
      </c>
      <c r="R447" s="43">
        <f t="shared" si="129"/>
        <v>2724.1900000000023</v>
      </c>
      <c r="S447" s="44">
        <f t="shared" si="130"/>
        <v>1.7693671296988813E-2</v>
      </c>
      <c r="T447" s="39" t="str">
        <f t="shared" si="131"/>
        <v>OK</v>
      </c>
      <c r="U447" s="39" t="str">
        <f t="shared" si="132"/>
        <v>0-9%</v>
      </c>
      <c r="V447" s="39" t="str">
        <f>IF(E447&gt;=Analysis!$B$4,"High",IF(E447&gt;=Analysis!$B$5,"Mid","Low"))</f>
        <v>Mid</v>
      </c>
      <c r="W447" s="39" t="str">
        <f t="shared" si="133"/>
        <v>2023-11</v>
      </c>
      <c r="X447" s="40">
        <f t="shared" si="134"/>
        <v>45260</v>
      </c>
      <c r="Y447" s="39" t="str">
        <f t="shared" si="135"/>
        <v>2023-Q4</v>
      </c>
      <c r="Z447" s="39" t="str">
        <f t="shared" si="136"/>
        <v>Fri</v>
      </c>
      <c r="AA447" s="39">
        <f t="shared" si="137"/>
        <v>5</v>
      </c>
      <c r="AB447" s="39">
        <f t="shared" si="138"/>
        <v>45</v>
      </c>
      <c r="AC447" s="39" t="str">
        <f t="shared" si="139"/>
        <v>Weekday</v>
      </c>
      <c r="AD447" s="39">
        <f t="shared" ca="1" si="140"/>
        <v>1086</v>
      </c>
      <c r="AE447" s="39">
        <f t="shared" ca="1" si="141"/>
        <v>35</v>
      </c>
      <c r="AF447" s="39" t="str">
        <f t="shared" si="142"/>
        <v>DAV</v>
      </c>
      <c r="AG447" s="39" t="str">
        <f t="shared" si="143"/>
        <v>WR-231103-0446</v>
      </c>
      <c r="AH447" s="39" t="str">
        <f>IF(AND(OR(Filter!$B$4="All",D447=Filter!$B$4),OR(Filter!$B$5="All",M447=Filter!$B$5),E447&gt;=Filter!$B$6),MAX(AH$1:AH446)+1,"")</f>
        <v/>
      </c>
      <c r="AI447" s="39">
        <f t="shared" si="144"/>
        <v>42</v>
      </c>
      <c r="AJ447" s="42">
        <f t="shared" si="145"/>
        <v>0.01</v>
      </c>
      <c r="AK447" s="41">
        <f t="shared" si="146"/>
        <v>3702.84</v>
      </c>
      <c r="AL447" s="39">
        <f>RANK(E447,$E$2:$E$1001,0)+COUNTIF($E$2:E447,E447)-1</f>
        <v>591</v>
      </c>
    </row>
    <row r="448" spans="1:38" x14ac:dyDescent="0.2">
      <c r="A448" s="39">
        <v>1086</v>
      </c>
      <c r="B448" s="40">
        <v>45107</v>
      </c>
      <c r="C448" s="39" t="s">
        <v>66</v>
      </c>
      <c r="D448" s="39" t="s">
        <v>64</v>
      </c>
      <c r="E448" s="41">
        <v>8414.0400000000009</v>
      </c>
      <c r="F448" s="39">
        <v>46</v>
      </c>
      <c r="G448" s="39" t="s">
        <v>60</v>
      </c>
      <c r="H448" s="41">
        <v>2245.64</v>
      </c>
      <c r="I448" s="41">
        <v>2260.81</v>
      </c>
      <c r="J448" s="39" t="s">
        <v>143</v>
      </c>
      <c r="K448" s="42">
        <v>0</v>
      </c>
      <c r="L448" s="39" t="s">
        <v>68</v>
      </c>
      <c r="M448" s="39" t="s">
        <v>140</v>
      </c>
      <c r="N448" s="39" t="s">
        <v>139</v>
      </c>
      <c r="O448" s="43">
        <f t="shared" si="126"/>
        <v>103997.26</v>
      </c>
      <c r="P448" s="43">
        <f t="shared" si="127"/>
        <v>103997.26</v>
      </c>
      <c r="Q448" s="43">
        <f t="shared" si="128"/>
        <v>103299.44</v>
      </c>
      <c r="R448" s="43">
        <f t="shared" si="129"/>
        <v>697.81999999999243</v>
      </c>
      <c r="S448" s="44">
        <f t="shared" si="130"/>
        <v>6.7099844745908931E-3</v>
      </c>
      <c r="T448" s="39" t="str">
        <f t="shared" si="131"/>
        <v>OK</v>
      </c>
      <c r="U448" s="39" t="str">
        <f t="shared" si="132"/>
        <v>0-9%</v>
      </c>
      <c r="V448" s="39" t="str">
        <f>IF(E448&gt;=Analysis!$B$4,"High",IF(E448&gt;=Analysis!$B$5,"Mid","Low"))</f>
        <v>High</v>
      </c>
      <c r="W448" s="39" t="str">
        <f t="shared" si="133"/>
        <v>2023-06</v>
      </c>
      <c r="X448" s="40">
        <f t="shared" si="134"/>
        <v>45107</v>
      </c>
      <c r="Y448" s="39" t="str">
        <f t="shared" si="135"/>
        <v>2023-Q2</v>
      </c>
      <c r="Z448" s="39" t="str">
        <f t="shared" si="136"/>
        <v>Fri</v>
      </c>
      <c r="AA448" s="39">
        <f t="shared" si="137"/>
        <v>5</v>
      </c>
      <c r="AB448" s="39">
        <f t="shared" si="138"/>
        <v>27</v>
      </c>
      <c r="AC448" s="39" t="str">
        <f t="shared" si="139"/>
        <v>Weekday</v>
      </c>
      <c r="AD448" s="39">
        <f t="shared" ca="1" si="140"/>
        <v>1212</v>
      </c>
      <c r="AE448" s="39">
        <f t="shared" ca="1" si="141"/>
        <v>39</v>
      </c>
      <c r="AF448" s="39" t="str">
        <f t="shared" si="142"/>
        <v>BOB</v>
      </c>
      <c r="AG448" s="39" t="str">
        <f t="shared" si="143"/>
        <v>NR-230630-0447</v>
      </c>
      <c r="AH448" s="39" t="str">
        <f>IF(AND(OR(Filter!$B$4="All",D448=Filter!$B$4),OR(Filter!$B$5="All",M448=Filter!$B$5),E448&gt;=Filter!$B$6),MAX(AH$1:AH447)+1,"")</f>
        <v/>
      </c>
      <c r="AI448" s="39">
        <f t="shared" si="144"/>
        <v>46</v>
      </c>
      <c r="AJ448" s="42">
        <f t="shared" si="145"/>
        <v>0</v>
      </c>
      <c r="AK448" s="41">
        <f t="shared" si="146"/>
        <v>2260.81</v>
      </c>
      <c r="AL448" s="39">
        <f>RANK(E448,$E$2:$E$1001,0)+COUNTIF($E$2:E448,E448)-1</f>
        <v>149</v>
      </c>
    </row>
    <row r="449" spans="1:38" x14ac:dyDescent="0.2">
      <c r="A449" s="39">
        <v>1049</v>
      </c>
      <c r="B449" s="40">
        <v>45218</v>
      </c>
      <c r="C449" s="39" t="s">
        <v>79</v>
      </c>
      <c r="D449" s="39" t="s">
        <v>69</v>
      </c>
      <c r="E449" s="41">
        <v>1966.55</v>
      </c>
      <c r="F449" s="39">
        <v>30</v>
      </c>
      <c r="G449" s="39" t="s">
        <v>60</v>
      </c>
      <c r="H449" s="41">
        <v>4697.4399999999996</v>
      </c>
      <c r="I449" s="41">
        <v>4752.24</v>
      </c>
      <c r="J449" s="39" t="s">
        <v>143</v>
      </c>
      <c r="K449" s="42">
        <v>0.28000000000000003</v>
      </c>
      <c r="L449" s="39" t="s">
        <v>73</v>
      </c>
      <c r="M449" s="39" t="s">
        <v>138</v>
      </c>
      <c r="N449" s="39" t="s">
        <v>147</v>
      </c>
      <c r="O449" s="43">
        <f t="shared" si="126"/>
        <v>142567.20000000001</v>
      </c>
      <c r="P449" s="43">
        <f t="shared" si="127"/>
        <v>102648.38</v>
      </c>
      <c r="Q449" s="43">
        <f t="shared" si="128"/>
        <v>140923.20000000001</v>
      </c>
      <c r="R449" s="43">
        <f t="shared" si="129"/>
        <v>-38274.820000000007</v>
      </c>
      <c r="S449" s="44">
        <f t="shared" si="130"/>
        <v>-0.37287310330664747</v>
      </c>
      <c r="T449" s="39" t="str">
        <f t="shared" si="131"/>
        <v>Loss</v>
      </c>
      <c r="U449" s="39" t="str">
        <f t="shared" si="132"/>
        <v>20%+</v>
      </c>
      <c r="V449" s="39" t="str">
        <f>IF(E449&gt;=Analysis!$B$4,"High",IF(E449&gt;=Analysis!$B$5,"Mid","Low"))</f>
        <v>Low</v>
      </c>
      <c r="W449" s="39" t="str">
        <f t="shared" si="133"/>
        <v>2023-10</v>
      </c>
      <c r="X449" s="40">
        <f t="shared" si="134"/>
        <v>45230</v>
      </c>
      <c r="Y449" s="39" t="str">
        <f t="shared" si="135"/>
        <v>2023-Q4</v>
      </c>
      <c r="Z449" s="39" t="str">
        <f t="shared" si="136"/>
        <v>Thu</v>
      </c>
      <c r="AA449" s="39">
        <f t="shared" si="137"/>
        <v>4</v>
      </c>
      <c r="AB449" s="39">
        <f t="shared" si="138"/>
        <v>43</v>
      </c>
      <c r="AC449" s="39" t="str">
        <f t="shared" si="139"/>
        <v>Weekday</v>
      </c>
      <c r="AD449" s="39">
        <f t="shared" ca="1" si="140"/>
        <v>1101</v>
      </c>
      <c r="AE449" s="39">
        <f t="shared" ca="1" si="141"/>
        <v>36</v>
      </c>
      <c r="AF449" s="39" t="str">
        <f t="shared" si="142"/>
        <v>EVE</v>
      </c>
      <c r="AG449" s="39" t="str">
        <f t="shared" si="143"/>
        <v>SO-231019-0448</v>
      </c>
      <c r="AH449" s="39" t="str">
        <f>IF(AND(OR(Filter!$B$4="All",D449=Filter!$B$4),OR(Filter!$B$5="All",M449=Filter!$B$5),E449&gt;=Filter!$B$6),MAX(AH$1:AH448)+1,"")</f>
        <v/>
      </c>
      <c r="AI449" s="39">
        <f t="shared" si="144"/>
        <v>30</v>
      </c>
      <c r="AJ449" s="42">
        <f t="shared" si="145"/>
        <v>0.28000000000000003</v>
      </c>
      <c r="AK449" s="41">
        <f t="shared" si="146"/>
        <v>4752.24</v>
      </c>
      <c r="AL449" s="39">
        <f>RANK(E449,$E$2:$E$1001,0)+COUNTIF($E$2:E449,E449)-1</f>
        <v>821</v>
      </c>
    </row>
    <row r="450" spans="1:38" x14ac:dyDescent="0.2">
      <c r="A450" s="39">
        <v>1052</v>
      </c>
      <c r="B450" s="40">
        <v>45208</v>
      </c>
      <c r="C450" s="39" t="s">
        <v>76</v>
      </c>
      <c r="D450" s="39" t="s">
        <v>74</v>
      </c>
      <c r="E450" s="41">
        <v>6757.36</v>
      </c>
      <c r="F450" s="39">
        <v>41</v>
      </c>
      <c r="G450" s="39" t="s">
        <v>65</v>
      </c>
      <c r="H450" s="41">
        <v>1509.98</v>
      </c>
      <c r="I450" s="41">
        <v>1792.83</v>
      </c>
      <c r="J450" s="39" t="s">
        <v>143</v>
      </c>
      <c r="K450" s="42">
        <v>0.04</v>
      </c>
      <c r="L450" s="39" t="s">
        <v>68</v>
      </c>
      <c r="M450" s="39" t="s">
        <v>140</v>
      </c>
      <c r="N450" s="39" t="s">
        <v>154</v>
      </c>
      <c r="O450" s="43">
        <f t="shared" ref="O450:O513" si="147">ROUND(F450*I450,2)</f>
        <v>73506.03</v>
      </c>
      <c r="P450" s="43">
        <f t="shared" ref="P450:P513" si="148">ROUND(F450*I450*(1-K450),2)</f>
        <v>70565.789999999994</v>
      </c>
      <c r="Q450" s="43">
        <f t="shared" ref="Q450:Q513" si="149">ROUND(F450*H450,2)</f>
        <v>61909.18</v>
      </c>
      <c r="R450" s="43">
        <f t="shared" ref="R450:R513" si="150">P450-Q450</f>
        <v>8656.6099999999933</v>
      </c>
      <c r="S450" s="44">
        <f t="shared" ref="S450:S513" si="151">IF(P450=0,0,R450/P450)</f>
        <v>0.12267431569886759</v>
      </c>
      <c r="T450" s="39" t="str">
        <f t="shared" ref="T450:T513" si="152">IF(R450&lt;0,"Loss","OK")</f>
        <v>OK</v>
      </c>
      <c r="U450" s="39" t="str">
        <f t="shared" ref="U450:U513" si="153">IF(K450&lt;0.1,"0-9%",IF(K450&lt;0.2,"10-19%","20%+"))</f>
        <v>0-9%</v>
      </c>
      <c r="V450" s="39" t="str">
        <f>IF(E450&gt;=Analysis!$B$4,"High",IF(E450&gt;=Analysis!$B$5,"Mid","Low"))</f>
        <v>Mid</v>
      </c>
      <c r="W450" s="39" t="str">
        <f t="shared" ref="W450:W513" si="154">TEXT(B450,"yyyy-mm")</f>
        <v>2023-10</v>
      </c>
      <c r="X450" s="40">
        <f t="shared" ref="X450:X513" si="155">EOMONTH(B450,0)</f>
        <v>45230</v>
      </c>
      <c r="Y450" s="39" t="str">
        <f t="shared" ref="Y450:Y513" si="156">YEAR(B450)&amp;"-Q"&amp;ROUNDUP(MONTH(B450)/3,0)</f>
        <v>2023-Q4</v>
      </c>
      <c r="Z450" s="39" t="str">
        <f t="shared" ref="Z450:Z513" si="157">TEXT(B450,"ddd")</f>
        <v>Mon</v>
      </c>
      <c r="AA450" s="39">
        <f t="shared" ref="AA450:AA513" si="158">WEEKDAY(B450,2)</f>
        <v>1</v>
      </c>
      <c r="AB450" s="39">
        <f t="shared" ref="AB450:AB513" si="159">WEEKNUM(B450,2)</f>
        <v>42</v>
      </c>
      <c r="AC450" s="39" t="str">
        <f t="shared" ref="AC450:AC513" si="160">IF(AA450&gt;5,"Weekend","Weekday")</f>
        <v>Weekday</v>
      </c>
      <c r="AD450" s="39">
        <f t="shared" ref="AD450:AD513" ca="1" si="161">TODAY()-B450</f>
        <v>1111</v>
      </c>
      <c r="AE450" s="39">
        <f t="shared" ref="AE450:AE513" ca="1" si="162">DATEDIF(B450,TODAY(),"M")</f>
        <v>36</v>
      </c>
      <c r="AF450" s="39" t="str">
        <f t="shared" ref="AF450:AF513" si="163">UPPER(LEFT(C450,3))</f>
        <v>DAV</v>
      </c>
      <c r="AG450" s="39" t="str">
        <f t="shared" ref="AG450:AG513" si="164">UPPER(LEFT(D450,1))&amp;UPPER(LEFT(M450,1))&amp;"-"&amp;TEXT(B450,"yymmdd")&amp;"-"&amp;TEXT(ROW()-1,"0000")</f>
        <v>WR-231009-0449</v>
      </c>
      <c r="AH450" s="39" t="str">
        <f>IF(AND(OR(Filter!$B$4="All",D450=Filter!$B$4),OR(Filter!$B$5="All",M450=Filter!$B$5),E450&gt;=Filter!$B$6),MAX(AH$1:AH449)+1,"")</f>
        <v/>
      </c>
      <c r="AI450" s="39">
        <f t="shared" ref="AI450:AI513" si="165">F450</f>
        <v>41</v>
      </c>
      <c r="AJ450" s="42">
        <f t="shared" ref="AJ450:AJ513" si="166">K450</f>
        <v>0.04</v>
      </c>
      <c r="AK450" s="41">
        <f t="shared" ref="AK450:AK513" si="167">I450</f>
        <v>1792.83</v>
      </c>
      <c r="AL450" s="39">
        <f>RANK(E450,$E$2:$E$1001,0)+COUNTIF($E$2:E450,E450)-1</f>
        <v>330</v>
      </c>
    </row>
    <row r="451" spans="1:38" x14ac:dyDescent="0.2">
      <c r="A451" s="39">
        <v>1042</v>
      </c>
      <c r="B451" s="40">
        <v>44955</v>
      </c>
      <c r="C451" s="39" t="s">
        <v>79</v>
      </c>
      <c r="D451" s="39" t="s">
        <v>64</v>
      </c>
      <c r="E451" s="41">
        <v>9772.3700000000008</v>
      </c>
      <c r="F451" s="39">
        <v>25</v>
      </c>
      <c r="G451" s="39" t="s">
        <v>70</v>
      </c>
      <c r="H451" s="41">
        <v>2403.54</v>
      </c>
      <c r="I451" s="41">
        <v>2850.56</v>
      </c>
      <c r="J451" s="39" t="s">
        <v>143</v>
      </c>
      <c r="K451" s="42">
        <v>0.13</v>
      </c>
      <c r="L451" s="39" t="s">
        <v>63</v>
      </c>
      <c r="M451" s="39" t="s">
        <v>138</v>
      </c>
      <c r="N451" s="39" t="s">
        <v>148</v>
      </c>
      <c r="O451" s="43">
        <f t="shared" si="147"/>
        <v>71264</v>
      </c>
      <c r="P451" s="43">
        <f t="shared" si="148"/>
        <v>61999.68</v>
      </c>
      <c r="Q451" s="43">
        <f t="shared" si="149"/>
        <v>60088.5</v>
      </c>
      <c r="R451" s="43">
        <f t="shared" si="150"/>
        <v>1911.1800000000003</v>
      </c>
      <c r="S451" s="44">
        <f t="shared" si="151"/>
        <v>3.08256429710605E-2</v>
      </c>
      <c r="T451" s="39" t="str">
        <f t="shared" si="152"/>
        <v>OK</v>
      </c>
      <c r="U451" s="39" t="str">
        <f t="shared" si="153"/>
        <v>10-19%</v>
      </c>
      <c r="V451" s="39" t="str">
        <f>IF(E451&gt;=Analysis!$B$4,"High",IF(E451&gt;=Analysis!$B$5,"Mid","Low"))</f>
        <v>High</v>
      </c>
      <c r="W451" s="39" t="str">
        <f t="shared" si="154"/>
        <v>2023-01</v>
      </c>
      <c r="X451" s="40">
        <f t="shared" si="155"/>
        <v>44957</v>
      </c>
      <c r="Y451" s="39" t="str">
        <f t="shared" si="156"/>
        <v>2023-Q1</v>
      </c>
      <c r="Z451" s="39" t="str">
        <f t="shared" si="157"/>
        <v>Sun</v>
      </c>
      <c r="AA451" s="39">
        <f t="shared" si="158"/>
        <v>7</v>
      </c>
      <c r="AB451" s="39">
        <f t="shared" si="159"/>
        <v>5</v>
      </c>
      <c r="AC451" s="39" t="str">
        <f t="shared" si="160"/>
        <v>Weekend</v>
      </c>
      <c r="AD451" s="39">
        <f t="shared" ca="1" si="161"/>
        <v>1364</v>
      </c>
      <c r="AE451" s="39">
        <f t="shared" ca="1" si="162"/>
        <v>44</v>
      </c>
      <c r="AF451" s="39" t="str">
        <f t="shared" si="163"/>
        <v>EVE</v>
      </c>
      <c r="AG451" s="39" t="str">
        <f t="shared" si="164"/>
        <v>NO-230129-0450</v>
      </c>
      <c r="AH451" s="39">
        <f>IF(AND(OR(Filter!$B$4="All",D451=Filter!$B$4),OR(Filter!$B$5="All",M451=Filter!$B$5),E451&gt;=Filter!$B$6),MAX(AH$1:AH450)+1,"")</f>
        <v>50</v>
      </c>
      <c r="AI451" s="39">
        <f t="shared" si="165"/>
        <v>25</v>
      </c>
      <c r="AJ451" s="42">
        <f t="shared" si="166"/>
        <v>0.13</v>
      </c>
      <c r="AK451" s="41">
        <f t="shared" si="167"/>
        <v>2850.56</v>
      </c>
      <c r="AL451" s="39">
        <f>RANK(E451,$E$2:$E$1001,0)+COUNTIF($E$2:E451,E451)-1</f>
        <v>20</v>
      </c>
    </row>
    <row r="452" spans="1:38" x14ac:dyDescent="0.2">
      <c r="A452" s="39">
        <v>1070</v>
      </c>
      <c r="B452" s="40">
        <v>45075</v>
      </c>
      <c r="C452" s="39" t="s">
        <v>71</v>
      </c>
      <c r="D452" s="39" t="s">
        <v>69</v>
      </c>
      <c r="E452" s="41">
        <v>1108.74</v>
      </c>
      <c r="F452" s="39">
        <v>14</v>
      </c>
      <c r="G452" s="39" t="s">
        <v>75</v>
      </c>
      <c r="H452" s="41">
        <v>3796.79</v>
      </c>
      <c r="I452" s="41">
        <v>3947.5</v>
      </c>
      <c r="J452" s="39" t="s">
        <v>137</v>
      </c>
      <c r="K452" s="42">
        <v>0.24</v>
      </c>
      <c r="L452" s="39" t="s">
        <v>63</v>
      </c>
      <c r="M452" s="39" t="s">
        <v>138</v>
      </c>
      <c r="N452" s="39" t="s">
        <v>151</v>
      </c>
      <c r="O452" s="43">
        <f t="shared" si="147"/>
        <v>55265</v>
      </c>
      <c r="P452" s="43">
        <f t="shared" si="148"/>
        <v>42001.4</v>
      </c>
      <c r="Q452" s="43">
        <f t="shared" si="149"/>
        <v>53155.06</v>
      </c>
      <c r="R452" s="43">
        <f t="shared" si="150"/>
        <v>-11153.659999999996</v>
      </c>
      <c r="S452" s="44">
        <f t="shared" si="151"/>
        <v>-0.26555448151728267</v>
      </c>
      <c r="T452" s="39" t="str">
        <f t="shared" si="152"/>
        <v>Loss</v>
      </c>
      <c r="U452" s="39" t="str">
        <f t="shared" si="153"/>
        <v>20%+</v>
      </c>
      <c r="V452" s="39" t="str">
        <f>IF(E452&gt;=Analysis!$B$4,"High",IF(E452&gt;=Analysis!$B$5,"Mid","Low"))</f>
        <v>Low</v>
      </c>
      <c r="W452" s="39" t="str">
        <f t="shared" si="154"/>
        <v>2023-05</v>
      </c>
      <c r="X452" s="40">
        <f t="shared" si="155"/>
        <v>45077</v>
      </c>
      <c r="Y452" s="39" t="str">
        <f t="shared" si="156"/>
        <v>2023-Q2</v>
      </c>
      <c r="Z452" s="39" t="str">
        <f t="shared" si="157"/>
        <v>Mon</v>
      </c>
      <c r="AA452" s="39">
        <f t="shared" si="158"/>
        <v>1</v>
      </c>
      <c r="AB452" s="39">
        <f t="shared" si="159"/>
        <v>23</v>
      </c>
      <c r="AC452" s="39" t="str">
        <f t="shared" si="160"/>
        <v>Weekday</v>
      </c>
      <c r="AD452" s="39">
        <f t="shared" ca="1" si="161"/>
        <v>1244</v>
      </c>
      <c r="AE452" s="39">
        <f t="shared" ca="1" si="162"/>
        <v>40</v>
      </c>
      <c r="AF452" s="39" t="str">
        <f t="shared" si="163"/>
        <v>CHA</v>
      </c>
      <c r="AG452" s="39" t="str">
        <f t="shared" si="164"/>
        <v>SO-230529-0451</v>
      </c>
      <c r="AH452" s="39" t="str">
        <f>IF(AND(OR(Filter!$B$4="All",D452=Filter!$B$4),OR(Filter!$B$5="All",M452=Filter!$B$5),E452&gt;=Filter!$B$6),MAX(AH$1:AH451)+1,"")</f>
        <v/>
      </c>
      <c r="AI452" s="39">
        <f t="shared" si="165"/>
        <v>14</v>
      </c>
      <c r="AJ452" s="42">
        <f t="shared" si="166"/>
        <v>0.24</v>
      </c>
      <c r="AK452" s="41">
        <f t="shared" si="167"/>
        <v>3947.5</v>
      </c>
      <c r="AL452" s="39">
        <f>RANK(E452,$E$2:$E$1001,0)+COUNTIF($E$2:E452,E452)-1</f>
        <v>895</v>
      </c>
    </row>
    <row r="453" spans="1:38" x14ac:dyDescent="0.2">
      <c r="A453" s="39">
        <v>1015</v>
      </c>
      <c r="B453" s="40">
        <v>45193</v>
      </c>
      <c r="C453" s="39" t="s">
        <v>66</v>
      </c>
      <c r="D453" s="39" t="s">
        <v>59</v>
      </c>
      <c r="E453" s="41">
        <v>182.37</v>
      </c>
      <c r="F453" s="39">
        <v>35</v>
      </c>
      <c r="G453" s="39" t="s">
        <v>60</v>
      </c>
      <c r="H453" s="41">
        <v>3461.15</v>
      </c>
      <c r="I453" s="41">
        <v>3631.75</v>
      </c>
      <c r="J453" s="39" t="s">
        <v>137</v>
      </c>
      <c r="K453" s="42">
        <v>0.27</v>
      </c>
      <c r="L453" s="39" t="s">
        <v>73</v>
      </c>
      <c r="M453" s="39" t="s">
        <v>138</v>
      </c>
      <c r="N453" s="39" t="s">
        <v>153</v>
      </c>
      <c r="O453" s="43">
        <f t="shared" si="147"/>
        <v>127111.25</v>
      </c>
      <c r="P453" s="43">
        <f t="shared" si="148"/>
        <v>92791.21</v>
      </c>
      <c r="Q453" s="43">
        <f t="shared" si="149"/>
        <v>121140.25</v>
      </c>
      <c r="R453" s="43">
        <f t="shared" si="150"/>
        <v>-28349.039999999994</v>
      </c>
      <c r="S453" s="44">
        <f t="shared" si="151"/>
        <v>-0.30551428308780532</v>
      </c>
      <c r="T453" s="39" t="str">
        <f t="shared" si="152"/>
        <v>Loss</v>
      </c>
      <c r="U453" s="39" t="str">
        <f t="shared" si="153"/>
        <v>20%+</v>
      </c>
      <c r="V453" s="39" t="str">
        <f>IF(E453&gt;=Analysis!$B$4,"High",IF(E453&gt;=Analysis!$B$5,"Mid","Low"))</f>
        <v>Low</v>
      </c>
      <c r="W453" s="39" t="str">
        <f t="shared" si="154"/>
        <v>2023-09</v>
      </c>
      <c r="X453" s="40">
        <f t="shared" si="155"/>
        <v>45199</v>
      </c>
      <c r="Y453" s="39" t="str">
        <f t="shared" si="156"/>
        <v>2023-Q3</v>
      </c>
      <c r="Z453" s="39" t="str">
        <f t="shared" si="157"/>
        <v>Sun</v>
      </c>
      <c r="AA453" s="39">
        <f t="shared" si="158"/>
        <v>7</v>
      </c>
      <c r="AB453" s="39">
        <f t="shared" si="159"/>
        <v>39</v>
      </c>
      <c r="AC453" s="39" t="str">
        <f t="shared" si="160"/>
        <v>Weekend</v>
      </c>
      <c r="AD453" s="39">
        <f t="shared" ca="1" si="161"/>
        <v>1126</v>
      </c>
      <c r="AE453" s="39">
        <f t="shared" ca="1" si="162"/>
        <v>37</v>
      </c>
      <c r="AF453" s="39" t="str">
        <f t="shared" si="163"/>
        <v>BOB</v>
      </c>
      <c r="AG453" s="39" t="str">
        <f t="shared" si="164"/>
        <v>EO-230924-0452</v>
      </c>
      <c r="AH453" s="39" t="str">
        <f>IF(AND(OR(Filter!$B$4="All",D453=Filter!$B$4),OR(Filter!$B$5="All",M453=Filter!$B$5),E453&gt;=Filter!$B$6),MAX(AH$1:AH452)+1,"")</f>
        <v/>
      </c>
      <c r="AI453" s="39">
        <f t="shared" si="165"/>
        <v>35</v>
      </c>
      <c r="AJ453" s="42">
        <f t="shared" si="166"/>
        <v>0.27</v>
      </c>
      <c r="AK453" s="41">
        <f t="shared" si="167"/>
        <v>3631.75</v>
      </c>
      <c r="AL453" s="39">
        <f>RANK(E453,$E$2:$E$1001,0)+COUNTIF($E$2:E453,E453)-1</f>
        <v>993</v>
      </c>
    </row>
    <row r="454" spans="1:38" x14ac:dyDescent="0.2">
      <c r="A454" s="39">
        <v>1054</v>
      </c>
      <c r="B454" s="40">
        <v>45222</v>
      </c>
      <c r="C454" s="39" t="s">
        <v>76</v>
      </c>
      <c r="D454" s="39" t="s">
        <v>69</v>
      </c>
      <c r="E454" s="41">
        <v>4392.47</v>
      </c>
      <c r="F454" s="39">
        <v>48</v>
      </c>
      <c r="G454" s="39" t="s">
        <v>65</v>
      </c>
      <c r="H454" s="41">
        <v>4325.0200000000004</v>
      </c>
      <c r="I454" s="41">
        <v>4391.67</v>
      </c>
      <c r="J454" s="39" t="s">
        <v>137</v>
      </c>
      <c r="K454" s="42">
        <v>0.16</v>
      </c>
      <c r="L454" s="39" t="s">
        <v>73</v>
      </c>
      <c r="M454" s="39" t="s">
        <v>140</v>
      </c>
      <c r="N454" s="39" t="s">
        <v>142</v>
      </c>
      <c r="O454" s="43">
        <f t="shared" si="147"/>
        <v>210800.16</v>
      </c>
      <c r="P454" s="43">
        <f t="shared" si="148"/>
        <v>177072.13</v>
      </c>
      <c r="Q454" s="43">
        <f t="shared" si="149"/>
        <v>207600.96</v>
      </c>
      <c r="R454" s="43">
        <f t="shared" si="150"/>
        <v>-30528.829999999987</v>
      </c>
      <c r="S454" s="44">
        <f t="shared" si="151"/>
        <v>-0.17240900643144683</v>
      </c>
      <c r="T454" s="39" t="str">
        <f t="shared" si="152"/>
        <v>Loss</v>
      </c>
      <c r="U454" s="39" t="str">
        <f t="shared" si="153"/>
        <v>10-19%</v>
      </c>
      <c r="V454" s="39" t="str">
        <f>IF(E454&gt;=Analysis!$B$4,"High",IF(E454&gt;=Analysis!$B$5,"Mid","Low"))</f>
        <v>Mid</v>
      </c>
      <c r="W454" s="39" t="str">
        <f t="shared" si="154"/>
        <v>2023-10</v>
      </c>
      <c r="X454" s="40">
        <f t="shared" si="155"/>
        <v>45230</v>
      </c>
      <c r="Y454" s="39" t="str">
        <f t="shared" si="156"/>
        <v>2023-Q4</v>
      </c>
      <c r="Z454" s="39" t="str">
        <f t="shared" si="157"/>
        <v>Mon</v>
      </c>
      <c r="AA454" s="39">
        <f t="shared" si="158"/>
        <v>1</v>
      </c>
      <c r="AB454" s="39">
        <f t="shared" si="159"/>
        <v>44</v>
      </c>
      <c r="AC454" s="39" t="str">
        <f t="shared" si="160"/>
        <v>Weekday</v>
      </c>
      <c r="AD454" s="39">
        <f t="shared" ca="1" si="161"/>
        <v>1097</v>
      </c>
      <c r="AE454" s="39">
        <f t="shared" ca="1" si="162"/>
        <v>36</v>
      </c>
      <c r="AF454" s="39" t="str">
        <f t="shared" si="163"/>
        <v>DAV</v>
      </c>
      <c r="AG454" s="39" t="str">
        <f t="shared" si="164"/>
        <v>SR-231023-0453</v>
      </c>
      <c r="AH454" s="39" t="str">
        <f>IF(AND(OR(Filter!$B$4="All",D454=Filter!$B$4),OR(Filter!$B$5="All",M454=Filter!$B$5),E454&gt;=Filter!$B$6),MAX(AH$1:AH453)+1,"")</f>
        <v/>
      </c>
      <c r="AI454" s="39">
        <f t="shared" si="165"/>
        <v>48</v>
      </c>
      <c r="AJ454" s="42">
        <f t="shared" si="166"/>
        <v>0.16</v>
      </c>
      <c r="AK454" s="41">
        <f t="shared" si="167"/>
        <v>4391.67</v>
      </c>
      <c r="AL454" s="39">
        <f>RANK(E454,$E$2:$E$1001,0)+COUNTIF($E$2:E454,E454)-1</f>
        <v>558</v>
      </c>
    </row>
    <row r="455" spans="1:38" x14ac:dyDescent="0.2">
      <c r="A455" s="39">
        <v>1060</v>
      </c>
      <c r="B455" s="40">
        <v>44937</v>
      </c>
      <c r="C455" s="39" t="s">
        <v>71</v>
      </c>
      <c r="D455" s="39" t="s">
        <v>74</v>
      </c>
      <c r="E455" s="41">
        <v>1016.99</v>
      </c>
      <c r="F455" s="39">
        <v>34</v>
      </c>
      <c r="G455" s="39" t="s">
        <v>65</v>
      </c>
      <c r="H455" s="41">
        <v>4984.21</v>
      </c>
      <c r="I455" s="41">
        <v>5184.6400000000003</v>
      </c>
      <c r="J455" s="39" t="s">
        <v>143</v>
      </c>
      <c r="K455" s="42">
        <v>0.17</v>
      </c>
      <c r="L455" s="39" t="s">
        <v>68</v>
      </c>
      <c r="M455" s="39" t="s">
        <v>138</v>
      </c>
      <c r="N455" s="39" t="s">
        <v>146</v>
      </c>
      <c r="O455" s="43">
        <f t="shared" si="147"/>
        <v>176277.76000000001</v>
      </c>
      <c r="P455" s="43">
        <f t="shared" si="148"/>
        <v>146310.54</v>
      </c>
      <c r="Q455" s="43">
        <f t="shared" si="149"/>
        <v>169463.14</v>
      </c>
      <c r="R455" s="43">
        <f t="shared" si="150"/>
        <v>-23152.600000000006</v>
      </c>
      <c r="S455" s="44">
        <f t="shared" si="151"/>
        <v>-0.15824287163453846</v>
      </c>
      <c r="T455" s="39" t="str">
        <f t="shared" si="152"/>
        <v>Loss</v>
      </c>
      <c r="U455" s="39" t="str">
        <f t="shared" si="153"/>
        <v>10-19%</v>
      </c>
      <c r="V455" s="39" t="str">
        <f>IF(E455&gt;=Analysis!$B$4,"High",IF(E455&gt;=Analysis!$B$5,"Mid","Low"))</f>
        <v>Low</v>
      </c>
      <c r="W455" s="39" t="str">
        <f t="shared" si="154"/>
        <v>2023-01</v>
      </c>
      <c r="X455" s="40">
        <f t="shared" si="155"/>
        <v>44957</v>
      </c>
      <c r="Y455" s="39" t="str">
        <f t="shared" si="156"/>
        <v>2023-Q1</v>
      </c>
      <c r="Z455" s="39" t="str">
        <f t="shared" si="157"/>
        <v>Wed</v>
      </c>
      <c r="AA455" s="39">
        <f t="shared" si="158"/>
        <v>3</v>
      </c>
      <c r="AB455" s="39">
        <f t="shared" si="159"/>
        <v>3</v>
      </c>
      <c r="AC455" s="39" t="str">
        <f t="shared" si="160"/>
        <v>Weekday</v>
      </c>
      <c r="AD455" s="39">
        <f t="shared" ca="1" si="161"/>
        <v>1382</v>
      </c>
      <c r="AE455" s="39">
        <f t="shared" ca="1" si="162"/>
        <v>45</v>
      </c>
      <c r="AF455" s="39" t="str">
        <f t="shared" si="163"/>
        <v>CHA</v>
      </c>
      <c r="AG455" s="39" t="str">
        <f t="shared" si="164"/>
        <v>WO-230111-0454</v>
      </c>
      <c r="AH455" s="39" t="str">
        <f>IF(AND(OR(Filter!$B$4="All",D455=Filter!$B$4),OR(Filter!$B$5="All",M455=Filter!$B$5),E455&gt;=Filter!$B$6),MAX(AH$1:AH454)+1,"")</f>
        <v/>
      </c>
      <c r="AI455" s="39">
        <f t="shared" si="165"/>
        <v>34</v>
      </c>
      <c r="AJ455" s="42">
        <f t="shared" si="166"/>
        <v>0.17</v>
      </c>
      <c r="AK455" s="41">
        <f t="shared" si="167"/>
        <v>5184.6400000000003</v>
      </c>
      <c r="AL455" s="39">
        <f>RANK(E455,$E$2:$E$1001,0)+COUNTIF($E$2:E455,E455)-1</f>
        <v>902</v>
      </c>
    </row>
    <row r="456" spans="1:38" x14ac:dyDescent="0.2">
      <c r="A456" s="39">
        <v>1097</v>
      </c>
      <c r="B456" s="40">
        <v>45090</v>
      </c>
      <c r="C456" s="39" t="s">
        <v>71</v>
      </c>
      <c r="D456" s="39" t="s">
        <v>59</v>
      </c>
      <c r="E456" s="41">
        <v>7509.01</v>
      </c>
      <c r="F456" s="39">
        <v>10</v>
      </c>
      <c r="G456" s="39" t="s">
        <v>75</v>
      </c>
      <c r="H456" s="41">
        <v>2162.9499999999998</v>
      </c>
      <c r="I456" s="41">
        <v>2191.19</v>
      </c>
      <c r="J456" s="39" t="s">
        <v>137</v>
      </c>
      <c r="K456" s="42">
        <v>0.2</v>
      </c>
      <c r="L456" s="39" t="s">
        <v>73</v>
      </c>
      <c r="M456" s="39" t="s">
        <v>138</v>
      </c>
      <c r="N456" s="39" t="s">
        <v>145</v>
      </c>
      <c r="O456" s="43">
        <f t="shared" si="147"/>
        <v>21911.9</v>
      </c>
      <c r="P456" s="43">
        <f t="shared" si="148"/>
        <v>17529.52</v>
      </c>
      <c r="Q456" s="43">
        <f t="shared" si="149"/>
        <v>21629.5</v>
      </c>
      <c r="R456" s="43">
        <f t="shared" si="150"/>
        <v>-4099.9799999999996</v>
      </c>
      <c r="S456" s="44">
        <f t="shared" si="151"/>
        <v>-0.23389003235684716</v>
      </c>
      <c r="T456" s="39" t="str">
        <f t="shared" si="152"/>
        <v>Loss</v>
      </c>
      <c r="U456" s="39" t="str">
        <f t="shared" si="153"/>
        <v>20%+</v>
      </c>
      <c r="V456" s="39" t="str">
        <f>IF(E456&gt;=Analysis!$B$4,"High",IF(E456&gt;=Analysis!$B$5,"Mid","Low"))</f>
        <v>High</v>
      </c>
      <c r="W456" s="39" t="str">
        <f t="shared" si="154"/>
        <v>2023-06</v>
      </c>
      <c r="X456" s="40">
        <f t="shared" si="155"/>
        <v>45107</v>
      </c>
      <c r="Y456" s="39" t="str">
        <f t="shared" si="156"/>
        <v>2023-Q2</v>
      </c>
      <c r="Z456" s="39" t="str">
        <f t="shared" si="157"/>
        <v>Tue</v>
      </c>
      <c r="AA456" s="39">
        <f t="shared" si="158"/>
        <v>2</v>
      </c>
      <c r="AB456" s="39">
        <f t="shared" si="159"/>
        <v>25</v>
      </c>
      <c r="AC456" s="39" t="str">
        <f t="shared" si="160"/>
        <v>Weekday</v>
      </c>
      <c r="AD456" s="39">
        <f t="shared" ca="1" si="161"/>
        <v>1229</v>
      </c>
      <c r="AE456" s="39">
        <f t="shared" ca="1" si="162"/>
        <v>40</v>
      </c>
      <c r="AF456" s="39" t="str">
        <f t="shared" si="163"/>
        <v>CHA</v>
      </c>
      <c r="AG456" s="39" t="str">
        <f t="shared" si="164"/>
        <v>EO-230613-0455</v>
      </c>
      <c r="AH456" s="39" t="str">
        <f>IF(AND(OR(Filter!$B$4="All",D456=Filter!$B$4),OR(Filter!$B$5="All",M456=Filter!$B$5),E456&gt;=Filter!$B$6),MAX(AH$1:AH455)+1,"")</f>
        <v/>
      </c>
      <c r="AI456" s="39">
        <f t="shared" si="165"/>
        <v>10</v>
      </c>
      <c r="AJ456" s="42">
        <f t="shared" si="166"/>
        <v>0.2</v>
      </c>
      <c r="AK456" s="41">
        <f t="shared" si="167"/>
        <v>2191.19</v>
      </c>
      <c r="AL456" s="39">
        <f>RANK(E456,$E$2:$E$1001,0)+COUNTIF($E$2:E456,E456)-1</f>
        <v>249</v>
      </c>
    </row>
    <row r="457" spans="1:38" x14ac:dyDescent="0.2">
      <c r="A457" s="39">
        <v>1008</v>
      </c>
      <c r="B457" s="40">
        <v>45039</v>
      </c>
      <c r="C457" s="39" t="s">
        <v>79</v>
      </c>
      <c r="D457" s="39" t="s">
        <v>64</v>
      </c>
      <c r="E457" s="41">
        <v>9154.0300000000007</v>
      </c>
      <c r="F457" s="39">
        <v>35</v>
      </c>
      <c r="G457" s="39" t="s">
        <v>60</v>
      </c>
      <c r="H457" s="41">
        <v>600.20000000000005</v>
      </c>
      <c r="I457" s="41">
        <v>1059.82</v>
      </c>
      <c r="J457" s="39" t="s">
        <v>137</v>
      </c>
      <c r="K457" s="42">
        <v>0.28999999999999998</v>
      </c>
      <c r="L457" s="39" t="s">
        <v>63</v>
      </c>
      <c r="M457" s="39" t="s">
        <v>140</v>
      </c>
      <c r="N457" s="39" t="s">
        <v>148</v>
      </c>
      <c r="O457" s="43">
        <f t="shared" si="147"/>
        <v>37093.699999999997</v>
      </c>
      <c r="P457" s="43">
        <f t="shared" si="148"/>
        <v>26336.53</v>
      </c>
      <c r="Q457" s="43">
        <f t="shared" si="149"/>
        <v>21007</v>
      </c>
      <c r="R457" s="43">
        <f t="shared" si="150"/>
        <v>5329.5299999999988</v>
      </c>
      <c r="S457" s="44">
        <f t="shared" si="151"/>
        <v>0.20236264990110692</v>
      </c>
      <c r="T457" s="39" t="str">
        <f t="shared" si="152"/>
        <v>OK</v>
      </c>
      <c r="U457" s="39" t="str">
        <f t="shared" si="153"/>
        <v>20%+</v>
      </c>
      <c r="V457" s="39" t="str">
        <f>IF(E457&gt;=Analysis!$B$4,"High",IF(E457&gt;=Analysis!$B$5,"Mid","Low"))</f>
        <v>High</v>
      </c>
      <c r="W457" s="39" t="str">
        <f t="shared" si="154"/>
        <v>2023-04</v>
      </c>
      <c r="X457" s="40">
        <f t="shared" si="155"/>
        <v>45046</v>
      </c>
      <c r="Y457" s="39" t="str">
        <f t="shared" si="156"/>
        <v>2023-Q2</v>
      </c>
      <c r="Z457" s="39" t="str">
        <f t="shared" si="157"/>
        <v>Sun</v>
      </c>
      <c r="AA457" s="39">
        <f t="shared" si="158"/>
        <v>7</v>
      </c>
      <c r="AB457" s="39">
        <f t="shared" si="159"/>
        <v>17</v>
      </c>
      <c r="AC457" s="39" t="str">
        <f t="shared" si="160"/>
        <v>Weekend</v>
      </c>
      <c r="AD457" s="39">
        <f t="shared" ca="1" si="161"/>
        <v>1280</v>
      </c>
      <c r="AE457" s="39">
        <f t="shared" ca="1" si="162"/>
        <v>42</v>
      </c>
      <c r="AF457" s="39" t="str">
        <f t="shared" si="163"/>
        <v>EVE</v>
      </c>
      <c r="AG457" s="39" t="str">
        <f t="shared" si="164"/>
        <v>NR-230423-0456</v>
      </c>
      <c r="AH457" s="39">
        <f>IF(AND(OR(Filter!$B$4="All",D457=Filter!$B$4),OR(Filter!$B$5="All",M457=Filter!$B$5),E457&gt;=Filter!$B$6),MAX(AH$1:AH456)+1,"")</f>
        <v>51</v>
      </c>
      <c r="AI457" s="39">
        <f t="shared" si="165"/>
        <v>35</v>
      </c>
      <c r="AJ457" s="42">
        <f t="shared" si="166"/>
        <v>0.28999999999999998</v>
      </c>
      <c r="AK457" s="41">
        <f t="shared" si="167"/>
        <v>1059.82</v>
      </c>
      <c r="AL457" s="39">
        <f>RANK(E457,$E$2:$E$1001,0)+COUNTIF($E$2:E457,E457)-1</f>
        <v>81</v>
      </c>
    </row>
    <row r="458" spans="1:38" x14ac:dyDescent="0.2">
      <c r="A458" s="39">
        <v>1053</v>
      </c>
      <c r="B458" s="40">
        <v>45113</v>
      </c>
      <c r="C458" s="39" t="s">
        <v>71</v>
      </c>
      <c r="D458" s="39" t="s">
        <v>59</v>
      </c>
      <c r="E458" s="41">
        <v>4396.8100000000004</v>
      </c>
      <c r="F458" s="39">
        <v>11</v>
      </c>
      <c r="G458" s="39" t="s">
        <v>65</v>
      </c>
      <c r="H458" s="41">
        <v>200.56</v>
      </c>
      <c r="I458" s="41">
        <v>540.38</v>
      </c>
      <c r="J458" s="39" t="s">
        <v>143</v>
      </c>
      <c r="K458" s="42">
        <v>0.18</v>
      </c>
      <c r="L458" s="39" t="s">
        <v>63</v>
      </c>
      <c r="M458" s="39" t="s">
        <v>138</v>
      </c>
      <c r="N458" s="39" t="s">
        <v>145</v>
      </c>
      <c r="O458" s="43">
        <f t="shared" si="147"/>
        <v>5944.18</v>
      </c>
      <c r="P458" s="43">
        <f t="shared" si="148"/>
        <v>4874.2299999999996</v>
      </c>
      <c r="Q458" s="43">
        <f t="shared" si="149"/>
        <v>2206.16</v>
      </c>
      <c r="R458" s="43">
        <f t="shared" si="150"/>
        <v>2668.0699999999997</v>
      </c>
      <c r="S458" s="44">
        <f t="shared" si="151"/>
        <v>0.54738286867874519</v>
      </c>
      <c r="T458" s="39" t="str">
        <f t="shared" si="152"/>
        <v>OK</v>
      </c>
      <c r="U458" s="39" t="str">
        <f t="shared" si="153"/>
        <v>10-19%</v>
      </c>
      <c r="V458" s="39" t="str">
        <f>IF(E458&gt;=Analysis!$B$4,"High",IF(E458&gt;=Analysis!$B$5,"Mid","Low"))</f>
        <v>Mid</v>
      </c>
      <c r="W458" s="39" t="str">
        <f t="shared" si="154"/>
        <v>2023-07</v>
      </c>
      <c r="X458" s="40">
        <f t="shared" si="155"/>
        <v>45138</v>
      </c>
      <c r="Y458" s="39" t="str">
        <f t="shared" si="156"/>
        <v>2023-Q3</v>
      </c>
      <c r="Z458" s="39" t="str">
        <f t="shared" si="157"/>
        <v>Thu</v>
      </c>
      <c r="AA458" s="39">
        <f t="shared" si="158"/>
        <v>4</v>
      </c>
      <c r="AB458" s="39">
        <f t="shared" si="159"/>
        <v>28</v>
      </c>
      <c r="AC458" s="39" t="str">
        <f t="shared" si="160"/>
        <v>Weekday</v>
      </c>
      <c r="AD458" s="39">
        <f t="shared" ca="1" si="161"/>
        <v>1206</v>
      </c>
      <c r="AE458" s="39">
        <f t="shared" ca="1" si="162"/>
        <v>39</v>
      </c>
      <c r="AF458" s="39" t="str">
        <f t="shared" si="163"/>
        <v>CHA</v>
      </c>
      <c r="AG458" s="39" t="str">
        <f t="shared" si="164"/>
        <v>EO-230706-0457</v>
      </c>
      <c r="AH458" s="39" t="str">
        <f>IF(AND(OR(Filter!$B$4="All",D458=Filter!$B$4),OR(Filter!$B$5="All",M458=Filter!$B$5),E458&gt;=Filter!$B$6),MAX(AH$1:AH457)+1,"")</f>
        <v/>
      </c>
      <c r="AI458" s="39">
        <f t="shared" si="165"/>
        <v>11</v>
      </c>
      <c r="AJ458" s="42">
        <f t="shared" si="166"/>
        <v>0.18</v>
      </c>
      <c r="AK458" s="41">
        <f t="shared" si="167"/>
        <v>540.38</v>
      </c>
      <c r="AL458" s="39">
        <f>RANK(E458,$E$2:$E$1001,0)+COUNTIF($E$2:E458,E458)-1</f>
        <v>557</v>
      </c>
    </row>
    <row r="459" spans="1:38" x14ac:dyDescent="0.2">
      <c r="A459" s="39">
        <v>1060</v>
      </c>
      <c r="B459" s="40">
        <v>45221</v>
      </c>
      <c r="C459" s="39" t="s">
        <v>66</v>
      </c>
      <c r="D459" s="39" t="s">
        <v>64</v>
      </c>
      <c r="E459" s="41">
        <v>2661.25</v>
      </c>
      <c r="F459" s="39">
        <v>11</v>
      </c>
      <c r="G459" s="39" t="s">
        <v>75</v>
      </c>
      <c r="H459" s="41">
        <v>3648.04</v>
      </c>
      <c r="I459" s="41">
        <v>4143.51</v>
      </c>
      <c r="J459" s="39" t="s">
        <v>137</v>
      </c>
      <c r="K459" s="42">
        <v>0.17</v>
      </c>
      <c r="L459" s="39" t="s">
        <v>73</v>
      </c>
      <c r="M459" s="39" t="s">
        <v>140</v>
      </c>
      <c r="N459" s="39" t="s">
        <v>139</v>
      </c>
      <c r="O459" s="43">
        <f t="shared" si="147"/>
        <v>45578.61</v>
      </c>
      <c r="P459" s="43">
        <f t="shared" si="148"/>
        <v>37830.25</v>
      </c>
      <c r="Q459" s="43">
        <f t="shared" si="149"/>
        <v>40128.44</v>
      </c>
      <c r="R459" s="43">
        <f t="shared" si="150"/>
        <v>-2298.1900000000023</v>
      </c>
      <c r="S459" s="44">
        <f t="shared" si="151"/>
        <v>-6.0750061128329903E-2</v>
      </c>
      <c r="T459" s="39" t="str">
        <f t="shared" si="152"/>
        <v>Loss</v>
      </c>
      <c r="U459" s="39" t="str">
        <f t="shared" si="153"/>
        <v>10-19%</v>
      </c>
      <c r="V459" s="39" t="str">
        <f>IF(E459&gt;=Analysis!$B$4,"High",IF(E459&gt;=Analysis!$B$5,"Mid","Low"))</f>
        <v>Mid</v>
      </c>
      <c r="W459" s="39" t="str">
        <f t="shared" si="154"/>
        <v>2023-10</v>
      </c>
      <c r="X459" s="40">
        <f t="shared" si="155"/>
        <v>45230</v>
      </c>
      <c r="Y459" s="39" t="str">
        <f t="shared" si="156"/>
        <v>2023-Q4</v>
      </c>
      <c r="Z459" s="39" t="str">
        <f t="shared" si="157"/>
        <v>Sun</v>
      </c>
      <c r="AA459" s="39">
        <f t="shared" si="158"/>
        <v>7</v>
      </c>
      <c r="AB459" s="39">
        <f t="shared" si="159"/>
        <v>43</v>
      </c>
      <c r="AC459" s="39" t="str">
        <f t="shared" si="160"/>
        <v>Weekend</v>
      </c>
      <c r="AD459" s="39">
        <f t="shared" ca="1" si="161"/>
        <v>1098</v>
      </c>
      <c r="AE459" s="39">
        <f t="shared" ca="1" si="162"/>
        <v>36</v>
      </c>
      <c r="AF459" s="39" t="str">
        <f t="shared" si="163"/>
        <v>BOB</v>
      </c>
      <c r="AG459" s="39" t="str">
        <f t="shared" si="164"/>
        <v>NR-231022-0458</v>
      </c>
      <c r="AH459" s="39" t="str">
        <f>IF(AND(OR(Filter!$B$4="All",D459=Filter!$B$4),OR(Filter!$B$5="All",M459=Filter!$B$5),E459&gt;=Filter!$B$6),MAX(AH$1:AH458)+1,"")</f>
        <v/>
      </c>
      <c r="AI459" s="39">
        <f t="shared" si="165"/>
        <v>11</v>
      </c>
      <c r="AJ459" s="42">
        <f t="shared" si="166"/>
        <v>0.17</v>
      </c>
      <c r="AK459" s="41">
        <f t="shared" si="167"/>
        <v>4143.51</v>
      </c>
      <c r="AL459" s="39">
        <f>RANK(E459,$E$2:$E$1001,0)+COUNTIF($E$2:E459,E459)-1</f>
        <v>738</v>
      </c>
    </row>
    <row r="460" spans="1:38" x14ac:dyDescent="0.2">
      <c r="A460" s="39">
        <v>1005</v>
      </c>
      <c r="B460" s="40">
        <v>45158</v>
      </c>
      <c r="C460" s="39" t="s">
        <v>66</v>
      </c>
      <c r="D460" s="39" t="s">
        <v>64</v>
      </c>
      <c r="E460" s="41">
        <v>4400.59</v>
      </c>
      <c r="F460" s="39">
        <v>21</v>
      </c>
      <c r="G460" s="39" t="s">
        <v>70</v>
      </c>
      <c r="H460" s="41">
        <v>4376.37</v>
      </c>
      <c r="I460" s="41">
        <v>4818.95</v>
      </c>
      <c r="J460" s="39" t="s">
        <v>143</v>
      </c>
      <c r="K460" s="42">
        <v>0</v>
      </c>
      <c r="L460" s="39" t="s">
        <v>73</v>
      </c>
      <c r="M460" s="39" t="s">
        <v>140</v>
      </c>
      <c r="N460" s="39" t="s">
        <v>139</v>
      </c>
      <c r="O460" s="43">
        <f t="shared" si="147"/>
        <v>101197.95</v>
      </c>
      <c r="P460" s="43">
        <f t="shared" si="148"/>
        <v>101197.95</v>
      </c>
      <c r="Q460" s="43">
        <f t="shared" si="149"/>
        <v>91903.77</v>
      </c>
      <c r="R460" s="43">
        <f t="shared" si="150"/>
        <v>9294.179999999993</v>
      </c>
      <c r="S460" s="44">
        <f t="shared" si="151"/>
        <v>9.1841583747496791E-2</v>
      </c>
      <c r="T460" s="39" t="str">
        <f t="shared" si="152"/>
        <v>OK</v>
      </c>
      <c r="U460" s="39" t="str">
        <f t="shared" si="153"/>
        <v>0-9%</v>
      </c>
      <c r="V460" s="39" t="str">
        <f>IF(E460&gt;=Analysis!$B$4,"High",IF(E460&gt;=Analysis!$B$5,"Mid","Low"))</f>
        <v>Mid</v>
      </c>
      <c r="W460" s="39" t="str">
        <f t="shared" si="154"/>
        <v>2023-08</v>
      </c>
      <c r="X460" s="40">
        <f t="shared" si="155"/>
        <v>45169</v>
      </c>
      <c r="Y460" s="39" t="str">
        <f t="shared" si="156"/>
        <v>2023-Q3</v>
      </c>
      <c r="Z460" s="39" t="str">
        <f t="shared" si="157"/>
        <v>Sun</v>
      </c>
      <c r="AA460" s="39">
        <f t="shared" si="158"/>
        <v>7</v>
      </c>
      <c r="AB460" s="39">
        <f t="shared" si="159"/>
        <v>34</v>
      </c>
      <c r="AC460" s="39" t="str">
        <f t="shared" si="160"/>
        <v>Weekend</v>
      </c>
      <c r="AD460" s="39">
        <f t="shared" ca="1" si="161"/>
        <v>1161</v>
      </c>
      <c r="AE460" s="39">
        <f t="shared" ca="1" si="162"/>
        <v>38</v>
      </c>
      <c r="AF460" s="39" t="str">
        <f t="shared" si="163"/>
        <v>BOB</v>
      </c>
      <c r="AG460" s="39" t="str">
        <f t="shared" si="164"/>
        <v>NR-230820-0459</v>
      </c>
      <c r="AH460" s="39" t="str">
        <f>IF(AND(OR(Filter!$B$4="All",D460=Filter!$B$4),OR(Filter!$B$5="All",M460=Filter!$B$5),E460&gt;=Filter!$B$6),MAX(AH$1:AH459)+1,"")</f>
        <v/>
      </c>
      <c r="AI460" s="39">
        <f t="shared" si="165"/>
        <v>21</v>
      </c>
      <c r="AJ460" s="42">
        <f t="shared" si="166"/>
        <v>0</v>
      </c>
      <c r="AK460" s="41">
        <f t="shared" si="167"/>
        <v>4818.95</v>
      </c>
      <c r="AL460" s="39">
        <f>RANK(E460,$E$2:$E$1001,0)+COUNTIF($E$2:E460,E460)-1</f>
        <v>556</v>
      </c>
    </row>
    <row r="461" spans="1:38" x14ac:dyDescent="0.2">
      <c r="A461" s="39">
        <v>1068</v>
      </c>
      <c r="B461" s="40">
        <v>45153</v>
      </c>
      <c r="C461" s="39" t="s">
        <v>61</v>
      </c>
      <c r="D461" s="39" t="s">
        <v>69</v>
      </c>
      <c r="E461" s="41">
        <v>7262.13</v>
      </c>
      <c r="F461" s="39">
        <v>21</v>
      </c>
      <c r="G461" s="39" t="s">
        <v>70</v>
      </c>
      <c r="H461" s="41">
        <v>1142.53</v>
      </c>
      <c r="I461" s="41">
        <v>1384.3</v>
      </c>
      <c r="J461" s="39" t="s">
        <v>137</v>
      </c>
      <c r="K461" s="42">
        <v>0.02</v>
      </c>
      <c r="L461" s="39" t="s">
        <v>73</v>
      </c>
      <c r="M461" s="39" t="s">
        <v>140</v>
      </c>
      <c r="N461" s="39" t="s">
        <v>150</v>
      </c>
      <c r="O461" s="43">
        <f t="shared" si="147"/>
        <v>29070.3</v>
      </c>
      <c r="P461" s="43">
        <f t="shared" si="148"/>
        <v>28488.89</v>
      </c>
      <c r="Q461" s="43">
        <f t="shared" si="149"/>
        <v>23993.13</v>
      </c>
      <c r="R461" s="43">
        <f t="shared" si="150"/>
        <v>4495.7599999999984</v>
      </c>
      <c r="S461" s="44">
        <f t="shared" si="151"/>
        <v>0.15780748214479393</v>
      </c>
      <c r="T461" s="39" t="str">
        <f t="shared" si="152"/>
        <v>OK</v>
      </c>
      <c r="U461" s="39" t="str">
        <f t="shared" si="153"/>
        <v>0-9%</v>
      </c>
      <c r="V461" s="39" t="str">
        <f>IF(E461&gt;=Analysis!$B$4,"High",IF(E461&gt;=Analysis!$B$5,"Mid","Low"))</f>
        <v>Mid</v>
      </c>
      <c r="W461" s="39" t="str">
        <f t="shared" si="154"/>
        <v>2023-08</v>
      </c>
      <c r="X461" s="40">
        <f t="shared" si="155"/>
        <v>45169</v>
      </c>
      <c r="Y461" s="39" t="str">
        <f t="shared" si="156"/>
        <v>2023-Q3</v>
      </c>
      <c r="Z461" s="39" t="str">
        <f t="shared" si="157"/>
        <v>Tue</v>
      </c>
      <c r="AA461" s="39">
        <f t="shared" si="158"/>
        <v>2</v>
      </c>
      <c r="AB461" s="39">
        <f t="shared" si="159"/>
        <v>34</v>
      </c>
      <c r="AC461" s="39" t="str">
        <f t="shared" si="160"/>
        <v>Weekday</v>
      </c>
      <c r="AD461" s="39">
        <f t="shared" ca="1" si="161"/>
        <v>1166</v>
      </c>
      <c r="AE461" s="39">
        <f t="shared" ca="1" si="162"/>
        <v>38</v>
      </c>
      <c r="AF461" s="39" t="str">
        <f t="shared" si="163"/>
        <v>ALI</v>
      </c>
      <c r="AG461" s="39" t="str">
        <f t="shared" si="164"/>
        <v>SR-230815-0460</v>
      </c>
      <c r="AH461" s="39" t="str">
        <f>IF(AND(OR(Filter!$B$4="All",D461=Filter!$B$4),OR(Filter!$B$5="All",M461=Filter!$B$5),E461&gt;=Filter!$B$6),MAX(AH$1:AH460)+1,"")</f>
        <v/>
      </c>
      <c r="AI461" s="39">
        <f t="shared" si="165"/>
        <v>21</v>
      </c>
      <c r="AJ461" s="42">
        <f t="shared" si="166"/>
        <v>0.02</v>
      </c>
      <c r="AK461" s="41">
        <f t="shared" si="167"/>
        <v>1384.3</v>
      </c>
      <c r="AL461" s="39">
        <f>RANK(E461,$E$2:$E$1001,0)+COUNTIF($E$2:E461,E461)-1</f>
        <v>272</v>
      </c>
    </row>
    <row r="462" spans="1:38" x14ac:dyDescent="0.2">
      <c r="A462" s="39">
        <v>1006</v>
      </c>
      <c r="B462" s="40">
        <v>45236</v>
      </c>
      <c r="C462" s="39" t="s">
        <v>66</v>
      </c>
      <c r="D462" s="39" t="s">
        <v>69</v>
      </c>
      <c r="E462" s="41">
        <v>189.64</v>
      </c>
      <c r="F462" s="39">
        <v>22</v>
      </c>
      <c r="G462" s="39" t="s">
        <v>70</v>
      </c>
      <c r="H462" s="41">
        <v>834.32</v>
      </c>
      <c r="I462" s="41">
        <v>1098.97</v>
      </c>
      <c r="J462" s="39" t="s">
        <v>137</v>
      </c>
      <c r="K462" s="42">
        <v>0.17</v>
      </c>
      <c r="L462" s="39" t="s">
        <v>68</v>
      </c>
      <c r="M462" s="39" t="s">
        <v>138</v>
      </c>
      <c r="N462" s="39" t="s">
        <v>144</v>
      </c>
      <c r="O462" s="43">
        <f t="shared" si="147"/>
        <v>24177.34</v>
      </c>
      <c r="P462" s="43">
        <f t="shared" si="148"/>
        <v>20067.189999999999</v>
      </c>
      <c r="Q462" s="43">
        <f t="shared" si="149"/>
        <v>18355.04</v>
      </c>
      <c r="R462" s="43">
        <f t="shared" si="150"/>
        <v>1712.1499999999978</v>
      </c>
      <c r="S462" s="44">
        <f t="shared" si="151"/>
        <v>8.5320864555525608E-2</v>
      </c>
      <c r="T462" s="39" t="str">
        <f t="shared" si="152"/>
        <v>OK</v>
      </c>
      <c r="U462" s="39" t="str">
        <f t="shared" si="153"/>
        <v>10-19%</v>
      </c>
      <c r="V462" s="39" t="str">
        <f>IF(E462&gt;=Analysis!$B$4,"High",IF(E462&gt;=Analysis!$B$5,"Mid","Low"))</f>
        <v>Low</v>
      </c>
      <c r="W462" s="39" t="str">
        <f t="shared" si="154"/>
        <v>2023-11</v>
      </c>
      <c r="X462" s="40">
        <f t="shared" si="155"/>
        <v>45260</v>
      </c>
      <c r="Y462" s="39" t="str">
        <f t="shared" si="156"/>
        <v>2023-Q4</v>
      </c>
      <c r="Z462" s="39" t="str">
        <f t="shared" si="157"/>
        <v>Mon</v>
      </c>
      <c r="AA462" s="39">
        <f t="shared" si="158"/>
        <v>1</v>
      </c>
      <c r="AB462" s="39">
        <f t="shared" si="159"/>
        <v>46</v>
      </c>
      <c r="AC462" s="39" t="str">
        <f t="shared" si="160"/>
        <v>Weekday</v>
      </c>
      <c r="AD462" s="39">
        <f t="shared" ca="1" si="161"/>
        <v>1083</v>
      </c>
      <c r="AE462" s="39">
        <f t="shared" ca="1" si="162"/>
        <v>35</v>
      </c>
      <c r="AF462" s="39" t="str">
        <f t="shared" si="163"/>
        <v>BOB</v>
      </c>
      <c r="AG462" s="39" t="str">
        <f t="shared" si="164"/>
        <v>SO-231106-0461</v>
      </c>
      <c r="AH462" s="39" t="str">
        <f>IF(AND(OR(Filter!$B$4="All",D462=Filter!$B$4),OR(Filter!$B$5="All",M462=Filter!$B$5),E462&gt;=Filter!$B$6),MAX(AH$1:AH461)+1,"")</f>
        <v/>
      </c>
      <c r="AI462" s="39">
        <f t="shared" si="165"/>
        <v>22</v>
      </c>
      <c r="AJ462" s="42">
        <f t="shared" si="166"/>
        <v>0.17</v>
      </c>
      <c r="AK462" s="41">
        <f t="shared" si="167"/>
        <v>1098.97</v>
      </c>
      <c r="AL462" s="39">
        <f>RANK(E462,$E$2:$E$1001,0)+COUNTIF($E$2:E462,E462)-1</f>
        <v>990</v>
      </c>
    </row>
    <row r="463" spans="1:38" x14ac:dyDescent="0.2">
      <c r="A463" s="39">
        <v>1096</v>
      </c>
      <c r="B463" s="40">
        <v>45024</v>
      </c>
      <c r="C463" s="39" t="s">
        <v>71</v>
      </c>
      <c r="D463" s="39" t="s">
        <v>69</v>
      </c>
      <c r="E463" s="41">
        <v>5935.59</v>
      </c>
      <c r="F463" s="39">
        <v>45</v>
      </c>
      <c r="G463" s="39" t="s">
        <v>60</v>
      </c>
      <c r="H463" s="41">
        <v>357.92</v>
      </c>
      <c r="I463" s="41">
        <v>461.3</v>
      </c>
      <c r="J463" s="39" t="s">
        <v>137</v>
      </c>
      <c r="K463" s="42">
        <v>0.28000000000000003</v>
      </c>
      <c r="L463" s="39" t="s">
        <v>68</v>
      </c>
      <c r="M463" s="39" t="s">
        <v>138</v>
      </c>
      <c r="N463" s="39" t="s">
        <v>151</v>
      </c>
      <c r="O463" s="43">
        <f t="shared" si="147"/>
        <v>20758.5</v>
      </c>
      <c r="P463" s="43">
        <f t="shared" si="148"/>
        <v>14946.12</v>
      </c>
      <c r="Q463" s="43">
        <f t="shared" si="149"/>
        <v>16106.4</v>
      </c>
      <c r="R463" s="43">
        <f t="shared" si="150"/>
        <v>-1160.2799999999988</v>
      </c>
      <c r="S463" s="44">
        <f t="shared" si="151"/>
        <v>-7.7630850013247502E-2</v>
      </c>
      <c r="T463" s="39" t="str">
        <f t="shared" si="152"/>
        <v>Loss</v>
      </c>
      <c r="U463" s="39" t="str">
        <f t="shared" si="153"/>
        <v>20%+</v>
      </c>
      <c r="V463" s="39" t="str">
        <f>IF(E463&gt;=Analysis!$B$4,"High",IF(E463&gt;=Analysis!$B$5,"Mid","Low"))</f>
        <v>Mid</v>
      </c>
      <c r="W463" s="39" t="str">
        <f t="shared" si="154"/>
        <v>2023-04</v>
      </c>
      <c r="X463" s="40">
        <f t="shared" si="155"/>
        <v>45046</v>
      </c>
      <c r="Y463" s="39" t="str">
        <f t="shared" si="156"/>
        <v>2023-Q2</v>
      </c>
      <c r="Z463" s="39" t="str">
        <f t="shared" si="157"/>
        <v>Sat</v>
      </c>
      <c r="AA463" s="39">
        <f t="shared" si="158"/>
        <v>6</v>
      </c>
      <c r="AB463" s="39">
        <f t="shared" si="159"/>
        <v>15</v>
      </c>
      <c r="AC463" s="39" t="str">
        <f t="shared" si="160"/>
        <v>Weekend</v>
      </c>
      <c r="AD463" s="39">
        <f t="shared" ca="1" si="161"/>
        <v>1295</v>
      </c>
      <c r="AE463" s="39">
        <f t="shared" ca="1" si="162"/>
        <v>42</v>
      </c>
      <c r="AF463" s="39" t="str">
        <f t="shared" si="163"/>
        <v>CHA</v>
      </c>
      <c r="AG463" s="39" t="str">
        <f t="shared" si="164"/>
        <v>SO-230408-0462</v>
      </c>
      <c r="AH463" s="39" t="str">
        <f>IF(AND(OR(Filter!$B$4="All",D463=Filter!$B$4),OR(Filter!$B$5="All",M463=Filter!$B$5),E463&gt;=Filter!$B$6),MAX(AH$1:AH462)+1,"")</f>
        <v/>
      </c>
      <c r="AI463" s="39">
        <f t="shared" si="165"/>
        <v>45</v>
      </c>
      <c r="AJ463" s="42">
        <f t="shared" si="166"/>
        <v>0.28000000000000003</v>
      </c>
      <c r="AK463" s="41">
        <f t="shared" si="167"/>
        <v>461.3</v>
      </c>
      <c r="AL463" s="39">
        <f>RANK(E463,$E$2:$E$1001,0)+COUNTIF($E$2:E463,E463)-1</f>
        <v>414</v>
      </c>
    </row>
    <row r="464" spans="1:38" x14ac:dyDescent="0.2">
      <c r="A464" s="39">
        <v>1094</v>
      </c>
      <c r="B464" s="40">
        <v>44981</v>
      </c>
      <c r="C464" s="39" t="s">
        <v>66</v>
      </c>
      <c r="D464" s="39" t="s">
        <v>74</v>
      </c>
      <c r="E464" s="41">
        <v>6171.59</v>
      </c>
      <c r="F464" s="39">
        <v>7</v>
      </c>
      <c r="G464" s="39" t="s">
        <v>75</v>
      </c>
      <c r="H464" s="41">
        <v>4122.38</v>
      </c>
      <c r="I464" s="41">
        <v>4358.78</v>
      </c>
      <c r="J464" s="39" t="s">
        <v>137</v>
      </c>
      <c r="K464" s="42">
        <v>0.26</v>
      </c>
      <c r="L464" s="39" t="s">
        <v>63</v>
      </c>
      <c r="M464" s="39" t="s">
        <v>140</v>
      </c>
      <c r="N464" s="39" t="s">
        <v>141</v>
      </c>
      <c r="O464" s="43">
        <f t="shared" si="147"/>
        <v>30511.46</v>
      </c>
      <c r="P464" s="43">
        <f t="shared" si="148"/>
        <v>22578.48</v>
      </c>
      <c r="Q464" s="43">
        <f t="shared" si="149"/>
        <v>28856.66</v>
      </c>
      <c r="R464" s="43">
        <f t="shared" si="150"/>
        <v>-6278.18</v>
      </c>
      <c r="S464" s="44">
        <f t="shared" si="151"/>
        <v>-0.27806034772934229</v>
      </c>
      <c r="T464" s="39" t="str">
        <f t="shared" si="152"/>
        <v>Loss</v>
      </c>
      <c r="U464" s="39" t="str">
        <f t="shared" si="153"/>
        <v>20%+</v>
      </c>
      <c r="V464" s="39" t="str">
        <f>IF(E464&gt;=Analysis!$B$4,"High",IF(E464&gt;=Analysis!$B$5,"Mid","Low"))</f>
        <v>Mid</v>
      </c>
      <c r="W464" s="39" t="str">
        <f t="shared" si="154"/>
        <v>2023-02</v>
      </c>
      <c r="X464" s="40">
        <f t="shared" si="155"/>
        <v>44985</v>
      </c>
      <c r="Y464" s="39" t="str">
        <f t="shared" si="156"/>
        <v>2023-Q1</v>
      </c>
      <c r="Z464" s="39" t="str">
        <f t="shared" si="157"/>
        <v>Fri</v>
      </c>
      <c r="AA464" s="39">
        <f t="shared" si="158"/>
        <v>5</v>
      </c>
      <c r="AB464" s="39">
        <f t="shared" si="159"/>
        <v>9</v>
      </c>
      <c r="AC464" s="39" t="str">
        <f t="shared" si="160"/>
        <v>Weekday</v>
      </c>
      <c r="AD464" s="39">
        <f t="shared" ca="1" si="161"/>
        <v>1338</v>
      </c>
      <c r="AE464" s="39">
        <f t="shared" ca="1" si="162"/>
        <v>44</v>
      </c>
      <c r="AF464" s="39" t="str">
        <f t="shared" si="163"/>
        <v>BOB</v>
      </c>
      <c r="AG464" s="39" t="str">
        <f t="shared" si="164"/>
        <v>WR-230224-0463</v>
      </c>
      <c r="AH464" s="39" t="str">
        <f>IF(AND(OR(Filter!$B$4="All",D464=Filter!$B$4),OR(Filter!$B$5="All",M464=Filter!$B$5),E464&gt;=Filter!$B$6),MAX(AH$1:AH463)+1,"")</f>
        <v/>
      </c>
      <c r="AI464" s="39">
        <f t="shared" si="165"/>
        <v>7</v>
      </c>
      <c r="AJ464" s="42">
        <f t="shared" si="166"/>
        <v>0.26</v>
      </c>
      <c r="AK464" s="41">
        <f t="shared" si="167"/>
        <v>4358.78</v>
      </c>
      <c r="AL464" s="39">
        <f>RANK(E464,$E$2:$E$1001,0)+COUNTIF($E$2:E464,E464)-1</f>
        <v>391</v>
      </c>
    </row>
    <row r="465" spans="1:38" x14ac:dyDescent="0.2">
      <c r="A465" s="39">
        <v>1047</v>
      </c>
      <c r="B465" s="40">
        <v>45037</v>
      </c>
      <c r="C465" s="39" t="s">
        <v>79</v>
      </c>
      <c r="D465" s="39" t="s">
        <v>74</v>
      </c>
      <c r="E465" s="41">
        <v>6413.11</v>
      </c>
      <c r="F465" s="39">
        <v>17</v>
      </c>
      <c r="G465" s="39" t="s">
        <v>75</v>
      </c>
      <c r="H465" s="41">
        <v>1591.34</v>
      </c>
      <c r="I465" s="41">
        <v>2043.82</v>
      </c>
      <c r="J465" s="39" t="s">
        <v>143</v>
      </c>
      <c r="K465" s="42">
        <v>0.28999999999999998</v>
      </c>
      <c r="L465" s="39" t="s">
        <v>68</v>
      </c>
      <c r="M465" s="39" t="s">
        <v>140</v>
      </c>
      <c r="N465" s="39" t="s">
        <v>149</v>
      </c>
      <c r="O465" s="43">
        <f t="shared" si="147"/>
        <v>34744.94</v>
      </c>
      <c r="P465" s="43">
        <f t="shared" si="148"/>
        <v>24668.91</v>
      </c>
      <c r="Q465" s="43">
        <f t="shared" si="149"/>
        <v>27052.78</v>
      </c>
      <c r="R465" s="43">
        <f t="shared" si="150"/>
        <v>-2383.869999999999</v>
      </c>
      <c r="S465" s="44">
        <f t="shared" si="151"/>
        <v>-9.6634589854192945E-2</v>
      </c>
      <c r="T465" s="39" t="str">
        <f t="shared" si="152"/>
        <v>Loss</v>
      </c>
      <c r="U465" s="39" t="str">
        <f t="shared" si="153"/>
        <v>20%+</v>
      </c>
      <c r="V465" s="39" t="str">
        <f>IF(E465&gt;=Analysis!$B$4,"High",IF(E465&gt;=Analysis!$B$5,"Mid","Low"))</f>
        <v>Mid</v>
      </c>
      <c r="W465" s="39" t="str">
        <f t="shared" si="154"/>
        <v>2023-04</v>
      </c>
      <c r="X465" s="40">
        <f t="shared" si="155"/>
        <v>45046</v>
      </c>
      <c r="Y465" s="39" t="str">
        <f t="shared" si="156"/>
        <v>2023-Q2</v>
      </c>
      <c r="Z465" s="39" t="str">
        <f t="shared" si="157"/>
        <v>Fri</v>
      </c>
      <c r="AA465" s="39">
        <f t="shared" si="158"/>
        <v>5</v>
      </c>
      <c r="AB465" s="39">
        <f t="shared" si="159"/>
        <v>17</v>
      </c>
      <c r="AC465" s="39" t="str">
        <f t="shared" si="160"/>
        <v>Weekday</v>
      </c>
      <c r="AD465" s="39">
        <f t="shared" ca="1" si="161"/>
        <v>1282</v>
      </c>
      <c r="AE465" s="39">
        <f t="shared" ca="1" si="162"/>
        <v>42</v>
      </c>
      <c r="AF465" s="39" t="str">
        <f t="shared" si="163"/>
        <v>EVE</v>
      </c>
      <c r="AG465" s="39" t="str">
        <f t="shared" si="164"/>
        <v>WR-230421-0464</v>
      </c>
      <c r="AH465" s="39" t="str">
        <f>IF(AND(OR(Filter!$B$4="All",D465=Filter!$B$4),OR(Filter!$B$5="All",M465=Filter!$B$5),E465&gt;=Filter!$B$6),MAX(AH$1:AH464)+1,"")</f>
        <v/>
      </c>
      <c r="AI465" s="39">
        <f t="shared" si="165"/>
        <v>17</v>
      </c>
      <c r="AJ465" s="42">
        <f t="shared" si="166"/>
        <v>0.28999999999999998</v>
      </c>
      <c r="AK465" s="41">
        <f t="shared" si="167"/>
        <v>2043.82</v>
      </c>
      <c r="AL465" s="39">
        <f>RANK(E465,$E$2:$E$1001,0)+COUNTIF($E$2:E465,E465)-1</f>
        <v>366</v>
      </c>
    </row>
    <row r="466" spans="1:38" x14ac:dyDescent="0.2">
      <c r="A466" s="39">
        <v>1099</v>
      </c>
      <c r="B466" s="40">
        <v>45078</v>
      </c>
      <c r="C466" s="39" t="s">
        <v>61</v>
      </c>
      <c r="D466" s="39" t="s">
        <v>69</v>
      </c>
      <c r="E466" s="41">
        <v>2496.02</v>
      </c>
      <c r="F466" s="39">
        <v>2</v>
      </c>
      <c r="G466" s="39" t="s">
        <v>65</v>
      </c>
      <c r="H466" s="41">
        <v>2038.4</v>
      </c>
      <c r="I466" s="41">
        <v>2073.3200000000002</v>
      </c>
      <c r="J466" s="39" t="s">
        <v>143</v>
      </c>
      <c r="K466" s="42">
        <v>0.16</v>
      </c>
      <c r="L466" s="39" t="s">
        <v>68</v>
      </c>
      <c r="M466" s="39" t="s">
        <v>140</v>
      </c>
      <c r="N466" s="39" t="s">
        <v>150</v>
      </c>
      <c r="O466" s="43">
        <f t="shared" si="147"/>
        <v>4146.6400000000003</v>
      </c>
      <c r="P466" s="43">
        <f t="shared" si="148"/>
        <v>3483.18</v>
      </c>
      <c r="Q466" s="43">
        <f t="shared" si="149"/>
        <v>4076.8</v>
      </c>
      <c r="R466" s="43">
        <f t="shared" si="150"/>
        <v>-593.62000000000035</v>
      </c>
      <c r="S466" s="44">
        <f t="shared" si="151"/>
        <v>-0.17042472683008067</v>
      </c>
      <c r="T466" s="39" t="str">
        <f t="shared" si="152"/>
        <v>Loss</v>
      </c>
      <c r="U466" s="39" t="str">
        <f t="shared" si="153"/>
        <v>10-19%</v>
      </c>
      <c r="V466" s="39" t="str">
        <f>IF(E466&gt;=Analysis!$B$4,"High",IF(E466&gt;=Analysis!$B$5,"Mid","Low"))</f>
        <v>Low</v>
      </c>
      <c r="W466" s="39" t="str">
        <f t="shared" si="154"/>
        <v>2023-06</v>
      </c>
      <c r="X466" s="40">
        <f t="shared" si="155"/>
        <v>45107</v>
      </c>
      <c r="Y466" s="39" t="str">
        <f t="shared" si="156"/>
        <v>2023-Q2</v>
      </c>
      <c r="Z466" s="39" t="str">
        <f t="shared" si="157"/>
        <v>Thu</v>
      </c>
      <c r="AA466" s="39">
        <f t="shared" si="158"/>
        <v>4</v>
      </c>
      <c r="AB466" s="39">
        <f t="shared" si="159"/>
        <v>23</v>
      </c>
      <c r="AC466" s="39" t="str">
        <f t="shared" si="160"/>
        <v>Weekday</v>
      </c>
      <c r="AD466" s="39">
        <f t="shared" ca="1" si="161"/>
        <v>1241</v>
      </c>
      <c r="AE466" s="39">
        <f t="shared" ca="1" si="162"/>
        <v>40</v>
      </c>
      <c r="AF466" s="39" t="str">
        <f t="shared" si="163"/>
        <v>ALI</v>
      </c>
      <c r="AG466" s="39" t="str">
        <f t="shared" si="164"/>
        <v>SR-230601-0465</v>
      </c>
      <c r="AH466" s="39" t="str">
        <f>IF(AND(OR(Filter!$B$4="All",D466=Filter!$B$4),OR(Filter!$B$5="All",M466=Filter!$B$5),E466&gt;=Filter!$B$6),MAX(AH$1:AH465)+1,"")</f>
        <v/>
      </c>
      <c r="AI466" s="39">
        <f t="shared" si="165"/>
        <v>2</v>
      </c>
      <c r="AJ466" s="42">
        <f t="shared" si="166"/>
        <v>0.16</v>
      </c>
      <c r="AK466" s="41">
        <f t="shared" si="167"/>
        <v>2073.3200000000002</v>
      </c>
      <c r="AL466" s="39">
        <f>RANK(E466,$E$2:$E$1001,0)+COUNTIF($E$2:E466,E466)-1</f>
        <v>755</v>
      </c>
    </row>
    <row r="467" spans="1:38" x14ac:dyDescent="0.2">
      <c r="A467" s="39">
        <v>1055</v>
      </c>
      <c r="B467" s="40">
        <v>45172</v>
      </c>
      <c r="C467" s="39" t="s">
        <v>71</v>
      </c>
      <c r="D467" s="39" t="s">
        <v>74</v>
      </c>
      <c r="E467" s="41">
        <v>7169.12</v>
      </c>
      <c r="F467" s="39">
        <v>12</v>
      </c>
      <c r="G467" s="39" t="s">
        <v>65</v>
      </c>
      <c r="H467" s="41">
        <v>2538.61</v>
      </c>
      <c r="I467" s="41">
        <v>2971.75</v>
      </c>
      <c r="J467" s="39" t="s">
        <v>137</v>
      </c>
      <c r="K467" s="42">
        <v>0.24</v>
      </c>
      <c r="L467" s="39" t="s">
        <v>68</v>
      </c>
      <c r="M467" s="39" t="s">
        <v>138</v>
      </c>
      <c r="N467" s="39" t="s">
        <v>146</v>
      </c>
      <c r="O467" s="43">
        <f t="shared" si="147"/>
        <v>35661</v>
      </c>
      <c r="P467" s="43">
        <f t="shared" si="148"/>
        <v>27102.36</v>
      </c>
      <c r="Q467" s="43">
        <f t="shared" si="149"/>
        <v>30463.32</v>
      </c>
      <c r="R467" s="43">
        <f t="shared" si="150"/>
        <v>-3360.9599999999991</v>
      </c>
      <c r="S467" s="44">
        <f t="shared" si="151"/>
        <v>-0.12400986482357991</v>
      </c>
      <c r="T467" s="39" t="str">
        <f t="shared" si="152"/>
        <v>Loss</v>
      </c>
      <c r="U467" s="39" t="str">
        <f t="shared" si="153"/>
        <v>20%+</v>
      </c>
      <c r="V467" s="39" t="str">
        <f>IF(E467&gt;=Analysis!$B$4,"High",IF(E467&gt;=Analysis!$B$5,"Mid","Low"))</f>
        <v>Mid</v>
      </c>
      <c r="W467" s="39" t="str">
        <f t="shared" si="154"/>
        <v>2023-09</v>
      </c>
      <c r="X467" s="40">
        <f t="shared" si="155"/>
        <v>45199</v>
      </c>
      <c r="Y467" s="39" t="str">
        <f t="shared" si="156"/>
        <v>2023-Q3</v>
      </c>
      <c r="Z467" s="39" t="str">
        <f t="shared" si="157"/>
        <v>Sun</v>
      </c>
      <c r="AA467" s="39">
        <f t="shared" si="158"/>
        <v>7</v>
      </c>
      <c r="AB467" s="39">
        <f t="shared" si="159"/>
        <v>36</v>
      </c>
      <c r="AC467" s="39" t="str">
        <f t="shared" si="160"/>
        <v>Weekend</v>
      </c>
      <c r="AD467" s="39">
        <f t="shared" ca="1" si="161"/>
        <v>1147</v>
      </c>
      <c r="AE467" s="39">
        <f t="shared" ca="1" si="162"/>
        <v>37</v>
      </c>
      <c r="AF467" s="39" t="str">
        <f t="shared" si="163"/>
        <v>CHA</v>
      </c>
      <c r="AG467" s="39" t="str">
        <f t="shared" si="164"/>
        <v>WO-230903-0466</v>
      </c>
      <c r="AH467" s="39" t="str">
        <f>IF(AND(OR(Filter!$B$4="All",D467=Filter!$B$4),OR(Filter!$B$5="All",M467=Filter!$B$5),E467&gt;=Filter!$B$6),MAX(AH$1:AH466)+1,"")</f>
        <v/>
      </c>
      <c r="AI467" s="39">
        <f t="shared" si="165"/>
        <v>12</v>
      </c>
      <c r="AJ467" s="42">
        <f t="shared" si="166"/>
        <v>0.24</v>
      </c>
      <c r="AK467" s="41">
        <f t="shared" si="167"/>
        <v>2971.75</v>
      </c>
      <c r="AL467" s="39">
        <f>RANK(E467,$E$2:$E$1001,0)+COUNTIF($E$2:E467,E467)-1</f>
        <v>282</v>
      </c>
    </row>
    <row r="468" spans="1:38" x14ac:dyDescent="0.2">
      <c r="A468" s="39">
        <v>1040</v>
      </c>
      <c r="B468" s="40">
        <v>44995</v>
      </c>
      <c r="C468" s="39" t="s">
        <v>61</v>
      </c>
      <c r="D468" s="39" t="s">
        <v>59</v>
      </c>
      <c r="E468" s="41">
        <v>1004.78</v>
      </c>
      <c r="F468" s="39">
        <v>42</v>
      </c>
      <c r="G468" s="39" t="s">
        <v>65</v>
      </c>
      <c r="H468" s="41">
        <v>4205.29</v>
      </c>
      <c r="I468" s="41">
        <v>4382.3500000000004</v>
      </c>
      <c r="J468" s="39" t="s">
        <v>143</v>
      </c>
      <c r="K468" s="42">
        <v>0.25</v>
      </c>
      <c r="L468" s="39" t="s">
        <v>68</v>
      </c>
      <c r="M468" s="39" t="s">
        <v>140</v>
      </c>
      <c r="N468" s="39" t="s">
        <v>159</v>
      </c>
      <c r="O468" s="43">
        <f t="shared" si="147"/>
        <v>184058.7</v>
      </c>
      <c r="P468" s="43">
        <f t="shared" si="148"/>
        <v>138044.03</v>
      </c>
      <c r="Q468" s="43">
        <f t="shared" si="149"/>
        <v>176622.18</v>
      </c>
      <c r="R468" s="43">
        <f t="shared" si="150"/>
        <v>-38578.149999999994</v>
      </c>
      <c r="S468" s="44">
        <f t="shared" si="151"/>
        <v>-0.27946264680913757</v>
      </c>
      <c r="T468" s="39" t="str">
        <f t="shared" si="152"/>
        <v>Loss</v>
      </c>
      <c r="U468" s="39" t="str">
        <f t="shared" si="153"/>
        <v>20%+</v>
      </c>
      <c r="V468" s="39" t="str">
        <f>IF(E468&gt;=Analysis!$B$4,"High",IF(E468&gt;=Analysis!$B$5,"Mid","Low"))</f>
        <v>Low</v>
      </c>
      <c r="W468" s="39" t="str">
        <f t="shared" si="154"/>
        <v>2023-03</v>
      </c>
      <c r="X468" s="40">
        <f t="shared" si="155"/>
        <v>45016</v>
      </c>
      <c r="Y468" s="39" t="str">
        <f t="shared" si="156"/>
        <v>2023-Q1</v>
      </c>
      <c r="Z468" s="39" t="str">
        <f t="shared" si="157"/>
        <v>Fri</v>
      </c>
      <c r="AA468" s="39">
        <f t="shared" si="158"/>
        <v>5</v>
      </c>
      <c r="AB468" s="39">
        <f t="shared" si="159"/>
        <v>11</v>
      </c>
      <c r="AC468" s="39" t="str">
        <f t="shared" si="160"/>
        <v>Weekday</v>
      </c>
      <c r="AD468" s="39">
        <f t="shared" ca="1" si="161"/>
        <v>1324</v>
      </c>
      <c r="AE468" s="39">
        <f t="shared" ca="1" si="162"/>
        <v>43</v>
      </c>
      <c r="AF468" s="39" t="str">
        <f t="shared" si="163"/>
        <v>ALI</v>
      </c>
      <c r="AG468" s="39" t="str">
        <f t="shared" si="164"/>
        <v>ER-230310-0467</v>
      </c>
      <c r="AH468" s="39" t="str">
        <f>IF(AND(OR(Filter!$B$4="All",D468=Filter!$B$4),OR(Filter!$B$5="All",M468=Filter!$B$5),E468&gt;=Filter!$B$6),MAX(AH$1:AH467)+1,"")</f>
        <v/>
      </c>
      <c r="AI468" s="39">
        <f t="shared" si="165"/>
        <v>42</v>
      </c>
      <c r="AJ468" s="42">
        <f t="shared" si="166"/>
        <v>0.25</v>
      </c>
      <c r="AK468" s="41">
        <f t="shared" si="167"/>
        <v>4382.3500000000004</v>
      </c>
      <c r="AL468" s="39">
        <f>RANK(E468,$E$2:$E$1001,0)+COUNTIF($E$2:E468,E468)-1</f>
        <v>904</v>
      </c>
    </row>
    <row r="469" spans="1:38" x14ac:dyDescent="0.2">
      <c r="A469" s="39">
        <v>1052</v>
      </c>
      <c r="B469" s="40">
        <v>45238</v>
      </c>
      <c r="C469" s="39" t="s">
        <v>71</v>
      </c>
      <c r="D469" s="39" t="s">
        <v>59</v>
      </c>
      <c r="E469" s="41">
        <v>2072.7800000000002</v>
      </c>
      <c r="F469" s="39">
        <v>18</v>
      </c>
      <c r="G469" s="39" t="s">
        <v>75</v>
      </c>
      <c r="H469" s="41">
        <v>3271.62</v>
      </c>
      <c r="I469" s="41">
        <v>3722.38</v>
      </c>
      <c r="J469" s="39" t="s">
        <v>137</v>
      </c>
      <c r="K469" s="42">
        <v>0.19</v>
      </c>
      <c r="L469" s="39" t="s">
        <v>63</v>
      </c>
      <c r="M469" s="39" t="s">
        <v>140</v>
      </c>
      <c r="N469" s="39" t="s">
        <v>145</v>
      </c>
      <c r="O469" s="43">
        <f t="shared" si="147"/>
        <v>67002.84</v>
      </c>
      <c r="P469" s="43">
        <f t="shared" si="148"/>
        <v>54272.3</v>
      </c>
      <c r="Q469" s="43">
        <f t="shared" si="149"/>
        <v>58889.16</v>
      </c>
      <c r="R469" s="43">
        <f t="shared" si="150"/>
        <v>-4616.8600000000006</v>
      </c>
      <c r="S469" s="44">
        <f t="shared" si="151"/>
        <v>-8.5068441912356768E-2</v>
      </c>
      <c r="T469" s="39" t="str">
        <f t="shared" si="152"/>
        <v>Loss</v>
      </c>
      <c r="U469" s="39" t="str">
        <f t="shared" si="153"/>
        <v>10-19%</v>
      </c>
      <c r="V469" s="39" t="str">
        <f>IF(E469&gt;=Analysis!$B$4,"High",IF(E469&gt;=Analysis!$B$5,"Mid","Low"))</f>
        <v>Low</v>
      </c>
      <c r="W469" s="39" t="str">
        <f t="shared" si="154"/>
        <v>2023-11</v>
      </c>
      <c r="X469" s="40">
        <f t="shared" si="155"/>
        <v>45260</v>
      </c>
      <c r="Y469" s="39" t="str">
        <f t="shared" si="156"/>
        <v>2023-Q4</v>
      </c>
      <c r="Z469" s="39" t="str">
        <f t="shared" si="157"/>
        <v>Wed</v>
      </c>
      <c r="AA469" s="39">
        <f t="shared" si="158"/>
        <v>3</v>
      </c>
      <c r="AB469" s="39">
        <f t="shared" si="159"/>
        <v>46</v>
      </c>
      <c r="AC469" s="39" t="str">
        <f t="shared" si="160"/>
        <v>Weekday</v>
      </c>
      <c r="AD469" s="39">
        <f t="shared" ca="1" si="161"/>
        <v>1081</v>
      </c>
      <c r="AE469" s="39">
        <f t="shared" ca="1" si="162"/>
        <v>35</v>
      </c>
      <c r="AF469" s="39" t="str">
        <f t="shared" si="163"/>
        <v>CHA</v>
      </c>
      <c r="AG469" s="39" t="str">
        <f t="shared" si="164"/>
        <v>ER-231108-0468</v>
      </c>
      <c r="AH469" s="39" t="str">
        <f>IF(AND(OR(Filter!$B$4="All",D469=Filter!$B$4),OR(Filter!$B$5="All",M469=Filter!$B$5),E469&gt;=Filter!$B$6),MAX(AH$1:AH468)+1,"")</f>
        <v/>
      </c>
      <c r="AI469" s="39">
        <f t="shared" si="165"/>
        <v>18</v>
      </c>
      <c r="AJ469" s="42">
        <f t="shared" si="166"/>
        <v>0.19</v>
      </c>
      <c r="AK469" s="41">
        <f t="shared" si="167"/>
        <v>3722.38</v>
      </c>
      <c r="AL469" s="39">
        <f>RANK(E469,$E$2:$E$1001,0)+COUNTIF($E$2:E469,E469)-1</f>
        <v>807</v>
      </c>
    </row>
    <row r="470" spans="1:38" x14ac:dyDescent="0.2">
      <c r="A470" s="39">
        <v>1016</v>
      </c>
      <c r="B470" s="40">
        <v>45215</v>
      </c>
      <c r="C470" s="39" t="s">
        <v>79</v>
      </c>
      <c r="D470" s="39" t="s">
        <v>74</v>
      </c>
      <c r="E470" s="41">
        <v>8786.9500000000007</v>
      </c>
      <c r="F470" s="39">
        <v>11</v>
      </c>
      <c r="G470" s="39" t="s">
        <v>65</v>
      </c>
      <c r="H470" s="41">
        <v>3094.57</v>
      </c>
      <c r="I470" s="41">
        <v>3565.6</v>
      </c>
      <c r="J470" s="39" t="s">
        <v>137</v>
      </c>
      <c r="K470" s="42">
        <v>0.1</v>
      </c>
      <c r="L470" s="39" t="s">
        <v>73</v>
      </c>
      <c r="M470" s="39" t="s">
        <v>140</v>
      </c>
      <c r="N470" s="39" t="s">
        <v>149</v>
      </c>
      <c r="O470" s="43">
        <f t="shared" si="147"/>
        <v>39221.599999999999</v>
      </c>
      <c r="P470" s="43">
        <f t="shared" si="148"/>
        <v>35299.440000000002</v>
      </c>
      <c r="Q470" s="43">
        <f t="shared" si="149"/>
        <v>34040.269999999997</v>
      </c>
      <c r="R470" s="43">
        <f t="shared" si="150"/>
        <v>1259.1700000000055</v>
      </c>
      <c r="S470" s="44">
        <f t="shared" si="151"/>
        <v>3.5671104130830557E-2</v>
      </c>
      <c r="T470" s="39" t="str">
        <f t="shared" si="152"/>
        <v>OK</v>
      </c>
      <c r="U470" s="39" t="str">
        <f t="shared" si="153"/>
        <v>10-19%</v>
      </c>
      <c r="V470" s="39" t="str">
        <f>IF(E470&gt;=Analysis!$B$4,"High",IF(E470&gt;=Analysis!$B$5,"Mid","Low"))</f>
        <v>High</v>
      </c>
      <c r="W470" s="39" t="str">
        <f t="shared" si="154"/>
        <v>2023-10</v>
      </c>
      <c r="X470" s="40">
        <f t="shared" si="155"/>
        <v>45230</v>
      </c>
      <c r="Y470" s="39" t="str">
        <f t="shared" si="156"/>
        <v>2023-Q4</v>
      </c>
      <c r="Z470" s="39" t="str">
        <f t="shared" si="157"/>
        <v>Mon</v>
      </c>
      <c r="AA470" s="39">
        <f t="shared" si="158"/>
        <v>1</v>
      </c>
      <c r="AB470" s="39">
        <f t="shared" si="159"/>
        <v>43</v>
      </c>
      <c r="AC470" s="39" t="str">
        <f t="shared" si="160"/>
        <v>Weekday</v>
      </c>
      <c r="AD470" s="39">
        <f t="shared" ca="1" si="161"/>
        <v>1104</v>
      </c>
      <c r="AE470" s="39">
        <f t="shared" ca="1" si="162"/>
        <v>36</v>
      </c>
      <c r="AF470" s="39" t="str">
        <f t="shared" si="163"/>
        <v>EVE</v>
      </c>
      <c r="AG470" s="39" t="str">
        <f t="shared" si="164"/>
        <v>WR-231016-0469</v>
      </c>
      <c r="AH470" s="39" t="str">
        <f>IF(AND(OR(Filter!$B$4="All",D470=Filter!$B$4),OR(Filter!$B$5="All",M470=Filter!$B$5),E470&gt;=Filter!$B$6),MAX(AH$1:AH469)+1,"")</f>
        <v/>
      </c>
      <c r="AI470" s="39">
        <f t="shared" si="165"/>
        <v>11</v>
      </c>
      <c r="AJ470" s="42">
        <f t="shared" si="166"/>
        <v>0.1</v>
      </c>
      <c r="AK470" s="41">
        <f t="shared" si="167"/>
        <v>3565.6</v>
      </c>
      <c r="AL470" s="39">
        <f>RANK(E470,$E$2:$E$1001,0)+COUNTIF($E$2:E470,E470)-1</f>
        <v>113</v>
      </c>
    </row>
    <row r="471" spans="1:38" x14ac:dyDescent="0.2">
      <c r="A471" s="39">
        <v>1013</v>
      </c>
      <c r="B471" s="40">
        <v>45176</v>
      </c>
      <c r="C471" s="39" t="s">
        <v>61</v>
      </c>
      <c r="D471" s="39" t="s">
        <v>74</v>
      </c>
      <c r="E471" s="41">
        <v>7413.36</v>
      </c>
      <c r="F471" s="39">
        <v>16</v>
      </c>
      <c r="G471" s="39" t="s">
        <v>75</v>
      </c>
      <c r="H471" s="41">
        <v>919.58</v>
      </c>
      <c r="I471" s="41">
        <v>1258.3</v>
      </c>
      <c r="J471" s="39" t="s">
        <v>137</v>
      </c>
      <c r="K471" s="42">
        <v>0.14000000000000001</v>
      </c>
      <c r="L471" s="39" t="s">
        <v>63</v>
      </c>
      <c r="M471" s="39" t="s">
        <v>138</v>
      </c>
      <c r="N471" s="39" t="s">
        <v>158</v>
      </c>
      <c r="O471" s="43">
        <f t="shared" si="147"/>
        <v>20132.8</v>
      </c>
      <c r="P471" s="43">
        <f t="shared" si="148"/>
        <v>17314.21</v>
      </c>
      <c r="Q471" s="43">
        <f t="shared" si="149"/>
        <v>14713.28</v>
      </c>
      <c r="R471" s="43">
        <f t="shared" si="150"/>
        <v>2600.9299999999985</v>
      </c>
      <c r="S471" s="44">
        <f t="shared" si="151"/>
        <v>0.15021938627289369</v>
      </c>
      <c r="T471" s="39" t="str">
        <f t="shared" si="152"/>
        <v>OK</v>
      </c>
      <c r="U471" s="39" t="str">
        <f t="shared" si="153"/>
        <v>10-19%</v>
      </c>
      <c r="V471" s="39" t="str">
        <f>IF(E471&gt;=Analysis!$B$4,"High",IF(E471&gt;=Analysis!$B$5,"Mid","Low"))</f>
        <v>Mid</v>
      </c>
      <c r="W471" s="39" t="str">
        <f t="shared" si="154"/>
        <v>2023-09</v>
      </c>
      <c r="X471" s="40">
        <f t="shared" si="155"/>
        <v>45199</v>
      </c>
      <c r="Y471" s="39" t="str">
        <f t="shared" si="156"/>
        <v>2023-Q3</v>
      </c>
      <c r="Z471" s="39" t="str">
        <f t="shared" si="157"/>
        <v>Thu</v>
      </c>
      <c r="AA471" s="39">
        <f t="shared" si="158"/>
        <v>4</v>
      </c>
      <c r="AB471" s="39">
        <f t="shared" si="159"/>
        <v>37</v>
      </c>
      <c r="AC471" s="39" t="str">
        <f t="shared" si="160"/>
        <v>Weekday</v>
      </c>
      <c r="AD471" s="39">
        <f t="shared" ca="1" si="161"/>
        <v>1143</v>
      </c>
      <c r="AE471" s="39">
        <f t="shared" ca="1" si="162"/>
        <v>37</v>
      </c>
      <c r="AF471" s="39" t="str">
        <f t="shared" si="163"/>
        <v>ALI</v>
      </c>
      <c r="AG471" s="39" t="str">
        <f t="shared" si="164"/>
        <v>WO-230907-0470</v>
      </c>
      <c r="AH471" s="39" t="str">
        <f>IF(AND(OR(Filter!$B$4="All",D471=Filter!$B$4),OR(Filter!$B$5="All",M471=Filter!$B$5),E471&gt;=Filter!$B$6),MAX(AH$1:AH470)+1,"")</f>
        <v/>
      </c>
      <c r="AI471" s="39">
        <f t="shared" si="165"/>
        <v>16</v>
      </c>
      <c r="AJ471" s="42">
        <f t="shared" si="166"/>
        <v>0.14000000000000001</v>
      </c>
      <c r="AK471" s="41">
        <f t="shared" si="167"/>
        <v>1258.3</v>
      </c>
      <c r="AL471" s="39">
        <f>RANK(E471,$E$2:$E$1001,0)+COUNTIF($E$2:E471,E471)-1</f>
        <v>257</v>
      </c>
    </row>
    <row r="472" spans="1:38" x14ac:dyDescent="0.2">
      <c r="A472" s="39">
        <v>1030</v>
      </c>
      <c r="B472" s="40">
        <v>44962</v>
      </c>
      <c r="C472" s="39" t="s">
        <v>76</v>
      </c>
      <c r="D472" s="39" t="s">
        <v>59</v>
      </c>
      <c r="E472" s="41">
        <v>236.08</v>
      </c>
      <c r="F472" s="39">
        <v>49</v>
      </c>
      <c r="G472" s="39" t="s">
        <v>75</v>
      </c>
      <c r="H472" s="41">
        <v>2590.29</v>
      </c>
      <c r="I472" s="41">
        <v>2925.86</v>
      </c>
      <c r="J472" s="39" t="s">
        <v>137</v>
      </c>
      <c r="K472" s="42">
        <v>0.26</v>
      </c>
      <c r="L472" s="39" t="s">
        <v>68</v>
      </c>
      <c r="M472" s="39" t="s">
        <v>140</v>
      </c>
      <c r="N472" s="39" t="s">
        <v>157</v>
      </c>
      <c r="O472" s="43">
        <f t="shared" si="147"/>
        <v>143367.14000000001</v>
      </c>
      <c r="P472" s="43">
        <f t="shared" si="148"/>
        <v>106091.68</v>
      </c>
      <c r="Q472" s="43">
        <f t="shared" si="149"/>
        <v>126924.21</v>
      </c>
      <c r="R472" s="43">
        <f t="shared" si="150"/>
        <v>-20832.530000000013</v>
      </c>
      <c r="S472" s="44">
        <f t="shared" si="151"/>
        <v>-0.19636346601354615</v>
      </c>
      <c r="T472" s="39" t="str">
        <f t="shared" si="152"/>
        <v>Loss</v>
      </c>
      <c r="U472" s="39" t="str">
        <f t="shared" si="153"/>
        <v>20%+</v>
      </c>
      <c r="V472" s="39" t="str">
        <f>IF(E472&gt;=Analysis!$B$4,"High",IF(E472&gt;=Analysis!$B$5,"Mid","Low"))</f>
        <v>Low</v>
      </c>
      <c r="W472" s="39" t="str">
        <f t="shared" si="154"/>
        <v>2023-02</v>
      </c>
      <c r="X472" s="40">
        <f t="shared" si="155"/>
        <v>44985</v>
      </c>
      <c r="Y472" s="39" t="str">
        <f t="shared" si="156"/>
        <v>2023-Q1</v>
      </c>
      <c r="Z472" s="39" t="str">
        <f t="shared" si="157"/>
        <v>Sun</v>
      </c>
      <c r="AA472" s="39">
        <f t="shared" si="158"/>
        <v>7</v>
      </c>
      <c r="AB472" s="39">
        <f t="shared" si="159"/>
        <v>6</v>
      </c>
      <c r="AC472" s="39" t="str">
        <f t="shared" si="160"/>
        <v>Weekend</v>
      </c>
      <c r="AD472" s="39">
        <f t="shared" ca="1" si="161"/>
        <v>1357</v>
      </c>
      <c r="AE472" s="39">
        <f t="shared" ca="1" si="162"/>
        <v>44</v>
      </c>
      <c r="AF472" s="39" t="str">
        <f t="shared" si="163"/>
        <v>DAV</v>
      </c>
      <c r="AG472" s="39" t="str">
        <f t="shared" si="164"/>
        <v>ER-230205-0471</v>
      </c>
      <c r="AH472" s="39" t="str">
        <f>IF(AND(OR(Filter!$B$4="All",D472=Filter!$B$4),OR(Filter!$B$5="All",M472=Filter!$B$5),E472&gt;=Filter!$B$6),MAX(AH$1:AH471)+1,"")</f>
        <v/>
      </c>
      <c r="AI472" s="39">
        <f t="shared" si="165"/>
        <v>49</v>
      </c>
      <c r="AJ472" s="42">
        <f t="shared" si="166"/>
        <v>0.26</v>
      </c>
      <c r="AK472" s="41">
        <f t="shared" si="167"/>
        <v>2925.86</v>
      </c>
      <c r="AL472" s="39">
        <f>RANK(E472,$E$2:$E$1001,0)+COUNTIF($E$2:E472,E472)-1</f>
        <v>984</v>
      </c>
    </row>
    <row r="473" spans="1:38" x14ac:dyDescent="0.2">
      <c r="A473" s="39">
        <v>1019</v>
      </c>
      <c r="B473" s="40">
        <v>45165</v>
      </c>
      <c r="C473" s="39" t="s">
        <v>71</v>
      </c>
      <c r="D473" s="39" t="s">
        <v>64</v>
      </c>
      <c r="E473" s="41">
        <v>2558.92</v>
      </c>
      <c r="F473" s="39">
        <v>18</v>
      </c>
      <c r="G473" s="39" t="s">
        <v>70</v>
      </c>
      <c r="H473" s="41">
        <v>3591.14</v>
      </c>
      <c r="I473" s="41">
        <v>3822.99</v>
      </c>
      <c r="J473" s="39" t="s">
        <v>137</v>
      </c>
      <c r="K473" s="42">
        <v>0.09</v>
      </c>
      <c r="L473" s="39" t="s">
        <v>73</v>
      </c>
      <c r="M473" s="39" t="s">
        <v>138</v>
      </c>
      <c r="N473" s="39" t="s">
        <v>160</v>
      </c>
      <c r="O473" s="43">
        <f t="shared" si="147"/>
        <v>68813.820000000007</v>
      </c>
      <c r="P473" s="43">
        <f t="shared" si="148"/>
        <v>62620.58</v>
      </c>
      <c r="Q473" s="43">
        <f t="shared" si="149"/>
        <v>64640.52</v>
      </c>
      <c r="R473" s="43">
        <f t="shared" si="150"/>
        <v>-2019.9399999999951</v>
      </c>
      <c r="S473" s="44">
        <f t="shared" si="151"/>
        <v>-3.22568075862599E-2</v>
      </c>
      <c r="T473" s="39" t="str">
        <f t="shared" si="152"/>
        <v>Loss</v>
      </c>
      <c r="U473" s="39" t="str">
        <f t="shared" si="153"/>
        <v>0-9%</v>
      </c>
      <c r="V473" s="39" t="str">
        <f>IF(E473&gt;=Analysis!$B$4,"High",IF(E473&gt;=Analysis!$B$5,"Mid","Low"))</f>
        <v>Mid</v>
      </c>
      <c r="W473" s="39" t="str">
        <f t="shared" si="154"/>
        <v>2023-08</v>
      </c>
      <c r="X473" s="40">
        <f t="shared" si="155"/>
        <v>45169</v>
      </c>
      <c r="Y473" s="39" t="str">
        <f t="shared" si="156"/>
        <v>2023-Q3</v>
      </c>
      <c r="Z473" s="39" t="str">
        <f t="shared" si="157"/>
        <v>Sun</v>
      </c>
      <c r="AA473" s="39">
        <f t="shared" si="158"/>
        <v>7</v>
      </c>
      <c r="AB473" s="39">
        <f t="shared" si="159"/>
        <v>35</v>
      </c>
      <c r="AC473" s="39" t="str">
        <f t="shared" si="160"/>
        <v>Weekend</v>
      </c>
      <c r="AD473" s="39">
        <f t="shared" ca="1" si="161"/>
        <v>1154</v>
      </c>
      <c r="AE473" s="39">
        <f t="shared" ca="1" si="162"/>
        <v>37</v>
      </c>
      <c r="AF473" s="39" t="str">
        <f t="shared" si="163"/>
        <v>CHA</v>
      </c>
      <c r="AG473" s="39" t="str">
        <f t="shared" si="164"/>
        <v>NO-230827-0472</v>
      </c>
      <c r="AH473" s="39" t="str">
        <f>IF(AND(OR(Filter!$B$4="All",D473=Filter!$B$4),OR(Filter!$B$5="All",M473=Filter!$B$5),E473&gt;=Filter!$B$6),MAX(AH$1:AH472)+1,"")</f>
        <v/>
      </c>
      <c r="AI473" s="39">
        <f t="shared" si="165"/>
        <v>18</v>
      </c>
      <c r="AJ473" s="42">
        <f t="shared" si="166"/>
        <v>0.09</v>
      </c>
      <c r="AK473" s="41">
        <f t="shared" si="167"/>
        <v>3822.99</v>
      </c>
      <c r="AL473" s="39">
        <f>RANK(E473,$E$2:$E$1001,0)+COUNTIF($E$2:E473,E473)-1</f>
        <v>749</v>
      </c>
    </row>
    <row r="474" spans="1:38" x14ac:dyDescent="0.2">
      <c r="A474" s="39">
        <v>1017</v>
      </c>
      <c r="B474" s="40">
        <v>45074</v>
      </c>
      <c r="C474" s="39" t="s">
        <v>76</v>
      </c>
      <c r="D474" s="39" t="s">
        <v>59</v>
      </c>
      <c r="E474" s="41">
        <v>2222.62</v>
      </c>
      <c r="F474" s="39">
        <v>35</v>
      </c>
      <c r="G474" s="39" t="s">
        <v>65</v>
      </c>
      <c r="H474" s="41">
        <v>4867.6400000000003</v>
      </c>
      <c r="I474" s="41">
        <v>5287.05</v>
      </c>
      <c r="J474" s="39" t="s">
        <v>137</v>
      </c>
      <c r="K474" s="42">
        <v>0.28000000000000003</v>
      </c>
      <c r="L474" s="39" t="s">
        <v>73</v>
      </c>
      <c r="M474" s="39" t="s">
        <v>138</v>
      </c>
      <c r="N474" s="39" t="s">
        <v>157</v>
      </c>
      <c r="O474" s="43">
        <f t="shared" si="147"/>
        <v>185046.75</v>
      </c>
      <c r="P474" s="43">
        <f t="shared" si="148"/>
        <v>133233.66</v>
      </c>
      <c r="Q474" s="43">
        <f t="shared" si="149"/>
        <v>170367.4</v>
      </c>
      <c r="R474" s="43">
        <f t="shared" si="150"/>
        <v>-37133.739999999991</v>
      </c>
      <c r="S474" s="44">
        <f t="shared" si="151"/>
        <v>-0.27871140070759887</v>
      </c>
      <c r="T474" s="39" t="str">
        <f t="shared" si="152"/>
        <v>Loss</v>
      </c>
      <c r="U474" s="39" t="str">
        <f t="shared" si="153"/>
        <v>20%+</v>
      </c>
      <c r="V474" s="39" t="str">
        <f>IF(E474&gt;=Analysis!$B$4,"High",IF(E474&gt;=Analysis!$B$5,"Mid","Low"))</f>
        <v>Low</v>
      </c>
      <c r="W474" s="39" t="str">
        <f t="shared" si="154"/>
        <v>2023-05</v>
      </c>
      <c r="X474" s="40">
        <f t="shared" si="155"/>
        <v>45077</v>
      </c>
      <c r="Y474" s="39" t="str">
        <f t="shared" si="156"/>
        <v>2023-Q2</v>
      </c>
      <c r="Z474" s="39" t="str">
        <f t="shared" si="157"/>
        <v>Sun</v>
      </c>
      <c r="AA474" s="39">
        <f t="shared" si="158"/>
        <v>7</v>
      </c>
      <c r="AB474" s="39">
        <f t="shared" si="159"/>
        <v>22</v>
      </c>
      <c r="AC474" s="39" t="str">
        <f t="shared" si="160"/>
        <v>Weekend</v>
      </c>
      <c r="AD474" s="39">
        <f t="shared" ca="1" si="161"/>
        <v>1245</v>
      </c>
      <c r="AE474" s="39">
        <f t="shared" ca="1" si="162"/>
        <v>40</v>
      </c>
      <c r="AF474" s="39" t="str">
        <f t="shared" si="163"/>
        <v>DAV</v>
      </c>
      <c r="AG474" s="39" t="str">
        <f t="shared" si="164"/>
        <v>EO-230528-0473</v>
      </c>
      <c r="AH474" s="39" t="str">
        <f>IF(AND(OR(Filter!$B$4="All",D474=Filter!$B$4),OR(Filter!$B$5="All",M474=Filter!$B$5),E474&gt;=Filter!$B$6),MAX(AH$1:AH473)+1,"")</f>
        <v/>
      </c>
      <c r="AI474" s="39">
        <f t="shared" si="165"/>
        <v>35</v>
      </c>
      <c r="AJ474" s="42">
        <f t="shared" si="166"/>
        <v>0.28000000000000003</v>
      </c>
      <c r="AK474" s="41">
        <f t="shared" si="167"/>
        <v>5287.05</v>
      </c>
      <c r="AL474" s="39">
        <f>RANK(E474,$E$2:$E$1001,0)+COUNTIF($E$2:E474,E474)-1</f>
        <v>789</v>
      </c>
    </row>
    <row r="475" spans="1:38" x14ac:dyDescent="0.2">
      <c r="A475" s="39">
        <v>1063</v>
      </c>
      <c r="B475" s="40">
        <v>45153</v>
      </c>
      <c r="C475" s="39" t="s">
        <v>61</v>
      </c>
      <c r="D475" s="39" t="s">
        <v>59</v>
      </c>
      <c r="E475" s="41">
        <v>2780.98</v>
      </c>
      <c r="F475" s="39">
        <v>26</v>
      </c>
      <c r="G475" s="39" t="s">
        <v>70</v>
      </c>
      <c r="H475" s="41">
        <v>1046.96</v>
      </c>
      <c r="I475" s="41">
        <v>1528.15</v>
      </c>
      <c r="J475" s="39" t="s">
        <v>143</v>
      </c>
      <c r="K475" s="42">
        <v>7.0000000000000007E-2</v>
      </c>
      <c r="L475" s="39" t="s">
        <v>73</v>
      </c>
      <c r="M475" s="39" t="s">
        <v>140</v>
      </c>
      <c r="N475" s="39" t="s">
        <v>159</v>
      </c>
      <c r="O475" s="43">
        <f t="shared" si="147"/>
        <v>39731.9</v>
      </c>
      <c r="P475" s="43">
        <f t="shared" si="148"/>
        <v>36950.67</v>
      </c>
      <c r="Q475" s="43">
        <f t="shared" si="149"/>
        <v>27220.959999999999</v>
      </c>
      <c r="R475" s="43">
        <f t="shared" si="150"/>
        <v>9729.7099999999991</v>
      </c>
      <c r="S475" s="44">
        <f t="shared" si="151"/>
        <v>0.2633161996791939</v>
      </c>
      <c r="T475" s="39" t="str">
        <f t="shared" si="152"/>
        <v>OK</v>
      </c>
      <c r="U475" s="39" t="str">
        <f t="shared" si="153"/>
        <v>0-9%</v>
      </c>
      <c r="V475" s="39" t="str">
        <f>IF(E475&gt;=Analysis!$B$4,"High",IF(E475&gt;=Analysis!$B$5,"Mid","Low"))</f>
        <v>Mid</v>
      </c>
      <c r="W475" s="39" t="str">
        <f t="shared" si="154"/>
        <v>2023-08</v>
      </c>
      <c r="X475" s="40">
        <f t="shared" si="155"/>
        <v>45169</v>
      </c>
      <c r="Y475" s="39" t="str">
        <f t="shared" si="156"/>
        <v>2023-Q3</v>
      </c>
      <c r="Z475" s="39" t="str">
        <f t="shared" si="157"/>
        <v>Tue</v>
      </c>
      <c r="AA475" s="39">
        <f t="shared" si="158"/>
        <v>2</v>
      </c>
      <c r="AB475" s="39">
        <f t="shared" si="159"/>
        <v>34</v>
      </c>
      <c r="AC475" s="39" t="str">
        <f t="shared" si="160"/>
        <v>Weekday</v>
      </c>
      <c r="AD475" s="39">
        <f t="shared" ca="1" si="161"/>
        <v>1166</v>
      </c>
      <c r="AE475" s="39">
        <f t="shared" ca="1" si="162"/>
        <v>38</v>
      </c>
      <c r="AF475" s="39" t="str">
        <f t="shared" si="163"/>
        <v>ALI</v>
      </c>
      <c r="AG475" s="39" t="str">
        <f t="shared" si="164"/>
        <v>ER-230815-0474</v>
      </c>
      <c r="AH475" s="39" t="str">
        <f>IF(AND(OR(Filter!$B$4="All",D475=Filter!$B$4),OR(Filter!$B$5="All",M475=Filter!$B$5),E475&gt;=Filter!$B$6),MAX(AH$1:AH474)+1,"")</f>
        <v/>
      </c>
      <c r="AI475" s="39">
        <f t="shared" si="165"/>
        <v>26</v>
      </c>
      <c r="AJ475" s="42">
        <f t="shared" si="166"/>
        <v>7.0000000000000007E-2</v>
      </c>
      <c r="AK475" s="41">
        <f t="shared" si="167"/>
        <v>1528.15</v>
      </c>
      <c r="AL475" s="39">
        <f>RANK(E475,$E$2:$E$1001,0)+COUNTIF($E$2:E475,E475)-1</f>
        <v>721</v>
      </c>
    </row>
    <row r="476" spans="1:38" x14ac:dyDescent="0.2">
      <c r="A476" s="39">
        <v>1019</v>
      </c>
      <c r="B476" s="40">
        <v>45170</v>
      </c>
      <c r="C476" s="39" t="s">
        <v>76</v>
      </c>
      <c r="D476" s="39" t="s">
        <v>74</v>
      </c>
      <c r="E476" s="41">
        <v>2550.84</v>
      </c>
      <c r="F476" s="39">
        <v>16</v>
      </c>
      <c r="G476" s="39" t="s">
        <v>60</v>
      </c>
      <c r="H476" s="41">
        <v>97.24</v>
      </c>
      <c r="I476" s="41">
        <v>487.03</v>
      </c>
      <c r="J476" s="39" t="s">
        <v>143</v>
      </c>
      <c r="K476" s="42">
        <v>0.22</v>
      </c>
      <c r="L476" s="39" t="s">
        <v>63</v>
      </c>
      <c r="M476" s="39" t="s">
        <v>140</v>
      </c>
      <c r="N476" s="39" t="s">
        <v>154</v>
      </c>
      <c r="O476" s="43">
        <f t="shared" si="147"/>
        <v>7792.48</v>
      </c>
      <c r="P476" s="43">
        <f t="shared" si="148"/>
        <v>6078.13</v>
      </c>
      <c r="Q476" s="43">
        <f t="shared" si="149"/>
        <v>1555.84</v>
      </c>
      <c r="R476" s="43">
        <f t="shared" si="150"/>
        <v>4522.29</v>
      </c>
      <c r="S476" s="44">
        <f t="shared" si="151"/>
        <v>0.74402653447688682</v>
      </c>
      <c r="T476" s="39" t="str">
        <f t="shared" si="152"/>
        <v>OK</v>
      </c>
      <c r="U476" s="39" t="str">
        <f t="shared" si="153"/>
        <v>20%+</v>
      </c>
      <c r="V476" s="39" t="str">
        <f>IF(E476&gt;=Analysis!$B$4,"High",IF(E476&gt;=Analysis!$B$5,"Mid","Low"))</f>
        <v>Mid</v>
      </c>
      <c r="W476" s="39" t="str">
        <f t="shared" si="154"/>
        <v>2023-09</v>
      </c>
      <c r="X476" s="40">
        <f t="shared" si="155"/>
        <v>45199</v>
      </c>
      <c r="Y476" s="39" t="str">
        <f t="shared" si="156"/>
        <v>2023-Q3</v>
      </c>
      <c r="Z476" s="39" t="str">
        <f t="shared" si="157"/>
        <v>Fri</v>
      </c>
      <c r="AA476" s="39">
        <f t="shared" si="158"/>
        <v>5</v>
      </c>
      <c r="AB476" s="39">
        <f t="shared" si="159"/>
        <v>36</v>
      </c>
      <c r="AC476" s="39" t="str">
        <f t="shared" si="160"/>
        <v>Weekday</v>
      </c>
      <c r="AD476" s="39">
        <f t="shared" ca="1" si="161"/>
        <v>1149</v>
      </c>
      <c r="AE476" s="39">
        <f t="shared" ca="1" si="162"/>
        <v>37</v>
      </c>
      <c r="AF476" s="39" t="str">
        <f t="shared" si="163"/>
        <v>DAV</v>
      </c>
      <c r="AG476" s="39" t="str">
        <f t="shared" si="164"/>
        <v>WR-230901-0475</v>
      </c>
      <c r="AH476" s="39" t="str">
        <f>IF(AND(OR(Filter!$B$4="All",D476=Filter!$B$4),OR(Filter!$B$5="All",M476=Filter!$B$5),E476&gt;=Filter!$B$6),MAX(AH$1:AH475)+1,"")</f>
        <v/>
      </c>
      <c r="AI476" s="39">
        <f t="shared" si="165"/>
        <v>16</v>
      </c>
      <c r="AJ476" s="42">
        <f t="shared" si="166"/>
        <v>0.22</v>
      </c>
      <c r="AK476" s="41">
        <f t="shared" si="167"/>
        <v>487.03</v>
      </c>
      <c r="AL476" s="39">
        <f>RANK(E476,$E$2:$E$1001,0)+COUNTIF($E$2:E476,E476)-1</f>
        <v>750</v>
      </c>
    </row>
    <row r="477" spans="1:38" x14ac:dyDescent="0.2">
      <c r="A477" s="39">
        <v>1092</v>
      </c>
      <c r="B477" s="40">
        <v>45263</v>
      </c>
      <c r="C477" s="39" t="s">
        <v>76</v>
      </c>
      <c r="D477" s="39" t="s">
        <v>59</v>
      </c>
      <c r="E477" s="41">
        <v>719.01</v>
      </c>
      <c r="F477" s="39">
        <v>6</v>
      </c>
      <c r="G477" s="39" t="s">
        <v>60</v>
      </c>
      <c r="H477" s="41">
        <v>422.74</v>
      </c>
      <c r="I477" s="41">
        <v>737.49</v>
      </c>
      <c r="J477" s="39" t="s">
        <v>137</v>
      </c>
      <c r="K477" s="42">
        <v>0.19</v>
      </c>
      <c r="L477" s="39" t="s">
        <v>73</v>
      </c>
      <c r="M477" s="39" t="s">
        <v>140</v>
      </c>
      <c r="N477" s="39" t="s">
        <v>157</v>
      </c>
      <c r="O477" s="43">
        <f t="shared" si="147"/>
        <v>4424.9399999999996</v>
      </c>
      <c r="P477" s="43">
        <f t="shared" si="148"/>
        <v>3584.2</v>
      </c>
      <c r="Q477" s="43">
        <f t="shared" si="149"/>
        <v>2536.44</v>
      </c>
      <c r="R477" s="43">
        <f t="shared" si="150"/>
        <v>1047.7599999999998</v>
      </c>
      <c r="S477" s="44">
        <f t="shared" si="151"/>
        <v>0.29232743708498404</v>
      </c>
      <c r="T477" s="39" t="str">
        <f t="shared" si="152"/>
        <v>OK</v>
      </c>
      <c r="U477" s="39" t="str">
        <f t="shared" si="153"/>
        <v>10-19%</v>
      </c>
      <c r="V477" s="39" t="str">
        <f>IF(E477&gt;=Analysis!$B$4,"High",IF(E477&gt;=Analysis!$B$5,"Mid","Low"))</f>
        <v>Low</v>
      </c>
      <c r="W477" s="39" t="str">
        <f t="shared" si="154"/>
        <v>2023-12</v>
      </c>
      <c r="X477" s="40">
        <f t="shared" si="155"/>
        <v>45291</v>
      </c>
      <c r="Y477" s="39" t="str">
        <f t="shared" si="156"/>
        <v>2023-Q4</v>
      </c>
      <c r="Z477" s="39" t="str">
        <f t="shared" si="157"/>
        <v>Sun</v>
      </c>
      <c r="AA477" s="39">
        <f t="shared" si="158"/>
        <v>7</v>
      </c>
      <c r="AB477" s="39">
        <f t="shared" si="159"/>
        <v>49</v>
      </c>
      <c r="AC477" s="39" t="str">
        <f t="shared" si="160"/>
        <v>Weekend</v>
      </c>
      <c r="AD477" s="39">
        <f t="shared" ca="1" si="161"/>
        <v>1056</v>
      </c>
      <c r="AE477" s="39">
        <f t="shared" ca="1" si="162"/>
        <v>34</v>
      </c>
      <c r="AF477" s="39" t="str">
        <f t="shared" si="163"/>
        <v>DAV</v>
      </c>
      <c r="AG477" s="39" t="str">
        <f t="shared" si="164"/>
        <v>ER-231203-0476</v>
      </c>
      <c r="AH477" s="39" t="str">
        <f>IF(AND(OR(Filter!$B$4="All",D477=Filter!$B$4),OR(Filter!$B$5="All",M477=Filter!$B$5),E477&gt;=Filter!$B$6),MAX(AH$1:AH476)+1,"")</f>
        <v/>
      </c>
      <c r="AI477" s="39">
        <f t="shared" si="165"/>
        <v>6</v>
      </c>
      <c r="AJ477" s="42">
        <f t="shared" si="166"/>
        <v>0.19</v>
      </c>
      <c r="AK477" s="41">
        <f t="shared" si="167"/>
        <v>737.49</v>
      </c>
      <c r="AL477" s="39">
        <f>RANK(E477,$E$2:$E$1001,0)+COUNTIF($E$2:E477,E477)-1</f>
        <v>939</v>
      </c>
    </row>
    <row r="478" spans="1:38" x14ac:dyDescent="0.2">
      <c r="A478" s="39">
        <v>1058</v>
      </c>
      <c r="B478" s="40">
        <v>45291</v>
      </c>
      <c r="C478" s="39" t="s">
        <v>61</v>
      </c>
      <c r="D478" s="39" t="s">
        <v>74</v>
      </c>
      <c r="E478" s="41">
        <v>4643.51</v>
      </c>
      <c r="F478" s="39">
        <v>44</v>
      </c>
      <c r="G478" s="39" t="s">
        <v>60</v>
      </c>
      <c r="H478" s="41">
        <v>1910.47</v>
      </c>
      <c r="I478" s="41">
        <v>2217.8000000000002</v>
      </c>
      <c r="J478" s="39" t="s">
        <v>143</v>
      </c>
      <c r="K478" s="42">
        <v>0.22</v>
      </c>
      <c r="L478" s="39" t="s">
        <v>63</v>
      </c>
      <c r="M478" s="39" t="s">
        <v>138</v>
      </c>
      <c r="N478" s="39" t="s">
        <v>158</v>
      </c>
      <c r="O478" s="43">
        <f t="shared" si="147"/>
        <v>97583.2</v>
      </c>
      <c r="P478" s="43">
        <f t="shared" si="148"/>
        <v>76114.899999999994</v>
      </c>
      <c r="Q478" s="43">
        <f t="shared" si="149"/>
        <v>84060.68</v>
      </c>
      <c r="R478" s="43">
        <f t="shared" si="150"/>
        <v>-7945.7799999999988</v>
      </c>
      <c r="S478" s="44">
        <f t="shared" si="151"/>
        <v>-0.10439191275295638</v>
      </c>
      <c r="T478" s="39" t="str">
        <f t="shared" si="152"/>
        <v>Loss</v>
      </c>
      <c r="U478" s="39" t="str">
        <f t="shared" si="153"/>
        <v>20%+</v>
      </c>
      <c r="V478" s="39" t="str">
        <f>IF(E478&gt;=Analysis!$B$4,"High",IF(E478&gt;=Analysis!$B$5,"Mid","Low"))</f>
        <v>Mid</v>
      </c>
      <c r="W478" s="39" t="str">
        <f t="shared" si="154"/>
        <v>2023-12</v>
      </c>
      <c r="X478" s="40">
        <f t="shared" si="155"/>
        <v>45291</v>
      </c>
      <c r="Y478" s="39" t="str">
        <f t="shared" si="156"/>
        <v>2023-Q4</v>
      </c>
      <c r="Z478" s="39" t="str">
        <f t="shared" si="157"/>
        <v>Sun</v>
      </c>
      <c r="AA478" s="39">
        <f t="shared" si="158"/>
        <v>7</v>
      </c>
      <c r="AB478" s="39">
        <f t="shared" si="159"/>
        <v>53</v>
      </c>
      <c r="AC478" s="39" t="str">
        <f t="shared" si="160"/>
        <v>Weekend</v>
      </c>
      <c r="AD478" s="39">
        <f t="shared" ca="1" si="161"/>
        <v>1028</v>
      </c>
      <c r="AE478" s="39">
        <f t="shared" ca="1" si="162"/>
        <v>33</v>
      </c>
      <c r="AF478" s="39" t="str">
        <f t="shared" si="163"/>
        <v>ALI</v>
      </c>
      <c r="AG478" s="39" t="str">
        <f t="shared" si="164"/>
        <v>WO-231231-0477</v>
      </c>
      <c r="AH478" s="39" t="str">
        <f>IF(AND(OR(Filter!$B$4="All",D478=Filter!$B$4),OR(Filter!$B$5="All",M478=Filter!$B$5),E478&gt;=Filter!$B$6),MAX(AH$1:AH477)+1,"")</f>
        <v/>
      </c>
      <c r="AI478" s="39">
        <f t="shared" si="165"/>
        <v>44</v>
      </c>
      <c r="AJ478" s="42">
        <f t="shared" si="166"/>
        <v>0.22</v>
      </c>
      <c r="AK478" s="41">
        <f t="shared" si="167"/>
        <v>2217.8000000000002</v>
      </c>
      <c r="AL478" s="39">
        <f>RANK(E478,$E$2:$E$1001,0)+COUNTIF($E$2:E478,E478)-1</f>
        <v>535</v>
      </c>
    </row>
    <row r="479" spans="1:38" x14ac:dyDescent="0.2">
      <c r="A479" s="39">
        <v>1055</v>
      </c>
      <c r="B479" s="40">
        <v>45127</v>
      </c>
      <c r="C479" s="39" t="s">
        <v>79</v>
      </c>
      <c r="D479" s="39" t="s">
        <v>74</v>
      </c>
      <c r="E479" s="41">
        <v>7354.06</v>
      </c>
      <c r="F479" s="39">
        <v>43</v>
      </c>
      <c r="G479" s="39" t="s">
        <v>75</v>
      </c>
      <c r="H479" s="41">
        <v>4111.7</v>
      </c>
      <c r="I479" s="41">
        <v>4537.9399999999996</v>
      </c>
      <c r="J479" s="39" t="s">
        <v>137</v>
      </c>
      <c r="K479" s="42">
        <v>0.13</v>
      </c>
      <c r="L479" s="39" t="s">
        <v>63</v>
      </c>
      <c r="M479" s="39" t="s">
        <v>138</v>
      </c>
      <c r="N479" s="39" t="s">
        <v>149</v>
      </c>
      <c r="O479" s="43">
        <f t="shared" si="147"/>
        <v>195131.42</v>
      </c>
      <c r="P479" s="43">
        <f t="shared" si="148"/>
        <v>169764.34</v>
      </c>
      <c r="Q479" s="43">
        <f t="shared" si="149"/>
        <v>176803.1</v>
      </c>
      <c r="R479" s="43">
        <f t="shared" si="150"/>
        <v>-7038.7600000000093</v>
      </c>
      <c r="S479" s="44">
        <f t="shared" si="151"/>
        <v>-4.1461946601977835E-2</v>
      </c>
      <c r="T479" s="39" t="str">
        <f t="shared" si="152"/>
        <v>Loss</v>
      </c>
      <c r="U479" s="39" t="str">
        <f t="shared" si="153"/>
        <v>10-19%</v>
      </c>
      <c r="V479" s="39" t="str">
        <f>IF(E479&gt;=Analysis!$B$4,"High",IF(E479&gt;=Analysis!$B$5,"Mid","Low"))</f>
        <v>Mid</v>
      </c>
      <c r="W479" s="39" t="str">
        <f t="shared" si="154"/>
        <v>2023-07</v>
      </c>
      <c r="X479" s="40">
        <f t="shared" si="155"/>
        <v>45138</v>
      </c>
      <c r="Y479" s="39" t="str">
        <f t="shared" si="156"/>
        <v>2023-Q3</v>
      </c>
      <c r="Z479" s="39" t="str">
        <f t="shared" si="157"/>
        <v>Thu</v>
      </c>
      <c r="AA479" s="39">
        <f t="shared" si="158"/>
        <v>4</v>
      </c>
      <c r="AB479" s="39">
        <f t="shared" si="159"/>
        <v>30</v>
      </c>
      <c r="AC479" s="39" t="str">
        <f t="shared" si="160"/>
        <v>Weekday</v>
      </c>
      <c r="AD479" s="39">
        <f t="shared" ca="1" si="161"/>
        <v>1192</v>
      </c>
      <c r="AE479" s="39">
        <f t="shared" ca="1" si="162"/>
        <v>39</v>
      </c>
      <c r="AF479" s="39" t="str">
        <f t="shared" si="163"/>
        <v>EVE</v>
      </c>
      <c r="AG479" s="39" t="str">
        <f t="shared" si="164"/>
        <v>WO-230720-0478</v>
      </c>
      <c r="AH479" s="39" t="str">
        <f>IF(AND(OR(Filter!$B$4="All",D479=Filter!$B$4),OR(Filter!$B$5="All",M479=Filter!$B$5),E479&gt;=Filter!$B$6),MAX(AH$1:AH478)+1,"")</f>
        <v/>
      </c>
      <c r="AI479" s="39">
        <f t="shared" si="165"/>
        <v>43</v>
      </c>
      <c r="AJ479" s="42">
        <f t="shared" si="166"/>
        <v>0.13</v>
      </c>
      <c r="AK479" s="41">
        <f t="shared" si="167"/>
        <v>4537.9399999999996</v>
      </c>
      <c r="AL479" s="39">
        <f>RANK(E479,$E$2:$E$1001,0)+COUNTIF($E$2:E479,E479)-1</f>
        <v>264</v>
      </c>
    </row>
    <row r="480" spans="1:38" x14ac:dyDescent="0.2">
      <c r="A480" s="39">
        <v>1090</v>
      </c>
      <c r="B480" s="40">
        <v>45080</v>
      </c>
      <c r="C480" s="39" t="s">
        <v>76</v>
      </c>
      <c r="D480" s="39" t="s">
        <v>69</v>
      </c>
      <c r="E480" s="41">
        <v>6106.64</v>
      </c>
      <c r="F480" s="39">
        <v>47</v>
      </c>
      <c r="G480" s="39" t="s">
        <v>75</v>
      </c>
      <c r="H480" s="41">
        <v>85.35</v>
      </c>
      <c r="I480" s="41">
        <v>360.54</v>
      </c>
      <c r="J480" s="39" t="s">
        <v>143</v>
      </c>
      <c r="K480" s="42">
        <v>0.28000000000000003</v>
      </c>
      <c r="L480" s="39" t="s">
        <v>68</v>
      </c>
      <c r="M480" s="39" t="s">
        <v>138</v>
      </c>
      <c r="N480" s="39" t="s">
        <v>142</v>
      </c>
      <c r="O480" s="43">
        <f t="shared" si="147"/>
        <v>16945.38</v>
      </c>
      <c r="P480" s="43">
        <f t="shared" si="148"/>
        <v>12200.67</v>
      </c>
      <c r="Q480" s="43">
        <f t="shared" si="149"/>
        <v>4011.45</v>
      </c>
      <c r="R480" s="43">
        <f t="shared" si="150"/>
        <v>8189.22</v>
      </c>
      <c r="S480" s="44">
        <f t="shared" si="151"/>
        <v>0.67121067941350765</v>
      </c>
      <c r="T480" s="39" t="str">
        <f t="shared" si="152"/>
        <v>OK</v>
      </c>
      <c r="U480" s="39" t="str">
        <f t="shared" si="153"/>
        <v>20%+</v>
      </c>
      <c r="V480" s="39" t="str">
        <f>IF(E480&gt;=Analysis!$B$4,"High",IF(E480&gt;=Analysis!$B$5,"Mid","Low"))</f>
        <v>Mid</v>
      </c>
      <c r="W480" s="39" t="str">
        <f t="shared" si="154"/>
        <v>2023-06</v>
      </c>
      <c r="X480" s="40">
        <f t="shared" si="155"/>
        <v>45107</v>
      </c>
      <c r="Y480" s="39" t="str">
        <f t="shared" si="156"/>
        <v>2023-Q2</v>
      </c>
      <c r="Z480" s="39" t="str">
        <f t="shared" si="157"/>
        <v>Sat</v>
      </c>
      <c r="AA480" s="39">
        <f t="shared" si="158"/>
        <v>6</v>
      </c>
      <c r="AB480" s="39">
        <f t="shared" si="159"/>
        <v>23</v>
      </c>
      <c r="AC480" s="39" t="str">
        <f t="shared" si="160"/>
        <v>Weekend</v>
      </c>
      <c r="AD480" s="39">
        <f t="shared" ca="1" si="161"/>
        <v>1239</v>
      </c>
      <c r="AE480" s="39">
        <f t="shared" ca="1" si="162"/>
        <v>40</v>
      </c>
      <c r="AF480" s="39" t="str">
        <f t="shared" si="163"/>
        <v>DAV</v>
      </c>
      <c r="AG480" s="39" t="str">
        <f t="shared" si="164"/>
        <v>SO-230603-0479</v>
      </c>
      <c r="AH480" s="39" t="str">
        <f>IF(AND(OR(Filter!$B$4="All",D480=Filter!$B$4),OR(Filter!$B$5="All",M480=Filter!$B$5),E480&gt;=Filter!$B$6),MAX(AH$1:AH479)+1,"")</f>
        <v/>
      </c>
      <c r="AI480" s="39">
        <f t="shared" si="165"/>
        <v>47</v>
      </c>
      <c r="AJ480" s="42">
        <f t="shared" si="166"/>
        <v>0.28000000000000003</v>
      </c>
      <c r="AK480" s="41">
        <f t="shared" si="167"/>
        <v>360.54</v>
      </c>
      <c r="AL480" s="39">
        <f>RANK(E480,$E$2:$E$1001,0)+COUNTIF($E$2:E480,E480)-1</f>
        <v>398</v>
      </c>
    </row>
    <row r="481" spans="1:38" x14ac:dyDescent="0.2">
      <c r="A481" s="39">
        <v>1090</v>
      </c>
      <c r="B481" s="40">
        <v>44999</v>
      </c>
      <c r="C481" s="39" t="s">
        <v>76</v>
      </c>
      <c r="D481" s="39" t="s">
        <v>59</v>
      </c>
      <c r="E481" s="41">
        <v>6761.43</v>
      </c>
      <c r="F481" s="39">
        <v>47</v>
      </c>
      <c r="G481" s="39" t="s">
        <v>75</v>
      </c>
      <c r="H481" s="41">
        <v>2310.8200000000002</v>
      </c>
      <c r="I481" s="41">
        <v>2714.71</v>
      </c>
      <c r="J481" s="39" t="s">
        <v>143</v>
      </c>
      <c r="K481" s="42">
        <v>0.19</v>
      </c>
      <c r="L481" s="39" t="s">
        <v>68</v>
      </c>
      <c r="M481" s="39" t="s">
        <v>140</v>
      </c>
      <c r="N481" s="39" t="s">
        <v>157</v>
      </c>
      <c r="O481" s="43">
        <f t="shared" si="147"/>
        <v>127591.37</v>
      </c>
      <c r="P481" s="43">
        <f t="shared" si="148"/>
        <v>103349.01</v>
      </c>
      <c r="Q481" s="43">
        <f t="shared" si="149"/>
        <v>108608.54</v>
      </c>
      <c r="R481" s="43">
        <f t="shared" si="150"/>
        <v>-5259.5299999999988</v>
      </c>
      <c r="S481" s="44">
        <f t="shared" si="151"/>
        <v>-5.0890956768719887E-2</v>
      </c>
      <c r="T481" s="39" t="str">
        <f t="shared" si="152"/>
        <v>Loss</v>
      </c>
      <c r="U481" s="39" t="str">
        <f t="shared" si="153"/>
        <v>10-19%</v>
      </c>
      <c r="V481" s="39" t="str">
        <f>IF(E481&gt;=Analysis!$B$4,"High",IF(E481&gt;=Analysis!$B$5,"Mid","Low"))</f>
        <v>Mid</v>
      </c>
      <c r="W481" s="39" t="str">
        <f t="shared" si="154"/>
        <v>2023-03</v>
      </c>
      <c r="X481" s="40">
        <f t="shared" si="155"/>
        <v>45016</v>
      </c>
      <c r="Y481" s="39" t="str">
        <f t="shared" si="156"/>
        <v>2023-Q1</v>
      </c>
      <c r="Z481" s="39" t="str">
        <f t="shared" si="157"/>
        <v>Tue</v>
      </c>
      <c r="AA481" s="39">
        <f t="shared" si="158"/>
        <v>2</v>
      </c>
      <c r="AB481" s="39">
        <f t="shared" si="159"/>
        <v>12</v>
      </c>
      <c r="AC481" s="39" t="str">
        <f t="shared" si="160"/>
        <v>Weekday</v>
      </c>
      <c r="AD481" s="39">
        <f t="shared" ca="1" si="161"/>
        <v>1320</v>
      </c>
      <c r="AE481" s="39">
        <f t="shared" ca="1" si="162"/>
        <v>43</v>
      </c>
      <c r="AF481" s="39" t="str">
        <f t="shared" si="163"/>
        <v>DAV</v>
      </c>
      <c r="AG481" s="39" t="str">
        <f t="shared" si="164"/>
        <v>ER-230314-0480</v>
      </c>
      <c r="AH481" s="39" t="str">
        <f>IF(AND(OR(Filter!$B$4="All",D481=Filter!$B$4),OR(Filter!$B$5="All",M481=Filter!$B$5),E481&gt;=Filter!$B$6),MAX(AH$1:AH480)+1,"")</f>
        <v/>
      </c>
      <c r="AI481" s="39">
        <f t="shared" si="165"/>
        <v>47</v>
      </c>
      <c r="AJ481" s="42">
        <f t="shared" si="166"/>
        <v>0.19</v>
      </c>
      <c r="AK481" s="41">
        <f t="shared" si="167"/>
        <v>2714.71</v>
      </c>
      <c r="AL481" s="39">
        <f>RANK(E481,$E$2:$E$1001,0)+COUNTIF($E$2:E481,E481)-1</f>
        <v>327</v>
      </c>
    </row>
    <row r="482" spans="1:38" x14ac:dyDescent="0.2">
      <c r="A482" s="39">
        <v>1062</v>
      </c>
      <c r="B482" s="40">
        <v>45127</v>
      </c>
      <c r="C482" s="39" t="s">
        <v>79</v>
      </c>
      <c r="D482" s="39" t="s">
        <v>64</v>
      </c>
      <c r="E482" s="41">
        <v>903.38</v>
      </c>
      <c r="F482" s="39">
        <v>48</v>
      </c>
      <c r="G482" s="39" t="s">
        <v>65</v>
      </c>
      <c r="H482" s="41">
        <v>1679.69</v>
      </c>
      <c r="I482" s="41">
        <v>1939.04</v>
      </c>
      <c r="J482" s="39" t="s">
        <v>143</v>
      </c>
      <c r="K482" s="42">
        <v>0.09</v>
      </c>
      <c r="L482" s="39" t="s">
        <v>73</v>
      </c>
      <c r="M482" s="39" t="s">
        <v>138</v>
      </c>
      <c r="N482" s="39" t="s">
        <v>148</v>
      </c>
      <c r="O482" s="43">
        <f t="shared" si="147"/>
        <v>93073.919999999998</v>
      </c>
      <c r="P482" s="43">
        <f t="shared" si="148"/>
        <v>84697.27</v>
      </c>
      <c r="Q482" s="43">
        <f t="shared" si="149"/>
        <v>80625.119999999995</v>
      </c>
      <c r="R482" s="43">
        <f t="shared" si="150"/>
        <v>4072.1500000000087</v>
      </c>
      <c r="S482" s="44">
        <f t="shared" si="151"/>
        <v>4.8078881409046696E-2</v>
      </c>
      <c r="T482" s="39" t="str">
        <f t="shared" si="152"/>
        <v>OK</v>
      </c>
      <c r="U482" s="39" t="str">
        <f t="shared" si="153"/>
        <v>0-9%</v>
      </c>
      <c r="V482" s="39" t="str">
        <f>IF(E482&gt;=Analysis!$B$4,"High",IF(E482&gt;=Analysis!$B$5,"Mid","Low"))</f>
        <v>Low</v>
      </c>
      <c r="W482" s="39" t="str">
        <f t="shared" si="154"/>
        <v>2023-07</v>
      </c>
      <c r="X482" s="40">
        <f t="shared" si="155"/>
        <v>45138</v>
      </c>
      <c r="Y482" s="39" t="str">
        <f t="shared" si="156"/>
        <v>2023-Q3</v>
      </c>
      <c r="Z482" s="39" t="str">
        <f t="shared" si="157"/>
        <v>Thu</v>
      </c>
      <c r="AA482" s="39">
        <f t="shared" si="158"/>
        <v>4</v>
      </c>
      <c r="AB482" s="39">
        <f t="shared" si="159"/>
        <v>30</v>
      </c>
      <c r="AC482" s="39" t="str">
        <f t="shared" si="160"/>
        <v>Weekday</v>
      </c>
      <c r="AD482" s="39">
        <f t="shared" ca="1" si="161"/>
        <v>1192</v>
      </c>
      <c r="AE482" s="39">
        <f t="shared" ca="1" si="162"/>
        <v>39</v>
      </c>
      <c r="AF482" s="39" t="str">
        <f t="shared" si="163"/>
        <v>EVE</v>
      </c>
      <c r="AG482" s="39" t="str">
        <f t="shared" si="164"/>
        <v>NO-230720-0481</v>
      </c>
      <c r="AH482" s="39" t="str">
        <f>IF(AND(OR(Filter!$B$4="All",D482=Filter!$B$4),OR(Filter!$B$5="All",M482=Filter!$B$5),E482&gt;=Filter!$B$6),MAX(AH$1:AH481)+1,"")</f>
        <v/>
      </c>
      <c r="AI482" s="39">
        <f t="shared" si="165"/>
        <v>48</v>
      </c>
      <c r="AJ482" s="42">
        <f t="shared" si="166"/>
        <v>0.09</v>
      </c>
      <c r="AK482" s="41">
        <f t="shared" si="167"/>
        <v>1939.04</v>
      </c>
      <c r="AL482" s="39">
        <f>RANK(E482,$E$2:$E$1001,0)+COUNTIF($E$2:E482,E482)-1</f>
        <v>912</v>
      </c>
    </row>
    <row r="483" spans="1:38" x14ac:dyDescent="0.2">
      <c r="A483" s="39">
        <v>1023</v>
      </c>
      <c r="B483" s="40">
        <v>45222</v>
      </c>
      <c r="C483" s="39" t="s">
        <v>76</v>
      </c>
      <c r="D483" s="39" t="s">
        <v>69</v>
      </c>
      <c r="E483" s="41">
        <v>9519.76</v>
      </c>
      <c r="F483" s="39">
        <v>42</v>
      </c>
      <c r="G483" s="39" t="s">
        <v>70</v>
      </c>
      <c r="H483" s="41">
        <v>309.77999999999997</v>
      </c>
      <c r="I483" s="41">
        <v>350.38</v>
      </c>
      <c r="J483" s="39" t="s">
        <v>137</v>
      </c>
      <c r="K483" s="42">
        <v>0.19</v>
      </c>
      <c r="L483" s="39" t="s">
        <v>73</v>
      </c>
      <c r="M483" s="39" t="s">
        <v>140</v>
      </c>
      <c r="N483" s="39" t="s">
        <v>142</v>
      </c>
      <c r="O483" s="43">
        <f t="shared" si="147"/>
        <v>14715.96</v>
      </c>
      <c r="P483" s="43">
        <f t="shared" si="148"/>
        <v>11919.93</v>
      </c>
      <c r="Q483" s="43">
        <f t="shared" si="149"/>
        <v>13010.76</v>
      </c>
      <c r="R483" s="43">
        <f t="shared" si="150"/>
        <v>-1090.83</v>
      </c>
      <c r="S483" s="44">
        <f t="shared" si="151"/>
        <v>-9.1513121301886838E-2</v>
      </c>
      <c r="T483" s="39" t="str">
        <f t="shared" si="152"/>
        <v>Loss</v>
      </c>
      <c r="U483" s="39" t="str">
        <f t="shared" si="153"/>
        <v>10-19%</v>
      </c>
      <c r="V483" s="39" t="str">
        <f>IF(E483&gt;=Analysis!$B$4,"High",IF(E483&gt;=Analysis!$B$5,"Mid","Low"))</f>
        <v>High</v>
      </c>
      <c r="W483" s="39" t="str">
        <f t="shared" si="154"/>
        <v>2023-10</v>
      </c>
      <c r="X483" s="40">
        <f t="shared" si="155"/>
        <v>45230</v>
      </c>
      <c r="Y483" s="39" t="str">
        <f t="shared" si="156"/>
        <v>2023-Q4</v>
      </c>
      <c r="Z483" s="39" t="str">
        <f t="shared" si="157"/>
        <v>Mon</v>
      </c>
      <c r="AA483" s="39">
        <f t="shared" si="158"/>
        <v>1</v>
      </c>
      <c r="AB483" s="39">
        <f t="shared" si="159"/>
        <v>44</v>
      </c>
      <c r="AC483" s="39" t="str">
        <f t="shared" si="160"/>
        <v>Weekday</v>
      </c>
      <c r="AD483" s="39">
        <f t="shared" ca="1" si="161"/>
        <v>1097</v>
      </c>
      <c r="AE483" s="39">
        <f t="shared" ca="1" si="162"/>
        <v>36</v>
      </c>
      <c r="AF483" s="39" t="str">
        <f t="shared" si="163"/>
        <v>DAV</v>
      </c>
      <c r="AG483" s="39" t="str">
        <f t="shared" si="164"/>
        <v>SR-231023-0482</v>
      </c>
      <c r="AH483" s="39">
        <f>IF(AND(OR(Filter!$B$4="All",D483=Filter!$B$4),OR(Filter!$B$5="All",M483=Filter!$B$5),E483&gt;=Filter!$B$6),MAX(AH$1:AH482)+1,"")</f>
        <v>52</v>
      </c>
      <c r="AI483" s="39">
        <f t="shared" si="165"/>
        <v>42</v>
      </c>
      <c r="AJ483" s="42">
        <f t="shared" si="166"/>
        <v>0.19</v>
      </c>
      <c r="AK483" s="41">
        <f t="shared" si="167"/>
        <v>350.38</v>
      </c>
      <c r="AL483" s="39">
        <f>RANK(E483,$E$2:$E$1001,0)+COUNTIF($E$2:E483,E483)-1</f>
        <v>47</v>
      </c>
    </row>
    <row r="484" spans="1:38" x14ac:dyDescent="0.2">
      <c r="A484" s="39">
        <v>1009</v>
      </c>
      <c r="B484" s="40">
        <v>44943</v>
      </c>
      <c r="C484" s="39" t="s">
        <v>76</v>
      </c>
      <c r="D484" s="39" t="s">
        <v>74</v>
      </c>
      <c r="E484" s="41">
        <v>8401.07</v>
      </c>
      <c r="F484" s="39">
        <v>12</v>
      </c>
      <c r="G484" s="39" t="s">
        <v>75</v>
      </c>
      <c r="H484" s="41">
        <v>2278.67</v>
      </c>
      <c r="I484" s="41">
        <v>2476.8000000000002</v>
      </c>
      <c r="J484" s="39" t="s">
        <v>143</v>
      </c>
      <c r="K484" s="42">
        <v>0.09</v>
      </c>
      <c r="L484" s="39" t="s">
        <v>68</v>
      </c>
      <c r="M484" s="39" t="s">
        <v>140</v>
      </c>
      <c r="N484" s="39" t="s">
        <v>154</v>
      </c>
      <c r="O484" s="43">
        <f t="shared" si="147"/>
        <v>29721.599999999999</v>
      </c>
      <c r="P484" s="43">
        <f t="shared" si="148"/>
        <v>27046.66</v>
      </c>
      <c r="Q484" s="43">
        <f t="shared" si="149"/>
        <v>27344.04</v>
      </c>
      <c r="R484" s="43">
        <f t="shared" si="150"/>
        <v>-297.38000000000102</v>
      </c>
      <c r="S484" s="44">
        <f t="shared" si="151"/>
        <v>-1.0995072959101088E-2</v>
      </c>
      <c r="T484" s="39" t="str">
        <f t="shared" si="152"/>
        <v>Loss</v>
      </c>
      <c r="U484" s="39" t="str">
        <f t="shared" si="153"/>
        <v>0-9%</v>
      </c>
      <c r="V484" s="39" t="str">
        <f>IF(E484&gt;=Analysis!$B$4,"High",IF(E484&gt;=Analysis!$B$5,"Mid","Low"))</f>
        <v>High</v>
      </c>
      <c r="W484" s="39" t="str">
        <f t="shared" si="154"/>
        <v>2023-01</v>
      </c>
      <c r="X484" s="40">
        <f t="shared" si="155"/>
        <v>44957</v>
      </c>
      <c r="Y484" s="39" t="str">
        <f t="shared" si="156"/>
        <v>2023-Q1</v>
      </c>
      <c r="Z484" s="39" t="str">
        <f t="shared" si="157"/>
        <v>Tue</v>
      </c>
      <c r="AA484" s="39">
        <f t="shared" si="158"/>
        <v>2</v>
      </c>
      <c r="AB484" s="39">
        <f t="shared" si="159"/>
        <v>4</v>
      </c>
      <c r="AC484" s="39" t="str">
        <f t="shared" si="160"/>
        <v>Weekday</v>
      </c>
      <c r="AD484" s="39">
        <f t="shared" ca="1" si="161"/>
        <v>1376</v>
      </c>
      <c r="AE484" s="39">
        <f t="shared" ca="1" si="162"/>
        <v>45</v>
      </c>
      <c r="AF484" s="39" t="str">
        <f t="shared" si="163"/>
        <v>DAV</v>
      </c>
      <c r="AG484" s="39" t="str">
        <f t="shared" si="164"/>
        <v>WR-230117-0483</v>
      </c>
      <c r="AH484" s="39" t="str">
        <f>IF(AND(OR(Filter!$B$4="All",D484=Filter!$B$4),OR(Filter!$B$5="All",M484=Filter!$B$5),E484&gt;=Filter!$B$6),MAX(AH$1:AH483)+1,"")</f>
        <v/>
      </c>
      <c r="AI484" s="39">
        <f t="shared" si="165"/>
        <v>12</v>
      </c>
      <c r="AJ484" s="42">
        <f t="shared" si="166"/>
        <v>0.09</v>
      </c>
      <c r="AK484" s="41">
        <f t="shared" si="167"/>
        <v>2476.8000000000002</v>
      </c>
      <c r="AL484" s="39">
        <f>RANK(E484,$E$2:$E$1001,0)+COUNTIF($E$2:E484,E484)-1</f>
        <v>151</v>
      </c>
    </row>
    <row r="485" spans="1:38" x14ac:dyDescent="0.2">
      <c r="A485" s="39">
        <v>1012</v>
      </c>
      <c r="B485" s="40">
        <v>45055</v>
      </c>
      <c r="C485" s="39" t="s">
        <v>76</v>
      </c>
      <c r="D485" s="39" t="s">
        <v>74</v>
      </c>
      <c r="E485" s="41">
        <v>8070.39</v>
      </c>
      <c r="F485" s="39">
        <v>13</v>
      </c>
      <c r="G485" s="39" t="s">
        <v>70</v>
      </c>
      <c r="H485" s="41">
        <v>1311.01</v>
      </c>
      <c r="I485" s="41">
        <v>1538.79</v>
      </c>
      <c r="J485" s="39" t="s">
        <v>137</v>
      </c>
      <c r="K485" s="42">
        <v>0.09</v>
      </c>
      <c r="L485" s="39" t="s">
        <v>63</v>
      </c>
      <c r="M485" s="39" t="s">
        <v>140</v>
      </c>
      <c r="N485" s="39" t="s">
        <v>154</v>
      </c>
      <c r="O485" s="43">
        <f t="shared" si="147"/>
        <v>20004.27</v>
      </c>
      <c r="P485" s="43">
        <f t="shared" si="148"/>
        <v>18203.89</v>
      </c>
      <c r="Q485" s="43">
        <f t="shared" si="149"/>
        <v>17043.13</v>
      </c>
      <c r="R485" s="43">
        <f t="shared" si="150"/>
        <v>1160.7599999999984</v>
      </c>
      <c r="S485" s="44">
        <f t="shared" si="151"/>
        <v>6.3764393214856732E-2</v>
      </c>
      <c r="T485" s="39" t="str">
        <f t="shared" si="152"/>
        <v>OK</v>
      </c>
      <c r="U485" s="39" t="str">
        <f t="shared" si="153"/>
        <v>0-9%</v>
      </c>
      <c r="V485" s="39" t="str">
        <f>IF(E485&gt;=Analysis!$B$4,"High",IF(E485&gt;=Analysis!$B$5,"Mid","Low"))</f>
        <v>High</v>
      </c>
      <c r="W485" s="39" t="str">
        <f t="shared" si="154"/>
        <v>2023-05</v>
      </c>
      <c r="X485" s="40">
        <f t="shared" si="155"/>
        <v>45077</v>
      </c>
      <c r="Y485" s="39" t="str">
        <f t="shared" si="156"/>
        <v>2023-Q2</v>
      </c>
      <c r="Z485" s="39" t="str">
        <f t="shared" si="157"/>
        <v>Tue</v>
      </c>
      <c r="AA485" s="39">
        <f t="shared" si="158"/>
        <v>2</v>
      </c>
      <c r="AB485" s="39">
        <f t="shared" si="159"/>
        <v>20</v>
      </c>
      <c r="AC485" s="39" t="str">
        <f t="shared" si="160"/>
        <v>Weekday</v>
      </c>
      <c r="AD485" s="39">
        <f t="shared" ca="1" si="161"/>
        <v>1264</v>
      </c>
      <c r="AE485" s="39">
        <f t="shared" ca="1" si="162"/>
        <v>41</v>
      </c>
      <c r="AF485" s="39" t="str">
        <f t="shared" si="163"/>
        <v>DAV</v>
      </c>
      <c r="AG485" s="39" t="str">
        <f t="shared" si="164"/>
        <v>WR-230509-0484</v>
      </c>
      <c r="AH485" s="39" t="str">
        <f>IF(AND(OR(Filter!$B$4="All",D485=Filter!$B$4),OR(Filter!$B$5="All",M485=Filter!$B$5),E485&gt;=Filter!$B$6),MAX(AH$1:AH484)+1,"")</f>
        <v/>
      </c>
      <c r="AI485" s="39">
        <f t="shared" si="165"/>
        <v>13</v>
      </c>
      <c r="AJ485" s="42">
        <f t="shared" si="166"/>
        <v>0.09</v>
      </c>
      <c r="AK485" s="41">
        <f t="shared" si="167"/>
        <v>1538.79</v>
      </c>
      <c r="AL485" s="39">
        <f>RANK(E485,$E$2:$E$1001,0)+COUNTIF($E$2:E485,E485)-1</f>
        <v>184</v>
      </c>
    </row>
    <row r="486" spans="1:38" x14ac:dyDescent="0.2">
      <c r="A486" s="39">
        <v>1001</v>
      </c>
      <c r="B486" s="40">
        <v>45143</v>
      </c>
      <c r="C486" s="39" t="s">
        <v>66</v>
      </c>
      <c r="D486" s="39" t="s">
        <v>64</v>
      </c>
      <c r="E486" s="41">
        <v>8247.5400000000009</v>
      </c>
      <c r="F486" s="39">
        <v>4</v>
      </c>
      <c r="G486" s="39" t="s">
        <v>70</v>
      </c>
      <c r="H486" s="41">
        <v>1791.83</v>
      </c>
      <c r="I486" s="41">
        <v>1871.22</v>
      </c>
      <c r="J486" s="39" t="s">
        <v>137</v>
      </c>
      <c r="K486" s="42">
        <v>0.12</v>
      </c>
      <c r="L486" s="39" t="s">
        <v>63</v>
      </c>
      <c r="M486" s="39" t="s">
        <v>138</v>
      </c>
      <c r="N486" s="39" t="s">
        <v>139</v>
      </c>
      <c r="O486" s="43">
        <f t="shared" si="147"/>
        <v>7484.88</v>
      </c>
      <c r="P486" s="43">
        <f t="shared" si="148"/>
        <v>6586.69</v>
      </c>
      <c r="Q486" s="43">
        <f t="shared" si="149"/>
        <v>7167.32</v>
      </c>
      <c r="R486" s="43">
        <f t="shared" si="150"/>
        <v>-580.63000000000011</v>
      </c>
      <c r="S486" s="44">
        <f t="shared" si="151"/>
        <v>-8.8152015655815E-2</v>
      </c>
      <c r="T486" s="39" t="str">
        <f t="shared" si="152"/>
        <v>Loss</v>
      </c>
      <c r="U486" s="39" t="str">
        <f t="shared" si="153"/>
        <v>10-19%</v>
      </c>
      <c r="V486" s="39" t="str">
        <f>IF(E486&gt;=Analysis!$B$4,"High",IF(E486&gt;=Analysis!$B$5,"Mid","Low"))</f>
        <v>High</v>
      </c>
      <c r="W486" s="39" t="str">
        <f t="shared" si="154"/>
        <v>2023-08</v>
      </c>
      <c r="X486" s="40">
        <f t="shared" si="155"/>
        <v>45169</v>
      </c>
      <c r="Y486" s="39" t="str">
        <f t="shared" si="156"/>
        <v>2023-Q3</v>
      </c>
      <c r="Z486" s="39" t="str">
        <f t="shared" si="157"/>
        <v>Sat</v>
      </c>
      <c r="AA486" s="39">
        <f t="shared" si="158"/>
        <v>6</v>
      </c>
      <c r="AB486" s="39">
        <f t="shared" si="159"/>
        <v>32</v>
      </c>
      <c r="AC486" s="39" t="str">
        <f t="shared" si="160"/>
        <v>Weekend</v>
      </c>
      <c r="AD486" s="39">
        <f t="shared" ca="1" si="161"/>
        <v>1176</v>
      </c>
      <c r="AE486" s="39">
        <f t="shared" ca="1" si="162"/>
        <v>38</v>
      </c>
      <c r="AF486" s="39" t="str">
        <f t="shared" si="163"/>
        <v>BOB</v>
      </c>
      <c r="AG486" s="39" t="str">
        <f t="shared" si="164"/>
        <v>NO-230805-0485</v>
      </c>
      <c r="AH486" s="39" t="str">
        <f>IF(AND(OR(Filter!$B$4="All",D486=Filter!$B$4),OR(Filter!$B$5="All",M486=Filter!$B$5),E486&gt;=Filter!$B$6),MAX(AH$1:AH485)+1,"")</f>
        <v/>
      </c>
      <c r="AI486" s="39">
        <f t="shared" si="165"/>
        <v>4</v>
      </c>
      <c r="AJ486" s="42">
        <f t="shared" si="166"/>
        <v>0.12</v>
      </c>
      <c r="AK486" s="41">
        <f t="shared" si="167"/>
        <v>1871.22</v>
      </c>
      <c r="AL486" s="39">
        <f>RANK(E486,$E$2:$E$1001,0)+COUNTIF($E$2:E486,E486)-1</f>
        <v>166</v>
      </c>
    </row>
    <row r="487" spans="1:38" x14ac:dyDescent="0.2">
      <c r="A487" s="39">
        <v>1058</v>
      </c>
      <c r="B487" s="40">
        <v>44987</v>
      </c>
      <c r="C487" s="39" t="s">
        <v>79</v>
      </c>
      <c r="D487" s="39" t="s">
        <v>74</v>
      </c>
      <c r="E487" s="41">
        <v>9333.83</v>
      </c>
      <c r="F487" s="39">
        <v>39</v>
      </c>
      <c r="G487" s="39" t="s">
        <v>70</v>
      </c>
      <c r="H487" s="41">
        <v>3542.8</v>
      </c>
      <c r="I487" s="41">
        <v>3603.02</v>
      </c>
      <c r="J487" s="39" t="s">
        <v>137</v>
      </c>
      <c r="K487" s="42">
        <v>0.26</v>
      </c>
      <c r="L487" s="39" t="s">
        <v>68</v>
      </c>
      <c r="M487" s="39" t="s">
        <v>138</v>
      </c>
      <c r="N487" s="39" t="s">
        <v>149</v>
      </c>
      <c r="O487" s="43">
        <f t="shared" si="147"/>
        <v>140517.78</v>
      </c>
      <c r="P487" s="43">
        <f t="shared" si="148"/>
        <v>103983.16</v>
      </c>
      <c r="Q487" s="43">
        <f t="shared" si="149"/>
        <v>138169.20000000001</v>
      </c>
      <c r="R487" s="43">
        <f t="shared" si="150"/>
        <v>-34186.040000000008</v>
      </c>
      <c r="S487" s="44">
        <f t="shared" si="151"/>
        <v>-0.32876515774284998</v>
      </c>
      <c r="T487" s="39" t="str">
        <f t="shared" si="152"/>
        <v>Loss</v>
      </c>
      <c r="U487" s="39" t="str">
        <f t="shared" si="153"/>
        <v>20%+</v>
      </c>
      <c r="V487" s="39" t="str">
        <f>IF(E487&gt;=Analysis!$B$4,"High",IF(E487&gt;=Analysis!$B$5,"Mid","Low"))</f>
        <v>High</v>
      </c>
      <c r="W487" s="39" t="str">
        <f t="shared" si="154"/>
        <v>2023-03</v>
      </c>
      <c r="X487" s="40">
        <f t="shared" si="155"/>
        <v>45016</v>
      </c>
      <c r="Y487" s="39" t="str">
        <f t="shared" si="156"/>
        <v>2023-Q1</v>
      </c>
      <c r="Z487" s="39" t="str">
        <f t="shared" si="157"/>
        <v>Thu</v>
      </c>
      <c r="AA487" s="39">
        <f t="shared" si="158"/>
        <v>4</v>
      </c>
      <c r="AB487" s="39">
        <f t="shared" si="159"/>
        <v>10</v>
      </c>
      <c r="AC487" s="39" t="str">
        <f t="shared" si="160"/>
        <v>Weekday</v>
      </c>
      <c r="AD487" s="39">
        <f t="shared" ca="1" si="161"/>
        <v>1332</v>
      </c>
      <c r="AE487" s="39">
        <f t="shared" ca="1" si="162"/>
        <v>43</v>
      </c>
      <c r="AF487" s="39" t="str">
        <f t="shared" si="163"/>
        <v>EVE</v>
      </c>
      <c r="AG487" s="39" t="str">
        <f t="shared" si="164"/>
        <v>WO-230302-0486</v>
      </c>
      <c r="AH487" s="39">
        <f>IF(AND(OR(Filter!$B$4="All",D487=Filter!$B$4),OR(Filter!$B$5="All",M487=Filter!$B$5),E487&gt;=Filter!$B$6),MAX(AH$1:AH486)+1,"")</f>
        <v>53</v>
      </c>
      <c r="AI487" s="39">
        <f t="shared" si="165"/>
        <v>39</v>
      </c>
      <c r="AJ487" s="42">
        <f t="shared" si="166"/>
        <v>0.26</v>
      </c>
      <c r="AK487" s="41">
        <f t="shared" si="167"/>
        <v>3603.02</v>
      </c>
      <c r="AL487" s="39">
        <f>RANK(E487,$E$2:$E$1001,0)+COUNTIF($E$2:E487,E487)-1</f>
        <v>67</v>
      </c>
    </row>
    <row r="488" spans="1:38" x14ac:dyDescent="0.2">
      <c r="A488" s="39">
        <v>1001</v>
      </c>
      <c r="B488" s="40">
        <v>45030</v>
      </c>
      <c r="C488" s="39" t="s">
        <v>76</v>
      </c>
      <c r="D488" s="39" t="s">
        <v>59</v>
      </c>
      <c r="E488" s="41">
        <v>5488.11</v>
      </c>
      <c r="F488" s="39">
        <v>2</v>
      </c>
      <c r="G488" s="39" t="s">
        <v>65</v>
      </c>
      <c r="H488" s="41">
        <v>2631.68</v>
      </c>
      <c r="I488" s="41">
        <v>2904.06</v>
      </c>
      <c r="J488" s="39" t="s">
        <v>143</v>
      </c>
      <c r="K488" s="42">
        <v>0.15</v>
      </c>
      <c r="L488" s="39" t="s">
        <v>63</v>
      </c>
      <c r="M488" s="39" t="s">
        <v>138</v>
      </c>
      <c r="N488" s="39" t="s">
        <v>157</v>
      </c>
      <c r="O488" s="43">
        <f t="shared" si="147"/>
        <v>5808.12</v>
      </c>
      <c r="P488" s="43">
        <f t="shared" si="148"/>
        <v>4936.8999999999996</v>
      </c>
      <c r="Q488" s="43">
        <f t="shared" si="149"/>
        <v>5263.36</v>
      </c>
      <c r="R488" s="43">
        <f t="shared" si="150"/>
        <v>-326.46000000000004</v>
      </c>
      <c r="S488" s="44">
        <f t="shared" si="151"/>
        <v>-6.6126516639996774E-2</v>
      </c>
      <c r="T488" s="39" t="str">
        <f t="shared" si="152"/>
        <v>Loss</v>
      </c>
      <c r="U488" s="39" t="str">
        <f t="shared" si="153"/>
        <v>10-19%</v>
      </c>
      <c r="V488" s="39" t="str">
        <f>IF(E488&gt;=Analysis!$B$4,"High",IF(E488&gt;=Analysis!$B$5,"Mid","Low"))</f>
        <v>Mid</v>
      </c>
      <c r="W488" s="39" t="str">
        <f t="shared" si="154"/>
        <v>2023-04</v>
      </c>
      <c r="X488" s="40">
        <f t="shared" si="155"/>
        <v>45046</v>
      </c>
      <c r="Y488" s="39" t="str">
        <f t="shared" si="156"/>
        <v>2023-Q2</v>
      </c>
      <c r="Z488" s="39" t="str">
        <f t="shared" si="157"/>
        <v>Fri</v>
      </c>
      <c r="AA488" s="39">
        <f t="shared" si="158"/>
        <v>5</v>
      </c>
      <c r="AB488" s="39">
        <f t="shared" si="159"/>
        <v>16</v>
      </c>
      <c r="AC488" s="39" t="str">
        <f t="shared" si="160"/>
        <v>Weekday</v>
      </c>
      <c r="AD488" s="39">
        <f t="shared" ca="1" si="161"/>
        <v>1289</v>
      </c>
      <c r="AE488" s="39">
        <f t="shared" ca="1" si="162"/>
        <v>42</v>
      </c>
      <c r="AF488" s="39" t="str">
        <f t="shared" si="163"/>
        <v>DAV</v>
      </c>
      <c r="AG488" s="39" t="str">
        <f t="shared" si="164"/>
        <v>EO-230414-0487</v>
      </c>
      <c r="AH488" s="39" t="str">
        <f>IF(AND(OR(Filter!$B$4="All",D488=Filter!$B$4),OR(Filter!$B$5="All",M488=Filter!$B$5),E488&gt;=Filter!$B$6),MAX(AH$1:AH487)+1,"")</f>
        <v/>
      </c>
      <c r="AI488" s="39">
        <f t="shared" si="165"/>
        <v>2</v>
      </c>
      <c r="AJ488" s="42">
        <f t="shared" si="166"/>
        <v>0.15</v>
      </c>
      <c r="AK488" s="41">
        <f t="shared" si="167"/>
        <v>2904.06</v>
      </c>
      <c r="AL488" s="39">
        <f>RANK(E488,$E$2:$E$1001,0)+COUNTIF($E$2:E488,E488)-1</f>
        <v>458</v>
      </c>
    </row>
    <row r="489" spans="1:38" x14ac:dyDescent="0.2">
      <c r="A489" s="39">
        <v>1034</v>
      </c>
      <c r="B489" s="40">
        <v>44968</v>
      </c>
      <c r="C489" s="39" t="s">
        <v>79</v>
      </c>
      <c r="D489" s="39" t="s">
        <v>69</v>
      </c>
      <c r="E489" s="41">
        <v>2082.79</v>
      </c>
      <c r="F489" s="39">
        <v>26</v>
      </c>
      <c r="G489" s="39" t="s">
        <v>65</v>
      </c>
      <c r="H489" s="41">
        <v>667</v>
      </c>
      <c r="I489" s="41">
        <v>718.72</v>
      </c>
      <c r="J489" s="39" t="s">
        <v>143</v>
      </c>
      <c r="K489" s="42">
        <v>0.2</v>
      </c>
      <c r="L489" s="39" t="s">
        <v>68</v>
      </c>
      <c r="M489" s="39" t="s">
        <v>140</v>
      </c>
      <c r="N489" s="39" t="s">
        <v>147</v>
      </c>
      <c r="O489" s="43">
        <f t="shared" si="147"/>
        <v>18686.72</v>
      </c>
      <c r="P489" s="43">
        <f t="shared" si="148"/>
        <v>14949.38</v>
      </c>
      <c r="Q489" s="43">
        <f t="shared" si="149"/>
        <v>17342</v>
      </c>
      <c r="R489" s="43">
        <f t="shared" si="150"/>
        <v>-2392.6200000000008</v>
      </c>
      <c r="S489" s="44">
        <f t="shared" si="151"/>
        <v>-0.16004810901856806</v>
      </c>
      <c r="T489" s="39" t="str">
        <f t="shared" si="152"/>
        <v>Loss</v>
      </c>
      <c r="U489" s="39" t="str">
        <f t="shared" si="153"/>
        <v>20%+</v>
      </c>
      <c r="V489" s="39" t="str">
        <f>IF(E489&gt;=Analysis!$B$4,"High",IF(E489&gt;=Analysis!$B$5,"Mid","Low"))</f>
        <v>Low</v>
      </c>
      <c r="W489" s="39" t="str">
        <f t="shared" si="154"/>
        <v>2023-02</v>
      </c>
      <c r="X489" s="40">
        <f t="shared" si="155"/>
        <v>44985</v>
      </c>
      <c r="Y489" s="39" t="str">
        <f t="shared" si="156"/>
        <v>2023-Q1</v>
      </c>
      <c r="Z489" s="39" t="str">
        <f t="shared" si="157"/>
        <v>Sat</v>
      </c>
      <c r="AA489" s="39">
        <f t="shared" si="158"/>
        <v>6</v>
      </c>
      <c r="AB489" s="39">
        <f t="shared" si="159"/>
        <v>7</v>
      </c>
      <c r="AC489" s="39" t="str">
        <f t="shared" si="160"/>
        <v>Weekend</v>
      </c>
      <c r="AD489" s="39">
        <f t="shared" ca="1" si="161"/>
        <v>1351</v>
      </c>
      <c r="AE489" s="39">
        <f t="shared" ca="1" si="162"/>
        <v>44</v>
      </c>
      <c r="AF489" s="39" t="str">
        <f t="shared" si="163"/>
        <v>EVE</v>
      </c>
      <c r="AG489" s="39" t="str">
        <f t="shared" si="164"/>
        <v>SR-230211-0488</v>
      </c>
      <c r="AH489" s="39" t="str">
        <f>IF(AND(OR(Filter!$B$4="All",D489=Filter!$B$4),OR(Filter!$B$5="All",M489=Filter!$B$5),E489&gt;=Filter!$B$6),MAX(AH$1:AH488)+1,"")</f>
        <v/>
      </c>
      <c r="AI489" s="39">
        <f t="shared" si="165"/>
        <v>26</v>
      </c>
      <c r="AJ489" s="42">
        <f t="shared" si="166"/>
        <v>0.2</v>
      </c>
      <c r="AK489" s="41">
        <f t="shared" si="167"/>
        <v>718.72</v>
      </c>
      <c r="AL489" s="39">
        <f>RANK(E489,$E$2:$E$1001,0)+COUNTIF($E$2:E489,E489)-1</f>
        <v>806</v>
      </c>
    </row>
    <row r="490" spans="1:38" x14ac:dyDescent="0.2">
      <c r="A490" s="39">
        <v>1096</v>
      </c>
      <c r="B490" s="40">
        <v>44951</v>
      </c>
      <c r="C490" s="39" t="s">
        <v>71</v>
      </c>
      <c r="D490" s="39" t="s">
        <v>74</v>
      </c>
      <c r="E490" s="41">
        <v>6206.16</v>
      </c>
      <c r="F490" s="39">
        <v>27</v>
      </c>
      <c r="G490" s="39" t="s">
        <v>60</v>
      </c>
      <c r="H490" s="41">
        <v>4809</v>
      </c>
      <c r="I490" s="41">
        <v>4967.4399999999996</v>
      </c>
      <c r="J490" s="39" t="s">
        <v>143</v>
      </c>
      <c r="K490" s="42">
        <v>0.12</v>
      </c>
      <c r="L490" s="39" t="s">
        <v>68</v>
      </c>
      <c r="M490" s="39" t="s">
        <v>138</v>
      </c>
      <c r="N490" s="39" t="s">
        <v>146</v>
      </c>
      <c r="O490" s="43">
        <f t="shared" si="147"/>
        <v>134120.88</v>
      </c>
      <c r="P490" s="43">
        <f t="shared" si="148"/>
        <v>118026.37</v>
      </c>
      <c r="Q490" s="43">
        <f t="shared" si="149"/>
        <v>129843</v>
      </c>
      <c r="R490" s="43">
        <f t="shared" si="150"/>
        <v>-11816.630000000005</v>
      </c>
      <c r="S490" s="44">
        <f t="shared" si="151"/>
        <v>-0.10011855825100785</v>
      </c>
      <c r="T490" s="39" t="str">
        <f t="shared" si="152"/>
        <v>Loss</v>
      </c>
      <c r="U490" s="39" t="str">
        <f t="shared" si="153"/>
        <v>10-19%</v>
      </c>
      <c r="V490" s="39" t="str">
        <f>IF(E490&gt;=Analysis!$B$4,"High",IF(E490&gt;=Analysis!$B$5,"Mid","Low"))</f>
        <v>Mid</v>
      </c>
      <c r="W490" s="39" t="str">
        <f t="shared" si="154"/>
        <v>2023-01</v>
      </c>
      <c r="X490" s="40">
        <f t="shared" si="155"/>
        <v>44957</v>
      </c>
      <c r="Y490" s="39" t="str">
        <f t="shared" si="156"/>
        <v>2023-Q1</v>
      </c>
      <c r="Z490" s="39" t="str">
        <f t="shared" si="157"/>
        <v>Wed</v>
      </c>
      <c r="AA490" s="39">
        <f t="shared" si="158"/>
        <v>3</v>
      </c>
      <c r="AB490" s="39">
        <f t="shared" si="159"/>
        <v>5</v>
      </c>
      <c r="AC490" s="39" t="str">
        <f t="shared" si="160"/>
        <v>Weekday</v>
      </c>
      <c r="AD490" s="39">
        <f t="shared" ca="1" si="161"/>
        <v>1368</v>
      </c>
      <c r="AE490" s="39">
        <f t="shared" ca="1" si="162"/>
        <v>44</v>
      </c>
      <c r="AF490" s="39" t="str">
        <f t="shared" si="163"/>
        <v>CHA</v>
      </c>
      <c r="AG490" s="39" t="str">
        <f t="shared" si="164"/>
        <v>WO-230125-0489</v>
      </c>
      <c r="AH490" s="39" t="str">
        <f>IF(AND(OR(Filter!$B$4="All",D490=Filter!$B$4),OR(Filter!$B$5="All",M490=Filter!$B$5),E490&gt;=Filter!$B$6),MAX(AH$1:AH489)+1,"")</f>
        <v/>
      </c>
      <c r="AI490" s="39">
        <f t="shared" si="165"/>
        <v>27</v>
      </c>
      <c r="AJ490" s="42">
        <f t="shared" si="166"/>
        <v>0.12</v>
      </c>
      <c r="AK490" s="41">
        <f t="shared" si="167"/>
        <v>4967.4399999999996</v>
      </c>
      <c r="AL490" s="39">
        <f>RANK(E490,$E$2:$E$1001,0)+COUNTIF($E$2:E490,E490)-1</f>
        <v>389</v>
      </c>
    </row>
    <row r="491" spans="1:38" x14ac:dyDescent="0.2">
      <c r="A491" s="39">
        <v>1048</v>
      </c>
      <c r="B491" s="40">
        <v>44965</v>
      </c>
      <c r="C491" s="39" t="s">
        <v>71</v>
      </c>
      <c r="D491" s="39" t="s">
        <v>74</v>
      </c>
      <c r="E491" s="41">
        <v>7454.53</v>
      </c>
      <c r="F491" s="39">
        <v>27</v>
      </c>
      <c r="G491" s="39" t="s">
        <v>60</v>
      </c>
      <c r="H491" s="41">
        <v>3197.76</v>
      </c>
      <c r="I491" s="41">
        <v>3572.61</v>
      </c>
      <c r="J491" s="39" t="s">
        <v>137</v>
      </c>
      <c r="K491" s="42">
        <v>0.08</v>
      </c>
      <c r="L491" s="39" t="s">
        <v>73</v>
      </c>
      <c r="M491" s="39" t="s">
        <v>138</v>
      </c>
      <c r="N491" s="39" t="s">
        <v>146</v>
      </c>
      <c r="O491" s="43">
        <f t="shared" si="147"/>
        <v>96460.47</v>
      </c>
      <c r="P491" s="43">
        <f t="shared" si="148"/>
        <v>88743.63</v>
      </c>
      <c r="Q491" s="43">
        <f t="shared" si="149"/>
        <v>86339.520000000004</v>
      </c>
      <c r="R491" s="43">
        <f t="shared" si="150"/>
        <v>2404.1100000000006</v>
      </c>
      <c r="S491" s="44">
        <f t="shared" si="151"/>
        <v>2.7090507791939552E-2</v>
      </c>
      <c r="T491" s="39" t="str">
        <f t="shared" si="152"/>
        <v>OK</v>
      </c>
      <c r="U491" s="39" t="str">
        <f t="shared" si="153"/>
        <v>0-9%</v>
      </c>
      <c r="V491" s="39" t="str">
        <f>IF(E491&gt;=Analysis!$B$4,"High",IF(E491&gt;=Analysis!$B$5,"Mid","Low"))</f>
        <v>Mid</v>
      </c>
      <c r="W491" s="39" t="str">
        <f t="shared" si="154"/>
        <v>2023-02</v>
      </c>
      <c r="X491" s="40">
        <f t="shared" si="155"/>
        <v>44985</v>
      </c>
      <c r="Y491" s="39" t="str">
        <f t="shared" si="156"/>
        <v>2023-Q1</v>
      </c>
      <c r="Z491" s="39" t="str">
        <f t="shared" si="157"/>
        <v>Wed</v>
      </c>
      <c r="AA491" s="39">
        <f t="shared" si="158"/>
        <v>3</v>
      </c>
      <c r="AB491" s="39">
        <f t="shared" si="159"/>
        <v>7</v>
      </c>
      <c r="AC491" s="39" t="str">
        <f t="shared" si="160"/>
        <v>Weekday</v>
      </c>
      <c r="AD491" s="39">
        <f t="shared" ca="1" si="161"/>
        <v>1354</v>
      </c>
      <c r="AE491" s="39">
        <f t="shared" ca="1" si="162"/>
        <v>44</v>
      </c>
      <c r="AF491" s="39" t="str">
        <f t="shared" si="163"/>
        <v>CHA</v>
      </c>
      <c r="AG491" s="39" t="str">
        <f t="shared" si="164"/>
        <v>WO-230208-0490</v>
      </c>
      <c r="AH491" s="39" t="str">
        <f>IF(AND(OR(Filter!$B$4="All",D491=Filter!$B$4),OR(Filter!$B$5="All",M491=Filter!$B$5),E491&gt;=Filter!$B$6),MAX(AH$1:AH490)+1,"")</f>
        <v/>
      </c>
      <c r="AI491" s="39">
        <f t="shared" si="165"/>
        <v>27</v>
      </c>
      <c r="AJ491" s="42">
        <f t="shared" si="166"/>
        <v>0.08</v>
      </c>
      <c r="AK491" s="41">
        <f t="shared" si="167"/>
        <v>3572.61</v>
      </c>
      <c r="AL491" s="39">
        <f>RANK(E491,$E$2:$E$1001,0)+COUNTIF($E$2:E491,E491)-1</f>
        <v>253</v>
      </c>
    </row>
    <row r="492" spans="1:38" x14ac:dyDescent="0.2">
      <c r="A492" s="39">
        <v>1089</v>
      </c>
      <c r="B492" s="40">
        <v>45217</v>
      </c>
      <c r="C492" s="39" t="s">
        <v>76</v>
      </c>
      <c r="D492" s="39" t="s">
        <v>64</v>
      </c>
      <c r="E492" s="41">
        <v>7405.38</v>
      </c>
      <c r="F492" s="39">
        <v>15</v>
      </c>
      <c r="G492" s="39" t="s">
        <v>70</v>
      </c>
      <c r="H492" s="41">
        <v>3841.05</v>
      </c>
      <c r="I492" s="41">
        <v>4323.62</v>
      </c>
      <c r="J492" s="39" t="s">
        <v>137</v>
      </c>
      <c r="K492" s="42">
        <v>0.28999999999999998</v>
      </c>
      <c r="L492" s="39" t="s">
        <v>73</v>
      </c>
      <c r="M492" s="39" t="s">
        <v>140</v>
      </c>
      <c r="N492" s="39" t="s">
        <v>152</v>
      </c>
      <c r="O492" s="43">
        <f t="shared" si="147"/>
        <v>64854.3</v>
      </c>
      <c r="P492" s="43">
        <f t="shared" si="148"/>
        <v>46046.55</v>
      </c>
      <c r="Q492" s="43">
        <f t="shared" si="149"/>
        <v>57615.75</v>
      </c>
      <c r="R492" s="43">
        <f t="shared" si="150"/>
        <v>-11569.199999999997</v>
      </c>
      <c r="S492" s="44">
        <f t="shared" si="151"/>
        <v>-0.25125009365522488</v>
      </c>
      <c r="T492" s="39" t="str">
        <f t="shared" si="152"/>
        <v>Loss</v>
      </c>
      <c r="U492" s="39" t="str">
        <f t="shared" si="153"/>
        <v>20%+</v>
      </c>
      <c r="V492" s="39" t="str">
        <f>IF(E492&gt;=Analysis!$B$4,"High",IF(E492&gt;=Analysis!$B$5,"Mid","Low"))</f>
        <v>Mid</v>
      </c>
      <c r="W492" s="39" t="str">
        <f t="shared" si="154"/>
        <v>2023-10</v>
      </c>
      <c r="X492" s="40">
        <f t="shared" si="155"/>
        <v>45230</v>
      </c>
      <c r="Y492" s="39" t="str">
        <f t="shared" si="156"/>
        <v>2023-Q4</v>
      </c>
      <c r="Z492" s="39" t="str">
        <f t="shared" si="157"/>
        <v>Wed</v>
      </c>
      <c r="AA492" s="39">
        <f t="shared" si="158"/>
        <v>3</v>
      </c>
      <c r="AB492" s="39">
        <f t="shared" si="159"/>
        <v>43</v>
      </c>
      <c r="AC492" s="39" t="str">
        <f t="shared" si="160"/>
        <v>Weekday</v>
      </c>
      <c r="AD492" s="39">
        <f t="shared" ca="1" si="161"/>
        <v>1102</v>
      </c>
      <c r="AE492" s="39">
        <f t="shared" ca="1" si="162"/>
        <v>36</v>
      </c>
      <c r="AF492" s="39" t="str">
        <f t="shared" si="163"/>
        <v>DAV</v>
      </c>
      <c r="AG492" s="39" t="str">
        <f t="shared" si="164"/>
        <v>NR-231018-0491</v>
      </c>
      <c r="AH492" s="39" t="str">
        <f>IF(AND(OR(Filter!$B$4="All",D492=Filter!$B$4),OR(Filter!$B$5="All",M492=Filter!$B$5),E492&gt;=Filter!$B$6),MAX(AH$1:AH491)+1,"")</f>
        <v/>
      </c>
      <c r="AI492" s="39">
        <f t="shared" si="165"/>
        <v>15</v>
      </c>
      <c r="AJ492" s="42">
        <f t="shared" si="166"/>
        <v>0.28999999999999998</v>
      </c>
      <c r="AK492" s="41">
        <f t="shared" si="167"/>
        <v>4323.62</v>
      </c>
      <c r="AL492" s="39">
        <f>RANK(E492,$E$2:$E$1001,0)+COUNTIF($E$2:E492,E492)-1</f>
        <v>259</v>
      </c>
    </row>
    <row r="493" spans="1:38" x14ac:dyDescent="0.2">
      <c r="A493" s="39">
        <v>1001</v>
      </c>
      <c r="B493" s="40">
        <v>45057</v>
      </c>
      <c r="C493" s="39" t="s">
        <v>79</v>
      </c>
      <c r="D493" s="39" t="s">
        <v>59</v>
      </c>
      <c r="E493" s="41">
        <v>5262.35</v>
      </c>
      <c r="F493" s="39">
        <v>8</v>
      </c>
      <c r="G493" s="39" t="s">
        <v>60</v>
      </c>
      <c r="H493" s="41">
        <v>442.11</v>
      </c>
      <c r="I493" s="41">
        <v>803.87</v>
      </c>
      <c r="J493" s="39" t="s">
        <v>143</v>
      </c>
      <c r="K493" s="42">
        <v>0.18</v>
      </c>
      <c r="L493" s="39" t="s">
        <v>68</v>
      </c>
      <c r="M493" s="39" t="s">
        <v>140</v>
      </c>
      <c r="N493" s="39" t="s">
        <v>155</v>
      </c>
      <c r="O493" s="43">
        <f t="shared" si="147"/>
        <v>6430.96</v>
      </c>
      <c r="P493" s="43">
        <f t="shared" si="148"/>
        <v>5273.39</v>
      </c>
      <c r="Q493" s="43">
        <f t="shared" si="149"/>
        <v>3536.88</v>
      </c>
      <c r="R493" s="43">
        <f t="shared" si="150"/>
        <v>1736.5100000000002</v>
      </c>
      <c r="S493" s="44">
        <f t="shared" si="151"/>
        <v>0.32929671425781143</v>
      </c>
      <c r="T493" s="39" t="str">
        <f t="shared" si="152"/>
        <v>OK</v>
      </c>
      <c r="U493" s="39" t="str">
        <f t="shared" si="153"/>
        <v>10-19%</v>
      </c>
      <c r="V493" s="39" t="str">
        <f>IF(E493&gt;=Analysis!$B$4,"High",IF(E493&gt;=Analysis!$B$5,"Mid","Low"))</f>
        <v>Mid</v>
      </c>
      <c r="W493" s="39" t="str">
        <f t="shared" si="154"/>
        <v>2023-05</v>
      </c>
      <c r="X493" s="40">
        <f t="shared" si="155"/>
        <v>45077</v>
      </c>
      <c r="Y493" s="39" t="str">
        <f t="shared" si="156"/>
        <v>2023-Q2</v>
      </c>
      <c r="Z493" s="39" t="str">
        <f t="shared" si="157"/>
        <v>Thu</v>
      </c>
      <c r="AA493" s="39">
        <f t="shared" si="158"/>
        <v>4</v>
      </c>
      <c r="AB493" s="39">
        <f t="shared" si="159"/>
        <v>20</v>
      </c>
      <c r="AC493" s="39" t="str">
        <f t="shared" si="160"/>
        <v>Weekday</v>
      </c>
      <c r="AD493" s="39">
        <f t="shared" ca="1" si="161"/>
        <v>1262</v>
      </c>
      <c r="AE493" s="39">
        <f t="shared" ca="1" si="162"/>
        <v>41</v>
      </c>
      <c r="AF493" s="39" t="str">
        <f t="shared" si="163"/>
        <v>EVE</v>
      </c>
      <c r="AG493" s="39" t="str">
        <f t="shared" si="164"/>
        <v>ER-230511-0492</v>
      </c>
      <c r="AH493" s="39" t="str">
        <f>IF(AND(OR(Filter!$B$4="All",D493=Filter!$B$4),OR(Filter!$B$5="All",M493=Filter!$B$5),E493&gt;=Filter!$B$6),MAX(AH$1:AH492)+1,"")</f>
        <v/>
      </c>
      <c r="AI493" s="39">
        <f t="shared" si="165"/>
        <v>8</v>
      </c>
      <c r="AJ493" s="42">
        <f t="shared" si="166"/>
        <v>0.18</v>
      </c>
      <c r="AK493" s="41">
        <f t="shared" si="167"/>
        <v>803.87</v>
      </c>
      <c r="AL493" s="39">
        <f>RANK(E493,$E$2:$E$1001,0)+COUNTIF($E$2:E493,E493)-1</f>
        <v>473</v>
      </c>
    </row>
    <row r="494" spans="1:38" x14ac:dyDescent="0.2">
      <c r="A494" s="39">
        <v>1016</v>
      </c>
      <c r="B494" s="40">
        <v>45155</v>
      </c>
      <c r="C494" s="39" t="s">
        <v>79</v>
      </c>
      <c r="D494" s="39" t="s">
        <v>74</v>
      </c>
      <c r="E494" s="41">
        <v>777.74</v>
      </c>
      <c r="F494" s="39">
        <v>7</v>
      </c>
      <c r="G494" s="39" t="s">
        <v>70</v>
      </c>
      <c r="H494" s="41">
        <v>282.94</v>
      </c>
      <c r="I494" s="41">
        <v>779.33</v>
      </c>
      <c r="J494" s="39" t="s">
        <v>137</v>
      </c>
      <c r="K494" s="42">
        <v>0.28000000000000003</v>
      </c>
      <c r="L494" s="39" t="s">
        <v>73</v>
      </c>
      <c r="M494" s="39" t="s">
        <v>138</v>
      </c>
      <c r="N494" s="39" t="s">
        <v>149</v>
      </c>
      <c r="O494" s="43">
        <f t="shared" si="147"/>
        <v>5455.31</v>
      </c>
      <c r="P494" s="43">
        <f t="shared" si="148"/>
        <v>3927.82</v>
      </c>
      <c r="Q494" s="43">
        <f t="shared" si="149"/>
        <v>1980.58</v>
      </c>
      <c r="R494" s="43">
        <f t="shared" si="150"/>
        <v>1947.2400000000002</v>
      </c>
      <c r="S494" s="44">
        <f t="shared" si="151"/>
        <v>0.49575591549510928</v>
      </c>
      <c r="T494" s="39" t="str">
        <f t="shared" si="152"/>
        <v>OK</v>
      </c>
      <c r="U494" s="39" t="str">
        <f t="shared" si="153"/>
        <v>20%+</v>
      </c>
      <c r="V494" s="39" t="str">
        <f>IF(E494&gt;=Analysis!$B$4,"High",IF(E494&gt;=Analysis!$B$5,"Mid","Low"))</f>
        <v>Low</v>
      </c>
      <c r="W494" s="39" t="str">
        <f t="shared" si="154"/>
        <v>2023-08</v>
      </c>
      <c r="X494" s="40">
        <f t="shared" si="155"/>
        <v>45169</v>
      </c>
      <c r="Y494" s="39" t="str">
        <f t="shared" si="156"/>
        <v>2023-Q3</v>
      </c>
      <c r="Z494" s="39" t="str">
        <f t="shared" si="157"/>
        <v>Thu</v>
      </c>
      <c r="AA494" s="39">
        <f t="shared" si="158"/>
        <v>4</v>
      </c>
      <c r="AB494" s="39">
        <f t="shared" si="159"/>
        <v>34</v>
      </c>
      <c r="AC494" s="39" t="str">
        <f t="shared" si="160"/>
        <v>Weekday</v>
      </c>
      <c r="AD494" s="39">
        <f t="shared" ca="1" si="161"/>
        <v>1164</v>
      </c>
      <c r="AE494" s="39">
        <f t="shared" ca="1" si="162"/>
        <v>38</v>
      </c>
      <c r="AF494" s="39" t="str">
        <f t="shared" si="163"/>
        <v>EVE</v>
      </c>
      <c r="AG494" s="39" t="str">
        <f t="shared" si="164"/>
        <v>WO-230817-0493</v>
      </c>
      <c r="AH494" s="39" t="str">
        <f>IF(AND(OR(Filter!$B$4="All",D494=Filter!$B$4),OR(Filter!$B$5="All",M494=Filter!$B$5),E494&gt;=Filter!$B$6),MAX(AH$1:AH493)+1,"")</f>
        <v/>
      </c>
      <c r="AI494" s="39">
        <f t="shared" si="165"/>
        <v>7</v>
      </c>
      <c r="AJ494" s="42">
        <f t="shared" si="166"/>
        <v>0.28000000000000003</v>
      </c>
      <c r="AK494" s="41">
        <f t="shared" si="167"/>
        <v>779.33</v>
      </c>
      <c r="AL494" s="39">
        <f>RANK(E494,$E$2:$E$1001,0)+COUNTIF($E$2:E494,E494)-1</f>
        <v>928</v>
      </c>
    </row>
    <row r="495" spans="1:38" x14ac:dyDescent="0.2">
      <c r="A495" s="39">
        <v>1061</v>
      </c>
      <c r="B495" s="40">
        <v>45034</v>
      </c>
      <c r="C495" s="39" t="s">
        <v>79</v>
      </c>
      <c r="D495" s="39" t="s">
        <v>64</v>
      </c>
      <c r="E495" s="41">
        <v>3774.02</v>
      </c>
      <c r="F495" s="39">
        <v>47</v>
      </c>
      <c r="G495" s="39" t="s">
        <v>65</v>
      </c>
      <c r="H495" s="41">
        <v>146.27000000000001</v>
      </c>
      <c r="I495" s="41">
        <v>498.46</v>
      </c>
      <c r="J495" s="39" t="s">
        <v>143</v>
      </c>
      <c r="K495" s="42">
        <v>0.06</v>
      </c>
      <c r="L495" s="39" t="s">
        <v>68</v>
      </c>
      <c r="M495" s="39" t="s">
        <v>140</v>
      </c>
      <c r="N495" s="39" t="s">
        <v>148</v>
      </c>
      <c r="O495" s="43">
        <f t="shared" si="147"/>
        <v>23427.62</v>
      </c>
      <c r="P495" s="43">
        <f t="shared" si="148"/>
        <v>22021.96</v>
      </c>
      <c r="Q495" s="43">
        <f t="shared" si="149"/>
        <v>6874.69</v>
      </c>
      <c r="R495" s="43">
        <f t="shared" si="150"/>
        <v>15147.27</v>
      </c>
      <c r="S495" s="44">
        <f t="shared" si="151"/>
        <v>0.68782569762182844</v>
      </c>
      <c r="T495" s="39" t="str">
        <f t="shared" si="152"/>
        <v>OK</v>
      </c>
      <c r="U495" s="39" t="str">
        <f t="shared" si="153"/>
        <v>0-9%</v>
      </c>
      <c r="V495" s="39" t="str">
        <f>IF(E495&gt;=Analysis!$B$4,"High",IF(E495&gt;=Analysis!$B$5,"Mid","Low"))</f>
        <v>Mid</v>
      </c>
      <c r="W495" s="39" t="str">
        <f t="shared" si="154"/>
        <v>2023-04</v>
      </c>
      <c r="X495" s="40">
        <f t="shared" si="155"/>
        <v>45046</v>
      </c>
      <c r="Y495" s="39" t="str">
        <f t="shared" si="156"/>
        <v>2023-Q2</v>
      </c>
      <c r="Z495" s="39" t="str">
        <f t="shared" si="157"/>
        <v>Tue</v>
      </c>
      <c r="AA495" s="39">
        <f t="shared" si="158"/>
        <v>2</v>
      </c>
      <c r="AB495" s="39">
        <f t="shared" si="159"/>
        <v>17</v>
      </c>
      <c r="AC495" s="39" t="str">
        <f t="shared" si="160"/>
        <v>Weekday</v>
      </c>
      <c r="AD495" s="39">
        <f t="shared" ca="1" si="161"/>
        <v>1285</v>
      </c>
      <c r="AE495" s="39">
        <f t="shared" ca="1" si="162"/>
        <v>42</v>
      </c>
      <c r="AF495" s="39" t="str">
        <f t="shared" si="163"/>
        <v>EVE</v>
      </c>
      <c r="AG495" s="39" t="str">
        <f t="shared" si="164"/>
        <v>NR-230418-0494</v>
      </c>
      <c r="AH495" s="39" t="str">
        <f>IF(AND(OR(Filter!$B$4="All",D495=Filter!$B$4),OR(Filter!$B$5="All",M495=Filter!$B$5),E495&gt;=Filter!$B$6),MAX(AH$1:AH494)+1,"")</f>
        <v/>
      </c>
      <c r="AI495" s="39">
        <f t="shared" si="165"/>
        <v>47</v>
      </c>
      <c r="AJ495" s="42">
        <f t="shared" si="166"/>
        <v>0.06</v>
      </c>
      <c r="AK495" s="41">
        <f t="shared" si="167"/>
        <v>498.46</v>
      </c>
      <c r="AL495" s="39">
        <f>RANK(E495,$E$2:$E$1001,0)+COUNTIF($E$2:E495,E495)-1</f>
        <v>620</v>
      </c>
    </row>
    <row r="496" spans="1:38" x14ac:dyDescent="0.2">
      <c r="A496" s="39">
        <v>1064</v>
      </c>
      <c r="B496" s="40">
        <v>45098</v>
      </c>
      <c r="C496" s="39" t="s">
        <v>66</v>
      </c>
      <c r="D496" s="39" t="s">
        <v>74</v>
      </c>
      <c r="E496" s="41">
        <v>9215.59</v>
      </c>
      <c r="F496" s="39">
        <v>46</v>
      </c>
      <c r="G496" s="39" t="s">
        <v>65</v>
      </c>
      <c r="H496" s="41">
        <v>984.53</v>
      </c>
      <c r="I496" s="41">
        <v>1138.49</v>
      </c>
      <c r="J496" s="39" t="s">
        <v>143</v>
      </c>
      <c r="K496" s="42">
        <v>0.04</v>
      </c>
      <c r="L496" s="39" t="s">
        <v>63</v>
      </c>
      <c r="M496" s="39" t="s">
        <v>138</v>
      </c>
      <c r="N496" s="39" t="s">
        <v>141</v>
      </c>
      <c r="O496" s="43">
        <f t="shared" si="147"/>
        <v>52370.54</v>
      </c>
      <c r="P496" s="43">
        <f t="shared" si="148"/>
        <v>50275.72</v>
      </c>
      <c r="Q496" s="43">
        <f t="shared" si="149"/>
        <v>45288.38</v>
      </c>
      <c r="R496" s="43">
        <f t="shared" si="150"/>
        <v>4987.3400000000038</v>
      </c>
      <c r="S496" s="44">
        <f t="shared" si="151"/>
        <v>9.9199772773020528E-2</v>
      </c>
      <c r="T496" s="39" t="str">
        <f t="shared" si="152"/>
        <v>OK</v>
      </c>
      <c r="U496" s="39" t="str">
        <f t="shared" si="153"/>
        <v>0-9%</v>
      </c>
      <c r="V496" s="39" t="str">
        <f>IF(E496&gt;=Analysis!$B$4,"High",IF(E496&gt;=Analysis!$B$5,"Mid","Low"))</f>
        <v>High</v>
      </c>
      <c r="W496" s="39" t="str">
        <f t="shared" si="154"/>
        <v>2023-06</v>
      </c>
      <c r="X496" s="40">
        <f t="shared" si="155"/>
        <v>45107</v>
      </c>
      <c r="Y496" s="39" t="str">
        <f t="shared" si="156"/>
        <v>2023-Q2</v>
      </c>
      <c r="Z496" s="39" t="str">
        <f t="shared" si="157"/>
        <v>Wed</v>
      </c>
      <c r="AA496" s="39">
        <f t="shared" si="158"/>
        <v>3</v>
      </c>
      <c r="AB496" s="39">
        <f t="shared" si="159"/>
        <v>26</v>
      </c>
      <c r="AC496" s="39" t="str">
        <f t="shared" si="160"/>
        <v>Weekday</v>
      </c>
      <c r="AD496" s="39">
        <f t="shared" ca="1" si="161"/>
        <v>1221</v>
      </c>
      <c r="AE496" s="39">
        <f t="shared" ca="1" si="162"/>
        <v>40</v>
      </c>
      <c r="AF496" s="39" t="str">
        <f t="shared" si="163"/>
        <v>BOB</v>
      </c>
      <c r="AG496" s="39" t="str">
        <f t="shared" si="164"/>
        <v>WO-230621-0495</v>
      </c>
      <c r="AH496" s="39">
        <f>IF(AND(OR(Filter!$B$4="All",D496=Filter!$B$4),OR(Filter!$B$5="All",M496=Filter!$B$5),E496&gt;=Filter!$B$6),MAX(AH$1:AH495)+1,"")</f>
        <v>54</v>
      </c>
      <c r="AI496" s="39">
        <f t="shared" si="165"/>
        <v>46</v>
      </c>
      <c r="AJ496" s="42">
        <f t="shared" si="166"/>
        <v>0.04</v>
      </c>
      <c r="AK496" s="41">
        <f t="shared" si="167"/>
        <v>1138.49</v>
      </c>
      <c r="AL496" s="39">
        <f>RANK(E496,$E$2:$E$1001,0)+COUNTIF($E$2:E496,E496)-1</f>
        <v>75</v>
      </c>
    </row>
    <row r="497" spans="1:38" x14ac:dyDescent="0.2">
      <c r="A497" s="39">
        <v>1063</v>
      </c>
      <c r="B497" s="40">
        <v>45028</v>
      </c>
      <c r="C497" s="39" t="s">
        <v>71</v>
      </c>
      <c r="D497" s="39" t="s">
        <v>64</v>
      </c>
      <c r="E497" s="41">
        <v>5886.04</v>
      </c>
      <c r="F497" s="39">
        <v>40</v>
      </c>
      <c r="G497" s="39" t="s">
        <v>65</v>
      </c>
      <c r="H497" s="41">
        <v>2101.3200000000002</v>
      </c>
      <c r="I497" s="41">
        <v>2440.63</v>
      </c>
      <c r="J497" s="39" t="s">
        <v>143</v>
      </c>
      <c r="K497" s="42">
        <v>0.26</v>
      </c>
      <c r="L497" s="39" t="s">
        <v>63</v>
      </c>
      <c r="M497" s="39" t="s">
        <v>140</v>
      </c>
      <c r="N497" s="39" t="s">
        <v>160</v>
      </c>
      <c r="O497" s="43">
        <f t="shared" si="147"/>
        <v>97625.2</v>
      </c>
      <c r="P497" s="43">
        <f t="shared" si="148"/>
        <v>72242.649999999994</v>
      </c>
      <c r="Q497" s="43">
        <f t="shared" si="149"/>
        <v>84052.800000000003</v>
      </c>
      <c r="R497" s="43">
        <f t="shared" si="150"/>
        <v>-11810.150000000009</v>
      </c>
      <c r="S497" s="44">
        <f t="shared" si="151"/>
        <v>-0.1634789144639629</v>
      </c>
      <c r="T497" s="39" t="str">
        <f t="shared" si="152"/>
        <v>Loss</v>
      </c>
      <c r="U497" s="39" t="str">
        <f t="shared" si="153"/>
        <v>20%+</v>
      </c>
      <c r="V497" s="39" t="str">
        <f>IF(E497&gt;=Analysis!$B$4,"High",IF(E497&gt;=Analysis!$B$5,"Mid","Low"))</f>
        <v>Mid</v>
      </c>
      <c r="W497" s="39" t="str">
        <f t="shared" si="154"/>
        <v>2023-04</v>
      </c>
      <c r="X497" s="40">
        <f t="shared" si="155"/>
        <v>45046</v>
      </c>
      <c r="Y497" s="39" t="str">
        <f t="shared" si="156"/>
        <v>2023-Q2</v>
      </c>
      <c r="Z497" s="39" t="str">
        <f t="shared" si="157"/>
        <v>Wed</v>
      </c>
      <c r="AA497" s="39">
        <f t="shared" si="158"/>
        <v>3</v>
      </c>
      <c r="AB497" s="39">
        <f t="shared" si="159"/>
        <v>16</v>
      </c>
      <c r="AC497" s="39" t="str">
        <f t="shared" si="160"/>
        <v>Weekday</v>
      </c>
      <c r="AD497" s="39">
        <f t="shared" ca="1" si="161"/>
        <v>1291</v>
      </c>
      <c r="AE497" s="39">
        <f t="shared" ca="1" si="162"/>
        <v>42</v>
      </c>
      <c r="AF497" s="39" t="str">
        <f t="shared" si="163"/>
        <v>CHA</v>
      </c>
      <c r="AG497" s="39" t="str">
        <f t="shared" si="164"/>
        <v>NR-230412-0496</v>
      </c>
      <c r="AH497" s="39" t="str">
        <f>IF(AND(OR(Filter!$B$4="All",D497=Filter!$B$4),OR(Filter!$B$5="All",M497=Filter!$B$5),E497&gt;=Filter!$B$6),MAX(AH$1:AH496)+1,"")</f>
        <v/>
      </c>
      <c r="AI497" s="39">
        <f t="shared" si="165"/>
        <v>40</v>
      </c>
      <c r="AJ497" s="42">
        <f t="shared" si="166"/>
        <v>0.26</v>
      </c>
      <c r="AK497" s="41">
        <f t="shared" si="167"/>
        <v>2440.63</v>
      </c>
      <c r="AL497" s="39">
        <f>RANK(E497,$E$2:$E$1001,0)+COUNTIF($E$2:E497,E497)-1</f>
        <v>417</v>
      </c>
    </row>
    <row r="498" spans="1:38" x14ac:dyDescent="0.2">
      <c r="A498" s="39">
        <v>1069</v>
      </c>
      <c r="B498" s="40">
        <v>45280</v>
      </c>
      <c r="C498" s="39" t="s">
        <v>79</v>
      </c>
      <c r="D498" s="39" t="s">
        <v>64</v>
      </c>
      <c r="E498" s="41">
        <v>5429.49</v>
      </c>
      <c r="F498" s="39">
        <v>12</v>
      </c>
      <c r="G498" s="39" t="s">
        <v>75</v>
      </c>
      <c r="H498" s="41">
        <v>4682.34</v>
      </c>
      <c r="I498" s="41">
        <v>5036.3999999999996</v>
      </c>
      <c r="J498" s="39" t="s">
        <v>143</v>
      </c>
      <c r="K498" s="42">
        <v>0.2</v>
      </c>
      <c r="L498" s="39" t="s">
        <v>63</v>
      </c>
      <c r="M498" s="39" t="s">
        <v>140</v>
      </c>
      <c r="N498" s="39" t="s">
        <v>148</v>
      </c>
      <c r="O498" s="43">
        <f t="shared" si="147"/>
        <v>60436.800000000003</v>
      </c>
      <c r="P498" s="43">
        <f t="shared" si="148"/>
        <v>48349.440000000002</v>
      </c>
      <c r="Q498" s="43">
        <f t="shared" si="149"/>
        <v>56188.08</v>
      </c>
      <c r="R498" s="43">
        <f t="shared" si="150"/>
        <v>-7838.6399999999994</v>
      </c>
      <c r="S498" s="44">
        <f t="shared" si="151"/>
        <v>-0.16212473195139385</v>
      </c>
      <c r="T498" s="39" t="str">
        <f t="shared" si="152"/>
        <v>Loss</v>
      </c>
      <c r="U498" s="39" t="str">
        <f t="shared" si="153"/>
        <v>20%+</v>
      </c>
      <c r="V498" s="39" t="str">
        <f>IF(E498&gt;=Analysis!$B$4,"High",IF(E498&gt;=Analysis!$B$5,"Mid","Low"))</f>
        <v>Mid</v>
      </c>
      <c r="W498" s="39" t="str">
        <f t="shared" si="154"/>
        <v>2023-12</v>
      </c>
      <c r="X498" s="40">
        <f t="shared" si="155"/>
        <v>45291</v>
      </c>
      <c r="Y498" s="39" t="str">
        <f t="shared" si="156"/>
        <v>2023-Q4</v>
      </c>
      <c r="Z498" s="39" t="str">
        <f t="shared" si="157"/>
        <v>Wed</v>
      </c>
      <c r="AA498" s="39">
        <f t="shared" si="158"/>
        <v>3</v>
      </c>
      <c r="AB498" s="39">
        <f t="shared" si="159"/>
        <v>52</v>
      </c>
      <c r="AC498" s="39" t="str">
        <f t="shared" si="160"/>
        <v>Weekday</v>
      </c>
      <c r="AD498" s="39">
        <f t="shared" ca="1" si="161"/>
        <v>1039</v>
      </c>
      <c r="AE498" s="39">
        <f t="shared" ca="1" si="162"/>
        <v>34</v>
      </c>
      <c r="AF498" s="39" t="str">
        <f t="shared" si="163"/>
        <v>EVE</v>
      </c>
      <c r="AG498" s="39" t="str">
        <f t="shared" si="164"/>
        <v>NR-231220-0497</v>
      </c>
      <c r="AH498" s="39" t="str">
        <f>IF(AND(OR(Filter!$B$4="All",D498=Filter!$B$4),OR(Filter!$B$5="All",M498=Filter!$B$5),E498&gt;=Filter!$B$6),MAX(AH$1:AH497)+1,"")</f>
        <v/>
      </c>
      <c r="AI498" s="39">
        <f t="shared" si="165"/>
        <v>12</v>
      </c>
      <c r="AJ498" s="42">
        <f t="shared" si="166"/>
        <v>0.2</v>
      </c>
      <c r="AK498" s="41">
        <f t="shared" si="167"/>
        <v>5036.3999999999996</v>
      </c>
      <c r="AL498" s="39">
        <f>RANK(E498,$E$2:$E$1001,0)+COUNTIF($E$2:E498,E498)-1</f>
        <v>462</v>
      </c>
    </row>
    <row r="499" spans="1:38" x14ac:dyDescent="0.2">
      <c r="A499" s="39">
        <v>1022</v>
      </c>
      <c r="B499" s="40">
        <v>44938</v>
      </c>
      <c r="C499" s="39" t="s">
        <v>79</v>
      </c>
      <c r="D499" s="39" t="s">
        <v>59</v>
      </c>
      <c r="E499" s="41">
        <v>2761.65</v>
      </c>
      <c r="F499" s="39">
        <v>13</v>
      </c>
      <c r="G499" s="39" t="s">
        <v>70</v>
      </c>
      <c r="H499" s="41">
        <v>2312.4499999999998</v>
      </c>
      <c r="I499" s="41">
        <v>2504.6</v>
      </c>
      <c r="J499" s="39" t="s">
        <v>137</v>
      </c>
      <c r="K499" s="42">
        <v>0.06</v>
      </c>
      <c r="L499" s="39" t="s">
        <v>63</v>
      </c>
      <c r="M499" s="39" t="s">
        <v>138</v>
      </c>
      <c r="N499" s="39" t="s">
        <v>155</v>
      </c>
      <c r="O499" s="43">
        <f t="shared" si="147"/>
        <v>32559.8</v>
      </c>
      <c r="P499" s="43">
        <f t="shared" si="148"/>
        <v>30606.21</v>
      </c>
      <c r="Q499" s="43">
        <f t="shared" si="149"/>
        <v>30061.85</v>
      </c>
      <c r="R499" s="43">
        <f t="shared" si="150"/>
        <v>544.36000000000058</v>
      </c>
      <c r="S499" s="44">
        <f t="shared" si="151"/>
        <v>1.7785932985495446E-2</v>
      </c>
      <c r="T499" s="39" t="str">
        <f t="shared" si="152"/>
        <v>OK</v>
      </c>
      <c r="U499" s="39" t="str">
        <f t="shared" si="153"/>
        <v>0-9%</v>
      </c>
      <c r="V499" s="39" t="str">
        <f>IF(E499&gt;=Analysis!$B$4,"High",IF(E499&gt;=Analysis!$B$5,"Mid","Low"))</f>
        <v>Mid</v>
      </c>
      <c r="W499" s="39" t="str">
        <f t="shared" si="154"/>
        <v>2023-01</v>
      </c>
      <c r="X499" s="40">
        <f t="shared" si="155"/>
        <v>44957</v>
      </c>
      <c r="Y499" s="39" t="str">
        <f t="shared" si="156"/>
        <v>2023-Q1</v>
      </c>
      <c r="Z499" s="39" t="str">
        <f t="shared" si="157"/>
        <v>Thu</v>
      </c>
      <c r="AA499" s="39">
        <f t="shared" si="158"/>
        <v>4</v>
      </c>
      <c r="AB499" s="39">
        <f t="shared" si="159"/>
        <v>3</v>
      </c>
      <c r="AC499" s="39" t="str">
        <f t="shared" si="160"/>
        <v>Weekday</v>
      </c>
      <c r="AD499" s="39">
        <f t="shared" ca="1" si="161"/>
        <v>1381</v>
      </c>
      <c r="AE499" s="39">
        <f t="shared" ca="1" si="162"/>
        <v>45</v>
      </c>
      <c r="AF499" s="39" t="str">
        <f t="shared" si="163"/>
        <v>EVE</v>
      </c>
      <c r="AG499" s="39" t="str">
        <f t="shared" si="164"/>
        <v>EO-230112-0498</v>
      </c>
      <c r="AH499" s="39" t="str">
        <f>IF(AND(OR(Filter!$B$4="All",D499=Filter!$B$4),OR(Filter!$B$5="All",M499=Filter!$B$5),E499&gt;=Filter!$B$6),MAX(AH$1:AH498)+1,"")</f>
        <v/>
      </c>
      <c r="AI499" s="39">
        <f t="shared" si="165"/>
        <v>13</v>
      </c>
      <c r="AJ499" s="42">
        <f t="shared" si="166"/>
        <v>0.06</v>
      </c>
      <c r="AK499" s="41">
        <f t="shared" si="167"/>
        <v>2504.6</v>
      </c>
      <c r="AL499" s="39">
        <f>RANK(E499,$E$2:$E$1001,0)+COUNTIF($E$2:E499,E499)-1</f>
        <v>723</v>
      </c>
    </row>
    <row r="500" spans="1:38" x14ac:dyDescent="0.2">
      <c r="A500" s="39">
        <v>1093</v>
      </c>
      <c r="B500" s="40">
        <v>45201</v>
      </c>
      <c r="C500" s="39" t="s">
        <v>66</v>
      </c>
      <c r="D500" s="39" t="s">
        <v>74</v>
      </c>
      <c r="E500" s="41">
        <v>3747.64</v>
      </c>
      <c r="F500" s="39">
        <v>43</v>
      </c>
      <c r="G500" s="39" t="s">
        <v>65</v>
      </c>
      <c r="H500" s="41">
        <v>1486.76</v>
      </c>
      <c r="I500" s="41">
        <v>1505.44</v>
      </c>
      <c r="J500" s="39" t="s">
        <v>143</v>
      </c>
      <c r="K500" s="42">
        <v>0.08</v>
      </c>
      <c r="L500" s="39" t="s">
        <v>68</v>
      </c>
      <c r="M500" s="39" t="s">
        <v>140</v>
      </c>
      <c r="N500" s="39" t="s">
        <v>141</v>
      </c>
      <c r="O500" s="43">
        <f t="shared" si="147"/>
        <v>64733.919999999998</v>
      </c>
      <c r="P500" s="43">
        <f t="shared" si="148"/>
        <v>59555.21</v>
      </c>
      <c r="Q500" s="43">
        <f t="shared" si="149"/>
        <v>63930.68</v>
      </c>
      <c r="R500" s="43">
        <f t="shared" si="150"/>
        <v>-4375.4700000000012</v>
      </c>
      <c r="S500" s="44">
        <f t="shared" si="151"/>
        <v>-7.3469138972056369E-2</v>
      </c>
      <c r="T500" s="39" t="str">
        <f t="shared" si="152"/>
        <v>Loss</v>
      </c>
      <c r="U500" s="39" t="str">
        <f t="shared" si="153"/>
        <v>0-9%</v>
      </c>
      <c r="V500" s="39" t="str">
        <f>IF(E500&gt;=Analysis!$B$4,"High",IF(E500&gt;=Analysis!$B$5,"Mid","Low"))</f>
        <v>Mid</v>
      </c>
      <c r="W500" s="39" t="str">
        <f t="shared" si="154"/>
        <v>2023-10</v>
      </c>
      <c r="X500" s="40">
        <f t="shared" si="155"/>
        <v>45230</v>
      </c>
      <c r="Y500" s="39" t="str">
        <f t="shared" si="156"/>
        <v>2023-Q4</v>
      </c>
      <c r="Z500" s="39" t="str">
        <f t="shared" si="157"/>
        <v>Mon</v>
      </c>
      <c r="AA500" s="39">
        <f t="shared" si="158"/>
        <v>1</v>
      </c>
      <c r="AB500" s="39">
        <f t="shared" si="159"/>
        <v>41</v>
      </c>
      <c r="AC500" s="39" t="str">
        <f t="shared" si="160"/>
        <v>Weekday</v>
      </c>
      <c r="AD500" s="39">
        <f t="shared" ca="1" si="161"/>
        <v>1118</v>
      </c>
      <c r="AE500" s="39">
        <f t="shared" ca="1" si="162"/>
        <v>36</v>
      </c>
      <c r="AF500" s="39" t="str">
        <f t="shared" si="163"/>
        <v>BOB</v>
      </c>
      <c r="AG500" s="39" t="str">
        <f t="shared" si="164"/>
        <v>WR-231002-0499</v>
      </c>
      <c r="AH500" s="39" t="str">
        <f>IF(AND(OR(Filter!$B$4="All",D500=Filter!$B$4),OR(Filter!$B$5="All",M500=Filter!$B$5),E500&gt;=Filter!$B$6),MAX(AH$1:AH499)+1,"")</f>
        <v/>
      </c>
      <c r="AI500" s="39">
        <f t="shared" si="165"/>
        <v>43</v>
      </c>
      <c r="AJ500" s="42">
        <f t="shared" si="166"/>
        <v>0.08</v>
      </c>
      <c r="AK500" s="41">
        <f t="shared" si="167"/>
        <v>1505.44</v>
      </c>
      <c r="AL500" s="39">
        <f>RANK(E500,$E$2:$E$1001,0)+COUNTIF($E$2:E500,E500)-1</f>
        <v>626</v>
      </c>
    </row>
    <row r="501" spans="1:38" x14ac:dyDescent="0.2">
      <c r="A501" s="39">
        <v>1067</v>
      </c>
      <c r="B501" s="40">
        <v>45027</v>
      </c>
      <c r="C501" s="39" t="s">
        <v>66</v>
      </c>
      <c r="D501" s="39" t="s">
        <v>59</v>
      </c>
      <c r="E501" s="41">
        <v>8963.93</v>
      </c>
      <c r="F501" s="39">
        <v>17</v>
      </c>
      <c r="G501" s="39" t="s">
        <v>70</v>
      </c>
      <c r="H501" s="41">
        <v>2831.58</v>
      </c>
      <c r="I501" s="41">
        <v>3186.15</v>
      </c>
      <c r="J501" s="39" t="s">
        <v>143</v>
      </c>
      <c r="K501" s="42">
        <v>0.24</v>
      </c>
      <c r="L501" s="39" t="s">
        <v>63</v>
      </c>
      <c r="M501" s="39" t="s">
        <v>140</v>
      </c>
      <c r="N501" s="39" t="s">
        <v>153</v>
      </c>
      <c r="O501" s="43">
        <f t="shared" si="147"/>
        <v>54164.55</v>
      </c>
      <c r="P501" s="43">
        <f t="shared" si="148"/>
        <v>41165.06</v>
      </c>
      <c r="Q501" s="43">
        <f t="shared" si="149"/>
        <v>48136.86</v>
      </c>
      <c r="R501" s="43">
        <f t="shared" si="150"/>
        <v>-6971.8000000000029</v>
      </c>
      <c r="S501" s="44">
        <f t="shared" si="151"/>
        <v>-0.16936207550772434</v>
      </c>
      <c r="T501" s="39" t="str">
        <f t="shared" si="152"/>
        <v>Loss</v>
      </c>
      <c r="U501" s="39" t="str">
        <f t="shared" si="153"/>
        <v>20%+</v>
      </c>
      <c r="V501" s="39" t="str">
        <f>IF(E501&gt;=Analysis!$B$4,"High",IF(E501&gt;=Analysis!$B$5,"Mid","Low"))</f>
        <v>High</v>
      </c>
      <c r="W501" s="39" t="str">
        <f t="shared" si="154"/>
        <v>2023-04</v>
      </c>
      <c r="X501" s="40">
        <f t="shared" si="155"/>
        <v>45046</v>
      </c>
      <c r="Y501" s="39" t="str">
        <f t="shared" si="156"/>
        <v>2023-Q2</v>
      </c>
      <c r="Z501" s="39" t="str">
        <f t="shared" si="157"/>
        <v>Tue</v>
      </c>
      <c r="AA501" s="39">
        <f t="shared" si="158"/>
        <v>2</v>
      </c>
      <c r="AB501" s="39">
        <f t="shared" si="159"/>
        <v>16</v>
      </c>
      <c r="AC501" s="39" t="str">
        <f t="shared" si="160"/>
        <v>Weekday</v>
      </c>
      <c r="AD501" s="39">
        <f t="shared" ca="1" si="161"/>
        <v>1292</v>
      </c>
      <c r="AE501" s="39">
        <f t="shared" ca="1" si="162"/>
        <v>42</v>
      </c>
      <c r="AF501" s="39" t="str">
        <f t="shared" si="163"/>
        <v>BOB</v>
      </c>
      <c r="AG501" s="39" t="str">
        <f t="shared" si="164"/>
        <v>ER-230411-0500</v>
      </c>
      <c r="AH501" s="39" t="str">
        <f>IF(AND(OR(Filter!$B$4="All",D501=Filter!$B$4),OR(Filter!$B$5="All",M501=Filter!$B$5),E501&gt;=Filter!$B$6),MAX(AH$1:AH500)+1,"")</f>
        <v/>
      </c>
      <c r="AI501" s="39">
        <f t="shared" si="165"/>
        <v>17</v>
      </c>
      <c r="AJ501" s="42">
        <f t="shared" si="166"/>
        <v>0.24</v>
      </c>
      <c r="AK501" s="41">
        <f t="shared" si="167"/>
        <v>3186.15</v>
      </c>
      <c r="AL501" s="39">
        <f>RANK(E501,$E$2:$E$1001,0)+COUNTIF($E$2:E501,E501)-1</f>
        <v>95</v>
      </c>
    </row>
    <row r="502" spans="1:38" x14ac:dyDescent="0.2">
      <c r="A502" s="39">
        <v>1076</v>
      </c>
      <c r="B502" s="40">
        <v>44970</v>
      </c>
      <c r="C502" s="39" t="s">
        <v>79</v>
      </c>
      <c r="D502" s="39" t="s">
        <v>64</v>
      </c>
      <c r="E502" s="41">
        <v>6697.98</v>
      </c>
      <c r="F502" s="39">
        <v>17</v>
      </c>
      <c r="G502" s="39" t="s">
        <v>60</v>
      </c>
      <c r="H502" s="41">
        <v>604.08000000000004</v>
      </c>
      <c r="I502" s="41">
        <v>624.71</v>
      </c>
      <c r="J502" s="39" t="s">
        <v>143</v>
      </c>
      <c r="K502" s="42">
        <v>0.14000000000000001</v>
      </c>
      <c r="L502" s="39" t="s">
        <v>63</v>
      </c>
      <c r="M502" s="39" t="s">
        <v>140</v>
      </c>
      <c r="N502" s="39" t="s">
        <v>148</v>
      </c>
      <c r="O502" s="43">
        <f t="shared" si="147"/>
        <v>10620.07</v>
      </c>
      <c r="P502" s="43">
        <f t="shared" si="148"/>
        <v>9133.26</v>
      </c>
      <c r="Q502" s="43">
        <f t="shared" si="149"/>
        <v>10269.36</v>
      </c>
      <c r="R502" s="43">
        <f t="shared" si="150"/>
        <v>-1136.1000000000004</v>
      </c>
      <c r="S502" s="44">
        <f t="shared" si="151"/>
        <v>-0.12439150971285175</v>
      </c>
      <c r="T502" s="39" t="str">
        <f t="shared" si="152"/>
        <v>Loss</v>
      </c>
      <c r="U502" s="39" t="str">
        <f t="shared" si="153"/>
        <v>10-19%</v>
      </c>
      <c r="V502" s="39" t="str">
        <f>IF(E502&gt;=Analysis!$B$4,"High",IF(E502&gt;=Analysis!$B$5,"Mid","Low"))</f>
        <v>Mid</v>
      </c>
      <c r="W502" s="39" t="str">
        <f t="shared" si="154"/>
        <v>2023-02</v>
      </c>
      <c r="X502" s="40">
        <f t="shared" si="155"/>
        <v>44985</v>
      </c>
      <c r="Y502" s="39" t="str">
        <f t="shared" si="156"/>
        <v>2023-Q1</v>
      </c>
      <c r="Z502" s="39" t="str">
        <f t="shared" si="157"/>
        <v>Mon</v>
      </c>
      <c r="AA502" s="39">
        <f t="shared" si="158"/>
        <v>1</v>
      </c>
      <c r="AB502" s="39">
        <f t="shared" si="159"/>
        <v>8</v>
      </c>
      <c r="AC502" s="39" t="str">
        <f t="shared" si="160"/>
        <v>Weekday</v>
      </c>
      <c r="AD502" s="39">
        <f t="shared" ca="1" si="161"/>
        <v>1349</v>
      </c>
      <c r="AE502" s="39">
        <f t="shared" ca="1" si="162"/>
        <v>44</v>
      </c>
      <c r="AF502" s="39" t="str">
        <f t="shared" si="163"/>
        <v>EVE</v>
      </c>
      <c r="AG502" s="39" t="str">
        <f t="shared" si="164"/>
        <v>NR-230213-0501</v>
      </c>
      <c r="AH502" s="39" t="str">
        <f>IF(AND(OR(Filter!$B$4="All",D502=Filter!$B$4),OR(Filter!$B$5="All",M502=Filter!$B$5),E502&gt;=Filter!$B$6),MAX(AH$1:AH501)+1,"")</f>
        <v/>
      </c>
      <c r="AI502" s="39">
        <f t="shared" si="165"/>
        <v>17</v>
      </c>
      <c r="AJ502" s="42">
        <f t="shared" si="166"/>
        <v>0.14000000000000001</v>
      </c>
      <c r="AK502" s="41">
        <f t="shared" si="167"/>
        <v>624.71</v>
      </c>
      <c r="AL502" s="39">
        <f>RANK(E502,$E$2:$E$1001,0)+COUNTIF($E$2:E502,E502)-1</f>
        <v>337</v>
      </c>
    </row>
    <row r="503" spans="1:38" x14ac:dyDescent="0.2">
      <c r="A503" s="39">
        <v>1026</v>
      </c>
      <c r="B503" s="40">
        <v>45231</v>
      </c>
      <c r="C503" s="39" t="s">
        <v>61</v>
      </c>
      <c r="D503" s="39" t="s">
        <v>69</v>
      </c>
      <c r="E503" s="41">
        <v>7895.13</v>
      </c>
      <c r="F503" s="39">
        <v>36</v>
      </c>
      <c r="G503" s="39" t="s">
        <v>60</v>
      </c>
      <c r="H503" s="41">
        <v>3067.05</v>
      </c>
      <c r="I503" s="41">
        <v>3386.33</v>
      </c>
      <c r="J503" s="39" t="s">
        <v>143</v>
      </c>
      <c r="K503" s="42">
        <v>0.2</v>
      </c>
      <c r="L503" s="39" t="s">
        <v>63</v>
      </c>
      <c r="M503" s="39" t="s">
        <v>138</v>
      </c>
      <c r="N503" s="39" t="s">
        <v>150</v>
      </c>
      <c r="O503" s="43">
        <f t="shared" si="147"/>
        <v>121907.88</v>
      </c>
      <c r="P503" s="43">
        <f t="shared" si="148"/>
        <v>97526.3</v>
      </c>
      <c r="Q503" s="43">
        <f t="shared" si="149"/>
        <v>110413.8</v>
      </c>
      <c r="R503" s="43">
        <f t="shared" si="150"/>
        <v>-12887.5</v>
      </c>
      <c r="S503" s="44">
        <f t="shared" si="151"/>
        <v>-0.13214384222512285</v>
      </c>
      <c r="T503" s="39" t="str">
        <f t="shared" si="152"/>
        <v>Loss</v>
      </c>
      <c r="U503" s="39" t="str">
        <f t="shared" si="153"/>
        <v>20%+</v>
      </c>
      <c r="V503" s="39" t="str">
        <f>IF(E503&gt;=Analysis!$B$4,"High",IF(E503&gt;=Analysis!$B$5,"Mid","Low"))</f>
        <v>High</v>
      </c>
      <c r="W503" s="39" t="str">
        <f t="shared" si="154"/>
        <v>2023-11</v>
      </c>
      <c r="X503" s="40">
        <f t="shared" si="155"/>
        <v>45260</v>
      </c>
      <c r="Y503" s="39" t="str">
        <f t="shared" si="156"/>
        <v>2023-Q4</v>
      </c>
      <c r="Z503" s="39" t="str">
        <f t="shared" si="157"/>
        <v>Wed</v>
      </c>
      <c r="AA503" s="39">
        <f t="shared" si="158"/>
        <v>3</v>
      </c>
      <c r="AB503" s="39">
        <f t="shared" si="159"/>
        <v>45</v>
      </c>
      <c r="AC503" s="39" t="str">
        <f t="shared" si="160"/>
        <v>Weekday</v>
      </c>
      <c r="AD503" s="39">
        <f t="shared" ca="1" si="161"/>
        <v>1088</v>
      </c>
      <c r="AE503" s="39">
        <f t="shared" ca="1" si="162"/>
        <v>35</v>
      </c>
      <c r="AF503" s="39" t="str">
        <f t="shared" si="163"/>
        <v>ALI</v>
      </c>
      <c r="AG503" s="39" t="str">
        <f t="shared" si="164"/>
        <v>SO-231101-0502</v>
      </c>
      <c r="AH503" s="39" t="str">
        <f>IF(AND(OR(Filter!$B$4="All",D503=Filter!$B$4),OR(Filter!$B$5="All",M503=Filter!$B$5),E503&gt;=Filter!$B$6),MAX(AH$1:AH502)+1,"")</f>
        <v/>
      </c>
      <c r="AI503" s="39">
        <f t="shared" si="165"/>
        <v>36</v>
      </c>
      <c r="AJ503" s="42">
        <f t="shared" si="166"/>
        <v>0.2</v>
      </c>
      <c r="AK503" s="41">
        <f t="shared" si="167"/>
        <v>3386.33</v>
      </c>
      <c r="AL503" s="39">
        <f>RANK(E503,$E$2:$E$1001,0)+COUNTIF($E$2:E503,E503)-1</f>
        <v>206</v>
      </c>
    </row>
    <row r="504" spans="1:38" x14ac:dyDescent="0.2">
      <c r="A504" s="39">
        <v>1016</v>
      </c>
      <c r="B504" s="40">
        <v>44943</v>
      </c>
      <c r="C504" s="39" t="s">
        <v>79</v>
      </c>
      <c r="D504" s="39" t="s">
        <v>74</v>
      </c>
      <c r="E504" s="41">
        <v>4598.0200000000004</v>
      </c>
      <c r="F504" s="39">
        <v>21</v>
      </c>
      <c r="G504" s="39" t="s">
        <v>65</v>
      </c>
      <c r="H504" s="41">
        <v>2863.74</v>
      </c>
      <c r="I504" s="41">
        <v>2953.91</v>
      </c>
      <c r="J504" s="39" t="s">
        <v>143</v>
      </c>
      <c r="K504" s="42">
        <v>0.1</v>
      </c>
      <c r="L504" s="39" t="s">
        <v>63</v>
      </c>
      <c r="M504" s="39" t="s">
        <v>140</v>
      </c>
      <c r="N504" s="39" t="s">
        <v>149</v>
      </c>
      <c r="O504" s="43">
        <f t="shared" si="147"/>
        <v>62032.11</v>
      </c>
      <c r="P504" s="43">
        <f t="shared" si="148"/>
        <v>55828.9</v>
      </c>
      <c r="Q504" s="43">
        <f t="shared" si="149"/>
        <v>60138.54</v>
      </c>
      <c r="R504" s="43">
        <f t="shared" si="150"/>
        <v>-4309.6399999999994</v>
      </c>
      <c r="S504" s="44">
        <f t="shared" si="151"/>
        <v>-7.7193711500674375E-2</v>
      </c>
      <c r="T504" s="39" t="str">
        <f t="shared" si="152"/>
        <v>Loss</v>
      </c>
      <c r="U504" s="39" t="str">
        <f t="shared" si="153"/>
        <v>10-19%</v>
      </c>
      <c r="V504" s="39" t="str">
        <f>IF(E504&gt;=Analysis!$B$4,"High",IF(E504&gt;=Analysis!$B$5,"Mid","Low"))</f>
        <v>Mid</v>
      </c>
      <c r="W504" s="39" t="str">
        <f t="shared" si="154"/>
        <v>2023-01</v>
      </c>
      <c r="X504" s="40">
        <f t="shared" si="155"/>
        <v>44957</v>
      </c>
      <c r="Y504" s="39" t="str">
        <f t="shared" si="156"/>
        <v>2023-Q1</v>
      </c>
      <c r="Z504" s="39" t="str">
        <f t="shared" si="157"/>
        <v>Tue</v>
      </c>
      <c r="AA504" s="39">
        <f t="shared" si="158"/>
        <v>2</v>
      </c>
      <c r="AB504" s="39">
        <f t="shared" si="159"/>
        <v>4</v>
      </c>
      <c r="AC504" s="39" t="str">
        <f t="shared" si="160"/>
        <v>Weekday</v>
      </c>
      <c r="AD504" s="39">
        <f t="shared" ca="1" si="161"/>
        <v>1376</v>
      </c>
      <c r="AE504" s="39">
        <f t="shared" ca="1" si="162"/>
        <v>45</v>
      </c>
      <c r="AF504" s="39" t="str">
        <f t="shared" si="163"/>
        <v>EVE</v>
      </c>
      <c r="AG504" s="39" t="str">
        <f t="shared" si="164"/>
        <v>WR-230117-0503</v>
      </c>
      <c r="AH504" s="39" t="str">
        <f>IF(AND(OR(Filter!$B$4="All",D504=Filter!$B$4),OR(Filter!$B$5="All",M504=Filter!$B$5),E504&gt;=Filter!$B$6),MAX(AH$1:AH503)+1,"")</f>
        <v/>
      </c>
      <c r="AI504" s="39">
        <f t="shared" si="165"/>
        <v>21</v>
      </c>
      <c r="AJ504" s="42">
        <f t="shared" si="166"/>
        <v>0.1</v>
      </c>
      <c r="AK504" s="41">
        <f t="shared" si="167"/>
        <v>2953.91</v>
      </c>
      <c r="AL504" s="39">
        <f>RANK(E504,$E$2:$E$1001,0)+COUNTIF($E$2:E504,E504)-1</f>
        <v>542</v>
      </c>
    </row>
    <row r="505" spans="1:38" x14ac:dyDescent="0.2">
      <c r="A505" s="39">
        <v>1051</v>
      </c>
      <c r="B505" s="40">
        <v>45256</v>
      </c>
      <c r="C505" s="39" t="s">
        <v>79</v>
      </c>
      <c r="D505" s="39" t="s">
        <v>69</v>
      </c>
      <c r="E505" s="41">
        <v>6339.45</v>
      </c>
      <c r="F505" s="39">
        <v>8</v>
      </c>
      <c r="G505" s="39" t="s">
        <v>70</v>
      </c>
      <c r="H505" s="41">
        <v>3970.37</v>
      </c>
      <c r="I505" s="41">
        <v>4257.5200000000004</v>
      </c>
      <c r="J505" s="39" t="s">
        <v>143</v>
      </c>
      <c r="K505" s="42">
        <v>0.11</v>
      </c>
      <c r="L505" s="39" t="s">
        <v>68</v>
      </c>
      <c r="M505" s="39" t="s">
        <v>140</v>
      </c>
      <c r="N505" s="39" t="s">
        <v>147</v>
      </c>
      <c r="O505" s="43">
        <f t="shared" si="147"/>
        <v>34060.160000000003</v>
      </c>
      <c r="P505" s="43">
        <f t="shared" si="148"/>
        <v>30313.54</v>
      </c>
      <c r="Q505" s="43">
        <f t="shared" si="149"/>
        <v>31762.959999999999</v>
      </c>
      <c r="R505" s="43">
        <f t="shared" si="150"/>
        <v>-1449.4199999999983</v>
      </c>
      <c r="S505" s="44">
        <f t="shared" si="151"/>
        <v>-4.7814277052432616E-2</v>
      </c>
      <c r="T505" s="39" t="str">
        <f t="shared" si="152"/>
        <v>Loss</v>
      </c>
      <c r="U505" s="39" t="str">
        <f t="shared" si="153"/>
        <v>10-19%</v>
      </c>
      <c r="V505" s="39" t="str">
        <f>IF(E505&gt;=Analysis!$B$4,"High",IF(E505&gt;=Analysis!$B$5,"Mid","Low"))</f>
        <v>Mid</v>
      </c>
      <c r="W505" s="39" t="str">
        <f t="shared" si="154"/>
        <v>2023-11</v>
      </c>
      <c r="X505" s="40">
        <f t="shared" si="155"/>
        <v>45260</v>
      </c>
      <c r="Y505" s="39" t="str">
        <f t="shared" si="156"/>
        <v>2023-Q4</v>
      </c>
      <c r="Z505" s="39" t="str">
        <f t="shared" si="157"/>
        <v>Sun</v>
      </c>
      <c r="AA505" s="39">
        <f t="shared" si="158"/>
        <v>7</v>
      </c>
      <c r="AB505" s="39">
        <f t="shared" si="159"/>
        <v>48</v>
      </c>
      <c r="AC505" s="39" t="str">
        <f t="shared" si="160"/>
        <v>Weekend</v>
      </c>
      <c r="AD505" s="39">
        <f t="shared" ca="1" si="161"/>
        <v>1063</v>
      </c>
      <c r="AE505" s="39">
        <f t="shared" ca="1" si="162"/>
        <v>34</v>
      </c>
      <c r="AF505" s="39" t="str">
        <f t="shared" si="163"/>
        <v>EVE</v>
      </c>
      <c r="AG505" s="39" t="str">
        <f t="shared" si="164"/>
        <v>SR-231126-0504</v>
      </c>
      <c r="AH505" s="39" t="str">
        <f>IF(AND(OR(Filter!$B$4="All",D505=Filter!$B$4),OR(Filter!$B$5="All",M505=Filter!$B$5),E505&gt;=Filter!$B$6),MAX(AH$1:AH504)+1,"")</f>
        <v/>
      </c>
      <c r="AI505" s="39">
        <f t="shared" si="165"/>
        <v>8</v>
      </c>
      <c r="AJ505" s="42">
        <f t="shared" si="166"/>
        <v>0.11</v>
      </c>
      <c r="AK505" s="41">
        <f t="shared" si="167"/>
        <v>4257.5200000000004</v>
      </c>
      <c r="AL505" s="39">
        <f>RANK(E505,$E$2:$E$1001,0)+COUNTIF($E$2:E505,E505)-1</f>
        <v>375</v>
      </c>
    </row>
    <row r="506" spans="1:38" x14ac:dyDescent="0.2">
      <c r="A506" s="39">
        <v>1086</v>
      </c>
      <c r="B506" s="40">
        <v>44983</v>
      </c>
      <c r="C506" s="39" t="s">
        <v>66</v>
      </c>
      <c r="D506" s="39" t="s">
        <v>74</v>
      </c>
      <c r="E506" s="41">
        <v>2559</v>
      </c>
      <c r="F506" s="39">
        <v>5</v>
      </c>
      <c r="G506" s="39" t="s">
        <v>65</v>
      </c>
      <c r="H506" s="41">
        <v>4934.1000000000004</v>
      </c>
      <c r="I506" s="41">
        <v>5191.0200000000004</v>
      </c>
      <c r="J506" s="39" t="s">
        <v>143</v>
      </c>
      <c r="K506" s="42">
        <v>0.3</v>
      </c>
      <c r="L506" s="39" t="s">
        <v>63</v>
      </c>
      <c r="M506" s="39" t="s">
        <v>138</v>
      </c>
      <c r="N506" s="39" t="s">
        <v>141</v>
      </c>
      <c r="O506" s="43">
        <f t="shared" si="147"/>
        <v>25955.1</v>
      </c>
      <c r="P506" s="43">
        <f t="shared" si="148"/>
        <v>18168.57</v>
      </c>
      <c r="Q506" s="43">
        <f t="shared" si="149"/>
        <v>24670.5</v>
      </c>
      <c r="R506" s="43">
        <f t="shared" si="150"/>
        <v>-6501.93</v>
      </c>
      <c r="S506" s="44">
        <f t="shared" si="151"/>
        <v>-0.35786690972377022</v>
      </c>
      <c r="T506" s="39" t="str">
        <f t="shared" si="152"/>
        <v>Loss</v>
      </c>
      <c r="U506" s="39" t="str">
        <f t="shared" si="153"/>
        <v>20%+</v>
      </c>
      <c r="V506" s="39" t="str">
        <f>IF(E506&gt;=Analysis!$B$4,"High",IF(E506&gt;=Analysis!$B$5,"Mid","Low"))</f>
        <v>Mid</v>
      </c>
      <c r="W506" s="39" t="str">
        <f t="shared" si="154"/>
        <v>2023-02</v>
      </c>
      <c r="X506" s="40">
        <f t="shared" si="155"/>
        <v>44985</v>
      </c>
      <c r="Y506" s="39" t="str">
        <f t="shared" si="156"/>
        <v>2023-Q1</v>
      </c>
      <c r="Z506" s="39" t="str">
        <f t="shared" si="157"/>
        <v>Sun</v>
      </c>
      <c r="AA506" s="39">
        <f t="shared" si="158"/>
        <v>7</v>
      </c>
      <c r="AB506" s="39">
        <f t="shared" si="159"/>
        <v>9</v>
      </c>
      <c r="AC506" s="39" t="str">
        <f t="shared" si="160"/>
        <v>Weekend</v>
      </c>
      <c r="AD506" s="39">
        <f t="shared" ca="1" si="161"/>
        <v>1336</v>
      </c>
      <c r="AE506" s="39">
        <f t="shared" ca="1" si="162"/>
        <v>43</v>
      </c>
      <c r="AF506" s="39" t="str">
        <f t="shared" si="163"/>
        <v>BOB</v>
      </c>
      <c r="AG506" s="39" t="str">
        <f t="shared" si="164"/>
        <v>WO-230226-0505</v>
      </c>
      <c r="AH506" s="39" t="str">
        <f>IF(AND(OR(Filter!$B$4="All",D506=Filter!$B$4),OR(Filter!$B$5="All",M506=Filter!$B$5),E506&gt;=Filter!$B$6),MAX(AH$1:AH505)+1,"")</f>
        <v/>
      </c>
      <c r="AI506" s="39">
        <f t="shared" si="165"/>
        <v>5</v>
      </c>
      <c r="AJ506" s="42">
        <f t="shared" si="166"/>
        <v>0.3</v>
      </c>
      <c r="AK506" s="41">
        <f t="shared" si="167"/>
        <v>5191.0200000000004</v>
      </c>
      <c r="AL506" s="39">
        <f>RANK(E506,$E$2:$E$1001,0)+COUNTIF($E$2:E506,E506)-1</f>
        <v>748</v>
      </c>
    </row>
    <row r="507" spans="1:38" x14ac:dyDescent="0.2">
      <c r="A507" s="39">
        <v>1057</v>
      </c>
      <c r="B507" s="40">
        <v>45237</v>
      </c>
      <c r="C507" s="39" t="s">
        <v>66</v>
      </c>
      <c r="D507" s="39" t="s">
        <v>59</v>
      </c>
      <c r="E507" s="41">
        <v>7084.06</v>
      </c>
      <c r="F507" s="39">
        <v>26</v>
      </c>
      <c r="G507" s="39" t="s">
        <v>60</v>
      </c>
      <c r="H507" s="41">
        <v>1291.82</v>
      </c>
      <c r="I507" s="41">
        <v>1308.44</v>
      </c>
      <c r="J507" s="39" t="s">
        <v>137</v>
      </c>
      <c r="K507" s="42">
        <v>7.0000000000000007E-2</v>
      </c>
      <c r="L507" s="39" t="s">
        <v>73</v>
      </c>
      <c r="M507" s="39" t="s">
        <v>138</v>
      </c>
      <c r="N507" s="39" t="s">
        <v>153</v>
      </c>
      <c r="O507" s="43">
        <f t="shared" si="147"/>
        <v>34019.440000000002</v>
      </c>
      <c r="P507" s="43">
        <f t="shared" si="148"/>
        <v>31638.080000000002</v>
      </c>
      <c r="Q507" s="43">
        <f t="shared" si="149"/>
        <v>33587.32</v>
      </c>
      <c r="R507" s="43">
        <f t="shared" si="150"/>
        <v>-1949.239999999998</v>
      </c>
      <c r="S507" s="44">
        <f t="shared" si="151"/>
        <v>-6.1610565495756942E-2</v>
      </c>
      <c r="T507" s="39" t="str">
        <f t="shared" si="152"/>
        <v>Loss</v>
      </c>
      <c r="U507" s="39" t="str">
        <f t="shared" si="153"/>
        <v>0-9%</v>
      </c>
      <c r="V507" s="39" t="str">
        <f>IF(E507&gt;=Analysis!$B$4,"High",IF(E507&gt;=Analysis!$B$5,"Mid","Low"))</f>
        <v>Mid</v>
      </c>
      <c r="W507" s="39" t="str">
        <f t="shared" si="154"/>
        <v>2023-11</v>
      </c>
      <c r="X507" s="40">
        <f t="shared" si="155"/>
        <v>45260</v>
      </c>
      <c r="Y507" s="39" t="str">
        <f t="shared" si="156"/>
        <v>2023-Q4</v>
      </c>
      <c r="Z507" s="39" t="str">
        <f t="shared" si="157"/>
        <v>Tue</v>
      </c>
      <c r="AA507" s="39">
        <f t="shared" si="158"/>
        <v>2</v>
      </c>
      <c r="AB507" s="39">
        <f t="shared" si="159"/>
        <v>46</v>
      </c>
      <c r="AC507" s="39" t="str">
        <f t="shared" si="160"/>
        <v>Weekday</v>
      </c>
      <c r="AD507" s="39">
        <f t="shared" ca="1" si="161"/>
        <v>1082</v>
      </c>
      <c r="AE507" s="39">
        <f t="shared" ca="1" si="162"/>
        <v>35</v>
      </c>
      <c r="AF507" s="39" t="str">
        <f t="shared" si="163"/>
        <v>BOB</v>
      </c>
      <c r="AG507" s="39" t="str">
        <f t="shared" si="164"/>
        <v>EO-231107-0506</v>
      </c>
      <c r="AH507" s="39" t="str">
        <f>IF(AND(OR(Filter!$B$4="All",D507=Filter!$B$4),OR(Filter!$B$5="All",M507=Filter!$B$5),E507&gt;=Filter!$B$6),MAX(AH$1:AH506)+1,"")</f>
        <v/>
      </c>
      <c r="AI507" s="39">
        <f t="shared" si="165"/>
        <v>26</v>
      </c>
      <c r="AJ507" s="42">
        <f t="shared" si="166"/>
        <v>7.0000000000000007E-2</v>
      </c>
      <c r="AK507" s="41">
        <f t="shared" si="167"/>
        <v>1308.44</v>
      </c>
      <c r="AL507" s="39">
        <f>RANK(E507,$E$2:$E$1001,0)+COUNTIF($E$2:E507,E507)-1</f>
        <v>291</v>
      </c>
    </row>
    <row r="508" spans="1:38" x14ac:dyDescent="0.2">
      <c r="A508" s="39">
        <v>1029</v>
      </c>
      <c r="B508" s="40">
        <v>45229</v>
      </c>
      <c r="C508" s="39" t="s">
        <v>79</v>
      </c>
      <c r="D508" s="39" t="s">
        <v>59</v>
      </c>
      <c r="E508" s="41">
        <v>4333.25</v>
      </c>
      <c r="F508" s="39">
        <v>16</v>
      </c>
      <c r="G508" s="39" t="s">
        <v>65</v>
      </c>
      <c r="H508" s="41">
        <v>2572.8000000000002</v>
      </c>
      <c r="I508" s="41">
        <v>2760.6</v>
      </c>
      <c r="J508" s="39" t="s">
        <v>137</v>
      </c>
      <c r="K508" s="42">
        <v>0.15</v>
      </c>
      <c r="L508" s="39" t="s">
        <v>73</v>
      </c>
      <c r="M508" s="39" t="s">
        <v>140</v>
      </c>
      <c r="N508" s="39" t="s">
        <v>155</v>
      </c>
      <c r="O508" s="43">
        <f t="shared" si="147"/>
        <v>44169.599999999999</v>
      </c>
      <c r="P508" s="43">
        <f t="shared" si="148"/>
        <v>37544.160000000003</v>
      </c>
      <c r="Q508" s="43">
        <f t="shared" si="149"/>
        <v>41164.800000000003</v>
      </c>
      <c r="R508" s="43">
        <f t="shared" si="150"/>
        <v>-3620.6399999999994</v>
      </c>
      <c r="S508" s="44">
        <f t="shared" si="151"/>
        <v>-9.6436835981947633E-2</v>
      </c>
      <c r="T508" s="39" t="str">
        <f t="shared" si="152"/>
        <v>Loss</v>
      </c>
      <c r="U508" s="39" t="str">
        <f t="shared" si="153"/>
        <v>10-19%</v>
      </c>
      <c r="V508" s="39" t="str">
        <f>IF(E508&gt;=Analysis!$B$4,"High",IF(E508&gt;=Analysis!$B$5,"Mid","Low"))</f>
        <v>Mid</v>
      </c>
      <c r="W508" s="39" t="str">
        <f t="shared" si="154"/>
        <v>2023-10</v>
      </c>
      <c r="X508" s="40">
        <f t="shared" si="155"/>
        <v>45230</v>
      </c>
      <c r="Y508" s="39" t="str">
        <f t="shared" si="156"/>
        <v>2023-Q4</v>
      </c>
      <c r="Z508" s="39" t="str">
        <f t="shared" si="157"/>
        <v>Mon</v>
      </c>
      <c r="AA508" s="39">
        <f t="shared" si="158"/>
        <v>1</v>
      </c>
      <c r="AB508" s="39">
        <f t="shared" si="159"/>
        <v>45</v>
      </c>
      <c r="AC508" s="39" t="str">
        <f t="shared" si="160"/>
        <v>Weekday</v>
      </c>
      <c r="AD508" s="39">
        <f t="shared" ca="1" si="161"/>
        <v>1090</v>
      </c>
      <c r="AE508" s="39">
        <f t="shared" ca="1" si="162"/>
        <v>35</v>
      </c>
      <c r="AF508" s="39" t="str">
        <f t="shared" si="163"/>
        <v>EVE</v>
      </c>
      <c r="AG508" s="39" t="str">
        <f t="shared" si="164"/>
        <v>ER-231030-0507</v>
      </c>
      <c r="AH508" s="39" t="str">
        <f>IF(AND(OR(Filter!$B$4="All",D508=Filter!$B$4),OR(Filter!$B$5="All",M508=Filter!$B$5),E508&gt;=Filter!$B$6),MAX(AH$1:AH507)+1,"")</f>
        <v/>
      </c>
      <c r="AI508" s="39">
        <f t="shared" si="165"/>
        <v>16</v>
      </c>
      <c r="AJ508" s="42">
        <f t="shared" si="166"/>
        <v>0.15</v>
      </c>
      <c r="AK508" s="41">
        <f t="shared" si="167"/>
        <v>2760.6</v>
      </c>
      <c r="AL508" s="39">
        <f>RANK(E508,$E$2:$E$1001,0)+COUNTIF($E$2:E508,E508)-1</f>
        <v>567</v>
      </c>
    </row>
    <row r="509" spans="1:38" x14ac:dyDescent="0.2">
      <c r="A509" s="39">
        <v>1078</v>
      </c>
      <c r="B509" s="40">
        <v>44938</v>
      </c>
      <c r="C509" s="39" t="s">
        <v>79</v>
      </c>
      <c r="D509" s="39" t="s">
        <v>59</v>
      </c>
      <c r="E509" s="41">
        <v>4481.2</v>
      </c>
      <c r="F509" s="39">
        <v>36</v>
      </c>
      <c r="G509" s="39" t="s">
        <v>70</v>
      </c>
      <c r="H509" s="41">
        <v>4548.88</v>
      </c>
      <c r="I509" s="41">
        <v>4853.41</v>
      </c>
      <c r="J509" s="39" t="s">
        <v>137</v>
      </c>
      <c r="K509" s="42">
        <v>0.25</v>
      </c>
      <c r="L509" s="39" t="s">
        <v>73</v>
      </c>
      <c r="M509" s="39" t="s">
        <v>140</v>
      </c>
      <c r="N509" s="39" t="s">
        <v>155</v>
      </c>
      <c r="O509" s="43">
        <f t="shared" si="147"/>
        <v>174722.76</v>
      </c>
      <c r="P509" s="43">
        <f t="shared" si="148"/>
        <v>131042.07</v>
      </c>
      <c r="Q509" s="43">
        <f t="shared" si="149"/>
        <v>163759.67999999999</v>
      </c>
      <c r="R509" s="43">
        <f t="shared" si="150"/>
        <v>-32717.609999999986</v>
      </c>
      <c r="S509" s="44">
        <f t="shared" si="151"/>
        <v>-0.24967256698554888</v>
      </c>
      <c r="T509" s="39" t="str">
        <f t="shared" si="152"/>
        <v>Loss</v>
      </c>
      <c r="U509" s="39" t="str">
        <f t="shared" si="153"/>
        <v>20%+</v>
      </c>
      <c r="V509" s="39" t="str">
        <f>IF(E509&gt;=Analysis!$B$4,"High",IF(E509&gt;=Analysis!$B$5,"Mid","Low"))</f>
        <v>Mid</v>
      </c>
      <c r="W509" s="39" t="str">
        <f t="shared" si="154"/>
        <v>2023-01</v>
      </c>
      <c r="X509" s="40">
        <f t="shared" si="155"/>
        <v>44957</v>
      </c>
      <c r="Y509" s="39" t="str">
        <f t="shared" si="156"/>
        <v>2023-Q1</v>
      </c>
      <c r="Z509" s="39" t="str">
        <f t="shared" si="157"/>
        <v>Thu</v>
      </c>
      <c r="AA509" s="39">
        <f t="shared" si="158"/>
        <v>4</v>
      </c>
      <c r="AB509" s="39">
        <f t="shared" si="159"/>
        <v>3</v>
      </c>
      <c r="AC509" s="39" t="str">
        <f t="shared" si="160"/>
        <v>Weekday</v>
      </c>
      <c r="AD509" s="39">
        <f t="shared" ca="1" si="161"/>
        <v>1381</v>
      </c>
      <c r="AE509" s="39">
        <f t="shared" ca="1" si="162"/>
        <v>45</v>
      </c>
      <c r="AF509" s="39" t="str">
        <f t="shared" si="163"/>
        <v>EVE</v>
      </c>
      <c r="AG509" s="39" t="str">
        <f t="shared" si="164"/>
        <v>ER-230112-0508</v>
      </c>
      <c r="AH509" s="39" t="str">
        <f>IF(AND(OR(Filter!$B$4="All",D509=Filter!$B$4),OR(Filter!$B$5="All",M509=Filter!$B$5),E509&gt;=Filter!$B$6),MAX(AH$1:AH508)+1,"")</f>
        <v/>
      </c>
      <c r="AI509" s="39">
        <f t="shared" si="165"/>
        <v>36</v>
      </c>
      <c r="AJ509" s="42">
        <f t="shared" si="166"/>
        <v>0.25</v>
      </c>
      <c r="AK509" s="41">
        <f t="shared" si="167"/>
        <v>4853.41</v>
      </c>
      <c r="AL509" s="39">
        <f>RANK(E509,$E$2:$E$1001,0)+COUNTIF($E$2:E509,E509)-1</f>
        <v>549</v>
      </c>
    </row>
    <row r="510" spans="1:38" x14ac:dyDescent="0.2">
      <c r="A510" s="39">
        <v>1092</v>
      </c>
      <c r="B510" s="40">
        <v>45244</v>
      </c>
      <c r="C510" s="39" t="s">
        <v>79</v>
      </c>
      <c r="D510" s="39" t="s">
        <v>59</v>
      </c>
      <c r="E510" s="41">
        <v>6528.29</v>
      </c>
      <c r="F510" s="39">
        <v>28</v>
      </c>
      <c r="G510" s="39" t="s">
        <v>60</v>
      </c>
      <c r="H510" s="41">
        <v>3936.69</v>
      </c>
      <c r="I510" s="41">
        <v>4362.51</v>
      </c>
      <c r="J510" s="39" t="s">
        <v>137</v>
      </c>
      <c r="K510" s="42">
        <v>7.0000000000000007E-2</v>
      </c>
      <c r="L510" s="39" t="s">
        <v>73</v>
      </c>
      <c r="M510" s="39" t="s">
        <v>140</v>
      </c>
      <c r="N510" s="39" t="s">
        <v>155</v>
      </c>
      <c r="O510" s="43">
        <f t="shared" si="147"/>
        <v>122150.28</v>
      </c>
      <c r="P510" s="43">
        <f t="shared" si="148"/>
        <v>113599.76</v>
      </c>
      <c r="Q510" s="43">
        <f t="shared" si="149"/>
        <v>110227.32</v>
      </c>
      <c r="R510" s="43">
        <f t="shared" si="150"/>
        <v>3372.4399999999878</v>
      </c>
      <c r="S510" s="44">
        <f t="shared" si="151"/>
        <v>2.9687034550072888E-2</v>
      </c>
      <c r="T510" s="39" t="str">
        <f t="shared" si="152"/>
        <v>OK</v>
      </c>
      <c r="U510" s="39" t="str">
        <f t="shared" si="153"/>
        <v>0-9%</v>
      </c>
      <c r="V510" s="39" t="str">
        <f>IF(E510&gt;=Analysis!$B$4,"High",IF(E510&gt;=Analysis!$B$5,"Mid","Low"))</f>
        <v>Mid</v>
      </c>
      <c r="W510" s="39" t="str">
        <f t="shared" si="154"/>
        <v>2023-11</v>
      </c>
      <c r="X510" s="40">
        <f t="shared" si="155"/>
        <v>45260</v>
      </c>
      <c r="Y510" s="39" t="str">
        <f t="shared" si="156"/>
        <v>2023-Q4</v>
      </c>
      <c r="Z510" s="39" t="str">
        <f t="shared" si="157"/>
        <v>Tue</v>
      </c>
      <c r="AA510" s="39">
        <f t="shared" si="158"/>
        <v>2</v>
      </c>
      <c r="AB510" s="39">
        <f t="shared" si="159"/>
        <v>47</v>
      </c>
      <c r="AC510" s="39" t="str">
        <f t="shared" si="160"/>
        <v>Weekday</v>
      </c>
      <c r="AD510" s="39">
        <f t="shared" ca="1" si="161"/>
        <v>1075</v>
      </c>
      <c r="AE510" s="39">
        <f t="shared" ca="1" si="162"/>
        <v>35</v>
      </c>
      <c r="AF510" s="39" t="str">
        <f t="shared" si="163"/>
        <v>EVE</v>
      </c>
      <c r="AG510" s="39" t="str">
        <f t="shared" si="164"/>
        <v>ER-231114-0509</v>
      </c>
      <c r="AH510" s="39" t="str">
        <f>IF(AND(OR(Filter!$B$4="All",D510=Filter!$B$4),OR(Filter!$B$5="All",M510=Filter!$B$5),E510&gt;=Filter!$B$6),MAX(AH$1:AH509)+1,"")</f>
        <v/>
      </c>
      <c r="AI510" s="39">
        <f t="shared" si="165"/>
        <v>28</v>
      </c>
      <c r="AJ510" s="42">
        <f t="shared" si="166"/>
        <v>7.0000000000000007E-2</v>
      </c>
      <c r="AK510" s="41">
        <f t="shared" si="167"/>
        <v>4362.51</v>
      </c>
      <c r="AL510" s="39">
        <f>RANK(E510,$E$2:$E$1001,0)+COUNTIF($E$2:E510,E510)-1</f>
        <v>357</v>
      </c>
    </row>
    <row r="511" spans="1:38" x14ac:dyDescent="0.2">
      <c r="A511" s="39">
        <v>1069</v>
      </c>
      <c r="B511" s="40">
        <v>45006</v>
      </c>
      <c r="C511" s="39" t="s">
        <v>66</v>
      </c>
      <c r="D511" s="39" t="s">
        <v>59</v>
      </c>
      <c r="E511" s="41">
        <v>9369.18</v>
      </c>
      <c r="F511" s="39">
        <v>29</v>
      </c>
      <c r="G511" s="39" t="s">
        <v>75</v>
      </c>
      <c r="H511" s="41">
        <v>2462.66</v>
      </c>
      <c r="I511" s="41">
        <v>2908.09</v>
      </c>
      <c r="J511" s="39" t="s">
        <v>143</v>
      </c>
      <c r="K511" s="42">
        <v>0.12</v>
      </c>
      <c r="L511" s="39" t="s">
        <v>73</v>
      </c>
      <c r="M511" s="39" t="s">
        <v>138</v>
      </c>
      <c r="N511" s="39" t="s">
        <v>153</v>
      </c>
      <c r="O511" s="43">
        <f t="shared" si="147"/>
        <v>84334.61</v>
      </c>
      <c r="P511" s="43">
        <f t="shared" si="148"/>
        <v>74214.460000000006</v>
      </c>
      <c r="Q511" s="43">
        <f t="shared" si="149"/>
        <v>71417.14</v>
      </c>
      <c r="R511" s="43">
        <f t="shared" si="150"/>
        <v>2797.320000000007</v>
      </c>
      <c r="S511" s="44">
        <f t="shared" si="151"/>
        <v>3.7692385014995819E-2</v>
      </c>
      <c r="T511" s="39" t="str">
        <f t="shared" si="152"/>
        <v>OK</v>
      </c>
      <c r="U511" s="39" t="str">
        <f t="shared" si="153"/>
        <v>10-19%</v>
      </c>
      <c r="V511" s="39" t="str">
        <f>IF(E511&gt;=Analysis!$B$4,"High",IF(E511&gt;=Analysis!$B$5,"Mid","Low"))</f>
        <v>High</v>
      </c>
      <c r="W511" s="39" t="str">
        <f t="shared" si="154"/>
        <v>2023-03</v>
      </c>
      <c r="X511" s="40">
        <f t="shared" si="155"/>
        <v>45016</v>
      </c>
      <c r="Y511" s="39" t="str">
        <f t="shared" si="156"/>
        <v>2023-Q1</v>
      </c>
      <c r="Z511" s="39" t="str">
        <f t="shared" si="157"/>
        <v>Tue</v>
      </c>
      <c r="AA511" s="39">
        <f t="shared" si="158"/>
        <v>2</v>
      </c>
      <c r="AB511" s="39">
        <f t="shared" si="159"/>
        <v>13</v>
      </c>
      <c r="AC511" s="39" t="str">
        <f t="shared" si="160"/>
        <v>Weekday</v>
      </c>
      <c r="AD511" s="39">
        <f t="shared" ca="1" si="161"/>
        <v>1313</v>
      </c>
      <c r="AE511" s="39">
        <f t="shared" ca="1" si="162"/>
        <v>43</v>
      </c>
      <c r="AF511" s="39" t="str">
        <f t="shared" si="163"/>
        <v>BOB</v>
      </c>
      <c r="AG511" s="39" t="str">
        <f t="shared" si="164"/>
        <v>EO-230321-0510</v>
      </c>
      <c r="AH511" s="39">
        <f>IF(AND(OR(Filter!$B$4="All",D511=Filter!$B$4),OR(Filter!$B$5="All",M511=Filter!$B$5),E511&gt;=Filter!$B$6),MAX(AH$1:AH510)+1,"")</f>
        <v>55</v>
      </c>
      <c r="AI511" s="39">
        <f t="shared" si="165"/>
        <v>29</v>
      </c>
      <c r="AJ511" s="42">
        <f t="shared" si="166"/>
        <v>0.12</v>
      </c>
      <c r="AK511" s="41">
        <f t="shared" si="167"/>
        <v>2908.09</v>
      </c>
      <c r="AL511" s="39">
        <f>RANK(E511,$E$2:$E$1001,0)+COUNTIF($E$2:E511,E511)-1</f>
        <v>65</v>
      </c>
    </row>
    <row r="512" spans="1:38" x14ac:dyDescent="0.2">
      <c r="A512" s="39">
        <v>1047</v>
      </c>
      <c r="B512" s="40">
        <v>45142</v>
      </c>
      <c r="C512" s="39" t="s">
        <v>79</v>
      </c>
      <c r="D512" s="39" t="s">
        <v>69</v>
      </c>
      <c r="E512" s="41">
        <v>733.66</v>
      </c>
      <c r="F512" s="39">
        <v>47</v>
      </c>
      <c r="G512" s="39" t="s">
        <v>60</v>
      </c>
      <c r="H512" s="41">
        <v>4729.59</v>
      </c>
      <c r="I512" s="41">
        <v>4976.68</v>
      </c>
      <c r="J512" s="39" t="s">
        <v>137</v>
      </c>
      <c r="K512" s="42">
        <v>0.18</v>
      </c>
      <c r="L512" s="39" t="s">
        <v>73</v>
      </c>
      <c r="M512" s="39" t="s">
        <v>140</v>
      </c>
      <c r="N512" s="39" t="s">
        <v>147</v>
      </c>
      <c r="O512" s="43">
        <f t="shared" si="147"/>
        <v>233903.96</v>
      </c>
      <c r="P512" s="43">
        <f t="shared" si="148"/>
        <v>191801.25</v>
      </c>
      <c r="Q512" s="43">
        <f t="shared" si="149"/>
        <v>222290.73</v>
      </c>
      <c r="R512" s="43">
        <f t="shared" si="150"/>
        <v>-30489.48000000001</v>
      </c>
      <c r="S512" s="44">
        <f t="shared" si="151"/>
        <v>-0.15896392750307942</v>
      </c>
      <c r="T512" s="39" t="str">
        <f t="shared" si="152"/>
        <v>Loss</v>
      </c>
      <c r="U512" s="39" t="str">
        <f t="shared" si="153"/>
        <v>10-19%</v>
      </c>
      <c r="V512" s="39" t="str">
        <f>IF(E512&gt;=Analysis!$B$4,"High",IF(E512&gt;=Analysis!$B$5,"Mid","Low"))</f>
        <v>Low</v>
      </c>
      <c r="W512" s="39" t="str">
        <f t="shared" si="154"/>
        <v>2023-08</v>
      </c>
      <c r="X512" s="40">
        <f t="shared" si="155"/>
        <v>45169</v>
      </c>
      <c r="Y512" s="39" t="str">
        <f t="shared" si="156"/>
        <v>2023-Q3</v>
      </c>
      <c r="Z512" s="39" t="str">
        <f t="shared" si="157"/>
        <v>Fri</v>
      </c>
      <c r="AA512" s="39">
        <f t="shared" si="158"/>
        <v>5</v>
      </c>
      <c r="AB512" s="39">
        <f t="shared" si="159"/>
        <v>32</v>
      </c>
      <c r="AC512" s="39" t="str">
        <f t="shared" si="160"/>
        <v>Weekday</v>
      </c>
      <c r="AD512" s="39">
        <f t="shared" ca="1" si="161"/>
        <v>1177</v>
      </c>
      <c r="AE512" s="39">
        <f t="shared" ca="1" si="162"/>
        <v>38</v>
      </c>
      <c r="AF512" s="39" t="str">
        <f t="shared" si="163"/>
        <v>EVE</v>
      </c>
      <c r="AG512" s="39" t="str">
        <f t="shared" si="164"/>
        <v>SR-230804-0511</v>
      </c>
      <c r="AH512" s="39" t="str">
        <f>IF(AND(OR(Filter!$B$4="All",D512=Filter!$B$4),OR(Filter!$B$5="All",M512=Filter!$B$5),E512&gt;=Filter!$B$6),MAX(AH$1:AH511)+1,"")</f>
        <v/>
      </c>
      <c r="AI512" s="39">
        <f t="shared" si="165"/>
        <v>47</v>
      </c>
      <c r="AJ512" s="42">
        <f t="shared" si="166"/>
        <v>0.18</v>
      </c>
      <c r="AK512" s="41">
        <f t="shared" si="167"/>
        <v>4976.68</v>
      </c>
      <c r="AL512" s="39">
        <f>RANK(E512,$E$2:$E$1001,0)+COUNTIF($E$2:E512,E512)-1</f>
        <v>937</v>
      </c>
    </row>
    <row r="513" spans="1:38" x14ac:dyDescent="0.2">
      <c r="A513" s="39">
        <v>1094</v>
      </c>
      <c r="B513" s="40">
        <v>45265</v>
      </c>
      <c r="C513" s="39" t="s">
        <v>79</v>
      </c>
      <c r="D513" s="39" t="s">
        <v>59</v>
      </c>
      <c r="E513" s="41">
        <v>8264.9599999999991</v>
      </c>
      <c r="F513" s="39">
        <v>12</v>
      </c>
      <c r="G513" s="39" t="s">
        <v>75</v>
      </c>
      <c r="H513" s="41">
        <v>333.32</v>
      </c>
      <c r="I513" s="41">
        <v>700.25</v>
      </c>
      <c r="J513" s="39" t="s">
        <v>137</v>
      </c>
      <c r="K513" s="42">
        <v>0.14000000000000001</v>
      </c>
      <c r="L513" s="39" t="s">
        <v>68</v>
      </c>
      <c r="M513" s="39" t="s">
        <v>138</v>
      </c>
      <c r="N513" s="39" t="s">
        <v>155</v>
      </c>
      <c r="O513" s="43">
        <f t="shared" si="147"/>
        <v>8403</v>
      </c>
      <c r="P513" s="43">
        <f t="shared" si="148"/>
        <v>7226.58</v>
      </c>
      <c r="Q513" s="43">
        <f t="shared" si="149"/>
        <v>3999.84</v>
      </c>
      <c r="R513" s="43">
        <f t="shared" si="150"/>
        <v>3226.74</v>
      </c>
      <c r="S513" s="44">
        <f t="shared" si="151"/>
        <v>0.44650996737045739</v>
      </c>
      <c r="T513" s="39" t="str">
        <f t="shared" si="152"/>
        <v>OK</v>
      </c>
      <c r="U513" s="39" t="str">
        <f t="shared" si="153"/>
        <v>10-19%</v>
      </c>
      <c r="V513" s="39" t="str">
        <f>IF(E513&gt;=Analysis!$B$4,"High",IF(E513&gt;=Analysis!$B$5,"Mid","Low"))</f>
        <v>High</v>
      </c>
      <c r="W513" s="39" t="str">
        <f t="shared" si="154"/>
        <v>2023-12</v>
      </c>
      <c r="X513" s="40">
        <f t="shared" si="155"/>
        <v>45291</v>
      </c>
      <c r="Y513" s="39" t="str">
        <f t="shared" si="156"/>
        <v>2023-Q4</v>
      </c>
      <c r="Z513" s="39" t="str">
        <f t="shared" si="157"/>
        <v>Tue</v>
      </c>
      <c r="AA513" s="39">
        <f t="shared" si="158"/>
        <v>2</v>
      </c>
      <c r="AB513" s="39">
        <f t="shared" si="159"/>
        <v>50</v>
      </c>
      <c r="AC513" s="39" t="str">
        <f t="shared" si="160"/>
        <v>Weekday</v>
      </c>
      <c r="AD513" s="39">
        <f t="shared" ca="1" si="161"/>
        <v>1054</v>
      </c>
      <c r="AE513" s="39">
        <f t="shared" ca="1" si="162"/>
        <v>34</v>
      </c>
      <c r="AF513" s="39" t="str">
        <f t="shared" si="163"/>
        <v>EVE</v>
      </c>
      <c r="AG513" s="39" t="str">
        <f t="shared" si="164"/>
        <v>EO-231205-0512</v>
      </c>
      <c r="AH513" s="39" t="str">
        <f>IF(AND(OR(Filter!$B$4="All",D513=Filter!$B$4),OR(Filter!$B$5="All",M513=Filter!$B$5),E513&gt;=Filter!$B$6),MAX(AH$1:AH512)+1,"")</f>
        <v/>
      </c>
      <c r="AI513" s="39">
        <f t="shared" si="165"/>
        <v>12</v>
      </c>
      <c r="AJ513" s="42">
        <f t="shared" si="166"/>
        <v>0.14000000000000001</v>
      </c>
      <c r="AK513" s="41">
        <f t="shared" si="167"/>
        <v>700.25</v>
      </c>
      <c r="AL513" s="39">
        <f>RANK(E513,$E$2:$E$1001,0)+COUNTIF($E$2:E513,E513)-1</f>
        <v>165</v>
      </c>
    </row>
    <row r="514" spans="1:38" x14ac:dyDescent="0.2">
      <c r="A514" s="39">
        <v>1062</v>
      </c>
      <c r="B514" s="40">
        <v>45190</v>
      </c>
      <c r="C514" s="39" t="s">
        <v>76</v>
      </c>
      <c r="D514" s="39" t="s">
        <v>64</v>
      </c>
      <c r="E514" s="41">
        <v>2994.59</v>
      </c>
      <c r="F514" s="39">
        <v>37</v>
      </c>
      <c r="G514" s="39" t="s">
        <v>65</v>
      </c>
      <c r="H514" s="41">
        <v>4658.4399999999996</v>
      </c>
      <c r="I514" s="41">
        <v>4823.5</v>
      </c>
      <c r="J514" s="39" t="s">
        <v>137</v>
      </c>
      <c r="K514" s="42">
        <v>0.14000000000000001</v>
      </c>
      <c r="L514" s="39" t="s">
        <v>73</v>
      </c>
      <c r="M514" s="39" t="s">
        <v>138</v>
      </c>
      <c r="N514" s="39" t="s">
        <v>152</v>
      </c>
      <c r="O514" s="43">
        <f t="shared" ref="O514:O577" si="168">ROUND(F514*I514,2)</f>
        <v>178469.5</v>
      </c>
      <c r="P514" s="43">
        <f t="shared" ref="P514:P577" si="169">ROUND(F514*I514*(1-K514),2)</f>
        <v>153483.76999999999</v>
      </c>
      <c r="Q514" s="43">
        <f t="shared" ref="Q514:Q577" si="170">ROUND(F514*H514,2)</f>
        <v>172362.28</v>
      </c>
      <c r="R514" s="43">
        <f t="shared" ref="R514:R577" si="171">P514-Q514</f>
        <v>-18878.510000000009</v>
      </c>
      <c r="S514" s="44">
        <f t="shared" ref="S514:S577" si="172">IF(P514=0,0,R514/P514)</f>
        <v>-0.12300004098153186</v>
      </c>
      <c r="T514" s="39" t="str">
        <f t="shared" ref="T514:T577" si="173">IF(R514&lt;0,"Loss","OK")</f>
        <v>Loss</v>
      </c>
      <c r="U514" s="39" t="str">
        <f t="shared" ref="U514:U577" si="174">IF(K514&lt;0.1,"0-9%",IF(K514&lt;0.2,"10-19%","20%+"))</f>
        <v>10-19%</v>
      </c>
      <c r="V514" s="39" t="str">
        <f>IF(E514&gt;=Analysis!$B$4,"High",IF(E514&gt;=Analysis!$B$5,"Mid","Low"))</f>
        <v>Mid</v>
      </c>
      <c r="W514" s="39" t="str">
        <f t="shared" ref="W514:W577" si="175">TEXT(B514,"yyyy-mm")</f>
        <v>2023-09</v>
      </c>
      <c r="X514" s="40">
        <f t="shared" ref="X514:X577" si="176">EOMONTH(B514,0)</f>
        <v>45199</v>
      </c>
      <c r="Y514" s="39" t="str">
        <f t="shared" ref="Y514:Y577" si="177">YEAR(B514)&amp;"-Q"&amp;ROUNDUP(MONTH(B514)/3,0)</f>
        <v>2023-Q3</v>
      </c>
      <c r="Z514" s="39" t="str">
        <f t="shared" ref="Z514:Z577" si="178">TEXT(B514,"ddd")</f>
        <v>Thu</v>
      </c>
      <c r="AA514" s="39">
        <f t="shared" ref="AA514:AA577" si="179">WEEKDAY(B514,2)</f>
        <v>4</v>
      </c>
      <c r="AB514" s="39">
        <f t="shared" ref="AB514:AB577" si="180">WEEKNUM(B514,2)</f>
        <v>39</v>
      </c>
      <c r="AC514" s="39" t="str">
        <f t="shared" ref="AC514:AC577" si="181">IF(AA514&gt;5,"Weekend","Weekday")</f>
        <v>Weekday</v>
      </c>
      <c r="AD514" s="39">
        <f t="shared" ref="AD514:AD577" ca="1" si="182">TODAY()-B514</f>
        <v>1129</v>
      </c>
      <c r="AE514" s="39">
        <f t="shared" ref="AE514:AE577" ca="1" si="183">DATEDIF(B514,TODAY(),"M")</f>
        <v>37</v>
      </c>
      <c r="AF514" s="39" t="str">
        <f t="shared" ref="AF514:AF577" si="184">UPPER(LEFT(C514,3))</f>
        <v>DAV</v>
      </c>
      <c r="AG514" s="39" t="str">
        <f t="shared" ref="AG514:AG577" si="185">UPPER(LEFT(D514,1))&amp;UPPER(LEFT(M514,1))&amp;"-"&amp;TEXT(B514,"yymmdd")&amp;"-"&amp;TEXT(ROW()-1,"0000")</f>
        <v>NO-230921-0513</v>
      </c>
      <c r="AH514" s="39" t="str">
        <f>IF(AND(OR(Filter!$B$4="All",D514=Filter!$B$4),OR(Filter!$B$5="All",M514=Filter!$B$5),E514&gt;=Filter!$B$6),MAX(AH$1:AH513)+1,"")</f>
        <v/>
      </c>
      <c r="AI514" s="39">
        <f t="shared" ref="AI514:AI577" si="186">F514</f>
        <v>37</v>
      </c>
      <c r="AJ514" s="42">
        <f t="shared" ref="AJ514:AJ577" si="187">K514</f>
        <v>0.14000000000000001</v>
      </c>
      <c r="AK514" s="41">
        <f t="shared" ref="AK514:AK577" si="188">I514</f>
        <v>4823.5</v>
      </c>
      <c r="AL514" s="39">
        <f>RANK(E514,$E$2:$E$1001,0)+COUNTIF($E$2:E514,E514)-1</f>
        <v>694</v>
      </c>
    </row>
    <row r="515" spans="1:38" x14ac:dyDescent="0.2">
      <c r="A515" s="39">
        <v>1069</v>
      </c>
      <c r="B515" s="40">
        <v>45075</v>
      </c>
      <c r="C515" s="39" t="s">
        <v>61</v>
      </c>
      <c r="D515" s="39" t="s">
        <v>64</v>
      </c>
      <c r="E515" s="41">
        <v>4494.8</v>
      </c>
      <c r="F515" s="39">
        <v>30</v>
      </c>
      <c r="G515" s="39" t="s">
        <v>65</v>
      </c>
      <c r="H515" s="41">
        <v>300.01</v>
      </c>
      <c r="I515" s="41">
        <v>477.68</v>
      </c>
      <c r="J515" s="39" t="s">
        <v>143</v>
      </c>
      <c r="K515" s="42">
        <v>0.11</v>
      </c>
      <c r="L515" s="39" t="s">
        <v>63</v>
      </c>
      <c r="M515" s="39" t="s">
        <v>140</v>
      </c>
      <c r="N515" s="39" t="s">
        <v>156</v>
      </c>
      <c r="O515" s="43">
        <f t="shared" si="168"/>
        <v>14330.4</v>
      </c>
      <c r="P515" s="43">
        <f t="shared" si="169"/>
        <v>12754.06</v>
      </c>
      <c r="Q515" s="43">
        <f t="shared" si="170"/>
        <v>9000.2999999999993</v>
      </c>
      <c r="R515" s="43">
        <f t="shared" si="171"/>
        <v>3753.76</v>
      </c>
      <c r="S515" s="44">
        <f t="shared" si="172"/>
        <v>0.29431882867102716</v>
      </c>
      <c r="T515" s="39" t="str">
        <f t="shared" si="173"/>
        <v>OK</v>
      </c>
      <c r="U515" s="39" t="str">
        <f t="shared" si="174"/>
        <v>10-19%</v>
      </c>
      <c r="V515" s="39" t="str">
        <f>IF(E515&gt;=Analysis!$B$4,"High",IF(E515&gt;=Analysis!$B$5,"Mid","Low"))</f>
        <v>Mid</v>
      </c>
      <c r="W515" s="39" t="str">
        <f t="shared" si="175"/>
        <v>2023-05</v>
      </c>
      <c r="X515" s="40">
        <f t="shared" si="176"/>
        <v>45077</v>
      </c>
      <c r="Y515" s="39" t="str">
        <f t="shared" si="177"/>
        <v>2023-Q2</v>
      </c>
      <c r="Z515" s="39" t="str">
        <f t="shared" si="178"/>
        <v>Mon</v>
      </c>
      <c r="AA515" s="39">
        <f t="shared" si="179"/>
        <v>1</v>
      </c>
      <c r="AB515" s="39">
        <f t="shared" si="180"/>
        <v>23</v>
      </c>
      <c r="AC515" s="39" t="str">
        <f t="shared" si="181"/>
        <v>Weekday</v>
      </c>
      <c r="AD515" s="39">
        <f t="shared" ca="1" si="182"/>
        <v>1244</v>
      </c>
      <c r="AE515" s="39">
        <f t="shared" ca="1" si="183"/>
        <v>40</v>
      </c>
      <c r="AF515" s="39" t="str">
        <f t="shared" si="184"/>
        <v>ALI</v>
      </c>
      <c r="AG515" s="39" t="str">
        <f t="shared" si="185"/>
        <v>NR-230529-0514</v>
      </c>
      <c r="AH515" s="39" t="str">
        <f>IF(AND(OR(Filter!$B$4="All",D515=Filter!$B$4),OR(Filter!$B$5="All",M515=Filter!$B$5),E515&gt;=Filter!$B$6),MAX(AH$1:AH514)+1,"")</f>
        <v/>
      </c>
      <c r="AI515" s="39">
        <f t="shared" si="186"/>
        <v>30</v>
      </c>
      <c r="AJ515" s="42">
        <f t="shared" si="187"/>
        <v>0.11</v>
      </c>
      <c r="AK515" s="41">
        <f t="shared" si="188"/>
        <v>477.68</v>
      </c>
      <c r="AL515" s="39">
        <f>RANK(E515,$E$2:$E$1001,0)+COUNTIF($E$2:E515,E515)-1</f>
        <v>548</v>
      </c>
    </row>
    <row r="516" spans="1:38" x14ac:dyDescent="0.2">
      <c r="A516" s="39">
        <v>1076</v>
      </c>
      <c r="B516" s="40">
        <v>45007</v>
      </c>
      <c r="C516" s="39" t="s">
        <v>71</v>
      </c>
      <c r="D516" s="39" t="s">
        <v>69</v>
      </c>
      <c r="E516" s="41">
        <v>316.94</v>
      </c>
      <c r="F516" s="39">
        <v>23</v>
      </c>
      <c r="G516" s="39" t="s">
        <v>70</v>
      </c>
      <c r="H516" s="41">
        <v>2759.16</v>
      </c>
      <c r="I516" s="41">
        <v>2864.45</v>
      </c>
      <c r="J516" s="39" t="s">
        <v>137</v>
      </c>
      <c r="K516" s="42">
        <v>0.18</v>
      </c>
      <c r="L516" s="39" t="s">
        <v>73</v>
      </c>
      <c r="M516" s="39" t="s">
        <v>140</v>
      </c>
      <c r="N516" s="39" t="s">
        <v>151</v>
      </c>
      <c r="O516" s="43">
        <f t="shared" si="168"/>
        <v>65882.350000000006</v>
      </c>
      <c r="P516" s="43">
        <f t="shared" si="169"/>
        <v>54023.53</v>
      </c>
      <c r="Q516" s="43">
        <f t="shared" si="170"/>
        <v>63460.68</v>
      </c>
      <c r="R516" s="43">
        <f t="shared" si="171"/>
        <v>-9437.1500000000015</v>
      </c>
      <c r="S516" s="44">
        <f t="shared" si="172"/>
        <v>-0.17468591926517948</v>
      </c>
      <c r="T516" s="39" t="str">
        <f t="shared" si="173"/>
        <v>Loss</v>
      </c>
      <c r="U516" s="39" t="str">
        <f t="shared" si="174"/>
        <v>10-19%</v>
      </c>
      <c r="V516" s="39" t="str">
        <f>IF(E516&gt;=Analysis!$B$4,"High",IF(E516&gt;=Analysis!$B$5,"Mid","Low"))</f>
        <v>Low</v>
      </c>
      <c r="W516" s="39" t="str">
        <f t="shared" si="175"/>
        <v>2023-03</v>
      </c>
      <c r="X516" s="40">
        <f t="shared" si="176"/>
        <v>45016</v>
      </c>
      <c r="Y516" s="39" t="str">
        <f t="shared" si="177"/>
        <v>2023-Q1</v>
      </c>
      <c r="Z516" s="39" t="str">
        <f t="shared" si="178"/>
        <v>Wed</v>
      </c>
      <c r="AA516" s="39">
        <f t="shared" si="179"/>
        <v>3</v>
      </c>
      <c r="AB516" s="39">
        <f t="shared" si="180"/>
        <v>13</v>
      </c>
      <c r="AC516" s="39" t="str">
        <f t="shared" si="181"/>
        <v>Weekday</v>
      </c>
      <c r="AD516" s="39">
        <f t="shared" ca="1" si="182"/>
        <v>1312</v>
      </c>
      <c r="AE516" s="39">
        <f t="shared" ca="1" si="183"/>
        <v>43</v>
      </c>
      <c r="AF516" s="39" t="str">
        <f t="shared" si="184"/>
        <v>CHA</v>
      </c>
      <c r="AG516" s="39" t="str">
        <f t="shared" si="185"/>
        <v>SR-230322-0515</v>
      </c>
      <c r="AH516" s="39" t="str">
        <f>IF(AND(OR(Filter!$B$4="All",D516=Filter!$B$4),OR(Filter!$B$5="All",M516=Filter!$B$5),E516&gt;=Filter!$B$6),MAX(AH$1:AH515)+1,"")</f>
        <v/>
      </c>
      <c r="AI516" s="39">
        <f t="shared" si="186"/>
        <v>23</v>
      </c>
      <c r="AJ516" s="42">
        <f t="shared" si="187"/>
        <v>0.18</v>
      </c>
      <c r="AK516" s="41">
        <f t="shared" si="188"/>
        <v>2864.45</v>
      </c>
      <c r="AL516" s="39">
        <f>RANK(E516,$E$2:$E$1001,0)+COUNTIF($E$2:E516,E516)-1</f>
        <v>973</v>
      </c>
    </row>
    <row r="517" spans="1:38" x14ac:dyDescent="0.2">
      <c r="A517" s="39">
        <v>1016</v>
      </c>
      <c r="B517" s="40">
        <v>45141</v>
      </c>
      <c r="C517" s="39" t="s">
        <v>61</v>
      </c>
      <c r="D517" s="39" t="s">
        <v>74</v>
      </c>
      <c r="E517" s="41">
        <v>3080.36</v>
      </c>
      <c r="F517" s="39">
        <v>16</v>
      </c>
      <c r="G517" s="39" t="s">
        <v>75</v>
      </c>
      <c r="H517" s="41">
        <v>4457.68</v>
      </c>
      <c r="I517" s="41">
        <v>4743.03</v>
      </c>
      <c r="J517" s="39" t="s">
        <v>137</v>
      </c>
      <c r="K517" s="42">
        <v>0.19</v>
      </c>
      <c r="L517" s="39" t="s">
        <v>68</v>
      </c>
      <c r="M517" s="39" t="s">
        <v>138</v>
      </c>
      <c r="N517" s="39" t="s">
        <v>158</v>
      </c>
      <c r="O517" s="43">
        <f t="shared" si="168"/>
        <v>75888.479999999996</v>
      </c>
      <c r="P517" s="43">
        <f t="shared" si="169"/>
        <v>61469.67</v>
      </c>
      <c r="Q517" s="43">
        <f t="shared" si="170"/>
        <v>71322.880000000005</v>
      </c>
      <c r="R517" s="43">
        <f t="shared" si="171"/>
        <v>-9853.2100000000064</v>
      </c>
      <c r="S517" s="44">
        <f t="shared" si="172"/>
        <v>-0.16029384898275859</v>
      </c>
      <c r="T517" s="39" t="str">
        <f t="shared" si="173"/>
        <v>Loss</v>
      </c>
      <c r="U517" s="39" t="str">
        <f t="shared" si="174"/>
        <v>10-19%</v>
      </c>
      <c r="V517" s="39" t="str">
        <f>IF(E517&gt;=Analysis!$B$4,"High",IF(E517&gt;=Analysis!$B$5,"Mid","Low"))</f>
        <v>Mid</v>
      </c>
      <c r="W517" s="39" t="str">
        <f t="shared" si="175"/>
        <v>2023-08</v>
      </c>
      <c r="X517" s="40">
        <f t="shared" si="176"/>
        <v>45169</v>
      </c>
      <c r="Y517" s="39" t="str">
        <f t="shared" si="177"/>
        <v>2023-Q3</v>
      </c>
      <c r="Z517" s="39" t="str">
        <f t="shared" si="178"/>
        <v>Thu</v>
      </c>
      <c r="AA517" s="39">
        <f t="shared" si="179"/>
        <v>4</v>
      </c>
      <c r="AB517" s="39">
        <f t="shared" si="180"/>
        <v>32</v>
      </c>
      <c r="AC517" s="39" t="str">
        <f t="shared" si="181"/>
        <v>Weekday</v>
      </c>
      <c r="AD517" s="39">
        <f t="shared" ca="1" si="182"/>
        <v>1178</v>
      </c>
      <c r="AE517" s="39">
        <f t="shared" ca="1" si="183"/>
        <v>38</v>
      </c>
      <c r="AF517" s="39" t="str">
        <f t="shared" si="184"/>
        <v>ALI</v>
      </c>
      <c r="AG517" s="39" t="str">
        <f t="shared" si="185"/>
        <v>WO-230803-0516</v>
      </c>
      <c r="AH517" s="39" t="str">
        <f>IF(AND(OR(Filter!$B$4="All",D517=Filter!$B$4),OR(Filter!$B$5="All",M517=Filter!$B$5),E517&gt;=Filter!$B$6),MAX(AH$1:AH516)+1,"")</f>
        <v/>
      </c>
      <c r="AI517" s="39">
        <f t="shared" si="186"/>
        <v>16</v>
      </c>
      <c r="AJ517" s="42">
        <f t="shared" si="187"/>
        <v>0.19</v>
      </c>
      <c r="AK517" s="41">
        <f t="shared" si="188"/>
        <v>4743.03</v>
      </c>
      <c r="AL517" s="39">
        <f>RANK(E517,$E$2:$E$1001,0)+COUNTIF($E$2:E517,E517)-1</f>
        <v>687</v>
      </c>
    </row>
    <row r="518" spans="1:38" x14ac:dyDescent="0.2">
      <c r="A518" s="39">
        <v>1090</v>
      </c>
      <c r="B518" s="40">
        <v>45124</v>
      </c>
      <c r="C518" s="39" t="s">
        <v>76</v>
      </c>
      <c r="D518" s="39" t="s">
        <v>64</v>
      </c>
      <c r="E518" s="41">
        <v>5076.05</v>
      </c>
      <c r="F518" s="39">
        <v>14</v>
      </c>
      <c r="G518" s="39" t="s">
        <v>65</v>
      </c>
      <c r="H518" s="41">
        <v>1350.47</v>
      </c>
      <c r="I518" s="41">
        <v>1514.61</v>
      </c>
      <c r="J518" s="39" t="s">
        <v>143</v>
      </c>
      <c r="K518" s="42">
        <v>0.2</v>
      </c>
      <c r="L518" s="39" t="s">
        <v>73</v>
      </c>
      <c r="M518" s="39" t="s">
        <v>140</v>
      </c>
      <c r="N518" s="39" t="s">
        <v>152</v>
      </c>
      <c r="O518" s="43">
        <f t="shared" si="168"/>
        <v>21204.54</v>
      </c>
      <c r="P518" s="43">
        <f t="shared" si="169"/>
        <v>16963.63</v>
      </c>
      <c r="Q518" s="43">
        <f t="shared" si="170"/>
        <v>18906.580000000002</v>
      </c>
      <c r="R518" s="43">
        <f t="shared" si="171"/>
        <v>-1942.9500000000007</v>
      </c>
      <c r="S518" s="44">
        <f t="shared" si="172"/>
        <v>-0.11453621659986693</v>
      </c>
      <c r="T518" s="39" t="str">
        <f t="shared" si="173"/>
        <v>Loss</v>
      </c>
      <c r="U518" s="39" t="str">
        <f t="shared" si="174"/>
        <v>20%+</v>
      </c>
      <c r="V518" s="39" t="str">
        <f>IF(E518&gt;=Analysis!$B$4,"High",IF(E518&gt;=Analysis!$B$5,"Mid","Low"))</f>
        <v>Mid</v>
      </c>
      <c r="W518" s="39" t="str">
        <f t="shared" si="175"/>
        <v>2023-07</v>
      </c>
      <c r="X518" s="40">
        <f t="shared" si="176"/>
        <v>45138</v>
      </c>
      <c r="Y518" s="39" t="str">
        <f t="shared" si="177"/>
        <v>2023-Q3</v>
      </c>
      <c r="Z518" s="39" t="str">
        <f t="shared" si="178"/>
        <v>Mon</v>
      </c>
      <c r="AA518" s="39">
        <f t="shared" si="179"/>
        <v>1</v>
      </c>
      <c r="AB518" s="39">
        <f t="shared" si="180"/>
        <v>30</v>
      </c>
      <c r="AC518" s="39" t="str">
        <f t="shared" si="181"/>
        <v>Weekday</v>
      </c>
      <c r="AD518" s="39">
        <f t="shared" ca="1" si="182"/>
        <v>1195</v>
      </c>
      <c r="AE518" s="39">
        <f t="shared" ca="1" si="183"/>
        <v>39</v>
      </c>
      <c r="AF518" s="39" t="str">
        <f t="shared" si="184"/>
        <v>DAV</v>
      </c>
      <c r="AG518" s="39" t="str">
        <f t="shared" si="185"/>
        <v>NR-230717-0517</v>
      </c>
      <c r="AH518" s="39" t="str">
        <f>IF(AND(OR(Filter!$B$4="All",D518=Filter!$B$4),OR(Filter!$B$5="All",M518=Filter!$B$5),E518&gt;=Filter!$B$6),MAX(AH$1:AH517)+1,"")</f>
        <v/>
      </c>
      <c r="AI518" s="39">
        <f t="shared" si="186"/>
        <v>14</v>
      </c>
      <c r="AJ518" s="42">
        <f t="shared" si="187"/>
        <v>0.2</v>
      </c>
      <c r="AK518" s="41">
        <f t="shared" si="188"/>
        <v>1514.61</v>
      </c>
      <c r="AL518" s="39">
        <f>RANK(E518,$E$2:$E$1001,0)+COUNTIF($E$2:E518,E518)-1</f>
        <v>494</v>
      </c>
    </row>
    <row r="519" spans="1:38" x14ac:dyDescent="0.2">
      <c r="A519" s="39">
        <v>1090</v>
      </c>
      <c r="B519" s="40">
        <v>45126</v>
      </c>
      <c r="C519" s="39" t="s">
        <v>71</v>
      </c>
      <c r="D519" s="39" t="s">
        <v>74</v>
      </c>
      <c r="E519" s="41">
        <v>656.14</v>
      </c>
      <c r="F519" s="39">
        <v>10</v>
      </c>
      <c r="G519" s="39" t="s">
        <v>75</v>
      </c>
      <c r="H519" s="41">
        <v>2387.63</v>
      </c>
      <c r="I519" s="41">
        <v>2438.9699999999998</v>
      </c>
      <c r="J519" s="39" t="s">
        <v>137</v>
      </c>
      <c r="K519" s="42">
        <v>0.02</v>
      </c>
      <c r="L519" s="39" t="s">
        <v>63</v>
      </c>
      <c r="M519" s="39" t="s">
        <v>140</v>
      </c>
      <c r="N519" s="39" t="s">
        <v>146</v>
      </c>
      <c r="O519" s="43">
        <f t="shared" si="168"/>
        <v>24389.7</v>
      </c>
      <c r="P519" s="43">
        <f t="shared" si="169"/>
        <v>23901.91</v>
      </c>
      <c r="Q519" s="43">
        <f t="shared" si="170"/>
        <v>23876.3</v>
      </c>
      <c r="R519" s="43">
        <f t="shared" si="171"/>
        <v>25.610000000000582</v>
      </c>
      <c r="S519" s="44">
        <f t="shared" si="172"/>
        <v>1.0714624898177838E-3</v>
      </c>
      <c r="T519" s="39" t="str">
        <f t="shared" si="173"/>
        <v>OK</v>
      </c>
      <c r="U519" s="39" t="str">
        <f t="shared" si="174"/>
        <v>0-9%</v>
      </c>
      <c r="V519" s="39" t="str">
        <f>IF(E519&gt;=Analysis!$B$4,"High",IF(E519&gt;=Analysis!$B$5,"Mid","Low"))</f>
        <v>Low</v>
      </c>
      <c r="W519" s="39" t="str">
        <f t="shared" si="175"/>
        <v>2023-07</v>
      </c>
      <c r="X519" s="40">
        <f t="shared" si="176"/>
        <v>45138</v>
      </c>
      <c r="Y519" s="39" t="str">
        <f t="shared" si="177"/>
        <v>2023-Q3</v>
      </c>
      <c r="Z519" s="39" t="str">
        <f t="shared" si="178"/>
        <v>Wed</v>
      </c>
      <c r="AA519" s="39">
        <f t="shared" si="179"/>
        <v>3</v>
      </c>
      <c r="AB519" s="39">
        <f t="shared" si="180"/>
        <v>30</v>
      </c>
      <c r="AC519" s="39" t="str">
        <f t="shared" si="181"/>
        <v>Weekday</v>
      </c>
      <c r="AD519" s="39">
        <f t="shared" ca="1" si="182"/>
        <v>1193</v>
      </c>
      <c r="AE519" s="39">
        <f t="shared" ca="1" si="183"/>
        <v>39</v>
      </c>
      <c r="AF519" s="39" t="str">
        <f t="shared" si="184"/>
        <v>CHA</v>
      </c>
      <c r="AG519" s="39" t="str">
        <f t="shared" si="185"/>
        <v>WR-230719-0518</v>
      </c>
      <c r="AH519" s="39" t="str">
        <f>IF(AND(OR(Filter!$B$4="All",D519=Filter!$B$4),OR(Filter!$B$5="All",M519=Filter!$B$5),E519&gt;=Filter!$B$6),MAX(AH$1:AH518)+1,"")</f>
        <v/>
      </c>
      <c r="AI519" s="39">
        <f t="shared" si="186"/>
        <v>10</v>
      </c>
      <c r="AJ519" s="42">
        <f t="shared" si="187"/>
        <v>0.02</v>
      </c>
      <c r="AK519" s="41">
        <f t="shared" si="188"/>
        <v>2438.9699999999998</v>
      </c>
      <c r="AL519" s="39">
        <f>RANK(E519,$E$2:$E$1001,0)+COUNTIF($E$2:E519,E519)-1</f>
        <v>947</v>
      </c>
    </row>
    <row r="520" spans="1:38" x14ac:dyDescent="0.2">
      <c r="A520" s="39">
        <v>1048</v>
      </c>
      <c r="B520" s="40">
        <v>44951</v>
      </c>
      <c r="C520" s="39" t="s">
        <v>79</v>
      </c>
      <c r="D520" s="39" t="s">
        <v>69</v>
      </c>
      <c r="E520" s="41">
        <v>4961.8500000000004</v>
      </c>
      <c r="F520" s="39">
        <v>7</v>
      </c>
      <c r="G520" s="39" t="s">
        <v>65</v>
      </c>
      <c r="H520" s="41">
        <v>1655.43</v>
      </c>
      <c r="I520" s="41">
        <v>2001.08</v>
      </c>
      <c r="J520" s="39" t="s">
        <v>143</v>
      </c>
      <c r="K520" s="42">
        <v>0.19</v>
      </c>
      <c r="L520" s="39" t="s">
        <v>63</v>
      </c>
      <c r="M520" s="39" t="s">
        <v>138</v>
      </c>
      <c r="N520" s="39" t="s">
        <v>147</v>
      </c>
      <c r="O520" s="43">
        <f t="shared" si="168"/>
        <v>14007.56</v>
      </c>
      <c r="P520" s="43">
        <f t="shared" si="169"/>
        <v>11346.12</v>
      </c>
      <c r="Q520" s="43">
        <f t="shared" si="170"/>
        <v>11588.01</v>
      </c>
      <c r="R520" s="43">
        <f t="shared" si="171"/>
        <v>-241.88999999999942</v>
      </c>
      <c r="S520" s="44">
        <f t="shared" si="172"/>
        <v>-2.1319182240272391E-2</v>
      </c>
      <c r="T520" s="39" t="str">
        <f t="shared" si="173"/>
        <v>Loss</v>
      </c>
      <c r="U520" s="39" t="str">
        <f t="shared" si="174"/>
        <v>10-19%</v>
      </c>
      <c r="V520" s="39" t="str">
        <f>IF(E520&gt;=Analysis!$B$4,"High",IF(E520&gt;=Analysis!$B$5,"Mid","Low"))</f>
        <v>Mid</v>
      </c>
      <c r="W520" s="39" t="str">
        <f t="shared" si="175"/>
        <v>2023-01</v>
      </c>
      <c r="X520" s="40">
        <f t="shared" si="176"/>
        <v>44957</v>
      </c>
      <c r="Y520" s="39" t="str">
        <f t="shared" si="177"/>
        <v>2023-Q1</v>
      </c>
      <c r="Z520" s="39" t="str">
        <f t="shared" si="178"/>
        <v>Wed</v>
      </c>
      <c r="AA520" s="39">
        <f t="shared" si="179"/>
        <v>3</v>
      </c>
      <c r="AB520" s="39">
        <f t="shared" si="180"/>
        <v>5</v>
      </c>
      <c r="AC520" s="39" t="str">
        <f t="shared" si="181"/>
        <v>Weekday</v>
      </c>
      <c r="AD520" s="39">
        <f t="shared" ca="1" si="182"/>
        <v>1368</v>
      </c>
      <c r="AE520" s="39">
        <f t="shared" ca="1" si="183"/>
        <v>44</v>
      </c>
      <c r="AF520" s="39" t="str">
        <f t="shared" si="184"/>
        <v>EVE</v>
      </c>
      <c r="AG520" s="39" t="str">
        <f t="shared" si="185"/>
        <v>SO-230125-0519</v>
      </c>
      <c r="AH520" s="39" t="str">
        <f>IF(AND(OR(Filter!$B$4="All",D520=Filter!$B$4),OR(Filter!$B$5="All",M520=Filter!$B$5),E520&gt;=Filter!$B$6),MAX(AH$1:AH519)+1,"")</f>
        <v/>
      </c>
      <c r="AI520" s="39">
        <f t="shared" si="186"/>
        <v>7</v>
      </c>
      <c r="AJ520" s="42">
        <f t="shared" si="187"/>
        <v>0.19</v>
      </c>
      <c r="AK520" s="41">
        <f t="shared" si="188"/>
        <v>2001.08</v>
      </c>
      <c r="AL520" s="39">
        <f>RANK(E520,$E$2:$E$1001,0)+COUNTIF($E$2:E520,E520)-1</f>
        <v>504</v>
      </c>
    </row>
    <row r="521" spans="1:38" x14ac:dyDescent="0.2">
      <c r="A521" s="39">
        <v>1085</v>
      </c>
      <c r="B521" s="40">
        <v>45015</v>
      </c>
      <c r="C521" s="39" t="s">
        <v>76</v>
      </c>
      <c r="D521" s="39" t="s">
        <v>74</v>
      </c>
      <c r="E521" s="41">
        <v>9278.4</v>
      </c>
      <c r="F521" s="39">
        <v>45</v>
      </c>
      <c r="G521" s="39" t="s">
        <v>60</v>
      </c>
      <c r="H521" s="41">
        <v>4763.1099999999997</v>
      </c>
      <c r="I521" s="41">
        <v>5119.91</v>
      </c>
      <c r="J521" s="39" t="s">
        <v>137</v>
      </c>
      <c r="K521" s="42">
        <v>0.28999999999999998</v>
      </c>
      <c r="L521" s="39" t="s">
        <v>68</v>
      </c>
      <c r="M521" s="39" t="s">
        <v>140</v>
      </c>
      <c r="N521" s="39" t="s">
        <v>154</v>
      </c>
      <c r="O521" s="43">
        <f t="shared" si="168"/>
        <v>230395.95</v>
      </c>
      <c r="P521" s="43">
        <f t="shared" si="169"/>
        <v>163581.12</v>
      </c>
      <c r="Q521" s="43">
        <f t="shared" si="170"/>
        <v>214339.95</v>
      </c>
      <c r="R521" s="43">
        <f t="shared" si="171"/>
        <v>-50758.830000000016</v>
      </c>
      <c r="S521" s="44">
        <f t="shared" si="172"/>
        <v>-0.31029760647194504</v>
      </c>
      <c r="T521" s="39" t="str">
        <f t="shared" si="173"/>
        <v>Loss</v>
      </c>
      <c r="U521" s="39" t="str">
        <f t="shared" si="174"/>
        <v>20%+</v>
      </c>
      <c r="V521" s="39" t="str">
        <f>IF(E521&gt;=Analysis!$B$4,"High",IF(E521&gt;=Analysis!$B$5,"Mid","Low"))</f>
        <v>High</v>
      </c>
      <c r="W521" s="39" t="str">
        <f t="shared" si="175"/>
        <v>2023-03</v>
      </c>
      <c r="X521" s="40">
        <f t="shared" si="176"/>
        <v>45016</v>
      </c>
      <c r="Y521" s="39" t="str">
        <f t="shared" si="177"/>
        <v>2023-Q1</v>
      </c>
      <c r="Z521" s="39" t="str">
        <f t="shared" si="178"/>
        <v>Thu</v>
      </c>
      <c r="AA521" s="39">
        <f t="shared" si="179"/>
        <v>4</v>
      </c>
      <c r="AB521" s="39">
        <f t="shared" si="180"/>
        <v>14</v>
      </c>
      <c r="AC521" s="39" t="str">
        <f t="shared" si="181"/>
        <v>Weekday</v>
      </c>
      <c r="AD521" s="39">
        <f t="shared" ca="1" si="182"/>
        <v>1304</v>
      </c>
      <c r="AE521" s="39">
        <f t="shared" ca="1" si="183"/>
        <v>42</v>
      </c>
      <c r="AF521" s="39" t="str">
        <f t="shared" si="184"/>
        <v>DAV</v>
      </c>
      <c r="AG521" s="39" t="str">
        <f t="shared" si="185"/>
        <v>WR-230330-0520</v>
      </c>
      <c r="AH521" s="39">
        <f>IF(AND(OR(Filter!$B$4="All",D521=Filter!$B$4),OR(Filter!$B$5="All",M521=Filter!$B$5),E521&gt;=Filter!$B$6),MAX(AH$1:AH520)+1,"")</f>
        <v>56</v>
      </c>
      <c r="AI521" s="39">
        <f t="shared" si="186"/>
        <v>45</v>
      </c>
      <c r="AJ521" s="42">
        <f t="shared" si="187"/>
        <v>0.28999999999999998</v>
      </c>
      <c r="AK521" s="41">
        <f t="shared" si="188"/>
        <v>5119.91</v>
      </c>
      <c r="AL521" s="39">
        <f>RANK(E521,$E$2:$E$1001,0)+COUNTIF($E$2:E521,E521)-1</f>
        <v>71</v>
      </c>
    </row>
    <row r="522" spans="1:38" x14ac:dyDescent="0.2">
      <c r="A522" s="39">
        <v>1039</v>
      </c>
      <c r="B522" s="40">
        <v>45194</v>
      </c>
      <c r="C522" s="39" t="s">
        <v>79</v>
      </c>
      <c r="D522" s="39" t="s">
        <v>74</v>
      </c>
      <c r="E522" s="41">
        <v>1143.3900000000001</v>
      </c>
      <c r="F522" s="39">
        <v>37</v>
      </c>
      <c r="G522" s="39" t="s">
        <v>65</v>
      </c>
      <c r="H522" s="41">
        <v>4127.05</v>
      </c>
      <c r="I522" s="41">
        <v>4313.45</v>
      </c>
      <c r="J522" s="39" t="s">
        <v>143</v>
      </c>
      <c r="K522" s="42">
        <v>0.16</v>
      </c>
      <c r="L522" s="39" t="s">
        <v>68</v>
      </c>
      <c r="M522" s="39" t="s">
        <v>138</v>
      </c>
      <c r="N522" s="39" t="s">
        <v>149</v>
      </c>
      <c r="O522" s="43">
        <f t="shared" si="168"/>
        <v>159597.65</v>
      </c>
      <c r="P522" s="43">
        <f t="shared" si="169"/>
        <v>134062.03</v>
      </c>
      <c r="Q522" s="43">
        <f t="shared" si="170"/>
        <v>152700.85</v>
      </c>
      <c r="R522" s="43">
        <f t="shared" si="171"/>
        <v>-18638.820000000007</v>
      </c>
      <c r="S522" s="44">
        <f t="shared" si="172"/>
        <v>-0.13903131259462509</v>
      </c>
      <c r="T522" s="39" t="str">
        <f t="shared" si="173"/>
        <v>Loss</v>
      </c>
      <c r="U522" s="39" t="str">
        <f t="shared" si="174"/>
        <v>10-19%</v>
      </c>
      <c r="V522" s="39" t="str">
        <f>IF(E522&gt;=Analysis!$B$4,"High",IF(E522&gt;=Analysis!$B$5,"Mid","Low"))</f>
        <v>Low</v>
      </c>
      <c r="W522" s="39" t="str">
        <f t="shared" si="175"/>
        <v>2023-09</v>
      </c>
      <c r="X522" s="40">
        <f t="shared" si="176"/>
        <v>45199</v>
      </c>
      <c r="Y522" s="39" t="str">
        <f t="shared" si="177"/>
        <v>2023-Q3</v>
      </c>
      <c r="Z522" s="39" t="str">
        <f t="shared" si="178"/>
        <v>Mon</v>
      </c>
      <c r="AA522" s="39">
        <f t="shared" si="179"/>
        <v>1</v>
      </c>
      <c r="AB522" s="39">
        <f t="shared" si="180"/>
        <v>40</v>
      </c>
      <c r="AC522" s="39" t="str">
        <f t="shared" si="181"/>
        <v>Weekday</v>
      </c>
      <c r="AD522" s="39">
        <f t="shared" ca="1" si="182"/>
        <v>1125</v>
      </c>
      <c r="AE522" s="39">
        <f t="shared" ca="1" si="183"/>
        <v>36</v>
      </c>
      <c r="AF522" s="39" t="str">
        <f t="shared" si="184"/>
        <v>EVE</v>
      </c>
      <c r="AG522" s="39" t="str">
        <f t="shared" si="185"/>
        <v>WO-230925-0521</v>
      </c>
      <c r="AH522" s="39" t="str">
        <f>IF(AND(OR(Filter!$B$4="All",D522=Filter!$B$4),OR(Filter!$B$5="All",M522=Filter!$B$5),E522&gt;=Filter!$B$6),MAX(AH$1:AH521)+1,"")</f>
        <v/>
      </c>
      <c r="AI522" s="39">
        <f t="shared" si="186"/>
        <v>37</v>
      </c>
      <c r="AJ522" s="42">
        <f t="shared" si="187"/>
        <v>0.16</v>
      </c>
      <c r="AK522" s="41">
        <f t="shared" si="188"/>
        <v>4313.45</v>
      </c>
      <c r="AL522" s="39">
        <f>RANK(E522,$E$2:$E$1001,0)+COUNTIF($E$2:E522,E522)-1</f>
        <v>891</v>
      </c>
    </row>
    <row r="523" spans="1:38" x14ac:dyDescent="0.2">
      <c r="A523" s="39">
        <v>1100</v>
      </c>
      <c r="B523" s="40">
        <v>45069</v>
      </c>
      <c r="C523" s="39" t="s">
        <v>66</v>
      </c>
      <c r="D523" s="39" t="s">
        <v>74</v>
      </c>
      <c r="E523" s="41">
        <v>7667.96</v>
      </c>
      <c r="F523" s="39">
        <v>29</v>
      </c>
      <c r="G523" s="39" t="s">
        <v>70</v>
      </c>
      <c r="H523" s="41">
        <v>3559.56</v>
      </c>
      <c r="I523" s="41">
        <v>3607.15</v>
      </c>
      <c r="J523" s="39" t="s">
        <v>137</v>
      </c>
      <c r="K523" s="42">
        <v>0.21</v>
      </c>
      <c r="L523" s="39" t="s">
        <v>68</v>
      </c>
      <c r="M523" s="39" t="s">
        <v>140</v>
      </c>
      <c r="N523" s="39" t="s">
        <v>141</v>
      </c>
      <c r="O523" s="43">
        <f t="shared" si="168"/>
        <v>104607.35</v>
      </c>
      <c r="P523" s="43">
        <f t="shared" si="169"/>
        <v>82639.81</v>
      </c>
      <c r="Q523" s="43">
        <f t="shared" si="170"/>
        <v>103227.24</v>
      </c>
      <c r="R523" s="43">
        <f t="shared" si="171"/>
        <v>-20587.430000000008</v>
      </c>
      <c r="S523" s="44">
        <f t="shared" si="172"/>
        <v>-0.24912242658834777</v>
      </c>
      <c r="T523" s="39" t="str">
        <f t="shared" si="173"/>
        <v>Loss</v>
      </c>
      <c r="U523" s="39" t="str">
        <f t="shared" si="174"/>
        <v>20%+</v>
      </c>
      <c r="V523" s="39" t="str">
        <f>IF(E523&gt;=Analysis!$B$4,"High",IF(E523&gt;=Analysis!$B$5,"Mid","Low"))</f>
        <v>High</v>
      </c>
      <c r="W523" s="39" t="str">
        <f t="shared" si="175"/>
        <v>2023-05</v>
      </c>
      <c r="X523" s="40">
        <f t="shared" si="176"/>
        <v>45077</v>
      </c>
      <c r="Y523" s="39" t="str">
        <f t="shared" si="177"/>
        <v>2023-Q2</v>
      </c>
      <c r="Z523" s="39" t="str">
        <f t="shared" si="178"/>
        <v>Tue</v>
      </c>
      <c r="AA523" s="39">
        <f t="shared" si="179"/>
        <v>2</v>
      </c>
      <c r="AB523" s="39">
        <f t="shared" si="180"/>
        <v>22</v>
      </c>
      <c r="AC523" s="39" t="str">
        <f t="shared" si="181"/>
        <v>Weekday</v>
      </c>
      <c r="AD523" s="39">
        <f t="shared" ca="1" si="182"/>
        <v>1250</v>
      </c>
      <c r="AE523" s="39">
        <f t="shared" ca="1" si="183"/>
        <v>41</v>
      </c>
      <c r="AF523" s="39" t="str">
        <f t="shared" si="184"/>
        <v>BOB</v>
      </c>
      <c r="AG523" s="39" t="str">
        <f t="shared" si="185"/>
        <v>WR-230523-0522</v>
      </c>
      <c r="AH523" s="39" t="str">
        <f>IF(AND(OR(Filter!$B$4="All",D523=Filter!$B$4),OR(Filter!$B$5="All",M523=Filter!$B$5),E523&gt;=Filter!$B$6),MAX(AH$1:AH522)+1,"")</f>
        <v/>
      </c>
      <c r="AI523" s="39">
        <f t="shared" si="186"/>
        <v>29</v>
      </c>
      <c r="AJ523" s="42">
        <f t="shared" si="187"/>
        <v>0.21</v>
      </c>
      <c r="AK523" s="41">
        <f t="shared" si="188"/>
        <v>3607.15</v>
      </c>
      <c r="AL523" s="39">
        <f>RANK(E523,$E$2:$E$1001,0)+COUNTIF($E$2:E523,E523)-1</f>
        <v>230</v>
      </c>
    </row>
    <row r="524" spans="1:38" x14ac:dyDescent="0.2">
      <c r="A524" s="39">
        <v>1033</v>
      </c>
      <c r="B524" s="40">
        <v>44985</v>
      </c>
      <c r="C524" s="39" t="s">
        <v>76</v>
      </c>
      <c r="D524" s="39" t="s">
        <v>74</v>
      </c>
      <c r="E524" s="41">
        <v>4155.74</v>
      </c>
      <c r="F524" s="39">
        <v>3</v>
      </c>
      <c r="G524" s="39" t="s">
        <v>60</v>
      </c>
      <c r="H524" s="41">
        <v>2958.75</v>
      </c>
      <c r="I524" s="41">
        <v>3177.64</v>
      </c>
      <c r="J524" s="39" t="s">
        <v>137</v>
      </c>
      <c r="K524" s="42">
        <v>0.17</v>
      </c>
      <c r="L524" s="39" t="s">
        <v>68</v>
      </c>
      <c r="M524" s="39" t="s">
        <v>138</v>
      </c>
      <c r="N524" s="39" t="s">
        <v>154</v>
      </c>
      <c r="O524" s="43">
        <f t="shared" si="168"/>
        <v>9532.92</v>
      </c>
      <c r="P524" s="43">
        <f t="shared" si="169"/>
        <v>7912.32</v>
      </c>
      <c r="Q524" s="43">
        <f t="shared" si="170"/>
        <v>8876.25</v>
      </c>
      <c r="R524" s="43">
        <f t="shared" si="171"/>
        <v>-963.93000000000029</v>
      </c>
      <c r="S524" s="44">
        <f t="shared" si="172"/>
        <v>-0.1218264680902694</v>
      </c>
      <c r="T524" s="39" t="str">
        <f t="shared" si="173"/>
        <v>Loss</v>
      </c>
      <c r="U524" s="39" t="str">
        <f t="shared" si="174"/>
        <v>10-19%</v>
      </c>
      <c r="V524" s="39" t="str">
        <f>IF(E524&gt;=Analysis!$B$4,"High",IF(E524&gt;=Analysis!$B$5,"Mid","Low"))</f>
        <v>Mid</v>
      </c>
      <c r="W524" s="39" t="str">
        <f t="shared" si="175"/>
        <v>2023-02</v>
      </c>
      <c r="X524" s="40">
        <f t="shared" si="176"/>
        <v>44985</v>
      </c>
      <c r="Y524" s="39" t="str">
        <f t="shared" si="177"/>
        <v>2023-Q1</v>
      </c>
      <c r="Z524" s="39" t="str">
        <f t="shared" si="178"/>
        <v>Tue</v>
      </c>
      <c r="AA524" s="39">
        <f t="shared" si="179"/>
        <v>2</v>
      </c>
      <c r="AB524" s="39">
        <f t="shared" si="180"/>
        <v>10</v>
      </c>
      <c r="AC524" s="39" t="str">
        <f t="shared" si="181"/>
        <v>Weekday</v>
      </c>
      <c r="AD524" s="39">
        <f t="shared" ca="1" si="182"/>
        <v>1334</v>
      </c>
      <c r="AE524" s="39">
        <f t="shared" ca="1" si="183"/>
        <v>43</v>
      </c>
      <c r="AF524" s="39" t="str">
        <f t="shared" si="184"/>
        <v>DAV</v>
      </c>
      <c r="AG524" s="39" t="str">
        <f t="shared" si="185"/>
        <v>WO-230228-0523</v>
      </c>
      <c r="AH524" s="39" t="str">
        <f>IF(AND(OR(Filter!$B$4="All",D524=Filter!$B$4),OR(Filter!$B$5="All",M524=Filter!$B$5),E524&gt;=Filter!$B$6),MAX(AH$1:AH523)+1,"")</f>
        <v/>
      </c>
      <c r="AI524" s="39">
        <f t="shared" si="186"/>
        <v>3</v>
      </c>
      <c r="AJ524" s="42">
        <f t="shared" si="187"/>
        <v>0.17</v>
      </c>
      <c r="AK524" s="41">
        <f t="shared" si="188"/>
        <v>3177.64</v>
      </c>
      <c r="AL524" s="39">
        <f>RANK(E524,$E$2:$E$1001,0)+COUNTIF($E$2:E524,E524)-1</f>
        <v>583</v>
      </c>
    </row>
    <row r="525" spans="1:38" x14ac:dyDescent="0.2">
      <c r="A525" s="39">
        <v>1094</v>
      </c>
      <c r="B525" s="40">
        <v>45291</v>
      </c>
      <c r="C525" s="39" t="s">
        <v>66</v>
      </c>
      <c r="D525" s="39" t="s">
        <v>69</v>
      </c>
      <c r="E525" s="41">
        <v>6586.22</v>
      </c>
      <c r="F525" s="39">
        <v>15</v>
      </c>
      <c r="G525" s="39" t="s">
        <v>70</v>
      </c>
      <c r="H525" s="41">
        <v>4111.93</v>
      </c>
      <c r="I525" s="41">
        <v>4338.67</v>
      </c>
      <c r="J525" s="39" t="s">
        <v>137</v>
      </c>
      <c r="K525" s="42">
        <v>0.26</v>
      </c>
      <c r="L525" s="39" t="s">
        <v>73</v>
      </c>
      <c r="M525" s="39" t="s">
        <v>138</v>
      </c>
      <c r="N525" s="39" t="s">
        <v>144</v>
      </c>
      <c r="O525" s="43">
        <f t="shared" si="168"/>
        <v>65080.05</v>
      </c>
      <c r="P525" s="43">
        <f t="shared" si="169"/>
        <v>48159.24</v>
      </c>
      <c r="Q525" s="43">
        <f t="shared" si="170"/>
        <v>61678.95</v>
      </c>
      <c r="R525" s="43">
        <f t="shared" si="171"/>
        <v>-13519.71</v>
      </c>
      <c r="S525" s="44">
        <f t="shared" si="172"/>
        <v>-0.28072930552890785</v>
      </c>
      <c r="T525" s="39" t="str">
        <f t="shared" si="173"/>
        <v>Loss</v>
      </c>
      <c r="U525" s="39" t="str">
        <f t="shared" si="174"/>
        <v>20%+</v>
      </c>
      <c r="V525" s="39" t="str">
        <f>IF(E525&gt;=Analysis!$B$4,"High",IF(E525&gt;=Analysis!$B$5,"Mid","Low"))</f>
        <v>Mid</v>
      </c>
      <c r="W525" s="39" t="str">
        <f t="shared" si="175"/>
        <v>2023-12</v>
      </c>
      <c r="X525" s="40">
        <f t="shared" si="176"/>
        <v>45291</v>
      </c>
      <c r="Y525" s="39" t="str">
        <f t="shared" si="177"/>
        <v>2023-Q4</v>
      </c>
      <c r="Z525" s="39" t="str">
        <f t="shared" si="178"/>
        <v>Sun</v>
      </c>
      <c r="AA525" s="39">
        <f t="shared" si="179"/>
        <v>7</v>
      </c>
      <c r="AB525" s="39">
        <f t="shared" si="180"/>
        <v>53</v>
      </c>
      <c r="AC525" s="39" t="str">
        <f t="shared" si="181"/>
        <v>Weekend</v>
      </c>
      <c r="AD525" s="39">
        <f t="shared" ca="1" si="182"/>
        <v>1028</v>
      </c>
      <c r="AE525" s="39">
        <f t="shared" ca="1" si="183"/>
        <v>33</v>
      </c>
      <c r="AF525" s="39" t="str">
        <f t="shared" si="184"/>
        <v>BOB</v>
      </c>
      <c r="AG525" s="39" t="str">
        <f t="shared" si="185"/>
        <v>SO-231231-0524</v>
      </c>
      <c r="AH525" s="39" t="str">
        <f>IF(AND(OR(Filter!$B$4="All",D525=Filter!$B$4),OR(Filter!$B$5="All",M525=Filter!$B$5),E525&gt;=Filter!$B$6),MAX(AH$1:AH524)+1,"")</f>
        <v/>
      </c>
      <c r="AI525" s="39">
        <f t="shared" si="186"/>
        <v>15</v>
      </c>
      <c r="AJ525" s="42">
        <f t="shared" si="187"/>
        <v>0.26</v>
      </c>
      <c r="AK525" s="41">
        <f t="shared" si="188"/>
        <v>4338.67</v>
      </c>
      <c r="AL525" s="39">
        <f>RANK(E525,$E$2:$E$1001,0)+COUNTIF($E$2:E525,E525)-1</f>
        <v>351</v>
      </c>
    </row>
    <row r="526" spans="1:38" x14ac:dyDescent="0.2">
      <c r="A526" s="39">
        <v>1023</v>
      </c>
      <c r="B526" s="40">
        <v>44952</v>
      </c>
      <c r="C526" s="39" t="s">
        <v>76</v>
      </c>
      <c r="D526" s="39" t="s">
        <v>64</v>
      </c>
      <c r="E526" s="41">
        <v>2676.34</v>
      </c>
      <c r="F526" s="39">
        <v>36</v>
      </c>
      <c r="G526" s="39" t="s">
        <v>60</v>
      </c>
      <c r="H526" s="41">
        <v>1991.72</v>
      </c>
      <c r="I526" s="41">
        <v>2329.37</v>
      </c>
      <c r="J526" s="39" t="s">
        <v>143</v>
      </c>
      <c r="K526" s="42">
        <v>0.28000000000000003</v>
      </c>
      <c r="L526" s="39" t="s">
        <v>73</v>
      </c>
      <c r="M526" s="39" t="s">
        <v>140</v>
      </c>
      <c r="N526" s="39" t="s">
        <v>152</v>
      </c>
      <c r="O526" s="43">
        <f t="shared" si="168"/>
        <v>83857.320000000007</v>
      </c>
      <c r="P526" s="43">
        <f t="shared" si="169"/>
        <v>60377.27</v>
      </c>
      <c r="Q526" s="43">
        <f t="shared" si="170"/>
        <v>71701.919999999998</v>
      </c>
      <c r="R526" s="43">
        <f t="shared" si="171"/>
        <v>-11324.650000000001</v>
      </c>
      <c r="S526" s="44">
        <f t="shared" si="172"/>
        <v>-0.18756479052464614</v>
      </c>
      <c r="T526" s="39" t="str">
        <f t="shared" si="173"/>
        <v>Loss</v>
      </c>
      <c r="U526" s="39" t="str">
        <f t="shared" si="174"/>
        <v>20%+</v>
      </c>
      <c r="V526" s="39" t="str">
        <f>IF(E526&gt;=Analysis!$B$4,"High",IF(E526&gt;=Analysis!$B$5,"Mid","Low"))</f>
        <v>Mid</v>
      </c>
      <c r="W526" s="39" t="str">
        <f t="shared" si="175"/>
        <v>2023-01</v>
      </c>
      <c r="X526" s="40">
        <f t="shared" si="176"/>
        <v>44957</v>
      </c>
      <c r="Y526" s="39" t="str">
        <f t="shared" si="177"/>
        <v>2023-Q1</v>
      </c>
      <c r="Z526" s="39" t="str">
        <f t="shared" si="178"/>
        <v>Thu</v>
      </c>
      <c r="AA526" s="39">
        <f t="shared" si="179"/>
        <v>4</v>
      </c>
      <c r="AB526" s="39">
        <f t="shared" si="180"/>
        <v>5</v>
      </c>
      <c r="AC526" s="39" t="str">
        <f t="shared" si="181"/>
        <v>Weekday</v>
      </c>
      <c r="AD526" s="39">
        <f t="shared" ca="1" si="182"/>
        <v>1367</v>
      </c>
      <c r="AE526" s="39">
        <f t="shared" ca="1" si="183"/>
        <v>44</v>
      </c>
      <c r="AF526" s="39" t="str">
        <f t="shared" si="184"/>
        <v>DAV</v>
      </c>
      <c r="AG526" s="39" t="str">
        <f t="shared" si="185"/>
        <v>NR-230126-0525</v>
      </c>
      <c r="AH526" s="39" t="str">
        <f>IF(AND(OR(Filter!$B$4="All",D526=Filter!$B$4),OR(Filter!$B$5="All",M526=Filter!$B$5),E526&gt;=Filter!$B$6),MAX(AH$1:AH525)+1,"")</f>
        <v/>
      </c>
      <c r="AI526" s="39">
        <f t="shared" si="186"/>
        <v>36</v>
      </c>
      <c r="AJ526" s="42">
        <f t="shared" si="187"/>
        <v>0.28000000000000003</v>
      </c>
      <c r="AK526" s="41">
        <f t="shared" si="188"/>
        <v>2329.37</v>
      </c>
      <c r="AL526" s="39">
        <f>RANK(E526,$E$2:$E$1001,0)+COUNTIF($E$2:E526,E526)-1</f>
        <v>734</v>
      </c>
    </row>
    <row r="527" spans="1:38" x14ac:dyDescent="0.2">
      <c r="A527" s="39">
        <v>1010</v>
      </c>
      <c r="B527" s="40">
        <v>44973</v>
      </c>
      <c r="C527" s="39" t="s">
        <v>76</v>
      </c>
      <c r="D527" s="39" t="s">
        <v>59</v>
      </c>
      <c r="E527" s="41">
        <v>1678.97</v>
      </c>
      <c r="F527" s="39">
        <v>47</v>
      </c>
      <c r="G527" s="39" t="s">
        <v>75</v>
      </c>
      <c r="H527" s="41">
        <v>2265.38</v>
      </c>
      <c r="I527" s="41">
        <v>2429.9299999999998</v>
      </c>
      <c r="J527" s="39" t="s">
        <v>137</v>
      </c>
      <c r="K527" s="42">
        <v>0.06</v>
      </c>
      <c r="L527" s="39" t="s">
        <v>63</v>
      </c>
      <c r="M527" s="39" t="s">
        <v>138</v>
      </c>
      <c r="N527" s="39" t="s">
        <v>157</v>
      </c>
      <c r="O527" s="43">
        <f t="shared" si="168"/>
        <v>114206.71</v>
      </c>
      <c r="P527" s="43">
        <f t="shared" si="169"/>
        <v>107354.31</v>
      </c>
      <c r="Q527" s="43">
        <f t="shared" si="170"/>
        <v>106472.86</v>
      </c>
      <c r="R527" s="43">
        <f t="shared" si="171"/>
        <v>881.44999999999709</v>
      </c>
      <c r="S527" s="44">
        <f t="shared" si="172"/>
        <v>8.2106624317178981E-3</v>
      </c>
      <c r="T527" s="39" t="str">
        <f t="shared" si="173"/>
        <v>OK</v>
      </c>
      <c r="U527" s="39" t="str">
        <f t="shared" si="174"/>
        <v>0-9%</v>
      </c>
      <c r="V527" s="39" t="str">
        <f>IF(E527&gt;=Analysis!$B$4,"High",IF(E527&gt;=Analysis!$B$5,"Mid","Low"))</f>
        <v>Low</v>
      </c>
      <c r="W527" s="39" t="str">
        <f t="shared" si="175"/>
        <v>2023-02</v>
      </c>
      <c r="X527" s="40">
        <f t="shared" si="176"/>
        <v>44985</v>
      </c>
      <c r="Y527" s="39" t="str">
        <f t="shared" si="177"/>
        <v>2023-Q1</v>
      </c>
      <c r="Z527" s="39" t="str">
        <f t="shared" si="178"/>
        <v>Thu</v>
      </c>
      <c r="AA527" s="39">
        <f t="shared" si="179"/>
        <v>4</v>
      </c>
      <c r="AB527" s="39">
        <f t="shared" si="180"/>
        <v>8</v>
      </c>
      <c r="AC527" s="39" t="str">
        <f t="shared" si="181"/>
        <v>Weekday</v>
      </c>
      <c r="AD527" s="39">
        <f t="shared" ca="1" si="182"/>
        <v>1346</v>
      </c>
      <c r="AE527" s="39">
        <f t="shared" ca="1" si="183"/>
        <v>44</v>
      </c>
      <c r="AF527" s="39" t="str">
        <f t="shared" si="184"/>
        <v>DAV</v>
      </c>
      <c r="AG527" s="39" t="str">
        <f t="shared" si="185"/>
        <v>EO-230216-0526</v>
      </c>
      <c r="AH527" s="39" t="str">
        <f>IF(AND(OR(Filter!$B$4="All",D527=Filter!$B$4),OR(Filter!$B$5="All",M527=Filter!$B$5),E527&gt;=Filter!$B$6),MAX(AH$1:AH526)+1,"")</f>
        <v/>
      </c>
      <c r="AI527" s="39">
        <f t="shared" si="186"/>
        <v>47</v>
      </c>
      <c r="AJ527" s="42">
        <f t="shared" si="187"/>
        <v>0.06</v>
      </c>
      <c r="AK527" s="41">
        <f t="shared" si="188"/>
        <v>2429.9299999999998</v>
      </c>
      <c r="AL527" s="39">
        <f>RANK(E527,$E$2:$E$1001,0)+COUNTIF($E$2:E527,E527)-1</f>
        <v>852</v>
      </c>
    </row>
    <row r="528" spans="1:38" x14ac:dyDescent="0.2">
      <c r="A528" s="39">
        <v>1069</v>
      </c>
      <c r="B528" s="40">
        <v>45214</v>
      </c>
      <c r="C528" s="39" t="s">
        <v>66</v>
      </c>
      <c r="D528" s="39" t="s">
        <v>74</v>
      </c>
      <c r="E528" s="41">
        <v>1688.58</v>
      </c>
      <c r="F528" s="39">
        <v>46</v>
      </c>
      <c r="G528" s="39" t="s">
        <v>70</v>
      </c>
      <c r="H528" s="41">
        <v>3663.51</v>
      </c>
      <c r="I528" s="41">
        <v>4007.98</v>
      </c>
      <c r="J528" s="39" t="s">
        <v>143</v>
      </c>
      <c r="K528" s="42">
        <v>0.13</v>
      </c>
      <c r="L528" s="39" t="s">
        <v>68</v>
      </c>
      <c r="M528" s="39" t="s">
        <v>138</v>
      </c>
      <c r="N528" s="39" t="s">
        <v>141</v>
      </c>
      <c r="O528" s="43">
        <f t="shared" si="168"/>
        <v>184367.08</v>
      </c>
      <c r="P528" s="43">
        <f t="shared" si="169"/>
        <v>160399.35999999999</v>
      </c>
      <c r="Q528" s="43">
        <f t="shared" si="170"/>
        <v>168521.46</v>
      </c>
      <c r="R528" s="43">
        <f t="shared" si="171"/>
        <v>-8122.1000000000058</v>
      </c>
      <c r="S528" s="44">
        <f t="shared" si="172"/>
        <v>-5.0636735707673686E-2</v>
      </c>
      <c r="T528" s="39" t="str">
        <f t="shared" si="173"/>
        <v>Loss</v>
      </c>
      <c r="U528" s="39" t="str">
        <f t="shared" si="174"/>
        <v>10-19%</v>
      </c>
      <c r="V528" s="39" t="str">
        <f>IF(E528&gt;=Analysis!$B$4,"High",IF(E528&gt;=Analysis!$B$5,"Mid","Low"))</f>
        <v>Low</v>
      </c>
      <c r="W528" s="39" t="str">
        <f t="shared" si="175"/>
        <v>2023-10</v>
      </c>
      <c r="X528" s="40">
        <f t="shared" si="176"/>
        <v>45230</v>
      </c>
      <c r="Y528" s="39" t="str">
        <f t="shared" si="177"/>
        <v>2023-Q4</v>
      </c>
      <c r="Z528" s="39" t="str">
        <f t="shared" si="178"/>
        <v>Sun</v>
      </c>
      <c r="AA528" s="39">
        <f t="shared" si="179"/>
        <v>7</v>
      </c>
      <c r="AB528" s="39">
        <f t="shared" si="180"/>
        <v>42</v>
      </c>
      <c r="AC528" s="39" t="str">
        <f t="shared" si="181"/>
        <v>Weekend</v>
      </c>
      <c r="AD528" s="39">
        <f t="shared" ca="1" si="182"/>
        <v>1105</v>
      </c>
      <c r="AE528" s="39">
        <f t="shared" ca="1" si="183"/>
        <v>36</v>
      </c>
      <c r="AF528" s="39" t="str">
        <f t="shared" si="184"/>
        <v>BOB</v>
      </c>
      <c r="AG528" s="39" t="str">
        <f t="shared" si="185"/>
        <v>WO-231015-0527</v>
      </c>
      <c r="AH528" s="39" t="str">
        <f>IF(AND(OR(Filter!$B$4="All",D528=Filter!$B$4),OR(Filter!$B$5="All",M528=Filter!$B$5),E528&gt;=Filter!$B$6),MAX(AH$1:AH527)+1,"")</f>
        <v/>
      </c>
      <c r="AI528" s="39">
        <f t="shared" si="186"/>
        <v>46</v>
      </c>
      <c r="AJ528" s="42">
        <f t="shared" si="187"/>
        <v>0.13</v>
      </c>
      <c r="AK528" s="41">
        <f t="shared" si="188"/>
        <v>4007.98</v>
      </c>
      <c r="AL528" s="39">
        <f>RANK(E528,$E$2:$E$1001,0)+COUNTIF($E$2:E528,E528)-1</f>
        <v>850</v>
      </c>
    </row>
    <row r="529" spans="1:38" x14ac:dyDescent="0.2">
      <c r="A529" s="39">
        <v>1100</v>
      </c>
      <c r="B529" s="40">
        <v>45192</v>
      </c>
      <c r="C529" s="39" t="s">
        <v>71</v>
      </c>
      <c r="D529" s="39" t="s">
        <v>64</v>
      </c>
      <c r="E529" s="41">
        <v>797.87</v>
      </c>
      <c r="F529" s="39">
        <v>19</v>
      </c>
      <c r="G529" s="39" t="s">
        <v>65</v>
      </c>
      <c r="H529" s="41">
        <v>1820.89</v>
      </c>
      <c r="I529" s="41">
        <v>2257.92</v>
      </c>
      <c r="J529" s="39" t="s">
        <v>143</v>
      </c>
      <c r="K529" s="42">
        <v>0.12</v>
      </c>
      <c r="L529" s="39" t="s">
        <v>68</v>
      </c>
      <c r="M529" s="39" t="s">
        <v>140</v>
      </c>
      <c r="N529" s="39" t="s">
        <v>160</v>
      </c>
      <c r="O529" s="43">
        <f t="shared" si="168"/>
        <v>42900.480000000003</v>
      </c>
      <c r="P529" s="43">
        <f t="shared" si="169"/>
        <v>37752.42</v>
      </c>
      <c r="Q529" s="43">
        <f t="shared" si="170"/>
        <v>34596.910000000003</v>
      </c>
      <c r="R529" s="43">
        <f t="shared" si="171"/>
        <v>3155.5099999999948</v>
      </c>
      <c r="S529" s="44">
        <f t="shared" si="172"/>
        <v>8.3584310621676566E-2</v>
      </c>
      <c r="T529" s="39" t="str">
        <f t="shared" si="173"/>
        <v>OK</v>
      </c>
      <c r="U529" s="39" t="str">
        <f t="shared" si="174"/>
        <v>10-19%</v>
      </c>
      <c r="V529" s="39" t="str">
        <f>IF(E529&gt;=Analysis!$B$4,"High",IF(E529&gt;=Analysis!$B$5,"Mid","Low"))</f>
        <v>Low</v>
      </c>
      <c r="W529" s="39" t="str">
        <f t="shared" si="175"/>
        <v>2023-09</v>
      </c>
      <c r="X529" s="40">
        <f t="shared" si="176"/>
        <v>45199</v>
      </c>
      <c r="Y529" s="39" t="str">
        <f t="shared" si="177"/>
        <v>2023-Q3</v>
      </c>
      <c r="Z529" s="39" t="str">
        <f t="shared" si="178"/>
        <v>Sat</v>
      </c>
      <c r="AA529" s="39">
        <f t="shared" si="179"/>
        <v>6</v>
      </c>
      <c r="AB529" s="39">
        <f t="shared" si="180"/>
        <v>39</v>
      </c>
      <c r="AC529" s="39" t="str">
        <f t="shared" si="181"/>
        <v>Weekend</v>
      </c>
      <c r="AD529" s="39">
        <f t="shared" ca="1" si="182"/>
        <v>1127</v>
      </c>
      <c r="AE529" s="39">
        <f t="shared" ca="1" si="183"/>
        <v>37</v>
      </c>
      <c r="AF529" s="39" t="str">
        <f t="shared" si="184"/>
        <v>CHA</v>
      </c>
      <c r="AG529" s="39" t="str">
        <f t="shared" si="185"/>
        <v>NR-230923-0528</v>
      </c>
      <c r="AH529" s="39" t="str">
        <f>IF(AND(OR(Filter!$B$4="All",D529=Filter!$B$4),OR(Filter!$B$5="All",M529=Filter!$B$5),E529&gt;=Filter!$B$6),MAX(AH$1:AH528)+1,"")</f>
        <v/>
      </c>
      <c r="AI529" s="39">
        <f t="shared" si="186"/>
        <v>19</v>
      </c>
      <c r="AJ529" s="42">
        <f t="shared" si="187"/>
        <v>0.12</v>
      </c>
      <c r="AK529" s="41">
        <f t="shared" si="188"/>
        <v>2257.92</v>
      </c>
      <c r="AL529" s="39">
        <f>RANK(E529,$E$2:$E$1001,0)+COUNTIF($E$2:E529,E529)-1</f>
        <v>924</v>
      </c>
    </row>
    <row r="530" spans="1:38" x14ac:dyDescent="0.2">
      <c r="A530" s="39">
        <v>1034</v>
      </c>
      <c r="B530" s="40">
        <v>44942</v>
      </c>
      <c r="C530" s="39" t="s">
        <v>61</v>
      </c>
      <c r="D530" s="39" t="s">
        <v>64</v>
      </c>
      <c r="E530" s="41">
        <v>1937.9</v>
      </c>
      <c r="F530" s="39">
        <v>13</v>
      </c>
      <c r="G530" s="39" t="s">
        <v>75</v>
      </c>
      <c r="H530" s="41">
        <v>366.31</v>
      </c>
      <c r="I530" s="41">
        <v>492.68</v>
      </c>
      <c r="J530" s="39" t="s">
        <v>143</v>
      </c>
      <c r="K530" s="42">
        <v>0.12</v>
      </c>
      <c r="L530" s="39" t="s">
        <v>73</v>
      </c>
      <c r="M530" s="39" t="s">
        <v>140</v>
      </c>
      <c r="N530" s="39" t="s">
        <v>156</v>
      </c>
      <c r="O530" s="43">
        <f t="shared" si="168"/>
        <v>6404.84</v>
      </c>
      <c r="P530" s="43">
        <f t="shared" si="169"/>
        <v>5636.26</v>
      </c>
      <c r="Q530" s="43">
        <f t="shared" si="170"/>
        <v>4762.03</v>
      </c>
      <c r="R530" s="43">
        <f t="shared" si="171"/>
        <v>874.23000000000047</v>
      </c>
      <c r="S530" s="44">
        <f t="shared" si="172"/>
        <v>0.15510817456966153</v>
      </c>
      <c r="T530" s="39" t="str">
        <f t="shared" si="173"/>
        <v>OK</v>
      </c>
      <c r="U530" s="39" t="str">
        <f t="shared" si="174"/>
        <v>10-19%</v>
      </c>
      <c r="V530" s="39" t="str">
        <f>IF(E530&gt;=Analysis!$B$4,"High",IF(E530&gt;=Analysis!$B$5,"Mid","Low"))</f>
        <v>Low</v>
      </c>
      <c r="W530" s="39" t="str">
        <f t="shared" si="175"/>
        <v>2023-01</v>
      </c>
      <c r="X530" s="40">
        <f t="shared" si="176"/>
        <v>44957</v>
      </c>
      <c r="Y530" s="39" t="str">
        <f t="shared" si="177"/>
        <v>2023-Q1</v>
      </c>
      <c r="Z530" s="39" t="str">
        <f t="shared" si="178"/>
        <v>Mon</v>
      </c>
      <c r="AA530" s="39">
        <f t="shared" si="179"/>
        <v>1</v>
      </c>
      <c r="AB530" s="39">
        <f t="shared" si="180"/>
        <v>4</v>
      </c>
      <c r="AC530" s="39" t="str">
        <f t="shared" si="181"/>
        <v>Weekday</v>
      </c>
      <c r="AD530" s="39">
        <f t="shared" ca="1" si="182"/>
        <v>1377</v>
      </c>
      <c r="AE530" s="39">
        <f t="shared" ca="1" si="183"/>
        <v>45</v>
      </c>
      <c r="AF530" s="39" t="str">
        <f t="shared" si="184"/>
        <v>ALI</v>
      </c>
      <c r="AG530" s="39" t="str">
        <f t="shared" si="185"/>
        <v>NR-230116-0529</v>
      </c>
      <c r="AH530" s="39" t="str">
        <f>IF(AND(OR(Filter!$B$4="All",D530=Filter!$B$4),OR(Filter!$B$5="All",M530=Filter!$B$5),E530&gt;=Filter!$B$6),MAX(AH$1:AH529)+1,"")</f>
        <v/>
      </c>
      <c r="AI530" s="39">
        <f t="shared" si="186"/>
        <v>13</v>
      </c>
      <c r="AJ530" s="42">
        <f t="shared" si="187"/>
        <v>0.12</v>
      </c>
      <c r="AK530" s="41">
        <f t="shared" si="188"/>
        <v>492.68</v>
      </c>
      <c r="AL530" s="39">
        <f>RANK(E530,$E$2:$E$1001,0)+COUNTIF($E$2:E530,E530)-1</f>
        <v>825</v>
      </c>
    </row>
    <row r="531" spans="1:38" x14ac:dyDescent="0.2">
      <c r="A531" s="39">
        <v>1052</v>
      </c>
      <c r="B531" s="40">
        <v>45125</v>
      </c>
      <c r="C531" s="39" t="s">
        <v>79</v>
      </c>
      <c r="D531" s="39" t="s">
        <v>69</v>
      </c>
      <c r="E531" s="41">
        <v>6675.77</v>
      </c>
      <c r="F531" s="39">
        <v>42</v>
      </c>
      <c r="G531" s="39" t="s">
        <v>65</v>
      </c>
      <c r="H531" s="41">
        <v>417.96</v>
      </c>
      <c r="I531" s="41">
        <v>907.63</v>
      </c>
      <c r="J531" s="39" t="s">
        <v>143</v>
      </c>
      <c r="K531" s="42">
        <v>0.04</v>
      </c>
      <c r="L531" s="39" t="s">
        <v>68</v>
      </c>
      <c r="M531" s="39" t="s">
        <v>140</v>
      </c>
      <c r="N531" s="39" t="s">
        <v>147</v>
      </c>
      <c r="O531" s="43">
        <f t="shared" si="168"/>
        <v>38120.46</v>
      </c>
      <c r="P531" s="43">
        <f t="shared" si="169"/>
        <v>36595.64</v>
      </c>
      <c r="Q531" s="43">
        <f t="shared" si="170"/>
        <v>17554.32</v>
      </c>
      <c r="R531" s="43">
        <f t="shared" si="171"/>
        <v>19041.32</v>
      </c>
      <c r="S531" s="44">
        <f t="shared" si="172"/>
        <v>0.52031662788244715</v>
      </c>
      <c r="T531" s="39" t="str">
        <f t="shared" si="173"/>
        <v>OK</v>
      </c>
      <c r="U531" s="39" t="str">
        <f t="shared" si="174"/>
        <v>0-9%</v>
      </c>
      <c r="V531" s="39" t="str">
        <f>IF(E531&gt;=Analysis!$B$4,"High",IF(E531&gt;=Analysis!$B$5,"Mid","Low"))</f>
        <v>Mid</v>
      </c>
      <c r="W531" s="39" t="str">
        <f t="shared" si="175"/>
        <v>2023-07</v>
      </c>
      <c r="X531" s="40">
        <f t="shared" si="176"/>
        <v>45138</v>
      </c>
      <c r="Y531" s="39" t="str">
        <f t="shared" si="177"/>
        <v>2023-Q3</v>
      </c>
      <c r="Z531" s="39" t="str">
        <f t="shared" si="178"/>
        <v>Tue</v>
      </c>
      <c r="AA531" s="39">
        <f t="shared" si="179"/>
        <v>2</v>
      </c>
      <c r="AB531" s="39">
        <f t="shared" si="180"/>
        <v>30</v>
      </c>
      <c r="AC531" s="39" t="str">
        <f t="shared" si="181"/>
        <v>Weekday</v>
      </c>
      <c r="AD531" s="39">
        <f t="shared" ca="1" si="182"/>
        <v>1194</v>
      </c>
      <c r="AE531" s="39">
        <f t="shared" ca="1" si="183"/>
        <v>39</v>
      </c>
      <c r="AF531" s="39" t="str">
        <f t="shared" si="184"/>
        <v>EVE</v>
      </c>
      <c r="AG531" s="39" t="str">
        <f t="shared" si="185"/>
        <v>SR-230718-0530</v>
      </c>
      <c r="AH531" s="39" t="str">
        <f>IF(AND(OR(Filter!$B$4="All",D531=Filter!$B$4),OR(Filter!$B$5="All",M531=Filter!$B$5),E531&gt;=Filter!$B$6),MAX(AH$1:AH530)+1,"")</f>
        <v/>
      </c>
      <c r="AI531" s="39">
        <f t="shared" si="186"/>
        <v>42</v>
      </c>
      <c r="AJ531" s="42">
        <f t="shared" si="187"/>
        <v>0.04</v>
      </c>
      <c r="AK531" s="41">
        <f t="shared" si="188"/>
        <v>907.63</v>
      </c>
      <c r="AL531" s="39">
        <f>RANK(E531,$E$2:$E$1001,0)+COUNTIF($E$2:E531,E531)-1</f>
        <v>338</v>
      </c>
    </row>
    <row r="532" spans="1:38" x14ac:dyDescent="0.2">
      <c r="A532" s="39">
        <v>1095</v>
      </c>
      <c r="B532" s="40">
        <v>45208</v>
      </c>
      <c r="C532" s="39" t="s">
        <v>76</v>
      </c>
      <c r="D532" s="39" t="s">
        <v>64</v>
      </c>
      <c r="E532" s="41">
        <v>8828.74</v>
      </c>
      <c r="F532" s="39">
        <v>21</v>
      </c>
      <c r="G532" s="39" t="s">
        <v>60</v>
      </c>
      <c r="H532" s="41">
        <v>621.04999999999995</v>
      </c>
      <c r="I532" s="41">
        <v>820.37</v>
      </c>
      <c r="J532" s="39" t="s">
        <v>137</v>
      </c>
      <c r="K532" s="42">
        <v>0.24</v>
      </c>
      <c r="L532" s="39" t="s">
        <v>63</v>
      </c>
      <c r="M532" s="39" t="s">
        <v>138</v>
      </c>
      <c r="N532" s="39" t="s">
        <v>152</v>
      </c>
      <c r="O532" s="43">
        <f t="shared" si="168"/>
        <v>17227.77</v>
      </c>
      <c r="P532" s="43">
        <f t="shared" si="169"/>
        <v>13093.11</v>
      </c>
      <c r="Q532" s="43">
        <f t="shared" si="170"/>
        <v>13042.05</v>
      </c>
      <c r="R532" s="43">
        <f t="shared" si="171"/>
        <v>51.06000000000131</v>
      </c>
      <c r="S532" s="44">
        <f t="shared" si="172"/>
        <v>3.8997610193453893E-3</v>
      </c>
      <c r="T532" s="39" t="str">
        <f t="shared" si="173"/>
        <v>OK</v>
      </c>
      <c r="U532" s="39" t="str">
        <f t="shared" si="174"/>
        <v>20%+</v>
      </c>
      <c r="V532" s="39" t="str">
        <f>IF(E532&gt;=Analysis!$B$4,"High",IF(E532&gt;=Analysis!$B$5,"Mid","Low"))</f>
        <v>High</v>
      </c>
      <c r="W532" s="39" t="str">
        <f t="shared" si="175"/>
        <v>2023-10</v>
      </c>
      <c r="X532" s="40">
        <f t="shared" si="176"/>
        <v>45230</v>
      </c>
      <c r="Y532" s="39" t="str">
        <f t="shared" si="177"/>
        <v>2023-Q4</v>
      </c>
      <c r="Z532" s="39" t="str">
        <f t="shared" si="178"/>
        <v>Mon</v>
      </c>
      <c r="AA532" s="39">
        <f t="shared" si="179"/>
        <v>1</v>
      </c>
      <c r="AB532" s="39">
        <f t="shared" si="180"/>
        <v>42</v>
      </c>
      <c r="AC532" s="39" t="str">
        <f t="shared" si="181"/>
        <v>Weekday</v>
      </c>
      <c r="AD532" s="39">
        <f t="shared" ca="1" si="182"/>
        <v>1111</v>
      </c>
      <c r="AE532" s="39">
        <f t="shared" ca="1" si="183"/>
        <v>36</v>
      </c>
      <c r="AF532" s="39" t="str">
        <f t="shared" si="184"/>
        <v>DAV</v>
      </c>
      <c r="AG532" s="39" t="str">
        <f t="shared" si="185"/>
        <v>NO-231009-0531</v>
      </c>
      <c r="AH532" s="39" t="str">
        <f>IF(AND(OR(Filter!$B$4="All",D532=Filter!$B$4),OR(Filter!$B$5="All",M532=Filter!$B$5),E532&gt;=Filter!$B$6),MAX(AH$1:AH531)+1,"")</f>
        <v/>
      </c>
      <c r="AI532" s="39">
        <f t="shared" si="186"/>
        <v>21</v>
      </c>
      <c r="AJ532" s="42">
        <f t="shared" si="187"/>
        <v>0.24</v>
      </c>
      <c r="AK532" s="41">
        <f t="shared" si="188"/>
        <v>820.37</v>
      </c>
      <c r="AL532" s="39">
        <f>RANK(E532,$E$2:$E$1001,0)+COUNTIF($E$2:E532,E532)-1</f>
        <v>109</v>
      </c>
    </row>
    <row r="533" spans="1:38" x14ac:dyDescent="0.2">
      <c r="A533" s="39">
        <v>1010</v>
      </c>
      <c r="B533" s="40">
        <v>45012</v>
      </c>
      <c r="C533" s="39" t="s">
        <v>79</v>
      </c>
      <c r="D533" s="39" t="s">
        <v>69</v>
      </c>
      <c r="E533" s="41">
        <v>8159.84</v>
      </c>
      <c r="F533" s="39">
        <v>37</v>
      </c>
      <c r="G533" s="39" t="s">
        <v>60</v>
      </c>
      <c r="H533" s="41">
        <v>4354.92</v>
      </c>
      <c r="I533" s="41">
        <v>4495.88</v>
      </c>
      <c r="J533" s="39" t="s">
        <v>137</v>
      </c>
      <c r="K533" s="42">
        <v>0.01</v>
      </c>
      <c r="L533" s="39" t="s">
        <v>63</v>
      </c>
      <c r="M533" s="39" t="s">
        <v>138</v>
      </c>
      <c r="N533" s="39" t="s">
        <v>147</v>
      </c>
      <c r="O533" s="43">
        <f t="shared" si="168"/>
        <v>166347.56</v>
      </c>
      <c r="P533" s="43">
        <f t="shared" si="169"/>
        <v>164684.07999999999</v>
      </c>
      <c r="Q533" s="43">
        <f t="shared" si="170"/>
        <v>161132.04</v>
      </c>
      <c r="R533" s="43">
        <f t="shared" si="171"/>
        <v>3552.039999999979</v>
      </c>
      <c r="S533" s="44">
        <f t="shared" si="172"/>
        <v>2.1568812237345462E-2</v>
      </c>
      <c r="T533" s="39" t="str">
        <f t="shared" si="173"/>
        <v>OK</v>
      </c>
      <c r="U533" s="39" t="str">
        <f t="shared" si="174"/>
        <v>0-9%</v>
      </c>
      <c r="V533" s="39" t="str">
        <f>IF(E533&gt;=Analysis!$B$4,"High",IF(E533&gt;=Analysis!$B$5,"Mid","Low"))</f>
        <v>High</v>
      </c>
      <c r="W533" s="39" t="str">
        <f t="shared" si="175"/>
        <v>2023-03</v>
      </c>
      <c r="X533" s="40">
        <f t="shared" si="176"/>
        <v>45016</v>
      </c>
      <c r="Y533" s="39" t="str">
        <f t="shared" si="177"/>
        <v>2023-Q1</v>
      </c>
      <c r="Z533" s="39" t="str">
        <f t="shared" si="178"/>
        <v>Mon</v>
      </c>
      <c r="AA533" s="39">
        <f t="shared" si="179"/>
        <v>1</v>
      </c>
      <c r="AB533" s="39">
        <f t="shared" si="180"/>
        <v>14</v>
      </c>
      <c r="AC533" s="39" t="str">
        <f t="shared" si="181"/>
        <v>Weekday</v>
      </c>
      <c r="AD533" s="39">
        <f t="shared" ca="1" si="182"/>
        <v>1307</v>
      </c>
      <c r="AE533" s="39">
        <f t="shared" ca="1" si="183"/>
        <v>42</v>
      </c>
      <c r="AF533" s="39" t="str">
        <f t="shared" si="184"/>
        <v>EVE</v>
      </c>
      <c r="AG533" s="39" t="str">
        <f t="shared" si="185"/>
        <v>SO-230327-0532</v>
      </c>
      <c r="AH533" s="39" t="str">
        <f>IF(AND(OR(Filter!$B$4="All",D533=Filter!$B$4),OR(Filter!$B$5="All",M533=Filter!$B$5),E533&gt;=Filter!$B$6),MAX(AH$1:AH532)+1,"")</f>
        <v/>
      </c>
      <c r="AI533" s="39">
        <f t="shared" si="186"/>
        <v>37</v>
      </c>
      <c r="AJ533" s="42">
        <f t="shared" si="187"/>
        <v>0.01</v>
      </c>
      <c r="AK533" s="41">
        <f t="shared" si="188"/>
        <v>4495.88</v>
      </c>
      <c r="AL533" s="39">
        <f>RANK(E533,$E$2:$E$1001,0)+COUNTIF($E$2:E533,E533)-1</f>
        <v>175</v>
      </c>
    </row>
    <row r="534" spans="1:38" x14ac:dyDescent="0.2">
      <c r="A534" s="39">
        <v>1019</v>
      </c>
      <c r="B534" s="40">
        <v>45176</v>
      </c>
      <c r="C534" s="39" t="s">
        <v>66</v>
      </c>
      <c r="D534" s="39" t="s">
        <v>74</v>
      </c>
      <c r="E534" s="41">
        <v>6882.83</v>
      </c>
      <c r="F534" s="39">
        <v>27</v>
      </c>
      <c r="G534" s="39" t="s">
        <v>65</v>
      </c>
      <c r="H534" s="41">
        <v>2387.52</v>
      </c>
      <c r="I534" s="41">
        <v>2604.06</v>
      </c>
      <c r="J534" s="39" t="s">
        <v>137</v>
      </c>
      <c r="K534" s="42">
        <v>0.16</v>
      </c>
      <c r="L534" s="39" t="s">
        <v>68</v>
      </c>
      <c r="M534" s="39" t="s">
        <v>138</v>
      </c>
      <c r="N534" s="39" t="s">
        <v>141</v>
      </c>
      <c r="O534" s="43">
        <f t="shared" si="168"/>
        <v>70309.62</v>
      </c>
      <c r="P534" s="43">
        <f t="shared" si="169"/>
        <v>59060.08</v>
      </c>
      <c r="Q534" s="43">
        <f t="shared" si="170"/>
        <v>64463.040000000001</v>
      </c>
      <c r="R534" s="43">
        <f t="shared" si="171"/>
        <v>-5402.9599999999991</v>
      </c>
      <c r="S534" s="44">
        <f t="shared" si="172"/>
        <v>-9.1482436190401348E-2</v>
      </c>
      <c r="T534" s="39" t="str">
        <f t="shared" si="173"/>
        <v>Loss</v>
      </c>
      <c r="U534" s="39" t="str">
        <f t="shared" si="174"/>
        <v>10-19%</v>
      </c>
      <c r="V534" s="39" t="str">
        <f>IF(E534&gt;=Analysis!$B$4,"High",IF(E534&gt;=Analysis!$B$5,"Mid","Low"))</f>
        <v>Mid</v>
      </c>
      <c r="W534" s="39" t="str">
        <f t="shared" si="175"/>
        <v>2023-09</v>
      </c>
      <c r="X534" s="40">
        <f t="shared" si="176"/>
        <v>45199</v>
      </c>
      <c r="Y534" s="39" t="str">
        <f t="shared" si="177"/>
        <v>2023-Q3</v>
      </c>
      <c r="Z534" s="39" t="str">
        <f t="shared" si="178"/>
        <v>Thu</v>
      </c>
      <c r="AA534" s="39">
        <f t="shared" si="179"/>
        <v>4</v>
      </c>
      <c r="AB534" s="39">
        <f t="shared" si="180"/>
        <v>37</v>
      </c>
      <c r="AC534" s="39" t="str">
        <f t="shared" si="181"/>
        <v>Weekday</v>
      </c>
      <c r="AD534" s="39">
        <f t="shared" ca="1" si="182"/>
        <v>1143</v>
      </c>
      <c r="AE534" s="39">
        <f t="shared" ca="1" si="183"/>
        <v>37</v>
      </c>
      <c r="AF534" s="39" t="str">
        <f t="shared" si="184"/>
        <v>BOB</v>
      </c>
      <c r="AG534" s="39" t="str">
        <f t="shared" si="185"/>
        <v>WO-230907-0533</v>
      </c>
      <c r="AH534" s="39" t="str">
        <f>IF(AND(OR(Filter!$B$4="All",D534=Filter!$B$4),OR(Filter!$B$5="All",M534=Filter!$B$5),E534&gt;=Filter!$B$6),MAX(AH$1:AH533)+1,"")</f>
        <v/>
      </c>
      <c r="AI534" s="39">
        <f t="shared" si="186"/>
        <v>27</v>
      </c>
      <c r="AJ534" s="42">
        <f t="shared" si="187"/>
        <v>0.16</v>
      </c>
      <c r="AK534" s="41">
        <f t="shared" si="188"/>
        <v>2604.06</v>
      </c>
      <c r="AL534" s="39">
        <f>RANK(E534,$E$2:$E$1001,0)+COUNTIF($E$2:E534,E534)-1</f>
        <v>314</v>
      </c>
    </row>
    <row r="535" spans="1:38" x14ac:dyDescent="0.2">
      <c r="A535" s="39">
        <v>1058</v>
      </c>
      <c r="B535" s="40">
        <v>45196</v>
      </c>
      <c r="C535" s="39" t="s">
        <v>79</v>
      </c>
      <c r="D535" s="39" t="s">
        <v>74</v>
      </c>
      <c r="E535" s="41">
        <v>1193.28</v>
      </c>
      <c r="F535" s="39">
        <v>29</v>
      </c>
      <c r="G535" s="39" t="s">
        <v>65</v>
      </c>
      <c r="H535" s="41">
        <v>3578.77</v>
      </c>
      <c r="I535" s="41">
        <v>3635.02</v>
      </c>
      <c r="J535" s="39" t="s">
        <v>143</v>
      </c>
      <c r="K535" s="42">
        <v>0.2</v>
      </c>
      <c r="L535" s="39" t="s">
        <v>63</v>
      </c>
      <c r="M535" s="39" t="s">
        <v>140</v>
      </c>
      <c r="N535" s="39" t="s">
        <v>149</v>
      </c>
      <c r="O535" s="43">
        <f t="shared" si="168"/>
        <v>105415.58</v>
      </c>
      <c r="P535" s="43">
        <f t="shared" si="169"/>
        <v>84332.46</v>
      </c>
      <c r="Q535" s="43">
        <f t="shared" si="170"/>
        <v>103784.33</v>
      </c>
      <c r="R535" s="43">
        <f t="shared" si="171"/>
        <v>-19451.869999999995</v>
      </c>
      <c r="S535" s="44">
        <f t="shared" si="172"/>
        <v>-0.23065697360186094</v>
      </c>
      <c r="T535" s="39" t="str">
        <f t="shared" si="173"/>
        <v>Loss</v>
      </c>
      <c r="U535" s="39" t="str">
        <f t="shared" si="174"/>
        <v>20%+</v>
      </c>
      <c r="V535" s="39" t="str">
        <f>IF(E535&gt;=Analysis!$B$4,"High",IF(E535&gt;=Analysis!$B$5,"Mid","Low"))</f>
        <v>Low</v>
      </c>
      <c r="W535" s="39" t="str">
        <f t="shared" si="175"/>
        <v>2023-09</v>
      </c>
      <c r="X535" s="40">
        <f t="shared" si="176"/>
        <v>45199</v>
      </c>
      <c r="Y535" s="39" t="str">
        <f t="shared" si="177"/>
        <v>2023-Q3</v>
      </c>
      <c r="Z535" s="39" t="str">
        <f t="shared" si="178"/>
        <v>Wed</v>
      </c>
      <c r="AA535" s="39">
        <f t="shared" si="179"/>
        <v>3</v>
      </c>
      <c r="AB535" s="39">
        <f t="shared" si="180"/>
        <v>40</v>
      </c>
      <c r="AC535" s="39" t="str">
        <f t="shared" si="181"/>
        <v>Weekday</v>
      </c>
      <c r="AD535" s="39">
        <f t="shared" ca="1" si="182"/>
        <v>1123</v>
      </c>
      <c r="AE535" s="39">
        <f t="shared" ca="1" si="183"/>
        <v>36</v>
      </c>
      <c r="AF535" s="39" t="str">
        <f t="shared" si="184"/>
        <v>EVE</v>
      </c>
      <c r="AG535" s="39" t="str">
        <f t="shared" si="185"/>
        <v>WR-230927-0534</v>
      </c>
      <c r="AH535" s="39" t="str">
        <f>IF(AND(OR(Filter!$B$4="All",D535=Filter!$B$4),OR(Filter!$B$5="All",M535=Filter!$B$5),E535&gt;=Filter!$B$6),MAX(AH$1:AH534)+1,"")</f>
        <v/>
      </c>
      <c r="AI535" s="39">
        <f t="shared" si="186"/>
        <v>29</v>
      </c>
      <c r="AJ535" s="42">
        <f t="shared" si="187"/>
        <v>0.2</v>
      </c>
      <c r="AK535" s="41">
        <f t="shared" si="188"/>
        <v>3635.02</v>
      </c>
      <c r="AL535" s="39">
        <f>RANK(E535,$E$2:$E$1001,0)+COUNTIF($E$2:E535,E535)-1</f>
        <v>889</v>
      </c>
    </row>
    <row r="536" spans="1:38" x14ac:dyDescent="0.2">
      <c r="A536" s="39">
        <v>1096</v>
      </c>
      <c r="B536" s="40">
        <v>45261</v>
      </c>
      <c r="C536" s="39" t="s">
        <v>66</v>
      </c>
      <c r="D536" s="39" t="s">
        <v>59</v>
      </c>
      <c r="E536" s="41">
        <v>2962.96</v>
      </c>
      <c r="F536" s="39">
        <v>20</v>
      </c>
      <c r="G536" s="39" t="s">
        <v>75</v>
      </c>
      <c r="H536" s="41">
        <v>1994.9</v>
      </c>
      <c r="I536" s="41">
        <v>2066.5</v>
      </c>
      <c r="J536" s="39" t="s">
        <v>137</v>
      </c>
      <c r="K536" s="42">
        <v>0.06</v>
      </c>
      <c r="L536" s="39" t="s">
        <v>63</v>
      </c>
      <c r="M536" s="39" t="s">
        <v>138</v>
      </c>
      <c r="N536" s="39" t="s">
        <v>153</v>
      </c>
      <c r="O536" s="43">
        <f t="shared" si="168"/>
        <v>41330</v>
      </c>
      <c r="P536" s="43">
        <f t="shared" si="169"/>
        <v>38850.199999999997</v>
      </c>
      <c r="Q536" s="43">
        <f t="shared" si="170"/>
        <v>39898</v>
      </c>
      <c r="R536" s="43">
        <f t="shared" si="171"/>
        <v>-1047.8000000000029</v>
      </c>
      <c r="S536" s="44">
        <f t="shared" si="172"/>
        <v>-2.6970260127361069E-2</v>
      </c>
      <c r="T536" s="39" t="str">
        <f t="shared" si="173"/>
        <v>Loss</v>
      </c>
      <c r="U536" s="39" t="str">
        <f t="shared" si="174"/>
        <v>0-9%</v>
      </c>
      <c r="V536" s="39" t="str">
        <f>IF(E536&gt;=Analysis!$B$4,"High",IF(E536&gt;=Analysis!$B$5,"Mid","Low"))</f>
        <v>Mid</v>
      </c>
      <c r="W536" s="39" t="str">
        <f t="shared" si="175"/>
        <v>2023-12</v>
      </c>
      <c r="X536" s="40">
        <f t="shared" si="176"/>
        <v>45291</v>
      </c>
      <c r="Y536" s="39" t="str">
        <f t="shared" si="177"/>
        <v>2023-Q4</v>
      </c>
      <c r="Z536" s="39" t="str">
        <f t="shared" si="178"/>
        <v>Fri</v>
      </c>
      <c r="AA536" s="39">
        <f t="shared" si="179"/>
        <v>5</v>
      </c>
      <c r="AB536" s="39">
        <f t="shared" si="180"/>
        <v>49</v>
      </c>
      <c r="AC536" s="39" t="str">
        <f t="shared" si="181"/>
        <v>Weekday</v>
      </c>
      <c r="AD536" s="39">
        <f t="shared" ca="1" si="182"/>
        <v>1058</v>
      </c>
      <c r="AE536" s="39">
        <f t="shared" ca="1" si="183"/>
        <v>34</v>
      </c>
      <c r="AF536" s="39" t="str">
        <f t="shared" si="184"/>
        <v>BOB</v>
      </c>
      <c r="AG536" s="39" t="str">
        <f t="shared" si="185"/>
        <v>EO-231201-0535</v>
      </c>
      <c r="AH536" s="39" t="str">
        <f>IF(AND(OR(Filter!$B$4="All",D536=Filter!$B$4),OR(Filter!$B$5="All",M536=Filter!$B$5),E536&gt;=Filter!$B$6),MAX(AH$1:AH535)+1,"")</f>
        <v/>
      </c>
      <c r="AI536" s="39">
        <f t="shared" si="186"/>
        <v>20</v>
      </c>
      <c r="AJ536" s="42">
        <f t="shared" si="187"/>
        <v>0.06</v>
      </c>
      <c r="AK536" s="41">
        <f t="shared" si="188"/>
        <v>2066.5</v>
      </c>
      <c r="AL536" s="39">
        <f>RANK(E536,$E$2:$E$1001,0)+COUNTIF($E$2:E536,E536)-1</f>
        <v>698</v>
      </c>
    </row>
    <row r="537" spans="1:38" x14ac:dyDescent="0.2">
      <c r="A537" s="39">
        <v>1001</v>
      </c>
      <c r="B537" s="40">
        <v>45043</v>
      </c>
      <c r="C537" s="39" t="s">
        <v>79</v>
      </c>
      <c r="D537" s="39" t="s">
        <v>59</v>
      </c>
      <c r="E537" s="41">
        <v>3167.09</v>
      </c>
      <c r="F537" s="39">
        <v>25</v>
      </c>
      <c r="G537" s="39" t="s">
        <v>65</v>
      </c>
      <c r="H537" s="41">
        <v>1330.62</v>
      </c>
      <c r="I537" s="41">
        <v>1543.69</v>
      </c>
      <c r="J537" s="39" t="s">
        <v>143</v>
      </c>
      <c r="K537" s="42">
        <v>0.27</v>
      </c>
      <c r="L537" s="39" t="s">
        <v>73</v>
      </c>
      <c r="M537" s="39" t="s">
        <v>138</v>
      </c>
      <c r="N537" s="39" t="s">
        <v>155</v>
      </c>
      <c r="O537" s="43">
        <f t="shared" si="168"/>
        <v>38592.25</v>
      </c>
      <c r="P537" s="43">
        <f t="shared" si="169"/>
        <v>28172.34</v>
      </c>
      <c r="Q537" s="43">
        <f t="shared" si="170"/>
        <v>33265.5</v>
      </c>
      <c r="R537" s="43">
        <f t="shared" si="171"/>
        <v>-5093.16</v>
      </c>
      <c r="S537" s="44">
        <f t="shared" si="172"/>
        <v>-0.18078583461650682</v>
      </c>
      <c r="T537" s="39" t="str">
        <f t="shared" si="173"/>
        <v>Loss</v>
      </c>
      <c r="U537" s="39" t="str">
        <f t="shared" si="174"/>
        <v>20%+</v>
      </c>
      <c r="V537" s="39" t="str">
        <f>IF(E537&gt;=Analysis!$B$4,"High",IF(E537&gt;=Analysis!$B$5,"Mid","Low"))</f>
        <v>Mid</v>
      </c>
      <c r="W537" s="39" t="str">
        <f t="shared" si="175"/>
        <v>2023-04</v>
      </c>
      <c r="X537" s="40">
        <f t="shared" si="176"/>
        <v>45046</v>
      </c>
      <c r="Y537" s="39" t="str">
        <f t="shared" si="177"/>
        <v>2023-Q2</v>
      </c>
      <c r="Z537" s="39" t="str">
        <f t="shared" si="178"/>
        <v>Thu</v>
      </c>
      <c r="AA537" s="39">
        <f t="shared" si="179"/>
        <v>4</v>
      </c>
      <c r="AB537" s="39">
        <f t="shared" si="180"/>
        <v>18</v>
      </c>
      <c r="AC537" s="39" t="str">
        <f t="shared" si="181"/>
        <v>Weekday</v>
      </c>
      <c r="AD537" s="39">
        <f t="shared" ca="1" si="182"/>
        <v>1276</v>
      </c>
      <c r="AE537" s="39">
        <f t="shared" ca="1" si="183"/>
        <v>41</v>
      </c>
      <c r="AF537" s="39" t="str">
        <f t="shared" si="184"/>
        <v>EVE</v>
      </c>
      <c r="AG537" s="39" t="str">
        <f t="shared" si="185"/>
        <v>EO-230427-0536</v>
      </c>
      <c r="AH537" s="39" t="str">
        <f>IF(AND(OR(Filter!$B$4="All",D537=Filter!$B$4),OR(Filter!$B$5="All",M537=Filter!$B$5),E537&gt;=Filter!$B$6),MAX(AH$1:AH536)+1,"")</f>
        <v/>
      </c>
      <c r="AI537" s="39">
        <f t="shared" si="186"/>
        <v>25</v>
      </c>
      <c r="AJ537" s="42">
        <f t="shared" si="187"/>
        <v>0.27</v>
      </c>
      <c r="AK537" s="41">
        <f t="shared" si="188"/>
        <v>1543.69</v>
      </c>
      <c r="AL537" s="39">
        <f>RANK(E537,$E$2:$E$1001,0)+COUNTIF($E$2:E537,E537)-1</f>
        <v>677</v>
      </c>
    </row>
    <row r="538" spans="1:38" x14ac:dyDescent="0.2">
      <c r="A538" s="39">
        <v>1069</v>
      </c>
      <c r="B538" s="40">
        <v>44933</v>
      </c>
      <c r="C538" s="39" t="s">
        <v>61</v>
      </c>
      <c r="D538" s="39" t="s">
        <v>59</v>
      </c>
      <c r="E538" s="41">
        <v>2574.5700000000002</v>
      </c>
      <c r="F538" s="39">
        <v>6</v>
      </c>
      <c r="G538" s="39" t="s">
        <v>70</v>
      </c>
      <c r="H538" s="41">
        <v>1768.6</v>
      </c>
      <c r="I538" s="41">
        <v>2152.1999999999998</v>
      </c>
      <c r="J538" s="39" t="s">
        <v>143</v>
      </c>
      <c r="K538" s="42">
        <v>0.25</v>
      </c>
      <c r="L538" s="39" t="s">
        <v>63</v>
      </c>
      <c r="M538" s="39" t="s">
        <v>140</v>
      </c>
      <c r="N538" s="39" t="s">
        <v>159</v>
      </c>
      <c r="O538" s="43">
        <f t="shared" si="168"/>
        <v>12913.2</v>
      </c>
      <c r="P538" s="43">
        <f t="shared" si="169"/>
        <v>9684.9</v>
      </c>
      <c r="Q538" s="43">
        <f t="shared" si="170"/>
        <v>10611.6</v>
      </c>
      <c r="R538" s="43">
        <f t="shared" si="171"/>
        <v>-926.70000000000073</v>
      </c>
      <c r="S538" s="44">
        <f t="shared" si="172"/>
        <v>-9.568503546758364E-2</v>
      </c>
      <c r="T538" s="39" t="str">
        <f t="shared" si="173"/>
        <v>Loss</v>
      </c>
      <c r="U538" s="39" t="str">
        <f t="shared" si="174"/>
        <v>20%+</v>
      </c>
      <c r="V538" s="39" t="str">
        <f>IF(E538&gt;=Analysis!$B$4,"High",IF(E538&gt;=Analysis!$B$5,"Mid","Low"))</f>
        <v>Mid</v>
      </c>
      <c r="W538" s="39" t="str">
        <f t="shared" si="175"/>
        <v>2023-01</v>
      </c>
      <c r="X538" s="40">
        <f t="shared" si="176"/>
        <v>44957</v>
      </c>
      <c r="Y538" s="39" t="str">
        <f t="shared" si="177"/>
        <v>2023-Q1</v>
      </c>
      <c r="Z538" s="39" t="str">
        <f t="shared" si="178"/>
        <v>Sat</v>
      </c>
      <c r="AA538" s="39">
        <f t="shared" si="179"/>
        <v>6</v>
      </c>
      <c r="AB538" s="39">
        <f t="shared" si="180"/>
        <v>2</v>
      </c>
      <c r="AC538" s="39" t="str">
        <f t="shared" si="181"/>
        <v>Weekend</v>
      </c>
      <c r="AD538" s="39">
        <f t="shared" ca="1" si="182"/>
        <v>1386</v>
      </c>
      <c r="AE538" s="39">
        <f t="shared" ca="1" si="183"/>
        <v>45</v>
      </c>
      <c r="AF538" s="39" t="str">
        <f t="shared" si="184"/>
        <v>ALI</v>
      </c>
      <c r="AG538" s="39" t="str">
        <f t="shared" si="185"/>
        <v>ER-230107-0537</v>
      </c>
      <c r="AH538" s="39" t="str">
        <f>IF(AND(OR(Filter!$B$4="All",D538=Filter!$B$4),OR(Filter!$B$5="All",M538=Filter!$B$5),E538&gt;=Filter!$B$6),MAX(AH$1:AH537)+1,"")</f>
        <v/>
      </c>
      <c r="AI538" s="39">
        <f t="shared" si="186"/>
        <v>6</v>
      </c>
      <c r="AJ538" s="42">
        <f t="shared" si="187"/>
        <v>0.25</v>
      </c>
      <c r="AK538" s="41">
        <f t="shared" si="188"/>
        <v>2152.1999999999998</v>
      </c>
      <c r="AL538" s="39">
        <f>RANK(E538,$E$2:$E$1001,0)+COUNTIF($E$2:E538,E538)-1</f>
        <v>745</v>
      </c>
    </row>
    <row r="539" spans="1:38" x14ac:dyDescent="0.2">
      <c r="A539" s="39">
        <v>1004</v>
      </c>
      <c r="B539" s="40">
        <v>45063</v>
      </c>
      <c r="C539" s="39" t="s">
        <v>61</v>
      </c>
      <c r="D539" s="39" t="s">
        <v>64</v>
      </c>
      <c r="E539" s="41">
        <v>5198.5600000000004</v>
      </c>
      <c r="F539" s="39">
        <v>36</v>
      </c>
      <c r="G539" s="39" t="s">
        <v>70</v>
      </c>
      <c r="H539" s="41">
        <v>3981.2</v>
      </c>
      <c r="I539" s="41">
        <v>4432.3500000000004</v>
      </c>
      <c r="J539" s="39" t="s">
        <v>143</v>
      </c>
      <c r="K539" s="42">
        <v>0.14000000000000001</v>
      </c>
      <c r="L539" s="39" t="s">
        <v>68</v>
      </c>
      <c r="M539" s="39" t="s">
        <v>138</v>
      </c>
      <c r="N539" s="39" t="s">
        <v>156</v>
      </c>
      <c r="O539" s="43">
        <f t="shared" si="168"/>
        <v>159564.6</v>
      </c>
      <c r="P539" s="43">
        <f t="shared" si="169"/>
        <v>137225.56</v>
      </c>
      <c r="Q539" s="43">
        <f t="shared" si="170"/>
        <v>143323.20000000001</v>
      </c>
      <c r="R539" s="43">
        <f t="shared" si="171"/>
        <v>-6097.640000000014</v>
      </c>
      <c r="S539" s="44">
        <f t="shared" si="172"/>
        <v>-4.443516207913463E-2</v>
      </c>
      <c r="T539" s="39" t="str">
        <f t="shared" si="173"/>
        <v>Loss</v>
      </c>
      <c r="U539" s="39" t="str">
        <f t="shared" si="174"/>
        <v>10-19%</v>
      </c>
      <c r="V539" s="39" t="str">
        <f>IF(E539&gt;=Analysis!$B$4,"High",IF(E539&gt;=Analysis!$B$5,"Mid","Low"))</f>
        <v>Mid</v>
      </c>
      <c r="W539" s="39" t="str">
        <f t="shared" si="175"/>
        <v>2023-05</v>
      </c>
      <c r="X539" s="40">
        <f t="shared" si="176"/>
        <v>45077</v>
      </c>
      <c r="Y539" s="39" t="str">
        <f t="shared" si="177"/>
        <v>2023-Q2</v>
      </c>
      <c r="Z539" s="39" t="str">
        <f t="shared" si="178"/>
        <v>Wed</v>
      </c>
      <c r="AA539" s="39">
        <f t="shared" si="179"/>
        <v>3</v>
      </c>
      <c r="AB539" s="39">
        <f t="shared" si="180"/>
        <v>21</v>
      </c>
      <c r="AC539" s="39" t="str">
        <f t="shared" si="181"/>
        <v>Weekday</v>
      </c>
      <c r="AD539" s="39">
        <f t="shared" ca="1" si="182"/>
        <v>1256</v>
      </c>
      <c r="AE539" s="39">
        <f t="shared" ca="1" si="183"/>
        <v>41</v>
      </c>
      <c r="AF539" s="39" t="str">
        <f t="shared" si="184"/>
        <v>ALI</v>
      </c>
      <c r="AG539" s="39" t="str">
        <f t="shared" si="185"/>
        <v>NO-230517-0538</v>
      </c>
      <c r="AH539" s="39" t="str">
        <f>IF(AND(OR(Filter!$B$4="All",D539=Filter!$B$4),OR(Filter!$B$5="All",M539=Filter!$B$5),E539&gt;=Filter!$B$6),MAX(AH$1:AH538)+1,"")</f>
        <v/>
      </c>
      <c r="AI539" s="39">
        <f t="shared" si="186"/>
        <v>36</v>
      </c>
      <c r="AJ539" s="42">
        <f t="shared" si="187"/>
        <v>0.14000000000000001</v>
      </c>
      <c r="AK539" s="41">
        <f t="shared" si="188"/>
        <v>4432.3500000000004</v>
      </c>
      <c r="AL539" s="39">
        <f>RANK(E539,$E$2:$E$1001,0)+COUNTIF($E$2:E539,E539)-1</f>
        <v>482</v>
      </c>
    </row>
    <row r="540" spans="1:38" x14ac:dyDescent="0.2">
      <c r="A540" s="39">
        <v>1016</v>
      </c>
      <c r="B540" s="40">
        <v>45102</v>
      </c>
      <c r="C540" s="39" t="s">
        <v>61</v>
      </c>
      <c r="D540" s="39" t="s">
        <v>74</v>
      </c>
      <c r="E540" s="41">
        <v>5401.98</v>
      </c>
      <c r="F540" s="39">
        <v>2</v>
      </c>
      <c r="G540" s="39" t="s">
        <v>65</v>
      </c>
      <c r="H540" s="41">
        <v>3144.82</v>
      </c>
      <c r="I540" s="41">
        <v>3480.58</v>
      </c>
      <c r="J540" s="39" t="s">
        <v>137</v>
      </c>
      <c r="K540" s="42">
        <v>0.12</v>
      </c>
      <c r="L540" s="39" t="s">
        <v>68</v>
      </c>
      <c r="M540" s="39" t="s">
        <v>140</v>
      </c>
      <c r="N540" s="39" t="s">
        <v>158</v>
      </c>
      <c r="O540" s="43">
        <f t="shared" si="168"/>
        <v>6961.16</v>
      </c>
      <c r="P540" s="43">
        <f t="shared" si="169"/>
        <v>6125.82</v>
      </c>
      <c r="Q540" s="43">
        <f t="shared" si="170"/>
        <v>6289.64</v>
      </c>
      <c r="R540" s="43">
        <f t="shared" si="171"/>
        <v>-163.82000000000062</v>
      </c>
      <c r="S540" s="44">
        <f t="shared" si="172"/>
        <v>-2.674254222291883E-2</v>
      </c>
      <c r="T540" s="39" t="str">
        <f t="shared" si="173"/>
        <v>Loss</v>
      </c>
      <c r="U540" s="39" t="str">
        <f t="shared" si="174"/>
        <v>10-19%</v>
      </c>
      <c r="V540" s="39" t="str">
        <f>IF(E540&gt;=Analysis!$B$4,"High",IF(E540&gt;=Analysis!$B$5,"Mid","Low"))</f>
        <v>Mid</v>
      </c>
      <c r="W540" s="39" t="str">
        <f t="shared" si="175"/>
        <v>2023-06</v>
      </c>
      <c r="X540" s="40">
        <f t="shared" si="176"/>
        <v>45107</v>
      </c>
      <c r="Y540" s="39" t="str">
        <f t="shared" si="177"/>
        <v>2023-Q2</v>
      </c>
      <c r="Z540" s="39" t="str">
        <f t="shared" si="178"/>
        <v>Sun</v>
      </c>
      <c r="AA540" s="39">
        <f t="shared" si="179"/>
        <v>7</v>
      </c>
      <c r="AB540" s="39">
        <f t="shared" si="180"/>
        <v>26</v>
      </c>
      <c r="AC540" s="39" t="str">
        <f t="shared" si="181"/>
        <v>Weekend</v>
      </c>
      <c r="AD540" s="39">
        <f t="shared" ca="1" si="182"/>
        <v>1217</v>
      </c>
      <c r="AE540" s="39">
        <f t="shared" ca="1" si="183"/>
        <v>39</v>
      </c>
      <c r="AF540" s="39" t="str">
        <f t="shared" si="184"/>
        <v>ALI</v>
      </c>
      <c r="AG540" s="39" t="str">
        <f t="shared" si="185"/>
        <v>WR-230625-0539</v>
      </c>
      <c r="AH540" s="39" t="str">
        <f>IF(AND(OR(Filter!$B$4="All",D540=Filter!$B$4),OR(Filter!$B$5="All",M540=Filter!$B$5),E540&gt;=Filter!$B$6),MAX(AH$1:AH539)+1,"")</f>
        <v/>
      </c>
      <c r="AI540" s="39">
        <f t="shared" si="186"/>
        <v>2</v>
      </c>
      <c r="AJ540" s="42">
        <f t="shared" si="187"/>
        <v>0.12</v>
      </c>
      <c r="AK540" s="41">
        <f t="shared" si="188"/>
        <v>3480.58</v>
      </c>
      <c r="AL540" s="39">
        <f>RANK(E540,$E$2:$E$1001,0)+COUNTIF($E$2:E540,E540)-1</f>
        <v>466</v>
      </c>
    </row>
    <row r="541" spans="1:38" x14ac:dyDescent="0.2">
      <c r="A541" s="39">
        <v>1024</v>
      </c>
      <c r="B541" s="40">
        <v>45254</v>
      </c>
      <c r="C541" s="39" t="s">
        <v>61</v>
      </c>
      <c r="D541" s="39" t="s">
        <v>69</v>
      </c>
      <c r="E541" s="41">
        <v>3633.17</v>
      </c>
      <c r="F541" s="39">
        <v>22</v>
      </c>
      <c r="G541" s="39" t="s">
        <v>70</v>
      </c>
      <c r="H541" s="41">
        <v>4691.32</v>
      </c>
      <c r="I541" s="41">
        <v>4752.88</v>
      </c>
      <c r="J541" s="39" t="s">
        <v>137</v>
      </c>
      <c r="K541" s="42">
        <v>7.0000000000000007E-2</v>
      </c>
      <c r="L541" s="39" t="s">
        <v>63</v>
      </c>
      <c r="M541" s="39" t="s">
        <v>140</v>
      </c>
      <c r="N541" s="39" t="s">
        <v>150</v>
      </c>
      <c r="O541" s="43">
        <f t="shared" si="168"/>
        <v>104563.36</v>
      </c>
      <c r="P541" s="43">
        <f t="shared" si="169"/>
        <v>97243.92</v>
      </c>
      <c r="Q541" s="43">
        <f t="shared" si="170"/>
        <v>103209.04</v>
      </c>
      <c r="R541" s="43">
        <f t="shared" si="171"/>
        <v>-5965.1199999999953</v>
      </c>
      <c r="S541" s="44">
        <f t="shared" si="172"/>
        <v>-6.1341829905663975E-2</v>
      </c>
      <c r="T541" s="39" t="str">
        <f t="shared" si="173"/>
        <v>Loss</v>
      </c>
      <c r="U541" s="39" t="str">
        <f t="shared" si="174"/>
        <v>0-9%</v>
      </c>
      <c r="V541" s="39" t="str">
        <f>IF(E541&gt;=Analysis!$B$4,"High",IF(E541&gt;=Analysis!$B$5,"Mid","Low"))</f>
        <v>Mid</v>
      </c>
      <c r="W541" s="39" t="str">
        <f t="shared" si="175"/>
        <v>2023-11</v>
      </c>
      <c r="X541" s="40">
        <f t="shared" si="176"/>
        <v>45260</v>
      </c>
      <c r="Y541" s="39" t="str">
        <f t="shared" si="177"/>
        <v>2023-Q4</v>
      </c>
      <c r="Z541" s="39" t="str">
        <f t="shared" si="178"/>
        <v>Fri</v>
      </c>
      <c r="AA541" s="39">
        <f t="shared" si="179"/>
        <v>5</v>
      </c>
      <c r="AB541" s="39">
        <f t="shared" si="180"/>
        <v>48</v>
      </c>
      <c r="AC541" s="39" t="str">
        <f t="shared" si="181"/>
        <v>Weekday</v>
      </c>
      <c r="AD541" s="39">
        <f t="shared" ca="1" si="182"/>
        <v>1065</v>
      </c>
      <c r="AE541" s="39">
        <f t="shared" ca="1" si="183"/>
        <v>35</v>
      </c>
      <c r="AF541" s="39" t="str">
        <f t="shared" si="184"/>
        <v>ALI</v>
      </c>
      <c r="AG541" s="39" t="str">
        <f t="shared" si="185"/>
        <v>SR-231124-0540</v>
      </c>
      <c r="AH541" s="39" t="str">
        <f>IF(AND(OR(Filter!$B$4="All",D541=Filter!$B$4),OR(Filter!$B$5="All",M541=Filter!$B$5),E541&gt;=Filter!$B$6),MAX(AH$1:AH540)+1,"")</f>
        <v/>
      </c>
      <c r="AI541" s="39">
        <f t="shared" si="186"/>
        <v>22</v>
      </c>
      <c r="AJ541" s="42">
        <f t="shared" si="187"/>
        <v>7.0000000000000007E-2</v>
      </c>
      <c r="AK541" s="41">
        <f t="shared" si="188"/>
        <v>4752.88</v>
      </c>
      <c r="AL541" s="39">
        <f>RANK(E541,$E$2:$E$1001,0)+COUNTIF($E$2:E541,E541)-1</f>
        <v>636</v>
      </c>
    </row>
    <row r="542" spans="1:38" x14ac:dyDescent="0.2">
      <c r="A542" s="39">
        <v>1080</v>
      </c>
      <c r="B542" s="40">
        <v>45241</v>
      </c>
      <c r="C542" s="39" t="s">
        <v>61</v>
      </c>
      <c r="D542" s="39" t="s">
        <v>59</v>
      </c>
      <c r="E542" s="41">
        <v>3602.51</v>
      </c>
      <c r="F542" s="39">
        <v>32</v>
      </c>
      <c r="G542" s="39" t="s">
        <v>65</v>
      </c>
      <c r="H542" s="41">
        <v>3414.54</v>
      </c>
      <c r="I542" s="41">
        <v>3753.83</v>
      </c>
      <c r="J542" s="39" t="s">
        <v>143</v>
      </c>
      <c r="K542" s="42">
        <v>0.22</v>
      </c>
      <c r="L542" s="39" t="s">
        <v>68</v>
      </c>
      <c r="M542" s="39" t="s">
        <v>140</v>
      </c>
      <c r="N542" s="39" t="s">
        <v>159</v>
      </c>
      <c r="O542" s="43">
        <f t="shared" si="168"/>
        <v>120122.56</v>
      </c>
      <c r="P542" s="43">
        <f t="shared" si="169"/>
        <v>93695.6</v>
      </c>
      <c r="Q542" s="43">
        <f t="shared" si="170"/>
        <v>109265.28</v>
      </c>
      <c r="R542" s="43">
        <f t="shared" si="171"/>
        <v>-15569.679999999993</v>
      </c>
      <c r="S542" s="44">
        <f t="shared" si="172"/>
        <v>-0.16617301132603871</v>
      </c>
      <c r="T542" s="39" t="str">
        <f t="shared" si="173"/>
        <v>Loss</v>
      </c>
      <c r="U542" s="39" t="str">
        <f t="shared" si="174"/>
        <v>20%+</v>
      </c>
      <c r="V542" s="39" t="str">
        <f>IF(E542&gt;=Analysis!$B$4,"High",IF(E542&gt;=Analysis!$B$5,"Mid","Low"))</f>
        <v>Mid</v>
      </c>
      <c r="W542" s="39" t="str">
        <f t="shared" si="175"/>
        <v>2023-11</v>
      </c>
      <c r="X542" s="40">
        <f t="shared" si="176"/>
        <v>45260</v>
      </c>
      <c r="Y542" s="39" t="str">
        <f t="shared" si="177"/>
        <v>2023-Q4</v>
      </c>
      <c r="Z542" s="39" t="str">
        <f t="shared" si="178"/>
        <v>Sat</v>
      </c>
      <c r="AA542" s="39">
        <f t="shared" si="179"/>
        <v>6</v>
      </c>
      <c r="AB542" s="39">
        <f t="shared" si="180"/>
        <v>46</v>
      </c>
      <c r="AC542" s="39" t="str">
        <f t="shared" si="181"/>
        <v>Weekend</v>
      </c>
      <c r="AD542" s="39">
        <f t="shared" ca="1" si="182"/>
        <v>1078</v>
      </c>
      <c r="AE542" s="39">
        <f t="shared" ca="1" si="183"/>
        <v>35</v>
      </c>
      <c r="AF542" s="39" t="str">
        <f t="shared" si="184"/>
        <v>ALI</v>
      </c>
      <c r="AG542" s="39" t="str">
        <f t="shared" si="185"/>
        <v>ER-231111-0541</v>
      </c>
      <c r="AH542" s="39" t="str">
        <f>IF(AND(OR(Filter!$B$4="All",D542=Filter!$B$4),OR(Filter!$B$5="All",M542=Filter!$B$5),E542&gt;=Filter!$B$6),MAX(AH$1:AH541)+1,"")</f>
        <v/>
      </c>
      <c r="AI542" s="39">
        <f t="shared" si="186"/>
        <v>32</v>
      </c>
      <c r="AJ542" s="42">
        <f t="shared" si="187"/>
        <v>0.22</v>
      </c>
      <c r="AK542" s="41">
        <f t="shared" si="188"/>
        <v>3753.83</v>
      </c>
      <c r="AL542" s="39">
        <f>RANK(E542,$E$2:$E$1001,0)+COUNTIF($E$2:E542,E542)-1</f>
        <v>641</v>
      </c>
    </row>
    <row r="543" spans="1:38" x14ac:dyDescent="0.2">
      <c r="A543" s="39">
        <v>1002</v>
      </c>
      <c r="B543" s="40">
        <v>45141</v>
      </c>
      <c r="C543" s="39" t="s">
        <v>61</v>
      </c>
      <c r="D543" s="39" t="s">
        <v>69</v>
      </c>
      <c r="E543" s="41">
        <v>8302.7000000000007</v>
      </c>
      <c r="F543" s="39">
        <v>16</v>
      </c>
      <c r="G543" s="39" t="s">
        <v>75</v>
      </c>
      <c r="H543" s="41">
        <v>2872.4</v>
      </c>
      <c r="I543" s="41">
        <v>3193.76</v>
      </c>
      <c r="J543" s="39" t="s">
        <v>137</v>
      </c>
      <c r="K543" s="42">
        <v>0.04</v>
      </c>
      <c r="L543" s="39" t="s">
        <v>73</v>
      </c>
      <c r="M543" s="39" t="s">
        <v>138</v>
      </c>
      <c r="N543" s="39" t="s">
        <v>150</v>
      </c>
      <c r="O543" s="43">
        <f t="shared" si="168"/>
        <v>51100.160000000003</v>
      </c>
      <c r="P543" s="43">
        <f t="shared" si="169"/>
        <v>49056.15</v>
      </c>
      <c r="Q543" s="43">
        <f t="shared" si="170"/>
        <v>45958.400000000001</v>
      </c>
      <c r="R543" s="43">
        <f t="shared" si="171"/>
        <v>3097.75</v>
      </c>
      <c r="S543" s="44">
        <f t="shared" si="172"/>
        <v>6.3147026417686672E-2</v>
      </c>
      <c r="T543" s="39" t="str">
        <f t="shared" si="173"/>
        <v>OK</v>
      </c>
      <c r="U543" s="39" t="str">
        <f t="shared" si="174"/>
        <v>0-9%</v>
      </c>
      <c r="V543" s="39" t="str">
        <f>IF(E543&gt;=Analysis!$B$4,"High",IF(E543&gt;=Analysis!$B$5,"Mid","Low"))</f>
        <v>High</v>
      </c>
      <c r="W543" s="39" t="str">
        <f t="shared" si="175"/>
        <v>2023-08</v>
      </c>
      <c r="X543" s="40">
        <f t="shared" si="176"/>
        <v>45169</v>
      </c>
      <c r="Y543" s="39" t="str">
        <f t="shared" si="177"/>
        <v>2023-Q3</v>
      </c>
      <c r="Z543" s="39" t="str">
        <f t="shared" si="178"/>
        <v>Thu</v>
      </c>
      <c r="AA543" s="39">
        <f t="shared" si="179"/>
        <v>4</v>
      </c>
      <c r="AB543" s="39">
        <f t="shared" si="180"/>
        <v>32</v>
      </c>
      <c r="AC543" s="39" t="str">
        <f t="shared" si="181"/>
        <v>Weekday</v>
      </c>
      <c r="AD543" s="39">
        <f t="shared" ca="1" si="182"/>
        <v>1178</v>
      </c>
      <c r="AE543" s="39">
        <f t="shared" ca="1" si="183"/>
        <v>38</v>
      </c>
      <c r="AF543" s="39" t="str">
        <f t="shared" si="184"/>
        <v>ALI</v>
      </c>
      <c r="AG543" s="39" t="str">
        <f t="shared" si="185"/>
        <v>SO-230803-0542</v>
      </c>
      <c r="AH543" s="39" t="str">
        <f>IF(AND(OR(Filter!$B$4="All",D543=Filter!$B$4),OR(Filter!$B$5="All",M543=Filter!$B$5),E543&gt;=Filter!$B$6),MAX(AH$1:AH542)+1,"")</f>
        <v/>
      </c>
      <c r="AI543" s="39">
        <f t="shared" si="186"/>
        <v>16</v>
      </c>
      <c r="AJ543" s="42">
        <f t="shared" si="187"/>
        <v>0.04</v>
      </c>
      <c r="AK543" s="41">
        <f t="shared" si="188"/>
        <v>3193.76</v>
      </c>
      <c r="AL543" s="39">
        <f>RANK(E543,$E$2:$E$1001,0)+COUNTIF($E$2:E543,E543)-1</f>
        <v>161</v>
      </c>
    </row>
    <row r="544" spans="1:38" x14ac:dyDescent="0.2">
      <c r="A544" s="39">
        <v>1092</v>
      </c>
      <c r="B544" s="40">
        <v>45008</v>
      </c>
      <c r="C544" s="39" t="s">
        <v>66</v>
      </c>
      <c r="D544" s="39" t="s">
        <v>69</v>
      </c>
      <c r="E544" s="41">
        <v>7914</v>
      </c>
      <c r="F544" s="39">
        <v>18</v>
      </c>
      <c r="G544" s="39" t="s">
        <v>70</v>
      </c>
      <c r="H544" s="41">
        <v>3070.47</v>
      </c>
      <c r="I544" s="41">
        <v>3475.29</v>
      </c>
      <c r="J544" s="39" t="s">
        <v>137</v>
      </c>
      <c r="K544" s="42">
        <v>0.2</v>
      </c>
      <c r="L544" s="39" t="s">
        <v>63</v>
      </c>
      <c r="M544" s="39" t="s">
        <v>138</v>
      </c>
      <c r="N544" s="39" t="s">
        <v>144</v>
      </c>
      <c r="O544" s="43">
        <f t="shared" si="168"/>
        <v>62555.22</v>
      </c>
      <c r="P544" s="43">
        <f t="shared" si="169"/>
        <v>50044.18</v>
      </c>
      <c r="Q544" s="43">
        <f t="shared" si="170"/>
        <v>55268.46</v>
      </c>
      <c r="R544" s="43">
        <f t="shared" si="171"/>
        <v>-5224.2799999999988</v>
      </c>
      <c r="S544" s="44">
        <f t="shared" si="172"/>
        <v>-0.10439335802884568</v>
      </c>
      <c r="T544" s="39" t="str">
        <f t="shared" si="173"/>
        <v>Loss</v>
      </c>
      <c r="U544" s="39" t="str">
        <f t="shared" si="174"/>
        <v>20%+</v>
      </c>
      <c r="V544" s="39" t="str">
        <f>IF(E544&gt;=Analysis!$B$4,"High",IF(E544&gt;=Analysis!$B$5,"Mid","Low"))</f>
        <v>High</v>
      </c>
      <c r="W544" s="39" t="str">
        <f t="shared" si="175"/>
        <v>2023-03</v>
      </c>
      <c r="X544" s="40">
        <f t="shared" si="176"/>
        <v>45016</v>
      </c>
      <c r="Y544" s="39" t="str">
        <f t="shared" si="177"/>
        <v>2023-Q1</v>
      </c>
      <c r="Z544" s="39" t="str">
        <f t="shared" si="178"/>
        <v>Thu</v>
      </c>
      <c r="AA544" s="39">
        <f t="shared" si="179"/>
        <v>4</v>
      </c>
      <c r="AB544" s="39">
        <f t="shared" si="180"/>
        <v>13</v>
      </c>
      <c r="AC544" s="39" t="str">
        <f t="shared" si="181"/>
        <v>Weekday</v>
      </c>
      <c r="AD544" s="39">
        <f t="shared" ca="1" si="182"/>
        <v>1311</v>
      </c>
      <c r="AE544" s="39">
        <f t="shared" ca="1" si="183"/>
        <v>43</v>
      </c>
      <c r="AF544" s="39" t="str">
        <f t="shared" si="184"/>
        <v>BOB</v>
      </c>
      <c r="AG544" s="39" t="str">
        <f t="shared" si="185"/>
        <v>SO-230323-0543</v>
      </c>
      <c r="AH544" s="39" t="str">
        <f>IF(AND(OR(Filter!$B$4="All",D544=Filter!$B$4),OR(Filter!$B$5="All",M544=Filter!$B$5),E544&gt;=Filter!$B$6),MAX(AH$1:AH543)+1,"")</f>
        <v/>
      </c>
      <c r="AI544" s="39">
        <f t="shared" si="186"/>
        <v>18</v>
      </c>
      <c r="AJ544" s="42">
        <f t="shared" si="187"/>
        <v>0.2</v>
      </c>
      <c r="AK544" s="41">
        <f t="shared" si="188"/>
        <v>3475.29</v>
      </c>
      <c r="AL544" s="39">
        <f>RANK(E544,$E$2:$E$1001,0)+COUNTIF($E$2:E544,E544)-1</f>
        <v>204</v>
      </c>
    </row>
    <row r="545" spans="1:38" x14ac:dyDescent="0.2">
      <c r="A545" s="39">
        <v>1032</v>
      </c>
      <c r="B545" s="40">
        <v>45149</v>
      </c>
      <c r="C545" s="39" t="s">
        <v>76</v>
      </c>
      <c r="D545" s="39" t="s">
        <v>59</v>
      </c>
      <c r="E545" s="41">
        <v>3147.18</v>
      </c>
      <c r="F545" s="39">
        <v>5</v>
      </c>
      <c r="G545" s="39" t="s">
        <v>70</v>
      </c>
      <c r="H545" s="41">
        <v>4714.74</v>
      </c>
      <c r="I545" s="41">
        <v>5129.1099999999997</v>
      </c>
      <c r="J545" s="39" t="s">
        <v>143</v>
      </c>
      <c r="K545" s="42">
        <v>0.25</v>
      </c>
      <c r="L545" s="39" t="s">
        <v>63</v>
      </c>
      <c r="M545" s="39" t="s">
        <v>138</v>
      </c>
      <c r="N545" s="39" t="s">
        <v>157</v>
      </c>
      <c r="O545" s="43">
        <f t="shared" si="168"/>
        <v>25645.55</v>
      </c>
      <c r="P545" s="43">
        <f t="shared" si="169"/>
        <v>19234.16</v>
      </c>
      <c r="Q545" s="43">
        <f t="shared" si="170"/>
        <v>23573.7</v>
      </c>
      <c r="R545" s="43">
        <f t="shared" si="171"/>
        <v>-4339.5400000000009</v>
      </c>
      <c r="S545" s="44">
        <f t="shared" si="172"/>
        <v>-0.22561629933410146</v>
      </c>
      <c r="T545" s="39" t="str">
        <f t="shared" si="173"/>
        <v>Loss</v>
      </c>
      <c r="U545" s="39" t="str">
        <f t="shared" si="174"/>
        <v>20%+</v>
      </c>
      <c r="V545" s="39" t="str">
        <f>IF(E545&gt;=Analysis!$B$4,"High",IF(E545&gt;=Analysis!$B$5,"Mid","Low"))</f>
        <v>Mid</v>
      </c>
      <c r="W545" s="39" t="str">
        <f t="shared" si="175"/>
        <v>2023-08</v>
      </c>
      <c r="X545" s="40">
        <f t="shared" si="176"/>
        <v>45169</v>
      </c>
      <c r="Y545" s="39" t="str">
        <f t="shared" si="177"/>
        <v>2023-Q3</v>
      </c>
      <c r="Z545" s="39" t="str">
        <f t="shared" si="178"/>
        <v>Fri</v>
      </c>
      <c r="AA545" s="39">
        <f t="shared" si="179"/>
        <v>5</v>
      </c>
      <c r="AB545" s="39">
        <f t="shared" si="180"/>
        <v>33</v>
      </c>
      <c r="AC545" s="39" t="str">
        <f t="shared" si="181"/>
        <v>Weekday</v>
      </c>
      <c r="AD545" s="39">
        <f t="shared" ca="1" si="182"/>
        <v>1170</v>
      </c>
      <c r="AE545" s="39">
        <f t="shared" ca="1" si="183"/>
        <v>38</v>
      </c>
      <c r="AF545" s="39" t="str">
        <f t="shared" si="184"/>
        <v>DAV</v>
      </c>
      <c r="AG545" s="39" t="str">
        <f t="shared" si="185"/>
        <v>EO-230811-0544</v>
      </c>
      <c r="AH545" s="39" t="str">
        <f>IF(AND(OR(Filter!$B$4="All",D545=Filter!$B$4),OR(Filter!$B$5="All",M545=Filter!$B$5),E545&gt;=Filter!$B$6),MAX(AH$1:AH544)+1,"")</f>
        <v/>
      </c>
      <c r="AI545" s="39">
        <f t="shared" si="186"/>
        <v>5</v>
      </c>
      <c r="AJ545" s="42">
        <f t="shared" si="187"/>
        <v>0.25</v>
      </c>
      <c r="AK545" s="41">
        <f t="shared" si="188"/>
        <v>5129.1099999999997</v>
      </c>
      <c r="AL545" s="39">
        <f>RANK(E545,$E$2:$E$1001,0)+COUNTIF($E$2:E545,E545)-1</f>
        <v>679</v>
      </c>
    </row>
    <row r="546" spans="1:38" x14ac:dyDescent="0.2">
      <c r="A546" s="39">
        <v>1091</v>
      </c>
      <c r="B546" s="40">
        <v>45029</v>
      </c>
      <c r="C546" s="39" t="s">
        <v>79</v>
      </c>
      <c r="D546" s="39" t="s">
        <v>74</v>
      </c>
      <c r="E546" s="41">
        <v>9146.51</v>
      </c>
      <c r="F546" s="39">
        <v>36</v>
      </c>
      <c r="G546" s="39" t="s">
        <v>65</v>
      </c>
      <c r="H546" s="41">
        <v>3951.59</v>
      </c>
      <c r="I546" s="41">
        <v>4387.01</v>
      </c>
      <c r="J546" s="39" t="s">
        <v>143</v>
      </c>
      <c r="K546" s="42">
        <v>7.0000000000000007E-2</v>
      </c>
      <c r="L546" s="39" t="s">
        <v>63</v>
      </c>
      <c r="M546" s="39" t="s">
        <v>140</v>
      </c>
      <c r="N546" s="39" t="s">
        <v>149</v>
      </c>
      <c r="O546" s="43">
        <f t="shared" si="168"/>
        <v>157932.35999999999</v>
      </c>
      <c r="P546" s="43">
        <f t="shared" si="169"/>
        <v>146877.09</v>
      </c>
      <c r="Q546" s="43">
        <f t="shared" si="170"/>
        <v>142257.24</v>
      </c>
      <c r="R546" s="43">
        <f t="shared" si="171"/>
        <v>4619.8500000000058</v>
      </c>
      <c r="S546" s="44">
        <f t="shared" si="172"/>
        <v>3.1453850290743136E-2</v>
      </c>
      <c r="T546" s="39" t="str">
        <f t="shared" si="173"/>
        <v>OK</v>
      </c>
      <c r="U546" s="39" t="str">
        <f t="shared" si="174"/>
        <v>0-9%</v>
      </c>
      <c r="V546" s="39" t="str">
        <f>IF(E546&gt;=Analysis!$B$4,"High",IF(E546&gt;=Analysis!$B$5,"Mid","Low"))</f>
        <v>High</v>
      </c>
      <c r="W546" s="39" t="str">
        <f t="shared" si="175"/>
        <v>2023-04</v>
      </c>
      <c r="X546" s="40">
        <f t="shared" si="176"/>
        <v>45046</v>
      </c>
      <c r="Y546" s="39" t="str">
        <f t="shared" si="177"/>
        <v>2023-Q2</v>
      </c>
      <c r="Z546" s="39" t="str">
        <f t="shared" si="178"/>
        <v>Thu</v>
      </c>
      <c r="AA546" s="39">
        <f t="shared" si="179"/>
        <v>4</v>
      </c>
      <c r="AB546" s="39">
        <f t="shared" si="180"/>
        <v>16</v>
      </c>
      <c r="AC546" s="39" t="str">
        <f t="shared" si="181"/>
        <v>Weekday</v>
      </c>
      <c r="AD546" s="39">
        <f t="shared" ca="1" si="182"/>
        <v>1290</v>
      </c>
      <c r="AE546" s="39">
        <f t="shared" ca="1" si="183"/>
        <v>42</v>
      </c>
      <c r="AF546" s="39" t="str">
        <f t="shared" si="184"/>
        <v>EVE</v>
      </c>
      <c r="AG546" s="39" t="str">
        <f t="shared" si="185"/>
        <v>WR-230413-0545</v>
      </c>
      <c r="AH546" s="39">
        <f>IF(AND(OR(Filter!$B$4="All",D546=Filter!$B$4),OR(Filter!$B$5="All",M546=Filter!$B$5),E546&gt;=Filter!$B$6),MAX(AH$1:AH545)+1,"")</f>
        <v>57</v>
      </c>
      <c r="AI546" s="39">
        <f t="shared" si="186"/>
        <v>36</v>
      </c>
      <c r="AJ546" s="42">
        <f t="shared" si="187"/>
        <v>7.0000000000000007E-2</v>
      </c>
      <c r="AK546" s="41">
        <f t="shared" si="188"/>
        <v>4387.01</v>
      </c>
      <c r="AL546" s="39">
        <f>RANK(E546,$E$2:$E$1001,0)+COUNTIF($E$2:E546,E546)-1</f>
        <v>82</v>
      </c>
    </row>
    <row r="547" spans="1:38" x14ac:dyDescent="0.2">
      <c r="A547" s="39">
        <v>1084</v>
      </c>
      <c r="B547" s="40">
        <v>45199</v>
      </c>
      <c r="C547" s="39" t="s">
        <v>61</v>
      </c>
      <c r="D547" s="39" t="s">
        <v>59</v>
      </c>
      <c r="E547" s="41">
        <v>9532.8700000000008</v>
      </c>
      <c r="F547" s="39">
        <v>30</v>
      </c>
      <c r="G547" s="39" t="s">
        <v>70</v>
      </c>
      <c r="H547" s="41">
        <v>169</v>
      </c>
      <c r="I547" s="41">
        <v>381.92</v>
      </c>
      <c r="J547" s="39" t="s">
        <v>137</v>
      </c>
      <c r="K547" s="42">
        <v>0.26</v>
      </c>
      <c r="L547" s="39" t="s">
        <v>68</v>
      </c>
      <c r="M547" s="39" t="s">
        <v>140</v>
      </c>
      <c r="N547" s="39" t="s">
        <v>159</v>
      </c>
      <c r="O547" s="43">
        <f t="shared" si="168"/>
        <v>11457.6</v>
      </c>
      <c r="P547" s="43">
        <f t="shared" si="169"/>
        <v>8478.6200000000008</v>
      </c>
      <c r="Q547" s="43">
        <f t="shared" si="170"/>
        <v>5070</v>
      </c>
      <c r="R547" s="43">
        <f t="shared" si="171"/>
        <v>3408.6200000000008</v>
      </c>
      <c r="S547" s="44">
        <f t="shared" si="172"/>
        <v>0.40202532959373111</v>
      </c>
      <c r="T547" s="39" t="str">
        <f t="shared" si="173"/>
        <v>OK</v>
      </c>
      <c r="U547" s="39" t="str">
        <f t="shared" si="174"/>
        <v>20%+</v>
      </c>
      <c r="V547" s="39" t="str">
        <f>IF(E547&gt;=Analysis!$B$4,"High",IF(E547&gt;=Analysis!$B$5,"Mid","Low"))</f>
        <v>High</v>
      </c>
      <c r="W547" s="39" t="str">
        <f t="shared" si="175"/>
        <v>2023-09</v>
      </c>
      <c r="X547" s="40">
        <f t="shared" si="176"/>
        <v>45199</v>
      </c>
      <c r="Y547" s="39" t="str">
        <f t="shared" si="177"/>
        <v>2023-Q3</v>
      </c>
      <c r="Z547" s="39" t="str">
        <f t="shared" si="178"/>
        <v>Sat</v>
      </c>
      <c r="AA547" s="39">
        <f t="shared" si="179"/>
        <v>6</v>
      </c>
      <c r="AB547" s="39">
        <f t="shared" si="180"/>
        <v>40</v>
      </c>
      <c r="AC547" s="39" t="str">
        <f t="shared" si="181"/>
        <v>Weekend</v>
      </c>
      <c r="AD547" s="39">
        <f t="shared" ca="1" si="182"/>
        <v>1120</v>
      </c>
      <c r="AE547" s="39">
        <f t="shared" ca="1" si="183"/>
        <v>36</v>
      </c>
      <c r="AF547" s="39" t="str">
        <f t="shared" si="184"/>
        <v>ALI</v>
      </c>
      <c r="AG547" s="39" t="str">
        <f t="shared" si="185"/>
        <v>ER-230930-0546</v>
      </c>
      <c r="AH547" s="39">
        <f>IF(AND(OR(Filter!$B$4="All",D547=Filter!$B$4),OR(Filter!$B$5="All",M547=Filter!$B$5),E547&gt;=Filter!$B$6),MAX(AH$1:AH546)+1,"")</f>
        <v>58</v>
      </c>
      <c r="AI547" s="39">
        <f t="shared" si="186"/>
        <v>30</v>
      </c>
      <c r="AJ547" s="42">
        <f t="shared" si="187"/>
        <v>0.26</v>
      </c>
      <c r="AK547" s="41">
        <f t="shared" si="188"/>
        <v>381.92</v>
      </c>
      <c r="AL547" s="39">
        <f>RANK(E547,$E$2:$E$1001,0)+COUNTIF($E$2:E547,E547)-1</f>
        <v>45</v>
      </c>
    </row>
    <row r="548" spans="1:38" x14ac:dyDescent="0.2">
      <c r="A548" s="39">
        <v>1024</v>
      </c>
      <c r="B548" s="40">
        <v>44940</v>
      </c>
      <c r="C548" s="39" t="s">
        <v>66</v>
      </c>
      <c r="D548" s="39" t="s">
        <v>69</v>
      </c>
      <c r="E548" s="41">
        <v>3334.75</v>
      </c>
      <c r="F548" s="39">
        <v>45</v>
      </c>
      <c r="G548" s="39" t="s">
        <v>60</v>
      </c>
      <c r="H548" s="41">
        <v>2693.99</v>
      </c>
      <c r="I548" s="41">
        <v>3045.94</v>
      </c>
      <c r="J548" s="39" t="s">
        <v>143</v>
      </c>
      <c r="K548" s="42">
        <v>0.01</v>
      </c>
      <c r="L548" s="39" t="s">
        <v>68</v>
      </c>
      <c r="M548" s="39" t="s">
        <v>140</v>
      </c>
      <c r="N548" s="39" t="s">
        <v>144</v>
      </c>
      <c r="O548" s="43">
        <f t="shared" si="168"/>
        <v>137067.29999999999</v>
      </c>
      <c r="P548" s="43">
        <f t="shared" si="169"/>
        <v>135696.63</v>
      </c>
      <c r="Q548" s="43">
        <f t="shared" si="170"/>
        <v>121229.55</v>
      </c>
      <c r="R548" s="43">
        <f t="shared" si="171"/>
        <v>14467.080000000002</v>
      </c>
      <c r="S548" s="44">
        <f t="shared" si="172"/>
        <v>0.10661340668519183</v>
      </c>
      <c r="T548" s="39" t="str">
        <f t="shared" si="173"/>
        <v>OK</v>
      </c>
      <c r="U548" s="39" t="str">
        <f t="shared" si="174"/>
        <v>0-9%</v>
      </c>
      <c r="V548" s="39" t="str">
        <f>IF(E548&gt;=Analysis!$B$4,"High",IF(E548&gt;=Analysis!$B$5,"Mid","Low"))</f>
        <v>Mid</v>
      </c>
      <c r="W548" s="39" t="str">
        <f t="shared" si="175"/>
        <v>2023-01</v>
      </c>
      <c r="X548" s="40">
        <f t="shared" si="176"/>
        <v>44957</v>
      </c>
      <c r="Y548" s="39" t="str">
        <f t="shared" si="177"/>
        <v>2023-Q1</v>
      </c>
      <c r="Z548" s="39" t="str">
        <f t="shared" si="178"/>
        <v>Sat</v>
      </c>
      <c r="AA548" s="39">
        <f t="shared" si="179"/>
        <v>6</v>
      </c>
      <c r="AB548" s="39">
        <f t="shared" si="180"/>
        <v>3</v>
      </c>
      <c r="AC548" s="39" t="str">
        <f t="shared" si="181"/>
        <v>Weekend</v>
      </c>
      <c r="AD548" s="39">
        <f t="shared" ca="1" si="182"/>
        <v>1379</v>
      </c>
      <c r="AE548" s="39">
        <f t="shared" ca="1" si="183"/>
        <v>45</v>
      </c>
      <c r="AF548" s="39" t="str">
        <f t="shared" si="184"/>
        <v>BOB</v>
      </c>
      <c r="AG548" s="39" t="str">
        <f t="shared" si="185"/>
        <v>SR-230114-0547</v>
      </c>
      <c r="AH548" s="39" t="str">
        <f>IF(AND(OR(Filter!$B$4="All",D548=Filter!$B$4),OR(Filter!$B$5="All",M548=Filter!$B$5),E548&gt;=Filter!$B$6),MAX(AH$1:AH547)+1,"")</f>
        <v/>
      </c>
      <c r="AI548" s="39">
        <f t="shared" si="186"/>
        <v>45</v>
      </c>
      <c r="AJ548" s="42">
        <f t="shared" si="187"/>
        <v>0.01</v>
      </c>
      <c r="AK548" s="41">
        <f t="shared" si="188"/>
        <v>3045.94</v>
      </c>
      <c r="AL548" s="39">
        <f>RANK(E548,$E$2:$E$1001,0)+COUNTIF($E$2:E548,E548)-1</f>
        <v>662</v>
      </c>
    </row>
    <row r="549" spans="1:38" x14ac:dyDescent="0.2">
      <c r="A549" s="39">
        <v>1012</v>
      </c>
      <c r="B549" s="40">
        <v>45085</v>
      </c>
      <c r="C549" s="39" t="s">
        <v>66</v>
      </c>
      <c r="D549" s="39" t="s">
        <v>59</v>
      </c>
      <c r="E549" s="41">
        <v>3608.81</v>
      </c>
      <c r="F549" s="39">
        <v>19</v>
      </c>
      <c r="G549" s="39" t="s">
        <v>75</v>
      </c>
      <c r="H549" s="41">
        <v>3457.28</v>
      </c>
      <c r="I549" s="41">
        <v>3598.72</v>
      </c>
      <c r="J549" s="39" t="s">
        <v>143</v>
      </c>
      <c r="K549" s="42">
        <v>0.27</v>
      </c>
      <c r="L549" s="39" t="s">
        <v>63</v>
      </c>
      <c r="M549" s="39" t="s">
        <v>138</v>
      </c>
      <c r="N549" s="39" t="s">
        <v>153</v>
      </c>
      <c r="O549" s="43">
        <f t="shared" si="168"/>
        <v>68375.679999999993</v>
      </c>
      <c r="P549" s="43">
        <f t="shared" si="169"/>
        <v>49914.25</v>
      </c>
      <c r="Q549" s="43">
        <f t="shared" si="170"/>
        <v>65688.320000000007</v>
      </c>
      <c r="R549" s="43">
        <f t="shared" si="171"/>
        <v>-15774.070000000007</v>
      </c>
      <c r="S549" s="44">
        <f t="shared" si="172"/>
        <v>-0.31602338009686626</v>
      </c>
      <c r="T549" s="39" t="str">
        <f t="shared" si="173"/>
        <v>Loss</v>
      </c>
      <c r="U549" s="39" t="str">
        <f t="shared" si="174"/>
        <v>20%+</v>
      </c>
      <c r="V549" s="39" t="str">
        <f>IF(E549&gt;=Analysis!$B$4,"High",IF(E549&gt;=Analysis!$B$5,"Mid","Low"))</f>
        <v>Mid</v>
      </c>
      <c r="W549" s="39" t="str">
        <f t="shared" si="175"/>
        <v>2023-06</v>
      </c>
      <c r="X549" s="40">
        <f t="shared" si="176"/>
        <v>45107</v>
      </c>
      <c r="Y549" s="39" t="str">
        <f t="shared" si="177"/>
        <v>2023-Q2</v>
      </c>
      <c r="Z549" s="39" t="str">
        <f t="shared" si="178"/>
        <v>Thu</v>
      </c>
      <c r="AA549" s="39">
        <f t="shared" si="179"/>
        <v>4</v>
      </c>
      <c r="AB549" s="39">
        <f t="shared" si="180"/>
        <v>24</v>
      </c>
      <c r="AC549" s="39" t="str">
        <f t="shared" si="181"/>
        <v>Weekday</v>
      </c>
      <c r="AD549" s="39">
        <f t="shared" ca="1" si="182"/>
        <v>1234</v>
      </c>
      <c r="AE549" s="39">
        <f t="shared" ca="1" si="183"/>
        <v>40</v>
      </c>
      <c r="AF549" s="39" t="str">
        <f t="shared" si="184"/>
        <v>BOB</v>
      </c>
      <c r="AG549" s="39" t="str">
        <f t="shared" si="185"/>
        <v>EO-230608-0548</v>
      </c>
      <c r="AH549" s="39" t="str">
        <f>IF(AND(OR(Filter!$B$4="All",D549=Filter!$B$4),OR(Filter!$B$5="All",M549=Filter!$B$5),E549&gt;=Filter!$B$6),MAX(AH$1:AH548)+1,"")</f>
        <v/>
      </c>
      <c r="AI549" s="39">
        <f t="shared" si="186"/>
        <v>19</v>
      </c>
      <c r="AJ549" s="42">
        <f t="shared" si="187"/>
        <v>0.27</v>
      </c>
      <c r="AK549" s="41">
        <f t="shared" si="188"/>
        <v>3598.72</v>
      </c>
      <c r="AL549" s="39">
        <f>RANK(E549,$E$2:$E$1001,0)+COUNTIF($E$2:E549,E549)-1</f>
        <v>639</v>
      </c>
    </row>
    <row r="550" spans="1:38" x14ac:dyDescent="0.2">
      <c r="A550" s="39">
        <v>1050</v>
      </c>
      <c r="B550" s="40">
        <v>45078</v>
      </c>
      <c r="C550" s="39" t="s">
        <v>66</v>
      </c>
      <c r="D550" s="39" t="s">
        <v>69</v>
      </c>
      <c r="E550" s="41">
        <v>5105.78</v>
      </c>
      <c r="F550" s="39">
        <v>23</v>
      </c>
      <c r="G550" s="39" t="s">
        <v>75</v>
      </c>
      <c r="H550" s="41">
        <v>3756.06</v>
      </c>
      <c r="I550" s="41">
        <v>4255.7299999999996</v>
      </c>
      <c r="J550" s="39" t="s">
        <v>137</v>
      </c>
      <c r="K550" s="42">
        <v>0.04</v>
      </c>
      <c r="L550" s="39" t="s">
        <v>68</v>
      </c>
      <c r="M550" s="39" t="s">
        <v>138</v>
      </c>
      <c r="N550" s="39" t="s">
        <v>144</v>
      </c>
      <c r="O550" s="43">
        <f t="shared" si="168"/>
        <v>97881.79</v>
      </c>
      <c r="P550" s="43">
        <f t="shared" si="169"/>
        <v>93966.52</v>
      </c>
      <c r="Q550" s="43">
        <f t="shared" si="170"/>
        <v>86389.38</v>
      </c>
      <c r="R550" s="43">
        <f t="shared" si="171"/>
        <v>7577.1399999999994</v>
      </c>
      <c r="S550" s="44">
        <f t="shared" si="172"/>
        <v>8.0636592692801642E-2</v>
      </c>
      <c r="T550" s="39" t="str">
        <f t="shared" si="173"/>
        <v>OK</v>
      </c>
      <c r="U550" s="39" t="str">
        <f t="shared" si="174"/>
        <v>0-9%</v>
      </c>
      <c r="V550" s="39" t="str">
        <f>IF(E550&gt;=Analysis!$B$4,"High",IF(E550&gt;=Analysis!$B$5,"Mid","Low"))</f>
        <v>Mid</v>
      </c>
      <c r="W550" s="39" t="str">
        <f t="shared" si="175"/>
        <v>2023-06</v>
      </c>
      <c r="X550" s="40">
        <f t="shared" si="176"/>
        <v>45107</v>
      </c>
      <c r="Y550" s="39" t="str">
        <f t="shared" si="177"/>
        <v>2023-Q2</v>
      </c>
      <c r="Z550" s="39" t="str">
        <f t="shared" si="178"/>
        <v>Thu</v>
      </c>
      <c r="AA550" s="39">
        <f t="shared" si="179"/>
        <v>4</v>
      </c>
      <c r="AB550" s="39">
        <f t="shared" si="180"/>
        <v>23</v>
      </c>
      <c r="AC550" s="39" t="str">
        <f t="shared" si="181"/>
        <v>Weekday</v>
      </c>
      <c r="AD550" s="39">
        <f t="shared" ca="1" si="182"/>
        <v>1241</v>
      </c>
      <c r="AE550" s="39">
        <f t="shared" ca="1" si="183"/>
        <v>40</v>
      </c>
      <c r="AF550" s="39" t="str">
        <f t="shared" si="184"/>
        <v>BOB</v>
      </c>
      <c r="AG550" s="39" t="str">
        <f t="shared" si="185"/>
        <v>SO-230601-0549</v>
      </c>
      <c r="AH550" s="39" t="str">
        <f>IF(AND(OR(Filter!$B$4="All",D550=Filter!$B$4),OR(Filter!$B$5="All",M550=Filter!$B$5),E550&gt;=Filter!$B$6),MAX(AH$1:AH549)+1,"")</f>
        <v/>
      </c>
      <c r="AI550" s="39">
        <f t="shared" si="186"/>
        <v>23</v>
      </c>
      <c r="AJ550" s="42">
        <f t="shared" si="187"/>
        <v>0.04</v>
      </c>
      <c r="AK550" s="41">
        <f t="shared" si="188"/>
        <v>4255.7299999999996</v>
      </c>
      <c r="AL550" s="39">
        <f>RANK(E550,$E$2:$E$1001,0)+COUNTIF($E$2:E550,E550)-1</f>
        <v>490</v>
      </c>
    </row>
    <row r="551" spans="1:38" x14ac:dyDescent="0.2">
      <c r="A551" s="39">
        <v>1035</v>
      </c>
      <c r="B551" s="40">
        <v>45034</v>
      </c>
      <c r="C551" s="39" t="s">
        <v>76</v>
      </c>
      <c r="D551" s="39" t="s">
        <v>69</v>
      </c>
      <c r="E551" s="41">
        <v>9417.1</v>
      </c>
      <c r="F551" s="39">
        <v>34</v>
      </c>
      <c r="G551" s="39" t="s">
        <v>70</v>
      </c>
      <c r="H551" s="41">
        <v>1105.05</v>
      </c>
      <c r="I551" s="41">
        <v>1200.96</v>
      </c>
      <c r="J551" s="39" t="s">
        <v>137</v>
      </c>
      <c r="K551" s="42">
        <v>0.19</v>
      </c>
      <c r="L551" s="39" t="s">
        <v>68</v>
      </c>
      <c r="M551" s="39" t="s">
        <v>138</v>
      </c>
      <c r="N551" s="39" t="s">
        <v>142</v>
      </c>
      <c r="O551" s="43">
        <f t="shared" si="168"/>
        <v>40832.639999999999</v>
      </c>
      <c r="P551" s="43">
        <f t="shared" si="169"/>
        <v>33074.44</v>
      </c>
      <c r="Q551" s="43">
        <f t="shared" si="170"/>
        <v>37571.699999999997</v>
      </c>
      <c r="R551" s="43">
        <f t="shared" si="171"/>
        <v>-4497.2599999999948</v>
      </c>
      <c r="S551" s="44">
        <f t="shared" si="172"/>
        <v>-0.13597388194630036</v>
      </c>
      <c r="T551" s="39" t="str">
        <f t="shared" si="173"/>
        <v>Loss</v>
      </c>
      <c r="U551" s="39" t="str">
        <f t="shared" si="174"/>
        <v>10-19%</v>
      </c>
      <c r="V551" s="39" t="str">
        <f>IF(E551&gt;=Analysis!$B$4,"High",IF(E551&gt;=Analysis!$B$5,"Mid","Low"))</f>
        <v>High</v>
      </c>
      <c r="W551" s="39" t="str">
        <f t="shared" si="175"/>
        <v>2023-04</v>
      </c>
      <c r="X551" s="40">
        <f t="shared" si="176"/>
        <v>45046</v>
      </c>
      <c r="Y551" s="39" t="str">
        <f t="shared" si="177"/>
        <v>2023-Q2</v>
      </c>
      <c r="Z551" s="39" t="str">
        <f t="shared" si="178"/>
        <v>Tue</v>
      </c>
      <c r="AA551" s="39">
        <f t="shared" si="179"/>
        <v>2</v>
      </c>
      <c r="AB551" s="39">
        <f t="shared" si="180"/>
        <v>17</v>
      </c>
      <c r="AC551" s="39" t="str">
        <f t="shared" si="181"/>
        <v>Weekday</v>
      </c>
      <c r="AD551" s="39">
        <f t="shared" ca="1" si="182"/>
        <v>1285</v>
      </c>
      <c r="AE551" s="39">
        <f t="shared" ca="1" si="183"/>
        <v>42</v>
      </c>
      <c r="AF551" s="39" t="str">
        <f t="shared" si="184"/>
        <v>DAV</v>
      </c>
      <c r="AG551" s="39" t="str">
        <f t="shared" si="185"/>
        <v>SO-230418-0550</v>
      </c>
      <c r="AH551" s="39">
        <f>IF(AND(OR(Filter!$B$4="All",D551=Filter!$B$4),OR(Filter!$B$5="All",M551=Filter!$B$5),E551&gt;=Filter!$B$6),MAX(AH$1:AH550)+1,"")</f>
        <v>59</v>
      </c>
      <c r="AI551" s="39">
        <f t="shared" si="186"/>
        <v>34</v>
      </c>
      <c r="AJ551" s="42">
        <f t="shared" si="187"/>
        <v>0.19</v>
      </c>
      <c r="AK551" s="41">
        <f t="shared" si="188"/>
        <v>1200.96</v>
      </c>
      <c r="AL551" s="39">
        <f>RANK(E551,$E$2:$E$1001,0)+COUNTIF($E$2:E551,E551)-1</f>
        <v>61</v>
      </c>
    </row>
    <row r="552" spans="1:38" x14ac:dyDescent="0.2">
      <c r="A552" s="39">
        <v>1033</v>
      </c>
      <c r="B552" s="40">
        <v>45114</v>
      </c>
      <c r="C552" s="39" t="s">
        <v>79</v>
      </c>
      <c r="D552" s="39" t="s">
        <v>59</v>
      </c>
      <c r="E552" s="41">
        <v>8775.56</v>
      </c>
      <c r="F552" s="39">
        <v>13</v>
      </c>
      <c r="G552" s="39" t="s">
        <v>70</v>
      </c>
      <c r="H552" s="41">
        <v>4342.53</v>
      </c>
      <c r="I552" s="41">
        <v>4357.49</v>
      </c>
      <c r="J552" s="39" t="s">
        <v>143</v>
      </c>
      <c r="K552" s="42">
        <v>0.08</v>
      </c>
      <c r="L552" s="39" t="s">
        <v>63</v>
      </c>
      <c r="M552" s="39" t="s">
        <v>138</v>
      </c>
      <c r="N552" s="39" t="s">
        <v>155</v>
      </c>
      <c r="O552" s="43">
        <f t="shared" si="168"/>
        <v>56647.37</v>
      </c>
      <c r="P552" s="43">
        <f t="shared" si="169"/>
        <v>52115.58</v>
      </c>
      <c r="Q552" s="43">
        <f t="shared" si="170"/>
        <v>56452.89</v>
      </c>
      <c r="R552" s="43">
        <f t="shared" si="171"/>
        <v>-4337.3099999999977</v>
      </c>
      <c r="S552" s="44">
        <f t="shared" si="172"/>
        <v>-8.3224824515049006E-2</v>
      </c>
      <c r="T552" s="39" t="str">
        <f t="shared" si="173"/>
        <v>Loss</v>
      </c>
      <c r="U552" s="39" t="str">
        <f t="shared" si="174"/>
        <v>0-9%</v>
      </c>
      <c r="V552" s="39" t="str">
        <f>IF(E552&gt;=Analysis!$B$4,"High",IF(E552&gt;=Analysis!$B$5,"Mid","Low"))</f>
        <v>High</v>
      </c>
      <c r="W552" s="39" t="str">
        <f t="shared" si="175"/>
        <v>2023-07</v>
      </c>
      <c r="X552" s="40">
        <f t="shared" si="176"/>
        <v>45138</v>
      </c>
      <c r="Y552" s="39" t="str">
        <f t="shared" si="177"/>
        <v>2023-Q3</v>
      </c>
      <c r="Z552" s="39" t="str">
        <f t="shared" si="178"/>
        <v>Fri</v>
      </c>
      <c r="AA552" s="39">
        <f t="shared" si="179"/>
        <v>5</v>
      </c>
      <c r="AB552" s="39">
        <f t="shared" si="180"/>
        <v>28</v>
      </c>
      <c r="AC552" s="39" t="str">
        <f t="shared" si="181"/>
        <v>Weekday</v>
      </c>
      <c r="AD552" s="39">
        <f t="shared" ca="1" si="182"/>
        <v>1205</v>
      </c>
      <c r="AE552" s="39">
        <f t="shared" ca="1" si="183"/>
        <v>39</v>
      </c>
      <c r="AF552" s="39" t="str">
        <f t="shared" si="184"/>
        <v>EVE</v>
      </c>
      <c r="AG552" s="39" t="str">
        <f t="shared" si="185"/>
        <v>EO-230707-0551</v>
      </c>
      <c r="AH552" s="39" t="str">
        <f>IF(AND(OR(Filter!$B$4="All",D552=Filter!$B$4),OR(Filter!$B$5="All",M552=Filter!$B$5),E552&gt;=Filter!$B$6),MAX(AH$1:AH551)+1,"")</f>
        <v/>
      </c>
      <c r="AI552" s="39">
        <f t="shared" si="186"/>
        <v>13</v>
      </c>
      <c r="AJ552" s="42">
        <f t="shared" si="187"/>
        <v>0.08</v>
      </c>
      <c r="AK552" s="41">
        <f t="shared" si="188"/>
        <v>4357.49</v>
      </c>
      <c r="AL552" s="39">
        <f>RANK(E552,$E$2:$E$1001,0)+COUNTIF($E$2:E552,E552)-1</f>
        <v>115</v>
      </c>
    </row>
    <row r="553" spans="1:38" x14ac:dyDescent="0.2">
      <c r="A553" s="39">
        <v>1033</v>
      </c>
      <c r="B553" s="40">
        <v>45227</v>
      </c>
      <c r="C553" s="39" t="s">
        <v>76</v>
      </c>
      <c r="D553" s="39" t="s">
        <v>64</v>
      </c>
      <c r="E553" s="41">
        <v>1115.42</v>
      </c>
      <c r="F553" s="39">
        <v>43</v>
      </c>
      <c r="G553" s="39" t="s">
        <v>60</v>
      </c>
      <c r="H553" s="41">
        <v>4781.42</v>
      </c>
      <c r="I553" s="41">
        <v>4864.34</v>
      </c>
      <c r="J553" s="39" t="s">
        <v>137</v>
      </c>
      <c r="K553" s="42">
        <v>0.25</v>
      </c>
      <c r="L553" s="39" t="s">
        <v>63</v>
      </c>
      <c r="M553" s="39" t="s">
        <v>138</v>
      </c>
      <c r="N553" s="39" t="s">
        <v>152</v>
      </c>
      <c r="O553" s="43">
        <f t="shared" si="168"/>
        <v>209166.62</v>
      </c>
      <c r="P553" s="43">
        <f t="shared" si="169"/>
        <v>156874.97</v>
      </c>
      <c r="Q553" s="43">
        <f t="shared" si="170"/>
        <v>205601.06</v>
      </c>
      <c r="R553" s="43">
        <f t="shared" si="171"/>
        <v>-48726.09</v>
      </c>
      <c r="S553" s="44">
        <f t="shared" si="172"/>
        <v>-0.31060461716741683</v>
      </c>
      <c r="T553" s="39" t="str">
        <f t="shared" si="173"/>
        <v>Loss</v>
      </c>
      <c r="U553" s="39" t="str">
        <f t="shared" si="174"/>
        <v>20%+</v>
      </c>
      <c r="V553" s="39" t="str">
        <f>IF(E553&gt;=Analysis!$B$4,"High",IF(E553&gt;=Analysis!$B$5,"Mid","Low"))</f>
        <v>Low</v>
      </c>
      <c r="W553" s="39" t="str">
        <f t="shared" si="175"/>
        <v>2023-10</v>
      </c>
      <c r="X553" s="40">
        <f t="shared" si="176"/>
        <v>45230</v>
      </c>
      <c r="Y553" s="39" t="str">
        <f t="shared" si="177"/>
        <v>2023-Q4</v>
      </c>
      <c r="Z553" s="39" t="str">
        <f t="shared" si="178"/>
        <v>Sat</v>
      </c>
      <c r="AA553" s="39">
        <f t="shared" si="179"/>
        <v>6</v>
      </c>
      <c r="AB553" s="39">
        <f t="shared" si="180"/>
        <v>44</v>
      </c>
      <c r="AC553" s="39" t="str">
        <f t="shared" si="181"/>
        <v>Weekend</v>
      </c>
      <c r="AD553" s="39">
        <f t="shared" ca="1" si="182"/>
        <v>1092</v>
      </c>
      <c r="AE553" s="39">
        <f t="shared" ca="1" si="183"/>
        <v>35</v>
      </c>
      <c r="AF553" s="39" t="str">
        <f t="shared" si="184"/>
        <v>DAV</v>
      </c>
      <c r="AG553" s="39" t="str">
        <f t="shared" si="185"/>
        <v>NO-231028-0552</v>
      </c>
      <c r="AH553" s="39" t="str">
        <f>IF(AND(OR(Filter!$B$4="All",D553=Filter!$B$4),OR(Filter!$B$5="All",M553=Filter!$B$5),E553&gt;=Filter!$B$6),MAX(AH$1:AH552)+1,"")</f>
        <v/>
      </c>
      <c r="AI553" s="39">
        <f t="shared" si="186"/>
        <v>43</v>
      </c>
      <c r="AJ553" s="42">
        <f t="shared" si="187"/>
        <v>0.25</v>
      </c>
      <c r="AK553" s="41">
        <f t="shared" si="188"/>
        <v>4864.34</v>
      </c>
      <c r="AL553" s="39">
        <f>RANK(E553,$E$2:$E$1001,0)+COUNTIF($E$2:E553,E553)-1</f>
        <v>893</v>
      </c>
    </row>
    <row r="554" spans="1:38" x14ac:dyDescent="0.2">
      <c r="A554" s="39">
        <v>1061</v>
      </c>
      <c r="B554" s="40">
        <v>45024</v>
      </c>
      <c r="C554" s="39" t="s">
        <v>71</v>
      </c>
      <c r="D554" s="39" t="s">
        <v>59</v>
      </c>
      <c r="E554" s="41">
        <v>3988.03</v>
      </c>
      <c r="F554" s="39">
        <v>29</v>
      </c>
      <c r="G554" s="39" t="s">
        <v>60</v>
      </c>
      <c r="H554" s="41">
        <v>1221.74</v>
      </c>
      <c r="I554" s="41">
        <v>1611.92</v>
      </c>
      <c r="J554" s="39" t="s">
        <v>143</v>
      </c>
      <c r="K554" s="42">
        <v>0.15</v>
      </c>
      <c r="L554" s="39" t="s">
        <v>68</v>
      </c>
      <c r="M554" s="39" t="s">
        <v>140</v>
      </c>
      <c r="N554" s="39" t="s">
        <v>145</v>
      </c>
      <c r="O554" s="43">
        <f t="shared" si="168"/>
        <v>46745.68</v>
      </c>
      <c r="P554" s="43">
        <f t="shared" si="169"/>
        <v>39733.83</v>
      </c>
      <c r="Q554" s="43">
        <f t="shared" si="170"/>
        <v>35430.46</v>
      </c>
      <c r="R554" s="43">
        <f t="shared" si="171"/>
        <v>4303.3700000000026</v>
      </c>
      <c r="S554" s="44">
        <f t="shared" si="172"/>
        <v>0.1083049381345821</v>
      </c>
      <c r="T554" s="39" t="str">
        <f t="shared" si="173"/>
        <v>OK</v>
      </c>
      <c r="U554" s="39" t="str">
        <f t="shared" si="174"/>
        <v>10-19%</v>
      </c>
      <c r="V554" s="39" t="str">
        <f>IF(E554&gt;=Analysis!$B$4,"High",IF(E554&gt;=Analysis!$B$5,"Mid","Low"))</f>
        <v>Mid</v>
      </c>
      <c r="W554" s="39" t="str">
        <f t="shared" si="175"/>
        <v>2023-04</v>
      </c>
      <c r="X554" s="40">
        <f t="shared" si="176"/>
        <v>45046</v>
      </c>
      <c r="Y554" s="39" t="str">
        <f t="shared" si="177"/>
        <v>2023-Q2</v>
      </c>
      <c r="Z554" s="39" t="str">
        <f t="shared" si="178"/>
        <v>Sat</v>
      </c>
      <c r="AA554" s="39">
        <f t="shared" si="179"/>
        <v>6</v>
      </c>
      <c r="AB554" s="39">
        <f t="shared" si="180"/>
        <v>15</v>
      </c>
      <c r="AC554" s="39" t="str">
        <f t="shared" si="181"/>
        <v>Weekend</v>
      </c>
      <c r="AD554" s="39">
        <f t="shared" ca="1" si="182"/>
        <v>1295</v>
      </c>
      <c r="AE554" s="39">
        <f t="shared" ca="1" si="183"/>
        <v>42</v>
      </c>
      <c r="AF554" s="39" t="str">
        <f t="shared" si="184"/>
        <v>CHA</v>
      </c>
      <c r="AG554" s="39" t="str">
        <f t="shared" si="185"/>
        <v>ER-230408-0553</v>
      </c>
      <c r="AH554" s="39" t="str">
        <f>IF(AND(OR(Filter!$B$4="All",D554=Filter!$B$4),OR(Filter!$B$5="All",M554=Filter!$B$5),E554&gt;=Filter!$B$6),MAX(AH$1:AH553)+1,"")</f>
        <v/>
      </c>
      <c r="AI554" s="39">
        <f t="shared" si="186"/>
        <v>29</v>
      </c>
      <c r="AJ554" s="42">
        <f t="shared" si="187"/>
        <v>0.15</v>
      </c>
      <c r="AK554" s="41">
        <f t="shared" si="188"/>
        <v>1611.92</v>
      </c>
      <c r="AL554" s="39">
        <f>RANK(E554,$E$2:$E$1001,0)+COUNTIF($E$2:E554,E554)-1</f>
        <v>598</v>
      </c>
    </row>
    <row r="555" spans="1:38" x14ac:dyDescent="0.2">
      <c r="A555" s="39">
        <v>1051</v>
      </c>
      <c r="B555" s="40">
        <v>45057</v>
      </c>
      <c r="C555" s="39" t="s">
        <v>66</v>
      </c>
      <c r="D555" s="39" t="s">
        <v>64</v>
      </c>
      <c r="E555" s="41">
        <v>5578.37</v>
      </c>
      <c r="F555" s="39">
        <v>36</v>
      </c>
      <c r="G555" s="39" t="s">
        <v>70</v>
      </c>
      <c r="H555" s="41">
        <v>4418.95</v>
      </c>
      <c r="I555" s="41">
        <v>4647.87</v>
      </c>
      <c r="J555" s="39" t="s">
        <v>143</v>
      </c>
      <c r="K555" s="42">
        <v>0.04</v>
      </c>
      <c r="L555" s="39" t="s">
        <v>63</v>
      </c>
      <c r="M555" s="39" t="s">
        <v>138</v>
      </c>
      <c r="N555" s="39" t="s">
        <v>139</v>
      </c>
      <c r="O555" s="43">
        <f t="shared" si="168"/>
        <v>167323.32</v>
      </c>
      <c r="P555" s="43">
        <f t="shared" si="169"/>
        <v>160630.39000000001</v>
      </c>
      <c r="Q555" s="43">
        <f t="shared" si="170"/>
        <v>159082.20000000001</v>
      </c>
      <c r="R555" s="43">
        <f t="shared" si="171"/>
        <v>1548.1900000000023</v>
      </c>
      <c r="S555" s="44">
        <f t="shared" si="172"/>
        <v>9.6382135410366752E-3</v>
      </c>
      <c r="T555" s="39" t="str">
        <f t="shared" si="173"/>
        <v>OK</v>
      </c>
      <c r="U555" s="39" t="str">
        <f t="shared" si="174"/>
        <v>0-9%</v>
      </c>
      <c r="V555" s="39" t="str">
        <f>IF(E555&gt;=Analysis!$B$4,"High",IF(E555&gt;=Analysis!$B$5,"Mid","Low"))</f>
        <v>Mid</v>
      </c>
      <c r="W555" s="39" t="str">
        <f t="shared" si="175"/>
        <v>2023-05</v>
      </c>
      <c r="X555" s="40">
        <f t="shared" si="176"/>
        <v>45077</v>
      </c>
      <c r="Y555" s="39" t="str">
        <f t="shared" si="177"/>
        <v>2023-Q2</v>
      </c>
      <c r="Z555" s="39" t="str">
        <f t="shared" si="178"/>
        <v>Thu</v>
      </c>
      <c r="AA555" s="39">
        <f t="shared" si="179"/>
        <v>4</v>
      </c>
      <c r="AB555" s="39">
        <f t="shared" si="180"/>
        <v>20</v>
      </c>
      <c r="AC555" s="39" t="str">
        <f t="shared" si="181"/>
        <v>Weekday</v>
      </c>
      <c r="AD555" s="39">
        <f t="shared" ca="1" si="182"/>
        <v>1262</v>
      </c>
      <c r="AE555" s="39">
        <f t="shared" ca="1" si="183"/>
        <v>41</v>
      </c>
      <c r="AF555" s="39" t="str">
        <f t="shared" si="184"/>
        <v>BOB</v>
      </c>
      <c r="AG555" s="39" t="str">
        <f t="shared" si="185"/>
        <v>NO-230511-0554</v>
      </c>
      <c r="AH555" s="39" t="str">
        <f>IF(AND(OR(Filter!$B$4="All",D555=Filter!$B$4),OR(Filter!$B$5="All",M555=Filter!$B$5),E555&gt;=Filter!$B$6),MAX(AH$1:AH554)+1,"")</f>
        <v/>
      </c>
      <c r="AI555" s="39">
        <f t="shared" si="186"/>
        <v>36</v>
      </c>
      <c r="AJ555" s="42">
        <f t="shared" si="187"/>
        <v>0.04</v>
      </c>
      <c r="AK555" s="41">
        <f t="shared" si="188"/>
        <v>4647.87</v>
      </c>
      <c r="AL555" s="39">
        <f>RANK(E555,$E$2:$E$1001,0)+COUNTIF($E$2:E555,E555)-1</f>
        <v>449</v>
      </c>
    </row>
    <row r="556" spans="1:38" x14ac:dyDescent="0.2">
      <c r="A556" s="39">
        <v>1043</v>
      </c>
      <c r="B556" s="40">
        <v>45219</v>
      </c>
      <c r="C556" s="39" t="s">
        <v>71</v>
      </c>
      <c r="D556" s="39" t="s">
        <v>69</v>
      </c>
      <c r="E556" s="41">
        <v>5081.01</v>
      </c>
      <c r="F556" s="39">
        <v>22</v>
      </c>
      <c r="G556" s="39" t="s">
        <v>70</v>
      </c>
      <c r="H556" s="41">
        <v>530.04</v>
      </c>
      <c r="I556" s="41">
        <v>759.32</v>
      </c>
      <c r="J556" s="39" t="s">
        <v>137</v>
      </c>
      <c r="K556" s="42">
        <v>0.17</v>
      </c>
      <c r="L556" s="39" t="s">
        <v>63</v>
      </c>
      <c r="M556" s="39" t="s">
        <v>140</v>
      </c>
      <c r="N556" s="39" t="s">
        <v>151</v>
      </c>
      <c r="O556" s="43">
        <f t="shared" si="168"/>
        <v>16705.04</v>
      </c>
      <c r="P556" s="43">
        <f t="shared" si="169"/>
        <v>13865.18</v>
      </c>
      <c r="Q556" s="43">
        <f t="shared" si="170"/>
        <v>11660.88</v>
      </c>
      <c r="R556" s="43">
        <f t="shared" si="171"/>
        <v>2204.3000000000011</v>
      </c>
      <c r="S556" s="44">
        <f t="shared" si="172"/>
        <v>0.15898098690388449</v>
      </c>
      <c r="T556" s="39" t="str">
        <f t="shared" si="173"/>
        <v>OK</v>
      </c>
      <c r="U556" s="39" t="str">
        <f t="shared" si="174"/>
        <v>10-19%</v>
      </c>
      <c r="V556" s="39" t="str">
        <f>IF(E556&gt;=Analysis!$B$4,"High",IF(E556&gt;=Analysis!$B$5,"Mid","Low"))</f>
        <v>Mid</v>
      </c>
      <c r="W556" s="39" t="str">
        <f t="shared" si="175"/>
        <v>2023-10</v>
      </c>
      <c r="X556" s="40">
        <f t="shared" si="176"/>
        <v>45230</v>
      </c>
      <c r="Y556" s="39" t="str">
        <f t="shared" si="177"/>
        <v>2023-Q4</v>
      </c>
      <c r="Z556" s="39" t="str">
        <f t="shared" si="178"/>
        <v>Fri</v>
      </c>
      <c r="AA556" s="39">
        <f t="shared" si="179"/>
        <v>5</v>
      </c>
      <c r="AB556" s="39">
        <f t="shared" si="180"/>
        <v>43</v>
      </c>
      <c r="AC556" s="39" t="str">
        <f t="shared" si="181"/>
        <v>Weekday</v>
      </c>
      <c r="AD556" s="39">
        <f t="shared" ca="1" si="182"/>
        <v>1100</v>
      </c>
      <c r="AE556" s="39">
        <f t="shared" ca="1" si="183"/>
        <v>36</v>
      </c>
      <c r="AF556" s="39" t="str">
        <f t="shared" si="184"/>
        <v>CHA</v>
      </c>
      <c r="AG556" s="39" t="str">
        <f t="shared" si="185"/>
        <v>SR-231020-0555</v>
      </c>
      <c r="AH556" s="39" t="str">
        <f>IF(AND(OR(Filter!$B$4="All",D556=Filter!$B$4),OR(Filter!$B$5="All",M556=Filter!$B$5),E556&gt;=Filter!$B$6),MAX(AH$1:AH555)+1,"")</f>
        <v/>
      </c>
      <c r="AI556" s="39">
        <f t="shared" si="186"/>
        <v>22</v>
      </c>
      <c r="AJ556" s="42">
        <f t="shared" si="187"/>
        <v>0.17</v>
      </c>
      <c r="AK556" s="41">
        <f t="shared" si="188"/>
        <v>759.32</v>
      </c>
      <c r="AL556" s="39">
        <f>RANK(E556,$E$2:$E$1001,0)+COUNTIF($E$2:E556,E556)-1</f>
        <v>493</v>
      </c>
    </row>
    <row r="557" spans="1:38" x14ac:dyDescent="0.2">
      <c r="A557" s="39">
        <v>1012</v>
      </c>
      <c r="B557" s="40">
        <v>45097</v>
      </c>
      <c r="C557" s="39" t="s">
        <v>61</v>
      </c>
      <c r="D557" s="39" t="s">
        <v>69</v>
      </c>
      <c r="E557" s="41">
        <v>2019.24</v>
      </c>
      <c r="F557" s="39">
        <v>47</v>
      </c>
      <c r="G557" s="39" t="s">
        <v>60</v>
      </c>
      <c r="H557" s="41">
        <v>325.75</v>
      </c>
      <c r="I557" s="41">
        <v>803.71</v>
      </c>
      <c r="J557" s="39" t="s">
        <v>143</v>
      </c>
      <c r="K557" s="42">
        <v>0.12</v>
      </c>
      <c r="L557" s="39" t="s">
        <v>63</v>
      </c>
      <c r="M557" s="39" t="s">
        <v>140</v>
      </c>
      <c r="N557" s="39" t="s">
        <v>150</v>
      </c>
      <c r="O557" s="43">
        <f t="shared" si="168"/>
        <v>37774.370000000003</v>
      </c>
      <c r="P557" s="43">
        <f t="shared" si="169"/>
        <v>33241.449999999997</v>
      </c>
      <c r="Q557" s="43">
        <f t="shared" si="170"/>
        <v>15310.25</v>
      </c>
      <c r="R557" s="43">
        <f t="shared" si="171"/>
        <v>17931.199999999997</v>
      </c>
      <c r="S557" s="44">
        <f t="shared" si="172"/>
        <v>0.53942291927698693</v>
      </c>
      <c r="T557" s="39" t="str">
        <f t="shared" si="173"/>
        <v>OK</v>
      </c>
      <c r="U557" s="39" t="str">
        <f t="shared" si="174"/>
        <v>10-19%</v>
      </c>
      <c r="V557" s="39" t="str">
        <f>IF(E557&gt;=Analysis!$B$4,"High",IF(E557&gt;=Analysis!$B$5,"Mid","Low"))</f>
        <v>Low</v>
      </c>
      <c r="W557" s="39" t="str">
        <f t="shared" si="175"/>
        <v>2023-06</v>
      </c>
      <c r="X557" s="40">
        <f t="shared" si="176"/>
        <v>45107</v>
      </c>
      <c r="Y557" s="39" t="str">
        <f t="shared" si="177"/>
        <v>2023-Q2</v>
      </c>
      <c r="Z557" s="39" t="str">
        <f t="shared" si="178"/>
        <v>Tue</v>
      </c>
      <c r="AA557" s="39">
        <f t="shared" si="179"/>
        <v>2</v>
      </c>
      <c r="AB557" s="39">
        <f t="shared" si="180"/>
        <v>26</v>
      </c>
      <c r="AC557" s="39" t="str">
        <f t="shared" si="181"/>
        <v>Weekday</v>
      </c>
      <c r="AD557" s="39">
        <f t="shared" ca="1" si="182"/>
        <v>1222</v>
      </c>
      <c r="AE557" s="39">
        <f t="shared" ca="1" si="183"/>
        <v>40</v>
      </c>
      <c r="AF557" s="39" t="str">
        <f t="shared" si="184"/>
        <v>ALI</v>
      </c>
      <c r="AG557" s="39" t="str">
        <f t="shared" si="185"/>
        <v>SR-230620-0556</v>
      </c>
      <c r="AH557" s="39" t="str">
        <f>IF(AND(OR(Filter!$B$4="All",D557=Filter!$B$4),OR(Filter!$B$5="All",M557=Filter!$B$5),E557&gt;=Filter!$B$6),MAX(AH$1:AH556)+1,"")</f>
        <v/>
      </c>
      <c r="AI557" s="39">
        <f t="shared" si="186"/>
        <v>47</v>
      </c>
      <c r="AJ557" s="42">
        <f t="shared" si="187"/>
        <v>0.12</v>
      </c>
      <c r="AK557" s="41">
        <f t="shared" si="188"/>
        <v>803.71</v>
      </c>
      <c r="AL557" s="39">
        <f>RANK(E557,$E$2:$E$1001,0)+COUNTIF($E$2:E557,E557)-1</f>
        <v>817</v>
      </c>
    </row>
    <row r="558" spans="1:38" x14ac:dyDescent="0.2">
      <c r="A558" s="39">
        <v>1067</v>
      </c>
      <c r="B558" s="40">
        <v>45109</v>
      </c>
      <c r="C558" s="39" t="s">
        <v>61</v>
      </c>
      <c r="D558" s="39" t="s">
        <v>64</v>
      </c>
      <c r="E558" s="41">
        <v>8602.2900000000009</v>
      </c>
      <c r="F558" s="39">
        <v>36</v>
      </c>
      <c r="G558" s="39" t="s">
        <v>65</v>
      </c>
      <c r="H558" s="41">
        <v>689.66</v>
      </c>
      <c r="I558" s="41">
        <v>1150.28</v>
      </c>
      <c r="J558" s="39" t="s">
        <v>143</v>
      </c>
      <c r="K558" s="42">
        <v>0.2</v>
      </c>
      <c r="L558" s="39" t="s">
        <v>63</v>
      </c>
      <c r="M558" s="39" t="s">
        <v>138</v>
      </c>
      <c r="N558" s="39" t="s">
        <v>156</v>
      </c>
      <c r="O558" s="43">
        <f t="shared" si="168"/>
        <v>41410.080000000002</v>
      </c>
      <c r="P558" s="43">
        <f t="shared" si="169"/>
        <v>33128.06</v>
      </c>
      <c r="Q558" s="43">
        <f t="shared" si="170"/>
        <v>24827.759999999998</v>
      </c>
      <c r="R558" s="43">
        <f t="shared" si="171"/>
        <v>8300.2999999999993</v>
      </c>
      <c r="S558" s="44">
        <f t="shared" si="172"/>
        <v>0.25055194901240818</v>
      </c>
      <c r="T558" s="39" t="str">
        <f t="shared" si="173"/>
        <v>OK</v>
      </c>
      <c r="U558" s="39" t="str">
        <f t="shared" si="174"/>
        <v>20%+</v>
      </c>
      <c r="V558" s="39" t="str">
        <f>IF(E558&gt;=Analysis!$B$4,"High",IF(E558&gt;=Analysis!$B$5,"Mid","Low"))</f>
        <v>High</v>
      </c>
      <c r="W558" s="39" t="str">
        <f t="shared" si="175"/>
        <v>2023-07</v>
      </c>
      <c r="X558" s="40">
        <f t="shared" si="176"/>
        <v>45138</v>
      </c>
      <c r="Y558" s="39" t="str">
        <f t="shared" si="177"/>
        <v>2023-Q3</v>
      </c>
      <c r="Z558" s="39" t="str">
        <f t="shared" si="178"/>
        <v>Sun</v>
      </c>
      <c r="AA558" s="39">
        <f t="shared" si="179"/>
        <v>7</v>
      </c>
      <c r="AB558" s="39">
        <f t="shared" si="180"/>
        <v>27</v>
      </c>
      <c r="AC558" s="39" t="str">
        <f t="shared" si="181"/>
        <v>Weekend</v>
      </c>
      <c r="AD558" s="39">
        <f t="shared" ca="1" si="182"/>
        <v>1210</v>
      </c>
      <c r="AE558" s="39">
        <f t="shared" ca="1" si="183"/>
        <v>39</v>
      </c>
      <c r="AF558" s="39" t="str">
        <f t="shared" si="184"/>
        <v>ALI</v>
      </c>
      <c r="AG558" s="39" t="str">
        <f t="shared" si="185"/>
        <v>NO-230702-0557</v>
      </c>
      <c r="AH558" s="39" t="str">
        <f>IF(AND(OR(Filter!$B$4="All",D558=Filter!$B$4),OR(Filter!$B$5="All",M558=Filter!$B$5),E558&gt;=Filter!$B$6),MAX(AH$1:AH557)+1,"")</f>
        <v/>
      </c>
      <c r="AI558" s="39">
        <f t="shared" si="186"/>
        <v>36</v>
      </c>
      <c r="AJ558" s="42">
        <f t="shared" si="187"/>
        <v>0.2</v>
      </c>
      <c r="AK558" s="41">
        <f t="shared" si="188"/>
        <v>1150.28</v>
      </c>
      <c r="AL558" s="39">
        <f>RANK(E558,$E$2:$E$1001,0)+COUNTIF($E$2:E558,E558)-1</f>
        <v>131</v>
      </c>
    </row>
    <row r="559" spans="1:38" x14ac:dyDescent="0.2">
      <c r="A559" s="39">
        <v>1065</v>
      </c>
      <c r="B559" s="40">
        <v>45290</v>
      </c>
      <c r="C559" s="39" t="s">
        <v>76</v>
      </c>
      <c r="D559" s="39" t="s">
        <v>69</v>
      </c>
      <c r="E559" s="41">
        <v>6801.71</v>
      </c>
      <c r="F559" s="39">
        <v>9</v>
      </c>
      <c r="G559" s="39" t="s">
        <v>60</v>
      </c>
      <c r="H559" s="41">
        <v>335.82</v>
      </c>
      <c r="I559" s="41">
        <v>498.31</v>
      </c>
      <c r="J559" s="39" t="s">
        <v>143</v>
      </c>
      <c r="K559" s="42">
        <v>0.26</v>
      </c>
      <c r="L559" s="39" t="s">
        <v>68</v>
      </c>
      <c r="M559" s="39" t="s">
        <v>140</v>
      </c>
      <c r="N559" s="39" t="s">
        <v>142</v>
      </c>
      <c r="O559" s="43">
        <f t="shared" si="168"/>
        <v>4484.79</v>
      </c>
      <c r="P559" s="43">
        <f t="shared" si="169"/>
        <v>3318.74</v>
      </c>
      <c r="Q559" s="43">
        <f t="shared" si="170"/>
        <v>3022.38</v>
      </c>
      <c r="R559" s="43">
        <f t="shared" si="171"/>
        <v>296.35999999999967</v>
      </c>
      <c r="S559" s="44">
        <f t="shared" si="172"/>
        <v>8.9298950806631333E-2</v>
      </c>
      <c r="T559" s="39" t="str">
        <f t="shared" si="173"/>
        <v>OK</v>
      </c>
      <c r="U559" s="39" t="str">
        <f t="shared" si="174"/>
        <v>20%+</v>
      </c>
      <c r="V559" s="39" t="str">
        <f>IF(E559&gt;=Analysis!$B$4,"High",IF(E559&gt;=Analysis!$B$5,"Mid","Low"))</f>
        <v>Mid</v>
      </c>
      <c r="W559" s="39" t="str">
        <f t="shared" si="175"/>
        <v>2023-12</v>
      </c>
      <c r="X559" s="40">
        <f t="shared" si="176"/>
        <v>45291</v>
      </c>
      <c r="Y559" s="39" t="str">
        <f t="shared" si="177"/>
        <v>2023-Q4</v>
      </c>
      <c r="Z559" s="39" t="str">
        <f t="shared" si="178"/>
        <v>Sat</v>
      </c>
      <c r="AA559" s="39">
        <f t="shared" si="179"/>
        <v>6</v>
      </c>
      <c r="AB559" s="39">
        <f t="shared" si="180"/>
        <v>53</v>
      </c>
      <c r="AC559" s="39" t="str">
        <f t="shared" si="181"/>
        <v>Weekend</v>
      </c>
      <c r="AD559" s="39">
        <f t="shared" ca="1" si="182"/>
        <v>1029</v>
      </c>
      <c r="AE559" s="39">
        <f t="shared" ca="1" si="183"/>
        <v>33</v>
      </c>
      <c r="AF559" s="39" t="str">
        <f t="shared" si="184"/>
        <v>DAV</v>
      </c>
      <c r="AG559" s="39" t="str">
        <f t="shared" si="185"/>
        <v>SR-231230-0558</v>
      </c>
      <c r="AH559" s="39" t="str">
        <f>IF(AND(OR(Filter!$B$4="All",D559=Filter!$B$4),OR(Filter!$B$5="All",M559=Filter!$B$5),E559&gt;=Filter!$B$6),MAX(AH$1:AH558)+1,"")</f>
        <v/>
      </c>
      <c r="AI559" s="39">
        <f t="shared" si="186"/>
        <v>9</v>
      </c>
      <c r="AJ559" s="42">
        <f t="shared" si="187"/>
        <v>0.26</v>
      </c>
      <c r="AK559" s="41">
        <f t="shared" si="188"/>
        <v>498.31</v>
      </c>
      <c r="AL559" s="39">
        <f>RANK(E559,$E$2:$E$1001,0)+COUNTIF($E$2:E559,E559)-1</f>
        <v>320</v>
      </c>
    </row>
    <row r="560" spans="1:38" x14ac:dyDescent="0.2">
      <c r="A560" s="39">
        <v>1033</v>
      </c>
      <c r="B560" s="40">
        <v>44965</v>
      </c>
      <c r="C560" s="39" t="s">
        <v>79</v>
      </c>
      <c r="D560" s="39" t="s">
        <v>64</v>
      </c>
      <c r="E560" s="41">
        <v>8395.2900000000009</v>
      </c>
      <c r="F560" s="39">
        <v>39</v>
      </c>
      <c r="G560" s="39" t="s">
        <v>65</v>
      </c>
      <c r="H560" s="41">
        <v>4232.8100000000004</v>
      </c>
      <c r="I560" s="41">
        <v>4345.25</v>
      </c>
      <c r="J560" s="39" t="s">
        <v>137</v>
      </c>
      <c r="K560" s="42">
        <v>0.12</v>
      </c>
      <c r="L560" s="39" t="s">
        <v>63</v>
      </c>
      <c r="M560" s="39" t="s">
        <v>138</v>
      </c>
      <c r="N560" s="39" t="s">
        <v>148</v>
      </c>
      <c r="O560" s="43">
        <f t="shared" si="168"/>
        <v>169464.75</v>
      </c>
      <c r="P560" s="43">
        <f t="shared" si="169"/>
        <v>149128.98000000001</v>
      </c>
      <c r="Q560" s="43">
        <f t="shared" si="170"/>
        <v>165079.59</v>
      </c>
      <c r="R560" s="43">
        <f t="shared" si="171"/>
        <v>-15950.609999999986</v>
      </c>
      <c r="S560" s="44">
        <f t="shared" si="172"/>
        <v>-0.10695848653963827</v>
      </c>
      <c r="T560" s="39" t="str">
        <f t="shared" si="173"/>
        <v>Loss</v>
      </c>
      <c r="U560" s="39" t="str">
        <f t="shared" si="174"/>
        <v>10-19%</v>
      </c>
      <c r="V560" s="39" t="str">
        <f>IF(E560&gt;=Analysis!$B$4,"High",IF(E560&gt;=Analysis!$B$5,"Mid","Low"))</f>
        <v>High</v>
      </c>
      <c r="W560" s="39" t="str">
        <f t="shared" si="175"/>
        <v>2023-02</v>
      </c>
      <c r="X560" s="40">
        <f t="shared" si="176"/>
        <v>44985</v>
      </c>
      <c r="Y560" s="39" t="str">
        <f t="shared" si="177"/>
        <v>2023-Q1</v>
      </c>
      <c r="Z560" s="39" t="str">
        <f t="shared" si="178"/>
        <v>Wed</v>
      </c>
      <c r="AA560" s="39">
        <f t="shared" si="179"/>
        <v>3</v>
      </c>
      <c r="AB560" s="39">
        <f t="shared" si="180"/>
        <v>7</v>
      </c>
      <c r="AC560" s="39" t="str">
        <f t="shared" si="181"/>
        <v>Weekday</v>
      </c>
      <c r="AD560" s="39">
        <f t="shared" ca="1" si="182"/>
        <v>1354</v>
      </c>
      <c r="AE560" s="39">
        <f t="shared" ca="1" si="183"/>
        <v>44</v>
      </c>
      <c r="AF560" s="39" t="str">
        <f t="shared" si="184"/>
        <v>EVE</v>
      </c>
      <c r="AG560" s="39" t="str">
        <f t="shared" si="185"/>
        <v>NO-230208-0559</v>
      </c>
      <c r="AH560" s="39" t="str">
        <f>IF(AND(OR(Filter!$B$4="All",D560=Filter!$B$4),OR(Filter!$B$5="All",M560=Filter!$B$5),E560&gt;=Filter!$B$6),MAX(AH$1:AH559)+1,"")</f>
        <v/>
      </c>
      <c r="AI560" s="39">
        <f t="shared" si="186"/>
        <v>39</v>
      </c>
      <c r="AJ560" s="42">
        <f t="shared" si="187"/>
        <v>0.12</v>
      </c>
      <c r="AK560" s="41">
        <f t="shared" si="188"/>
        <v>4345.25</v>
      </c>
      <c r="AL560" s="39">
        <f>RANK(E560,$E$2:$E$1001,0)+COUNTIF($E$2:E560,E560)-1</f>
        <v>154</v>
      </c>
    </row>
    <row r="561" spans="1:38" x14ac:dyDescent="0.2">
      <c r="A561" s="39">
        <v>1040</v>
      </c>
      <c r="B561" s="40">
        <v>44941</v>
      </c>
      <c r="C561" s="39" t="s">
        <v>71</v>
      </c>
      <c r="D561" s="39" t="s">
        <v>64</v>
      </c>
      <c r="E561" s="41">
        <v>8601.77</v>
      </c>
      <c r="F561" s="39">
        <v>19</v>
      </c>
      <c r="G561" s="39" t="s">
        <v>75</v>
      </c>
      <c r="H561" s="41">
        <v>342.3</v>
      </c>
      <c r="I561" s="41">
        <v>768.06</v>
      </c>
      <c r="J561" s="39" t="s">
        <v>137</v>
      </c>
      <c r="K561" s="42">
        <v>0.09</v>
      </c>
      <c r="L561" s="39" t="s">
        <v>73</v>
      </c>
      <c r="M561" s="39" t="s">
        <v>138</v>
      </c>
      <c r="N561" s="39" t="s">
        <v>160</v>
      </c>
      <c r="O561" s="43">
        <f t="shared" si="168"/>
        <v>14593.14</v>
      </c>
      <c r="P561" s="43">
        <f t="shared" si="169"/>
        <v>13279.76</v>
      </c>
      <c r="Q561" s="43">
        <f t="shared" si="170"/>
        <v>6503.7</v>
      </c>
      <c r="R561" s="43">
        <f t="shared" si="171"/>
        <v>6776.06</v>
      </c>
      <c r="S561" s="44">
        <f t="shared" si="172"/>
        <v>0.51025470339825418</v>
      </c>
      <c r="T561" s="39" t="str">
        <f t="shared" si="173"/>
        <v>OK</v>
      </c>
      <c r="U561" s="39" t="str">
        <f t="shared" si="174"/>
        <v>0-9%</v>
      </c>
      <c r="V561" s="39" t="str">
        <f>IF(E561&gt;=Analysis!$B$4,"High",IF(E561&gt;=Analysis!$B$5,"Mid","Low"))</f>
        <v>High</v>
      </c>
      <c r="W561" s="39" t="str">
        <f t="shared" si="175"/>
        <v>2023-01</v>
      </c>
      <c r="X561" s="40">
        <f t="shared" si="176"/>
        <v>44957</v>
      </c>
      <c r="Y561" s="39" t="str">
        <f t="shared" si="177"/>
        <v>2023-Q1</v>
      </c>
      <c r="Z561" s="39" t="str">
        <f t="shared" si="178"/>
        <v>Sun</v>
      </c>
      <c r="AA561" s="39">
        <f t="shared" si="179"/>
        <v>7</v>
      </c>
      <c r="AB561" s="39">
        <f t="shared" si="180"/>
        <v>3</v>
      </c>
      <c r="AC561" s="39" t="str">
        <f t="shared" si="181"/>
        <v>Weekend</v>
      </c>
      <c r="AD561" s="39">
        <f t="shared" ca="1" si="182"/>
        <v>1378</v>
      </c>
      <c r="AE561" s="39">
        <f t="shared" ca="1" si="183"/>
        <v>45</v>
      </c>
      <c r="AF561" s="39" t="str">
        <f t="shared" si="184"/>
        <v>CHA</v>
      </c>
      <c r="AG561" s="39" t="str">
        <f t="shared" si="185"/>
        <v>NO-230115-0560</v>
      </c>
      <c r="AH561" s="39" t="str">
        <f>IF(AND(OR(Filter!$B$4="All",D561=Filter!$B$4),OR(Filter!$B$5="All",M561=Filter!$B$5),E561&gt;=Filter!$B$6),MAX(AH$1:AH560)+1,"")</f>
        <v/>
      </c>
      <c r="AI561" s="39">
        <f t="shared" si="186"/>
        <v>19</v>
      </c>
      <c r="AJ561" s="42">
        <f t="shared" si="187"/>
        <v>0.09</v>
      </c>
      <c r="AK561" s="41">
        <f t="shared" si="188"/>
        <v>768.06</v>
      </c>
      <c r="AL561" s="39">
        <f>RANK(E561,$E$2:$E$1001,0)+COUNTIF($E$2:E561,E561)-1</f>
        <v>132</v>
      </c>
    </row>
    <row r="562" spans="1:38" x14ac:dyDescent="0.2">
      <c r="A562" s="39">
        <v>1074</v>
      </c>
      <c r="B562" s="40">
        <v>44930</v>
      </c>
      <c r="C562" s="39" t="s">
        <v>79</v>
      </c>
      <c r="D562" s="39" t="s">
        <v>69</v>
      </c>
      <c r="E562" s="41">
        <v>7508.72</v>
      </c>
      <c r="F562" s="39">
        <v>38</v>
      </c>
      <c r="G562" s="39" t="s">
        <v>75</v>
      </c>
      <c r="H562" s="41">
        <v>1394.74</v>
      </c>
      <c r="I562" s="41">
        <v>1848.69</v>
      </c>
      <c r="J562" s="39" t="s">
        <v>137</v>
      </c>
      <c r="K562" s="42">
        <v>0</v>
      </c>
      <c r="L562" s="39" t="s">
        <v>63</v>
      </c>
      <c r="M562" s="39" t="s">
        <v>140</v>
      </c>
      <c r="N562" s="39" t="s">
        <v>147</v>
      </c>
      <c r="O562" s="43">
        <f t="shared" si="168"/>
        <v>70250.22</v>
      </c>
      <c r="P562" s="43">
        <f t="shared" si="169"/>
        <v>70250.22</v>
      </c>
      <c r="Q562" s="43">
        <f t="shared" si="170"/>
        <v>53000.12</v>
      </c>
      <c r="R562" s="43">
        <f t="shared" si="171"/>
        <v>17250.099999999999</v>
      </c>
      <c r="S562" s="44">
        <f t="shared" si="172"/>
        <v>0.24555225592176078</v>
      </c>
      <c r="T562" s="39" t="str">
        <f t="shared" si="173"/>
        <v>OK</v>
      </c>
      <c r="U562" s="39" t="str">
        <f t="shared" si="174"/>
        <v>0-9%</v>
      </c>
      <c r="V562" s="39" t="str">
        <f>IF(E562&gt;=Analysis!$B$4,"High",IF(E562&gt;=Analysis!$B$5,"Mid","Low"))</f>
        <v>High</v>
      </c>
      <c r="W562" s="39" t="str">
        <f t="shared" si="175"/>
        <v>2023-01</v>
      </c>
      <c r="X562" s="40">
        <f t="shared" si="176"/>
        <v>44957</v>
      </c>
      <c r="Y562" s="39" t="str">
        <f t="shared" si="177"/>
        <v>2023-Q1</v>
      </c>
      <c r="Z562" s="39" t="str">
        <f t="shared" si="178"/>
        <v>Wed</v>
      </c>
      <c r="AA562" s="39">
        <f t="shared" si="179"/>
        <v>3</v>
      </c>
      <c r="AB562" s="39">
        <f t="shared" si="180"/>
        <v>2</v>
      </c>
      <c r="AC562" s="39" t="str">
        <f t="shared" si="181"/>
        <v>Weekday</v>
      </c>
      <c r="AD562" s="39">
        <f t="shared" ca="1" si="182"/>
        <v>1389</v>
      </c>
      <c r="AE562" s="39">
        <f t="shared" ca="1" si="183"/>
        <v>45</v>
      </c>
      <c r="AF562" s="39" t="str">
        <f t="shared" si="184"/>
        <v>EVE</v>
      </c>
      <c r="AG562" s="39" t="str">
        <f t="shared" si="185"/>
        <v>SR-230104-0561</v>
      </c>
      <c r="AH562" s="39" t="str">
        <f>IF(AND(OR(Filter!$B$4="All",D562=Filter!$B$4),OR(Filter!$B$5="All",M562=Filter!$B$5),E562&gt;=Filter!$B$6),MAX(AH$1:AH561)+1,"")</f>
        <v/>
      </c>
      <c r="AI562" s="39">
        <f t="shared" si="186"/>
        <v>38</v>
      </c>
      <c r="AJ562" s="42">
        <f t="shared" si="187"/>
        <v>0</v>
      </c>
      <c r="AK562" s="41">
        <f t="shared" si="188"/>
        <v>1848.69</v>
      </c>
      <c r="AL562" s="39">
        <f>RANK(E562,$E$2:$E$1001,0)+COUNTIF($E$2:E562,E562)-1</f>
        <v>250</v>
      </c>
    </row>
    <row r="563" spans="1:38" x14ac:dyDescent="0.2">
      <c r="A563" s="39">
        <v>1043</v>
      </c>
      <c r="B563" s="40">
        <v>45275</v>
      </c>
      <c r="C563" s="39" t="s">
        <v>76</v>
      </c>
      <c r="D563" s="39" t="s">
        <v>74</v>
      </c>
      <c r="E563" s="41">
        <v>4448.18</v>
      </c>
      <c r="F563" s="39">
        <v>6</v>
      </c>
      <c r="G563" s="39" t="s">
        <v>60</v>
      </c>
      <c r="H563" s="41">
        <v>563.59</v>
      </c>
      <c r="I563" s="41">
        <v>838.97</v>
      </c>
      <c r="J563" s="39" t="s">
        <v>143</v>
      </c>
      <c r="K563" s="42">
        <v>0.17</v>
      </c>
      <c r="L563" s="39" t="s">
        <v>73</v>
      </c>
      <c r="M563" s="39" t="s">
        <v>138</v>
      </c>
      <c r="N563" s="39" t="s">
        <v>154</v>
      </c>
      <c r="O563" s="43">
        <f t="shared" si="168"/>
        <v>5033.82</v>
      </c>
      <c r="P563" s="43">
        <f t="shared" si="169"/>
        <v>4178.07</v>
      </c>
      <c r="Q563" s="43">
        <f t="shared" si="170"/>
        <v>3381.54</v>
      </c>
      <c r="R563" s="43">
        <f t="shared" si="171"/>
        <v>796.52999999999975</v>
      </c>
      <c r="S563" s="44">
        <f t="shared" si="172"/>
        <v>0.19064544155555072</v>
      </c>
      <c r="T563" s="39" t="str">
        <f t="shared" si="173"/>
        <v>OK</v>
      </c>
      <c r="U563" s="39" t="str">
        <f t="shared" si="174"/>
        <v>10-19%</v>
      </c>
      <c r="V563" s="39" t="str">
        <f>IF(E563&gt;=Analysis!$B$4,"High",IF(E563&gt;=Analysis!$B$5,"Mid","Low"))</f>
        <v>Mid</v>
      </c>
      <c r="W563" s="39" t="str">
        <f t="shared" si="175"/>
        <v>2023-12</v>
      </c>
      <c r="X563" s="40">
        <f t="shared" si="176"/>
        <v>45291</v>
      </c>
      <c r="Y563" s="39" t="str">
        <f t="shared" si="177"/>
        <v>2023-Q4</v>
      </c>
      <c r="Z563" s="39" t="str">
        <f t="shared" si="178"/>
        <v>Fri</v>
      </c>
      <c r="AA563" s="39">
        <f t="shared" si="179"/>
        <v>5</v>
      </c>
      <c r="AB563" s="39">
        <f t="shared" si="180"/>
        <v>51</v>
      </c>
      <c r="AC563" s="39" t="str">
        <f t="shared" si="181"/>
        <v>Weekday</v>
      </c>
      <c r="AD563" s="39">
        <f t="shared" ca="1" si="182"/>
        <v>1044</v>
      </c>
      <c r="AE563" s="39">
        <f t="shared" ca="1" si="183"/>
        <v>34</v>
      </c>
      <c r="AF563" s="39" t="str">
        <f t="shared" si="184"/>
        <v>DAV</v>
      </c>
      <c r="AG563" s="39" t="str">
        <f t="shared" si="185"/>
        <v>WO-231215-0562</v>
      </c>
      <c r="AH563" s="39" t="str">
        <f>IF(AND(OR(Filter!$B$4="All",D563=Filter!$B$4),OR(Filter!$B$5="All",M563=Filter!$B$5),E563&gt;=Filter!$B$6),MAX(AH$1:AH562)+1,"")</f>
        <v/>
      </c>
      <c r="AI563" s="39">
        <f t="shared" si="186"/>
        <v>6</v>
      </c>
      <c r="AJ563" s="42">
        <f t="shared" si="187"/>
        <v>0.17</v>
      </c>
      <c r="AK563" s="41">
        <f t="shared" si="188"/>
        <v>838.97</v>
      </c>
      <c r="AL563" s="39">
        <f>RANK(E563,$E$2:$E$1001,0)+COUNTIF($E$2:E563,E563)-1</f>
        <v>552</v>
      </c>
    </row>
    <row r="564" spans="1:38" x14ac:dyDescent="0.2">
      <c r="A564" s="39">
        <v>1044</v>
      </c>
      <c r="B564" s="40">
        <v>45136</v>
      </c>
      <c r="C564" s="39" t="s">
        <v>61</v>
      </c>
      <c r="D564" s="39" t="s">
        <v>64</v>
      </c>
      <c r="E564" s="41">
        <v>6144.41</v>
      </c>
      <c r="F564" s="39">
        <v>47</v>
      </c>
      <c r="G564" s="39" t="s">
        <v>65</v>
      </c>
      <c r="H564" s="41">
        <v>1512.34</v>
      </c>
      <c r="I564" s="41">
        <v>1830.76</v>
      </c>
      <c r="J564" s="39" t="s">
        <v>143</v>
      </c>
      <c r="K564" s="42">
        <v>0.12</v>
      </c>
      <c r="L564" s="39" t="s">
        <v>63</v>
      </c>
      <c r="M564" s="39" t="s">
        <v>138</v>
      </c>
      <c r="N564" s="39" t="s">
        <v>156</v>
      </c>
      <c r="O564" s="43">
        <f t="shared" si="168"/>
        <v>86045.72</v>
      </c>
      <c r="P564" s="43">
        <f t="shared" si="169"/>
        <v>75720.23</v>
      </c>
      <c r="Q564" s="43">
        <f t="shared" si="170"/>
        <v>71079.98</v>
      </c>
      <c r="R564" s="43">
        <f t="shared" si="171"/>
        <v>4640.25</v>
      </c>
      <c r="S564" s="44">
        <f t="shared" si="172"/>
        <v>6.1281509578087659E-2</v>
      </c>
      <c r="T564" s="39" t="str">
        <f t="shared" si="173"/>
        <v>OK</v>
      </c>
      <c r="U564" s="39" t="str">
        <f t="shared" si="174"/>
        <v>10-19%</v>
      </c>
      <c r="V564" s="39" t="str">
        <f>IF(E564&gt;=Analysis!$B$4,"High",IF(E564&gt;=Analysis!$B$5,"Mid","Low"))</f>
        <v>Mid</v>
      </c>
      <c r="W564" s="39" t="str">
        <f t="shared" si="175"/>
        <v>2023-07</v>
      </c>
      <c r="X564" s="40">
        <f t="shared" si="176"/>
        <v>45138</v>
      </c>
      <c r="Y564" s="39" t="str">
        <f t="shared" si="177"/>
        <v>2023-Q3</v>
      </c>
      <c r="Z564" s="39" t="str">
        <f t="shared" si="178"/>
        <v>Sat</v>
      </c>
      <c r="AA564" s="39">
        <f t="shared" si="179"/>
        <v>6</v>
      </c>
      <c r="AB564" s="39">
        <f t="shared" si="180"/>
        <v>31</v>
      </c>
      <c r="AC564" s="39" t="str">
        <f t="shared" si="181"/>
        <v>Weekend</v>
      </c>
      <c r="AD564" s="39">
        <f t="shared" ca="1" si="182"/>
        <v>1183</v>
      </c>
      <c r="AE564" s="39">
        <f t="shared" ca="1" si="183"/>
        <v>38</v>
      </c>
      <c r="AF564" s="39" t="str">
        <f t="shared" si="184"/>
        <v>ALI</v>
      </c>
      <c r="AG564" s="39" t="str">
        <f t="shared" si="185"/>
        <v>NO-230729-0563</v>
      </c>
      <c r="AH564" s="39" t="str">
        <f>IF(AND(OR(Filter!$B$4="All",D564=Filter!$B$4),OR(Filter!$B$5="All",M564=Filter!$B$5),E564&gt;=Filter!$B$6),MAX(AH$1:AH563)+1,"")</f>
        <v/>
      </c>
      <c r="AI564" s="39">
        <f t="shared" si="186"/>
        <v>47</v>
      </c>
      <c r="AJ564" s="42">
        <f t="shared" si="187"/>
        <v>0.12</v>
      </c>
      <c r="AK564" s="41">
        <f t="shared" si="188"/>
        <v>1830.76</v>
      </c>
      <c r="AL564" s="39">
        <f>RANK(E564,$E$2:$E$1001,0)+COUNTIF($E$2:E564,E564)-1</f>
        <v>392</v>
      </c>
    </row>
    <row r="565" spans="1:38" x14ac:dyDescent="0.2">
      <c r="A565" s="39">
        <v>1029</v>
      </c>
      <c r="B565" s="40">
        <v>45087</v>
      </c>
      <c r="C565" s="39" t="s">
        <v>79</v>
      </c>
      <c r="D565" s="39" t="s">
        <v>59</v>
      </c>
      <c r="E565" s="41">
        <v>1687.62</v>
      </c>
      <c r="F565" s="39">
        <v>15</v>
      </c>
      <c r="G565" s="39" t="s">
        <v>60</v>
      </c>
      <c r="H565" s="41">
        <v>498.27</v>
      </c>
      <c r="I565" s="41">
        <v>634.16</v>
      </c>
      <c r="J565" s="39" t="s">
        <v>137</v>
      </c>
      <c r="K565" s="42">
        <v>0.11</v>
      </c>
      <c r="L565" s="39" t="s">
        <v>73</v>
      </c>
      <c r="M565" s="39" t="s">
        <v>140</v>
      </c>
      <c r="N565" s="39" t="s">
        <v>155</v>
      </c>
      <c r="O565" s="43">
        <f t="shared" si="168"/>
        <v>9512.4</v>
      </c>
      <c r="P565" s="43">
        <f t="shared" si="169"/>
        <v>8466.0400000000009</v>
      </c>
      <c r="Q565" s="43">
        <f t="shared" si="170"/>
        <v>7474.05</v>
      </c>
      <c r="R565" s="43">
        <f t="shared" si="171"/>
        <v>991.99000000000069</v>
      </c>
      <c r="S565" s="44">
        <f t="shared" si="172"/>
        <v>0.11717284586418214</v>
      </c>
      <c r="T565" s="39" t="str">
        <f t="shared" si="173"/>
        <v>OK</v>
      </c>
      <c r="U565" s="39" t="str">
        <f t="shared" si="174"/>
        <v>10-19%</v>
      </c>
      <c r="V565" s="39" t="str">
        <f>IF(E565&gt;=Analysis!$B$4,"High",IF(E565&gt;=Analysis!$B$5,"Mid","Low"))</f>
        <v>Low</v>
      </c>
      <c r="W565" s="39" t="str">
        <f t="shared" si="175"/>
        <v>2023-06</v>
      </c>
      <c r="X565" s="40">
        <f t="shared" si="176"/>
        <v>45107</v>
      </c>
      <c r="Y565" s="39" t="str">
        <f t="shared" si="177"/>
        <v>2023-Q2</v>
      </c>
      <c r="Z565" s="39" t="str">
        <f t="shared" si="178"/>
        <v>Sat</v>
      </c>
      <c r="AA565" s="39">
        <f t="shared" si="179"/>
        <v>6</v>
      </c>
      <c r="AB565" s="39">
        <f t="shared" si="180"/>
        <v>24</v>
      </c>
      <c r="AC565" s="39" t="str">
        <f t="shared" si="181"/>
        <v>Weekend</v>
      </c>
      <c r="AD565" s="39">
        <f t="shared" ca="1" si="182"/>
        <v>1232</v>
      </c>
      <c r="AE565" s="39">
        <f t="shared" ca="1" si="183"/>
        <v>40</v>
      </c>
      <c r="AF565" s="39" t="str">
        <f t="shared" si="184"/>
        <v>EVE</v>
      </c>
      <c r="AG565" s="39" t="str">
        <f t="shared" si="185"/>
        <v>ER-230610-0564</v>
      </c>
      <c r="AH565" s="39" t="str">
        <f>IF(AND(OR(Filter!$B$4="All",D565=Filter!$B$4),OR(Filter!$B$5="All",M565=Filter!$B$5),E565&gt;=Filter!$B$6),MAX(AH$1:AH564)+1,"")</f>
        <v/>
      </c>
      <c r="AI565" s="39">
        <f t="shared" si="186"/>
        <v>15</v>
      </c>
      <c r="AJ565" s="42">
        <f t="shared" si="187"/>
        <v>0.11</v>
      </c>
      <c r="AK565" s="41">
        <f t="shared" si="188"/>
        <v>634.16</v>
      </c>
      <c r="AL565" s="39">
        <f>RANK(E565,$E$2:$E$1001,0)+COUNTIF($E$2:E565,E565)-1</f>
        <v>851</v>
      </c>
    </row>
    <row r="566" spans="1:38" x14ac:dyDescent="0.2">
      <c r="A566" s="39">
        <v>1013</v>
      </c>
      <c r="B566" s="40">
        <v>44942</v>
      </c>
      <c r="C566" s="39" t="s">
        <v>79</v>
      </c>
      <c r="D566" s="39" t="s">
        <v>59</v>
      </c>
      <c r="E566" s="41">
        <v>6769.09</v>
      </c>
      <c r="F566" s="39">
        <v>20</v>
      </c>
      <c r="G566" s="39" t="s">
        <v>60</v>
      </c>
      <c r="H566" s="41">
        <v>3356.62</v>
      </c>
      <c r="I566" s="41">
        <v>3759.01</v>
      </c>
      <c r="J566" s="39" t="s">
        <v>137</v>
      </c>
      <c r="K566" s="42">
        <v>0.05</v>
      </c>
      <c r="L566" s="39" t="s">
        <v>73</v>
      </c>
      <c r="M566" s="39" t="s">
        <v>140</v>
      </c>
      <c r="N566" s="39" t="s">
        <v>155</v>
      </c>
      <c r="O566" s="43">
        <f t="shared" si="168"/>
        <v>75180.2</v>
      </c>
      <c r="P566" s="43">
        <f t="shared" si="169"/>
        <v>71421.19</v>
      </c>
      <c r="Q566" s="43">
        <f t="shared" si="170"/>
        <v>67132.399999999994</v>
      </c>
      <c r="R566" s="43">
        <f t="shared" si="171"/>
        <v>4288.7900000000081</v>
      </c>
      <c r="S566" s="44">
        <f t="shared" si="172"/>
        <v>6.004926549109596E-2</v>
      </c>
      <c r="T566" s="39" t="str">
        <f t="shared" si="173"/>
        <v>OK</v>
      </c>
      <c r="U566" s="39" t="str">
        <f t="shared" si="174"/>
        <v>0-9%</v>
      </c>
      <c r="V566" s="39" t="str">
        <f>IF(E566&gt;=Analysis!$B$4,"High",IF(E566&gt;=Analysis!$B$5,"Mid","Low"))</f>
        <v>Mid</v>
      </c>
      <c r="W566" s="39" t="str">
        <f t="shared" si="175"/>
        <v>2023-01</v>
      </c>
      <c r="X566" s="40">
        <f t="shared" si="176"/>
        <v>44957</v>
      </c>
      <c r="Y566" s="39" t="str">
        <f t="shared" si="177"/>
        <v>2023-Q1</v>
      </c>
      <c r="Z566" s="39" t="str">
        <f t="shared" si="178"/>
        <v>Mon</v>
      </c>
      <c r="AA566" s="39">
        <f t="shared" si="179"/>
        <v>1</v>
      </c>
      <c r="AB566" s="39">
        <f t="shared" si="180"/>
        <v>4</v>
      </c>
      <c r="AC566" s="39" t="str">
        <f t="shared" si="181"/>
        <v>Weekday</v>
      </c>
      <c r="AD566" s="39">
        <f t="shared" ca="1" si="182"/>
        <v>1377</v>
      </c>
      <c r="AE566" s="39">
        <f t="shared" ca="1" si="183"/>
        <v>45</v>
      </c>
      <c r="AF566" s="39" t="str">
        <f t="shared" si="184"/>
        <v>EVE</v>
      </c>
      <c r="AG566" s="39" t="str">
        <f t="shared" si="185"/>
        <v>ER-230116-0565</v>
      </c>
      <c r="AH566" s="39" t="str">
        <f>IF(AND(OR(Filter!$B$4="All",D566=Filter!$B$4),OR(Filter!$B$5="All",M566=Filter!$B$5),E566&gt;=Filter!$B$6),MAX(AH$1:AH565)+1,"")</f>
        <v/>
      </c>
      <c r="AI566" s="39">
        <f t="shared" si="186"/>
        <v>20</v>
      </c>
      <c r="AJ566" s="42">
        <f t="shared" si="187"/>
        <v>0.05</v>
      </c>
      <c r="AK566" s="41">
        <f t="shared" si="188"/>
        <v>3759.01</v>
      </c>
      <c r="AL566" s="39">
        <f>RANK(E566,$E$2:$E$1001,0)+COUNTIF($E$2:E566,E566)-1</f>
        <v>326</v>
      </c>
    </row>
    <row r="567" spans="1:38" x14ac:dyDescent="0.2">
      <c r="A567" s="39">
        <v>1012</v>
      </c>
      <c r="B567" s="40">
        <v>45034</v>
      </c>
      <c r="C567" s="39" t="s">
        <v>61</v>
      </c>
      <c r="D567" s="39" t="s">
        <v>69</v>
      </c>
      <c r="E567" s="41">
        <v>1874.61</v>
      </c>
      <c r="F567" s="39">
        <v>9</v>
      </c>
      <c r="G567" s="39" t="s">
        <v>65</v>
      </c>
      <c r="H567" s="41">
        <v>709.97</v>
      </c>
      <c r="I567" s="41">
        <v>1029.71</v>
      </c>
      <c r="J567" s="39" t="s">
        <v>137</v>
      </c>
      <c r="K567" s="42">
        <v>0.13</v>
      </c>
      <c r="L567" s="39" t="s">
        <v>63</v>
      </c>
      <c r="M567" s="39" t="s">
        <v>140</v>
      </c>
      <c r="N567" s="39" t="s">
        <v>150</v>
      </c>
      <c r="O567" s="43">
        <f t="shared" si="168"/>
        <v>9267.39</v>
      </c>
      <c r="P567" s="43">
        <f t="shared" si="169"/>
        <v>8062.63</v>
      </c>
      <c r="Q567" s="43">
        <f t="shared" si="170"/>
        <v>6389.73</v>
      </c>
      <c r="R567" s="43">
        <f t="shared" si="171"/>
        <v>1672.9000000000005</v>
      </c>
      <c r="S567" s="44">
        <f t="shared" si="172"/>
        <v>0.20748812732321842</v>
      </c>
      <c r="T567" s="39" t="str">
        <f t="shared" si="173"/>
        <v>OK</v>
      </c>
      <c r="U567" s="39" t="str">
        <f t="shared" si="174"/>
        <v>10-19%</v>
      </c>
      <c r="V567" s="39" t="str">
        <f>IF(E567&gt;=Analysis!$B$4,"High",IF(E567&gt;=Analysis!$B$5,"Mid","Low"))</f>
        <v>Low</v>
      </c>
      <c r="W567" s="39" t="str">
        <f t="shared" si="175"/>
        <v>2023-04</v>
      </c>
      <c r="X567" s="40">
        <f t="shared" si="176"/>
        <v>45046</v>
      </c>
      <c r="Y567" s="39" t="str">
        <f t="shared" si="177"/>
        <v>2023-Q2</v>
      </c>
      <c r="Z567" s="39" t="str">
        <f t="shared" si="178"/>
        <v>Tue</v>
      </c>
      <c r="AA567" s="39">
        <f t="shared" si="179"/>
        <v>2</v>
      </c>
      <c r="AB567" s="39">
        <f t="shared" si="180"/>
        <v>17</v>
      </c>
      <c r="AC567" s="39" t="str">
        <f t="shared" si="181"/>
        <v>Weekday</v>
      </c>
      <c r="AD567" s="39">
        <f t="shared" ca="1" si="182"/>
        <v>1285</v>
      </c>
      <c r="AE567" s="39">
        <f t="shared" ca="1" si="183"/>
        <v>42</v>
      </c>
      <c r="AF567" s="39" t="str">
        <f t="shared" si="184"/>
        <v>ALI</v>
      </c>
      <c r="AG567" s="39" t="str">
        <f t="shared" si="185"/>
        <v>SR-230418-0566</v>
      </c>
      <c r="AH567" s="39" t="str">
        <f>IF(AND(OR(Filter!$B$4="All",D567=Filter!$B$4),OR(Filter!$B$5="All",M567=Filter!$B$5),E567&gt;=Filter!$B$6),MAX(AH$1:AH566)+1,"")</f>
        <v/>
      </c>
      <c r="AI567" s="39">
        <f t="shared" si="186"/>
        <v>9</v>
      </c>
      <c r="AJ567" s="42">
        <f t="shared" si="187"/>
        <v>0.13</v>
      </c>
      <c r="AK567" s="41">
        <f t="shared" si="188"/>
        <v>1029.71</v>
      </c>
      <c r="AL567" s="39">
        <f>RANK(E567,$E$2:$E$1001,0)+COUNTIF($E$2:E567,E567)-1</f>
        <v>833</v>
      </c>
    </row>
    <row r="568" spans="1:38" x14ac:dyDescent="0.2">
      <c r="A568" s="39">
        <v>1095</v>
      </c>
      <c r="B568" s="40">
        <v>45237</v>
      </c>
      <c r="C568" s="39" t="s">
        <v>71</v>
      </c>
      <c r="D568" s="39" t="s">
        <v>74</v>
      </c>
      <c r="E568" s="41">
        <v>6970.1</v>
      </c>
      <c r="F568" s="39">
        <v>32</v>
      </c>
      <c r="G568" s="39" t="s">
        <v>60</v>
      </c>
      <c r="H568" s="41">
        <v>4266.6400000000003</v>
      </c>
      <c r="I568" s="41">
        <v>4523.3599999999997</v>
      </c>
      <c r="J568" s="39" t="s">
        <v>143</v>
      </c>
      <c r="K568" s="42">
        <v>0.3</v>
      </c>
      <c r="L568" s="39" t="s">
        <v>63</v>
      </c>
      <c r="M568" s="39" t="s">
        <v>140</v>
      </c>
      <c r="N568" s="39" t="s">
        <v>146</v>
      </c>
      <c r="O568" s="43">
        <f t="shared" si="168"/>
        <v>144747.51999999999</v>
      </c>
      <c r="P568" s="43">
        <f t="shared" si="169"/>
        <v>101323.26</v>
      </c>
      <c r="Q568" s="43">
        <f t="shared" si="170"/>
        <v>136532.48000000001</v>
      </c>
      <c r="R568" s="43">
        <f t="shared" si="171"/>
        <v>-35209.220000000016</v>
      </c>
      <c r="S568" s="44">
        <f t="shared" si="172"/>
        <v>-0.34749395153689311</v>
      </c>
      <c r="T568" s="39" t="str">
        <f t="shared" si="173"/>
        <v>Loss</v>
      </c>
      <c r="U568" s="39" t="str">
        <f t="shared" si="174"/>
        <v>20%+</v>
      </c>
      <c r="V568" s="39" t="str">
        <f>IF(E568&gt;=Analysis!$B$4,"High",IF(E568&gt;=Analysis!$B$5,"Mid","Low"))</f>
        <v>Mid</v>
      </c>
      <c r="W568" s="39" t="str">
        <f t="shared" si="175"/>
        <v>2023-11</v>
      </c>
      <c r="X568" s="40">
        <f t="shared" si="176"/>
        <v>45260</v>
      </c>
      <c r="Y568" s="39" t="str">
        <f t="shared" si="177"/>
        <v>2023-Q4</v>
      </c>
      <c r="Z568" s="39" t="str">
        <f t="shared" si="178"/>
        <v>Tue</v>
      </c>
      <c r="AA568" s="39">
        <f t="shared" si="179"/>
        <v>2</v>
      </c>
      <c r="AB568" s="39">
        <f t="shared" si="180"/>
        <v>46</v>
      </c>
      <c r="AC568" s="39" t="str">
        <f t="shared" si="181"/>
        <v>Weekday</v>
      </c>
      <c r="AD568" s="39">
        <f t="shared" ca="1" si="182"/>
        <v>1082</v>
      </c>
      <c r="AE568" s="39">
        <f t="shared" ca="1" si="183"/>
        <v>35</v>
      </c>
      <c r="AF568" s="39" t="str">
        <f t="shared" si="184"/>
        <v>CHA</v>
      </c>
      <c r="AG568" s="39" t="str">
        <f t="shared" si="185"/>
        <v>WR-231107-0567</v>
      </c>
      <c r="AH568" s="39" t="str">
        <f>IF(AND(OR(Filter!$B$4="All",D568=Filter!$B$4),OR(Filter!$B$5="All",M568=Filter!$B$5),E568&gt;=Filter!$B$6),MAX(AH$1:AH567)+1,"")</f>
        <v/>
      </c>
      <c r="AI568" s="39">
        <f t="shared" si="186"/>
        <v>32</v>
      </c>
      <c r="AJ568" s="42">
        <f t="shared" si="187"/>
        <v>0.3</v>
      </c>
      <c r="AK568" s="41">
        <f t="shared" si="188"/>
        <v>4523.3599999999997</v>
      </c>
      <c r="AL568" s="39">
        <f>RANK(E568,$E$2:$E$1001,0)+COUNTIF($E$2:E568,E568)-1</f>
        <v>307</v>
      </c>
    </row>
    <row r="569" spans="1:38" x14ac:dyDescent="0.2">
      <c r="A569" s="39">
        <v>1046</v>
      </c>
      <c r="B569" s="40">
        <v>45153</v>
      </c>
      <c r="C569" s="39" t="s">
        <v>61</v>
      </c>
      <c r="D569" s="39" t="s">
        <v>69</v>
      </c>
      <c r="E569" s="41">
        <v>2373.02</v>
      </c>
      <c r="F569" s="39">
        <v>4</v>
      </c>
      <c r="G569" s="39" t="s">
        <v>75</v>
      </c>
      <c r="H569" s="41">
        <v>4095.1</v>
      </c>
      <c r="I569" s="41">
        <v>4134.55</v>
      </c>
      <c r="J569" s="39" t="s">
        <v>137</v>
      </c>
      <c r="K569" s="42">
        <v>0.09</v>
      </c>
      <c r="L569" s="39" t="s">
        <v>63</v>
      </c>
      <c r="M569" s="39" t="s">
        <v>140</v>
      </c>
      <c r="N569" s="39" t="s">
        <v>150</v>
      </c>
      <c r="O569" s="43">
        <f t="shared" si="168"/>
        <v>16538.2</v>
      </c>
      <c r="P569" s="43">
        <f t="shared" si="169"/>
        <v>15049.76</v>
      </c>
      <c r="Q569" s="43">
        <f t="shared" si="170"/>
        <v>16380.4</v>
      </c>
      <c r="R569" s="43">
        <f t="shared" si="171"/>
        <v>-1330.6399999999994</v>
      </c>
      <c r="S569" s="44">
        <f t="shared" si="172"/>
        <v>-8.8416027896790345E-2</v>
      </c>
      <c r="T569" s="39" t="str">
        <f t="shared" si="173"/>
        <v>Loss</v>
      </c>
      <c r="U569" s="39" t="str">
        <f t="shared" si="174"/>
        <v>0-9%</v>
      </c>
      <c r="V569" s="39" t="str">
        <f>IF(E569&gt;=Analysis!$B$4,"High",IF(E569&gt;=Analysis!$B$5,"Mid","Low"))</f>
        <v>Low</v>
      </c>
      <c r="W569" s="39" t="str">
        <f t="shared" si="175"/>
        <v>2023-08</v>
      </c>
      <c r="X569" s="40">
        <f t="shared" si="176"/>
        <v>45169</v>
      </c>
      <c r="Y569" s="39" t="str">
        <f t="shared" si="177"/>
        <v>2023-Q3</v>
      </c>
      <c r="Z569" s="39" t="str">
        <f t="shared" si="178"/>
        <v>Tue</v>
      </c>
      <c r="AA569" s="39">
        <f t="shared" si="179"/>
        <v>2</v>
      </c>
      <c r="AB569" s="39">
        <f t="shared" si="180"/>
        <v>34</v>
      </c>
      <c r="AC569" s="39" t="str">
        <f t="shared" si="181"/>
        <v>Weekday</v>
      </c>
      <c r="AD569" s="39">
        <f t="shared" ca="1" si="182"/>
        <v>1166</v>
      </c>
      <c r="AE569" s="39">
        <f t="shared" ca="1" si="183"/>
        <v>38</v>
      </c>
      <c r="AF569" s="39" t="str">
        <f t="shared" si="184"/>
        <v>ALI</v>
      </c>
      <c r="AG569" s="39" t="str">
        <f t="shared" si="185"/>
        <v>SR-230815-0568</v>
      </c>
      <c r="AH569" s="39" t="str">
        <f>IF(AND(OR(Filter!$B$4="All",D569=Filter!$B$4),OR(Filter!$B$5="All",M569=Filter!$B$5),E569&gt;=Filter!$B$6),MAX(AH$1:AH568)+1,"")</f>
        <v/>
      </c>
      <c r="AI569" s="39">
        <f t="shared" si="186"/>
        <v>4</v>
      </c>
      <c r="AJ569" s="42">
        <f t="shared" si="187"/>
        <v>0.09</v>
      </c>
      <c r="AK569" s="41">
        <f t="shared" si="188"/>
        <v>4134.55</v>
      </c>
      <c r="AL569" s="39">
        <f>RANK(E569,$E$2:$E$1001,0)+COUNTIF($E$2:E569,E569)-1</f>
        <v>769</v>
      </c>
    </row>
    <row r="570" spans="1:38" x14ac:dyDescent="0.2">
      <c r="A570" s="39">
        <v>1002</v>
      </c>
      <c r="B570" s="40">
        <v>45096</v>
      </c>
      <c r="C570" s="39" t="s">
        <v>79</v>
      </c>
      <c r="D570" s="39" t="s">
        <v>74</v>
      </c>
      <c r="E570" s="41">
        <v>1263.76</v>
      </c>
      <c r="F570" s="39">
        <v>18</v>
      </c>
      <c r="G570" s="39" t="s">
        <v>70</v>
      </c>
      <c r="H570" s="41">
        <v>117.63</v>
      </c>
      <c r="I570" s="41">
        <v>576.44000000000005</v>
      </c>
      <c r="J570" s="39" t="s">
        <v>143</v>
      </c>
      <c r="K570" s="42">
        <v>0.18</v>
      </c>
      <c r="L570" s="39" t="s">
        <v>73</v>
      </c>
      <c r="M570" s="39" t="s">
        <v>140</v>
      </c>
      <c r="N570" s="39" t="s">
        <v>149</v>
      </c>
      <c r="O570" s="43">
        <f t="shared" si="168"/>
        <v>10375.92</v>
      </c>
      <c r="P570" s="43">
        <f t="shared" si="169"/>
        <v>8508.25</v>
      </c>
      <c r="Q570" s="43">
        <f t="shared" si="170"/>
        <v>2117.34</v>
      </c>
      <c r="R570" s="43">
        <f t="shared" si="171"/>
        <v>6390.91</v>
      </c>
      <c r="S570" s="44">
        <f t="shared" si="172"/>
        <v>0.7511427144242353</v>
      </c>
      <c r="T570" s="39" t="str">
        <f t="shared" si="173"/>
        <v>OK</v>
      </c>
      <c r="U570" s="39" t="str">
        <f t="shared" si="174"/>
        <v>10-19%</v>
      </c>
      <c r="V570" s="39" t="str">
        <f>IF(E570&gt;=Analysis!$B$4,"High",IF(E570&gt;=Analysis!$B$5,"Mid","Low"))</f>
        <v>Low</v>
      </c>
      <c r="W570" s="39" t="str">
        <f t="shared" si="175"/>
        <v>2023-06</v>
      </c>
      <c r="X570" s="40">
        <f t="shared" si="176"/>
        <v>45107</v>
      </c>
      <c r="Y570" s="39" t="str">
        <f t="shared" si="177"/>
        <v>2023-Q2</v>
      </c>
      <c r="Z570" s="39" t="str">
        <f t="shared" si="178"/>
        <v>Mon</v>
      </c>
      <c r="AA570" s="39">
        <f t="shared" si="179"/>
        <v>1</v>
      </c>
      <c r="AB570" s="39">
        <f t="shared" si="180"/>
        <v>26</v>
      </c>
      <c r="AC570" s="39" t="str">
        <f t="shared" si="181"/>
        <v>Weekday</v>
      </c>
      <c r="AD570" s="39">
        <f t="shared" ca="1" si="182"/>
        <v>1223</v>
      </c>
      <c r="AE570" s="39">
        <f t="shared" ca="1" si="183"/>
        <v>40</v>
      </c>
      <c r="AF570" s="39" t="str">
        <f t="shared" si="184"/>
        <v>EVE</v>
      </c>
      <c r="AG570" s="39" t="str">
        <f t="shared" si="185"/>
        <v>WR-230619-0569</v>
      </c>
      <c r="AH570" s="39" t="str">
        <f>IF(AND(OR(Filter!$B$4="All",D570=Filter!$B$4),OR(Filter!$B$5="All",M570=Filter!$B$5),E570&gt;=Filter!$B$6),MAX(AH$1:AH569)+1,"")</f>
        <v/>
      </c>
      <c r="AI570" s="39">
        <f t="shared" si="186"/>
        <v>18</v>
      </c>
      <c r="AJ570" s="42">
        <f t="shared" si="187"/>
        <v>0.18</v>
      </c>
      <c r="AK570" s="41">
        <f t="shared" si="188"/>
        <v>576.44000000000005</v>
      </c>
      <c r="AL570" s="39">
        <f>RANK(E570,$E$2:$E$1001,0)+COUNTIF($E$2:E570,E570)-1</f>
        <v>884</v>
      </c>
    </row>
    <row r="571" spans="1:38" x14ac:dyDescent="0.2">
      <c r="A571" s="39">
        <v>1035</v>
      </c>
      <c r="B571" s="40">
        <v>44960</v>
      </c>
      <c r="C571" s="39" t="s">
        <v>71</v>
      </c>
      <c r="D571" s="39" t="s">
        <v>64</v>
      </c>
      <c r="E571" s="41">
        <v>1736.32</v>
      </c>
      <c r="F571" s="39">
        <v>5</v>
      </c>
      <c r="G571" s="39" t="s">
        <v>70</v>
      </c>
      <c r="H571" s="41">
        <v>4483.8500000000004</v>
      </c>
      <c r="I571" s="41">
        <v>4795.42</v>
      </c>
      <c r="J571" s="39" t="s">
        <v>137</v>
      </c>
      <c r="K571" s="42">
        <v>0.23</v>
      </c>
      <c r="L571" s="39" t="s">
        <v>68</v>
      </c>
      <c r="M571" s="39" t="s">
        <v>138</v>
      </c>
      <c r="N571" s="39" t="s">
        <v>160</v>
      </c>
      <c r="O571" s="43">
        <f t="shared" si="168"/>
        <v>23977.1</v>
      </c>
      <c r="P571" s="43">
        <f t="shared" si="169"/>
        <v>18462.37</v>
      </c>
      <c r="Q571" s="43">
        <f t="shared" si="170"/>
        <v>22419.25</v>
      </c>
      <c r="R571" s="43">
        <f t="shared" si="171"/>
        <v>-3956.880000000001</v>
      </c>
      <c r="S571" s="44">
        <f t="shared" si="172"/>
        <v>-0.21432134660934654</v>
      </c>
      <c r="T571" s="39" t="str">
        <f t="shared" si="173"/>
        <v>Loss</v>
      </c>
      <c r="U571" s="39" t="str">
        <f t="shared" si="174"/>
        <v>20%+</v>
      </c>
      <c r="V571" s="39" t="str">
        <f>IF(E571&gt;=Analysis!$B$4,"High",IF(E571&gt;=Analysis!$B$5,"Mid","Low"))</f>
        <v>Low</v>
      </c>
      <c r="W571" s="39" t="str">
        <f t="shared" si="175"/>
        <v>2023-02</v>
      </c>
      <c r="X571" s="40">
        <f t="shared" si="176"/>
        <v>44985</v>
      </c>
      <c r="Y571" s="39" t="str">
        <f t="shared" si="177"/>
        <v>2023-Q1</v>
      </c>
      <c r="Z571" s="39" t="str">
        <f t="shared" si="178"/>
        <v>Fri</v>
      </c>
      <c r="AA571" s="39">
        <f t="shared" si="179"/>
        <v>5</v>
      </c>
      <c r="AB571" s="39">
        <f t="shared" si="180"/>
        <v>6</v>
      </c>
      <c r="AC571" s="39" t="str">
        <f t="shared" si="181"/>
        <v>Weekday</v>
      </c>
      <c r="AD571" s="39">
        <f t="shared" ca="1" si="182"/>
        <v>1359</v>
      </c>
      <c r="AE571" s="39">
        <f t="shared" ca="1" si="183"/>
        <v>44</v>
      </c>
      <c r="AF571" s="39" t="str">
        <f t="shared" si="184"/>
        <v>CHA</v>
      </c>
      <c r="AG571" s="39" t="str">
        <f t="shared" si="185"/>
        <v>NO-230203-0570</v>
      </c>
      <c r="AH571" s="39" t="str">
        <f>IF(AND(OR(Filter!$B$4="All",D571=Filter!$B$4),OR(Filter!$B$5="All",M571=Filter!$B$5),E571&gt;=Filter!$B$6),MAX(AH$1:AH570)+1,"")</f>
        <v/>
      </c>
      <c r="AI571" s="39">
        <f t="shared" si="186"/>
        <v>5</v>
      </c>
      <c r="AJ571" s="42">
        <f t="shared" si="187"/>
        <v>0.23</v>
      </c>
      <c r="AK571" s="41">
        <f t="shared" si="188"/>
        <v>4795.42</v>
      </c>
      <c r="AL571" s="39">
        <f>RANK(E571,$E$2:$E$1001,0)+COUNTIF($E$2:E571,E571)-1</f>
        <v>845</v>
      </c>
    </row>
    <row r="572" spans="1:38" x14ac:dyDescent="0.2">
      <c r="A572" s="39">
        <v>1087</v>
      </c>
      <c r="B572" s="40">
        <v>45177</v>
      </c>
      <c r="C572" s="39" t="s">
        <v>71</v>
      </c>
      <c r="D572" s="39" t="s">
        <v>64</v>
      </c>
      <c r="E572" s="41">
        <v>119.72</v>
      </c>
      <c r="F572" s="39">
        <v>20</v>
      </c>
      <c r="G572" s="39" t="s">
        <v>60</v>
      </c>
      <c r="H572" s="41">
        <v>193.27</v>
      </c>
      <c r="I572" s="41">
        <v>297.69</v>
      </c>
      <c r="J572" s="39" t="s">
        <v>143</v>
      </c>
      <c r="K572" s="42">
        <v>0.22</v>
      </c>
      <c r="L572" s="39" t="s">
        <v>68</v>
      </c>
      <c r="M572" s="39" t="s">
        <v>138</v>
      </c>
      <c r="N572" s="39" t="s">
        <v>160</v>
      </c>
      <c r="O572" s="43">
        <f t="shared" si="168"/>
        <v>5953.8</v>
      </c>
      <c r="P572" s="43">
        <f t="shared" si="169"/>
        <v>4643.96</v>
      </c>
      <c r="Q572" s="43">
        <f t="shared" si="170"/>
        <v>3865.4</v>
      </c>
      <c r="R572" s="43">
        <f t="shared" si="171"/>
        <v>778.56</v>
      </c>
      <c r="S572" s="44">
        <f t="shared" si="172"/>
        <v>0.16765002282534733</v>
      </c>
      <c r="T572" s="39" t="str">
        <f t="shared" si="173"/>
        <v>OK</v>
      </c>
      <c r="U572" s="39" t="str">
        <f t="shared" si="174"/>
        <v>20%+</v>
      </c>
      <c r="V572" s="39" t="str">
        <f>IF(E572&gt;=Analysis!$B$4,"High",IF(E572&gt;=Analysis!$B$5,"Mid","Low"))</f>
        <v>Low</v>
      </c>
      <c r="W572" s="39" t="str">
        <f t="shared" si="175"/>
        <v>2023-09</v>
      </c>
      <c r="X572" s="40">
        <f t="shared" si="176"/>
        <v>45199</v>
      </c>
      <c r="Y572" s="39" t="str">
        <f t="shared" si="177"/>
        <v>2023-Q3</v>
      </c>
      <c r="Z572" s="39" t="str">
        <f t="shared" si="178"/>
        <v>Fri</v>
      </c>
      <c r="AA572" s="39">
        <f t="shared" si="179"/>
        <v>5</v>
      </c>
      <c r="AB572" s="39">
        <f t="shared" si="180"/>
        <v>37</v>
      </c>
      <c r="AC572" s="39" t="str">
        <f t="shared" si="181"/>
        <v>Weekday</v>
      </c>
      <c r="AD572" s="39">
        <f t="shared" ca="1" si="182"/>
        <v>1142</v>
      </c>
      <c r="AE572" s="39">
        <f t="shared" ca="1" si="183"/>
        <v>37</v>
      </c>
      <c r="AF572" s="39" t="str">
        <f t="shared" si="184"/>
        <v>CHA</v>
      </c>
      <c r="AG572" s="39" t="str">
        <f t="shared" si="185"/>
        <v>NO-230908-0571</v>
      </c>
      <c r="AH572" s="39" t="str">
        <f>IF(AND(OR(Filter!$B$4="All",D572=Filter!$B$4),OR(Filter!$B$5="All",M572=Filter!$B$5),E572&gt;=Filter!$B$6),MAX(AH$1:AH571)+1,"")</f>
        <v/>
      </c>
      <c r="AI572" s="39">
        <f t="shared" si="186"/>
        <v>20</v>
      </c>
      <c r="AJ572" s="42">
        <f t="shared" si="187"/>
        <v>0.22</v>
      </c>
      <c r="AK572" s="41">
        <f t="shared" si="188"/>
        <v>297.69</v>
      </c>
      <c r="AL572" s="39">
        <f>RANK(E572,$E$2:$E$1001,0)+COUNTIF($E$2:E572,E572)-1</f>
        <v>996</v>
      </c>
    </row>
    <row r="573" spans="1:38" x14ac:dyDescent="0.2">
      <c r="A573" s="39">
        <v>1081</v>
      </c>
      <c r="B573" s="40">
        <v>45173</v>
      </c>
      <c r="C573" s="39" t="s">
        <v>61</v>
      </c>
      <c r="D573" s="39" t="s">
        <v>64</v>
      </c>
      <c r="E573" s="41">
        <v>7215.52</v>
      </c>
      <c r="F573" s="39">
        <v>23</v>
      </c>
      <c r="G573" s="39" t="s">
        <v>65</v>
      </c>
      <c r="H573" s="41">
        <v>1236.25</v>
      </c>
      <c r="I573" s="41">
        <v>1543.38</v>
      </c>
      <c r="J573" s="39" t="s">
        <v>143</v>
      </c>
      <c r="K573" s="42">
        <v>0.1</v>
      </c>
      <c r="L573" s="39" t="s">
        <v>63</v>
      </c>
      <c r="M573" s="39" t="s">
        <v>138</v>
      </c>
      <c r="N573" s="39" t="s">
        <v>156</v>
      </c>
      <c r="O573" s="43">
        <f t="shared" si="168"/>
        <v>35497.74</v>
      </c>
      <c r="P573" s="43">
        <f t="shared" si="169"/>
        <v>31947.97</v>
      </c>
      <c r="Q573" s="43">
        <f t="shared" si="170"/>
        <v>28433.75</v>
      </c>
      <c r="R573" s="43">
        <f t="shared" si="171"/>
        <v>3514.2200000000012</v>
      </c>
      <c r="S573" s="44">
        <f t="shared" si="172"/>
        <v>0.10999822523935014</v>
      </c>
      <c r="T573" s="39" t="str">
        <f t="shared" si="173"/>
        <v>OK</v>
      </c>
      <c r="U573" s="39" t="str">
        <f t="shared" si="174"/>
        <v>10-19%</v>
      </c>
      <c r="V573" s="39" t="str">
        <f>IF(E573&gt;=Analysis!$B$4,"High",IF(E573&gt;=Analysis!$B$5,"Mid","Low"))</f>
        <v>Mid</v>
      </c>
      <c r="W573" s="39" t="str">
        <f t="shared" si="175"/>
        <v>2023-09</v>
      </c>
      <c r="X573" s="40">
        <f t="shared" si="176"/>
        <v>45199</v>
      </c>
      <c r="Y573" s="39" t="str">
        <f t="shared" si="177"/>
        <v>2023-Q3</v>
      </c>
      <c r="Z573" s="39" t="str">
        <f t="shared" si="178"/>
        <v>Mon</v>
      </c>
      <c r="AA573" s="39">
        <f t="shared" si="179"/>
        <v>1</v>
      </c>
      <c r="AB573" s="39">
        <f t="shared" si="180"/>
        <v>37</v>
      </c>
      <c r="AC573" s="39" t="str">
        <f t="shared" si="181"/>
        <v>Weekday</v>
      </c>
      <c r="AD573" s="39">
        <f t="shared" ca="1" si="182"/>
        <v>1146</v>
      </c>
      <c r="AE573" s="39">
        <f t="shared" ca="1" si="183"/>
        <v>37</v>
      </c>
      <c r="AF573" s="39" t="str">
        <f t="shared" si="184"/>
        <v>ALI</v>
      </c>
      <c r="AG573" s="39" t="str">
        <f t="shared" si="185"/>
        <v>NO-230904-0572</v>
      </c>
      <c r="AH573" s="39" t="str">
        <f>IF(AND(OR(Filter!$B$4="All",D573=Filter!$B$4),OR(Filter!$B$5="All",M573=Filter!$B$5),E573&gt;=Filter!$B$6),MAX(AH$1:AH572)+1,"")</f>
        <v/>
      </c>
      <c r="AI573" s="39">
        <f t="shared" si="186"/>
        <v>23</v>
      </c>
      <c r="AJ573" s="42">
        <f t="shared" si="187"/>
        <v>0.1</v>
      </c>
      <c r="AK573" s="41">
        <f t="shared" si="188"/>
        <v>1543.38</v>
      </c>
      <c r="AL573" s="39">
        <f>RANK(E573,$E$2:$E$1001,0)+COUNTIF($E$2:E573,E573)-1</f>
        <v>275</v>
      </c>
    </row>
    <row r="574" spans="1:38" x14ac:dyDescent="0.2">
      <c r="A574" s="39">
        <v>1090</v>
      </c>
      <c r="B574" s="40">
        <v>45195</v>
      </c>
      <c r="C574" s="39" t="s">
        <v>79</v>
      </c>
      <c r="D574" s="39" t="s">
        <v>64</v>
      </c>
      <c r="E574" s="41">
        <v>7350.77</v>
      </c>
      <c r="F574" s="39">
        <v>11</v>
      </c>
      <c r="G574" s="39" t="s">
        <v>65</v>
      </c>
      <c r="H574" s="41">
        <v>210.33</v>
      </c>
      <c r="I574" s="41">
        <v>552.29</v>
      </c>
      <c r="J574" s="39" t="s">
        <v>137</v>
      </c>
      <c r="K574" s="42">
        <v>0.18</v>
      </c>
      <c r="L574" s="39" t="s">
        <v>68</v>
      </c>
      <c r="M574" s="39" t="s">
        <v>140</v>
      </c>
      <c r="N574" s="39" t="s">
        <v>148</v>
      </c>
      <c r="O574" s="43">
        <f t="shared" si="168"/>
        <v>6075.19</v>
      </c>
      <c r="P574" s="43">
        <f t="shared" si="169"/>
        <v>4981.66</v>
      </c>
      <c r="Q574" s="43">
        <f t="shared" si="170"/>
        <v>2313.63</v>
      </c>
      <c r="R574" s="43">
        <f t="shared" si="171"/>
        <v>2668.0299999999997</v>
      </c>
      <c r="S574" s="44">
        <f t="shared" si="172"/>
        <v>0.53557047249310463</v>
      </c>
      <c r="T574" s="39" t="str">
        <f t="shared" si="173"/>
        <v>OK</v>
      </c>
      <c r="U574" s="39" t="str">
        <f t="shared" si="174"/>
        <v>10-19%</v>
      </c>
      <c r="V574" s="39" t="str">
        <f>IF(E574&gt;=Analysis!$B$4,"High",IF(E574&gt;=Analysis!$B$5,"Mid","Low"))</f>
        <v>Mid</v>
      </c>
      <c r="W574" s="39" t="str">
        <f t="shared" si="175"/>
        <v>2023-09</v>
      </c>
      <c r="X574" s="40">
        <f t="shared" si="176"/>
        <v>45199</v>
      </c>
      <c r="Y574" s="39" t="str">
        <f t="shared" si="177"/>
        <v>2023-Q3</v>
      </c>
      <c r="Z574" s="39" t="str">
        <f t="shared" si="178"/>
        <v>Tue</v>
      </c>
      <c r="AA574" s="39">
        <f t="shared" si="179"/>
        <v>2</v>
      </c>
      <c r="AB574" s="39">
        <f t="shared" si="180"/>
        <v>40</v>
      </c>
      <c r="AC574" s="39" t="str">
        <f t="shared" si="181"/>
        <v>Weekday</v>
      </c>
      <c r="AD574" s="39">
        <f t="shared" ca="1" si="182"/>
        <v>1124</v>
      </c>
      <c r="AE574" s="39">
        <f t="shared" ca="1" si="183"/>
        <v>36</v>
      </c>
      <c r="AF574" s="39" t="str">
        <f t="shared" si="184"/>
        <v>EVE</v>
      </c>
      <c r="AG574" s="39" t="str">
        <f t="shared" si="185"/>
        <v>NR-230926-0573</v>
      </c>
      <c r="AH574" s="39" t="str">
        <f>IF(AND(OR(Filter!$B$4="All",D574=Filter!$B$4),OR(Filter!$B$5="All",M574=Filter!$B$5),E574&gt;=Filter!$B$6),MAX(AH$1:AH573)+1,"")</f>
        <v/>
      </c>
      <c r="AI574" s="39">
        <f t="shared" si="186"/>
        <v>11</v>
      </c>
      <c r="AJ574" s="42">
        <f t="shared" si="187"/>
        <v>0.18</v>
      </c>
      <c r="AK574" s="41">
        <f t="shared" si="188"/>
        <v>552.29</v>
      </c>
      <c r="AL574" s="39">
        <f>RANK(E574,$E$2:$E$1001,0)+COUNTIF($E$2:E574,E574)-1</f>
        <v>266</v>
      </c>
    </row>
    <row r="575" spans="1:38" x14ac:dyDescent="0.2">
      <c r="A575" s="39">
        <v>1008</v>
      </c>
      <c r="B575" s="40">
        <v>45067</v>
      </c>
      <c r="C575" s="39" t="s">
        <v>76</v>
      </c>
      <c r="D575" s="39" t="s">
        <v>59</v>
      </c>
      <c r="E575" s="41">
        <v>5197.84</v>
      </c>
      <c r="F575" s="39">
        <v>37</v>
      </c>
      <c r="G575" s="39" t="s">
        <v>75</v>
      </c>
      <c r="H575" s="41">
        <v>1712.43</v>
      </c>
      <c r="I575" s="41">
        <v>1980.06</v>
      </c>
      <c r="J575" s="39" t="s">
        <v>143</v>
      </c>
      <c r="K575" s="42">
        <v>0.26</v>
      </c>
      <c r="L575" s="39" t="s">
        <v>68</v>
      </c>
      <c r="M575" s="39" t="s">
        <v>138</v>
      </c>
      <c r="N575" s="39" t="s">
        <v>157</v>
      </c>
      <c r="O575" s="43">
        <f t="shared" si="168"/>
        <v>73262.22</v>
      </c>
      <c r="P575" s="43">
        <f t="shared" si="169"/>
        <v>54214.04</v>
      </c>
      <c r="Q575" s="43">
        <f t="shared" si="170"/>
        <v>63359.91</v>
      </c>
      <c r="R575" s="43">
        <f t="shared" si="171"/>
        <v>-9145.8700000000026</v>
      </c>
      <c r="S575" s="44">
        <f t="shared" si="172"/>
        <v>-0.1686992889664744</v>
      </c>
      <c r="T575" s="39" t="str">
        <f t="shared" si="173"/>
        <v>Loss</v>
      </c>
      <c r="U575" s="39" t="str">
        <f t="shared" si="174"/>
        <v>20%+</v>
      </c>
      <c r="V575" s="39" t="str">
        <f>IF(E575&gt;=Analysis!$B$4,"High",IF(E575&gt;=Analysis!$B$5,"Mid","Low"))</f>
        <v>Mid</v>
      </c>
      <c r="W575" s="39" t="str">
        <f t="shared" si="175"/>
        <v>2023-05</v>
      </c>
      <c r="X575" s="40">
        <f t="shared" si="176"/>
        <v>45077</v>
      </c>
      <c r="Y575" s="39" t="str">
        <f t="shared" si="177"/>
        <v>2023-Q2</v>
      </c>
      <c r="Z575" s="39" t="str">
        <f t="shared" si="178"/>
        <v>Sun</v>
      </c>
      <c r="AA575" s="39">
        <f t="shared" si="179"/>
        <v>7</v>
      </c>
      <c r="AB575" s="39">
        <f t="shared" si="180"/>
        <v>21</v>
      </c>
      <c r="AC575" s="39" t="str">
        <f t="shared" si="181"/>
        <v>Weekend</v>
      </c>
      <c r="AD575" s="39">
        <f t="shared" ca="1" si="182"/>
        <v>1252</v>
      </c>
      <c r="AE575" s="39">
        <f t="shared" ca="1" si="183"/>
        <v>41</v>
      </c>
      <c r="AF575" s="39" t="str">
        <f t="shared" si="184"/>
        <v>DAV</v>
      </c>
      <c r="AG575" s="39" t="str">
        <f t="shared" si="185"/>
        <v>EO-230521-0574</v>
      </c>
      <c r="AH575" s="39" t="str">
        <f>IF(AND(OR(Filter!$B$4="All",D575=Filter!$B$4),OR(Filter!$B$5="All",M575=Filter!$B$5),E575&gt;=Filter!$B$6),MAX(AH$1:AH574)+1,"")</f>
        <v/>
      </c>
      <c r="AI575" s="39">
        <f t="shared" si="186"/>
        <v>37</v>
      </c>
      <c r="AJ575" s="42">
        <f t="shared" si="187"/>
        <v>0.26</v>
      </c>
      <c r="AK575" s="41">
        <f t="shared" si="188"/>
        <v>1980.06</v>
      </c>
      <c r="AL575" s="39">
        <f>RANK(E575,$E$2:$E$1001,0)+COUNTIF($E$2:E575,E575)-1</f>
        <v>483</v>
      </c>
    </row>
    <row r="576" spans="1:38" x14ac:dyDescent="0.2">
      <c r="A576" s="39">
        <v>1093</v>
      </c>
      <c r="B576" s="40">
        <v>45200</v>
      </c>
      <c r="C576" s="39" t="s">
        <v>79</v>
      </c>
      <c r="D576" s="39" t="s">
        <v>59</v>
      </c>
      <c r="E576" s="41">
        <v>1697.49</v>
      </c>
      <c r="F576" s="39">
        <v>22</v>
      </c>
      <c r="G576" s="39" t="s">
        <v>65</v>
      </c>
      <c r="H576" s="41">
        <v>2593.64</v>
      </c>
      <c r="I576" s="41">
        <v>2955.51</v>
      </c>
      <c r="J576" s="39" t="s">
        <v>137</v>
      </c>
      <c r="K576" s="42">
        <v>0</v>
      </c>
      <c r="L576" s="39" t="s">
        <v>63</v>
      </c>
      <c r="M576" s="39" t="s">
        <v>140</v>
      </c>
      <c r="N576" s="39" t="s">
        <v>155</v>
      </c>
      <c r="O576" s="43">
        <f t="shared" si="168"/>
        <v>65021.22</v>
      </c>
      <c r="P576" s="43">
        <f t="shared" si="169"/>
        <v>65021.22</v>
      </c>
      <c r="Q576" s="43">
        <f t="shared" si="170"/>
        <v>57060.08</v>
      </c>
      <c r="R576" s="43">
        <f t="shared" si="171"/>
        <v>7961.1399999999994</v>
      </c>
      <c r="S576" s="44">
        <f t="shared" si="172"/>
        <v>0.12243910526440444</v>
      </c>
      <c r="T576" s="39" t="str">
        <f t="shared" si="173"/>
        <v>OK</v>
      </c>
      <c r="U576" s="39" t="str">
        <f t="shared" si="174"/>
        <v>0-9%</v>
      </c>
      <c r="V576" s="39" t="str">
        <f>IF(E576&gt;=Analysis!$B$4,"High",IF(E576&gt;=Analysis!$B$5,"Mid","Low"))</f>
        <v>Low</v>
      </c>
      <c r="W576" s="39" t="str">
        <f t="shared" si="175"/>
        <v>2023-10</v>
      </c>
      <c r="X576" s="40">
        <f t="shared" si="176"/>
        <v>45230</v>
      </c>
      <c r="Y576" s="39" t="str">
        <f t="shared" si="177"/>
        <v>2023-Q4</v>
      </c>
      <c r="Z576" s="39" t="str">
        <f t="shared" si="178"/>
        <v>Sun</v>
      </c>
      <c r="AA576" s="39">
        <f t="shared" si="179"/>
        <v>7</v>
      </c>
      <c r="AB576" s="39">
        <f t="shared" si="180"/>
        <v>40</v>
      </c>
      <c r="AC576" s="39" t="str">
        <f t="shared" si="181"/>
        <v>Weekend</v>
      </c>
      <c r="AD576" s="39">
        <f t="shared" ca="1" si="182"/>
        <v>1119</v>
      </c>
      <c r="AE576" s="39">
        <f t="shared" ca="1" si="183"/>
        <v>36</v>
      </c>
      <c r="AF576" s="39" t="str">
        <f t="shared" si="184"/>
        <v>EVE</v>
      </c>
      <c r="AG576" s="39" t="str">
        <f t="shared" si="185"/>
        <v>ER-231001-0575</v>
      </c>
      <c r="AH576" s="39" t="str">
        <f>IF(AND(OR(Filter!$B$4="All",D576=Filter!$B$4),OR(Filter!$B$5="All",M576=Filter!$B$5),E576&gt;=Filter!$B$6),MAX(AH$1:AH575)+1,"")</f>
        <v/>
      </c>
      <c r="AI576" s="39">
        <f t="shared" si="186"/>
        <v>22</v>
      </c>
      <c r="AJ576" s="42">
        <f t="shared" si="187"/>
        <v>0</v>
      </c>
      <c r="AK576" s="41">
        <f t="shared" si="188"/>
        <v>2955.51</v>
      </c>
      <c r="AL576" s="39">
        <f>RANK(E576,$E$2:$E$1001,0)+COUNTIF($E$2:E576,E576)-1</f>
        <v>849</v>
      </c>
    </row>
    <row r="577" spans="1:38" x14ac:dyDescent="0.2">
      <c r="A577" s="39">
        <v>1026</v>
      </c>
      <c r="B577" s="40">
        <v>45022</v>
      </c>
      <c r="C577" s="39" t="s">
        <v>66</v>
      </c>
      <c r="D577" s="39" t="s">
        <v>69</v>
      </c>
      <c r="E577" s="41">
        <v>927.19</v>
      </c>
      <c r="F577" s="39">
        <v>4</v>
      </c>
      <c r="G577" s="39" t="s">
        <v>65</v>
      </c>
      <c r="H577" s="41">
        <v>3993.39</v>
      </c>
      <c r="I577" s="41">
        <v>4288.3</v>
      </c>
      <c r="J577" s="39" t="s">
        <v>143</v>
      </c>
      <c r="K577" s="42">
        <v>0.13</v>
      </c>
      <c r="L577" s="39" t="s">
        <v>73</v>
      </c>
      <c r="M577" s="39" t="s">
        <v>138</v>
      </c>
      <c r="N577" s="39" t="s">
        <v>144</v>
      </c>
      <c r="O577" s="43">
        <f t="shared" si="168"/>
        <v>17153.2</v>
      </c>
      <c r="P577" s="43">
        <f t="shared" si="169"/>
        <v>14923.28</v>
      </c>
      <c r="Q577" s="43">
        <f t="shared" si="170"/>
        <v>15973.56</v>
      </c>
      <c r="R577" s="43">
        <f t="shared" si="171"/>
        <v>-1050.2799999999988</v>
      </c>
      <c r="S577" s="44">
        <f t="shared" si="172"/>
        <v>-7.0378629899056966E-2</v>
      </c>
      <c r="T577" s="39" t="str">
        <f t="shared" si="173"/>
        <v>Loss</v>
      </c>
      <c r="U577" s="39" t="str">
        <f t="shared" si="174"/>
        <v>10-19%</v>
      </c>
      <c r="V577" s="39" t="str">
        <f>IF(E577&gt;=Analysis!$B$4,"High",IF(E577&gt;=Analysis!$B$5,"Mid","Low"))</f>
        <v>Low</v>
      </c>
      <c r="W577" s="39" t="str">
        <f t="shared" si="175"/>
        <v>2023-04</v>
      </c>
      <c r="X577" s="40">
        <f t="shared" si="176"/>
        <v>45046</v>
      </c>
      <c r="Y577" s="39" t="str">
        <f t="shared" si="177"/>
        <v>2023-Q2</v>
      </c>
      <c r="Z577" s="39" t="str">
        <f t="shared" si="178"/>
        <v>Thu</v>
      </c>
      <c r="AA577" s="39">
        <f t="shared" si="179"/>
        <v>4</v>
      </c>
      <c r="AB577" s="39">
        <f t="shared" si="180"/>
        <v>15</v>
      </c>
      <c r="AC577" s="39" t="str">
        <f t="shared" si="181"/>
        <v>Weekday</v>
      </c>
      <c r="AD577" s="39">
        <f t="shared" ca="1" si="182"/>
        <v>1297</v>
      </c>
      <c r="AE577" s="39">
        <f t="shared" ca="1" si="183"/>
        <v>42</v>
      </c>
      <c r="AF577" s="39" t="str">
        <f t="shared" si="184"/>
        <v>BOB</v>
      </c>
      <c r="AG577" s="39" t="str">
        <f t="shared" si="185"/>
        <v>SO-230406-0576</v>
      </c>
      <c r="AH577" s="39" t="str">
        <f>IF(AND(OR(Filter!$B$4="All",D577=Filter!$B$4),OR(Filter!$B$5="All",M577=Filter!$B$5),E577&gt;=Filter!$B$6),MAX(AH$1:AH576)+1,"")</f>
        <v/>
      </c>
      <c r="AI577" s="39">
        <f t="shared" si="186"/>
        <v>4</v>
      </c>
      <c r="AJ577" s="42">
        <f t="shared" si="187"/>
        <v>0.13</v>
      </c>
      <c r="AK577" s="41">
        <f t="shared" si="188"/>
        <v>4288.3</v>
      </c>
      <c r="AL577" s="39">
        <f>RANK(E577,$E$2:$E$1001,0)+COUNTIF($E$2:E577,E577)-1</f>
        <v>909</v>
      </c>
    </row>
    <row r="578" spans="1:38" x14ac:dyDescent="0.2">
      <c r="A578" s="39">
        <v>1074</v>
      </c>
      <c r="B578" s="40">
        <v>45153</v>
      </c>
      <c r="C578" s="39" t="s">
        <v>76</v>
      </c>
      <c r="D578" s="39" t="s">
        <v>74</v>
      </c>
      <c r="E578" s="41">
        <v>289.38</v>
      </c>
      <c r="F578" s="39">
        <v>29</v>
      </c>
      <c r="G578" s="39" t="s">
        <v>75</v>
      </c>
      <c r="H578" s="41">
        <v>1723.01</v>
      </c>
      <c r="I578" s="41">
        <v>2197.42</v>
      </c>
      <c r="J578" s="39" t="s">
        <v>143</v>
      </c>
      <c r="K578" s="42">
        <v>7.0000000000000007E-2</v>
      </c>
      <c r="L578" s="39" t="s">
        <v>63</v>
      </c>
      <c r="M578" s="39" t="s">
        <v>140</v>
      </c>
      <c r="N578" s="39" t="s">
        <v>154</v>
      </c>
      <c r="O578" s="43">
        <f t="shared" ref="O578:O641" si="189">ROUND(F578*I578,2)</f>
        <v>63725.18</v>
      </c>
      <c r="P578" s="43">
        <f t="shared" ref="P578:P641" si="190">ROUND(F578*I578*(1-K578),2)</f>
        <v>59264.42</v>
      </c>
      <c r="Q578" s="43">
        <f t="shared" ref="Q578:Q641" si="191">ROUND(F578*H578,2)</f>
        <v>49967.29</v>
      </c>
      <c r="R578" s="43">
        <f t="shared" ref="R578:R641" si="192">P578-Q578</f>
        <v>9297.1299999999974</v>
      </c>
      <c r="S578" s="44">
        <f t="shared" ref="S578:S641" si="193">IF(P578=0,0,R578/P578)</f>
        <v>0.15687540686300477</v>
      </c>
      <c r="T578" s="39" t="str">
        <f t="shared" ref="T578:T641" si="194">IF(R578&lt;0,"Loss","OK")</f>
        <v>OK</v>
      </c>
      <c r="U578" s="39" t="str">
        <f t="shared" ref="U578:U641" si="195">IF(K578&lt;0.1,"0-9%",IF(K578&lt;0.2,"10-19%","20%+"))</f>
        <v>0-9%</v>
      </c>
      <c r="V578" s="39" t="str">
        <f>IF(E578&gt;=Analysis!$B$4,"High",IF(E578&gt;=Analysis!$B$5,"Mid","Low"))</f>
        <v>Low</v>
      </c>
      <c r="W578" s="39" t="str">
        <f t="shared" ref="W578:W641" si="196">TEXT(B578,"yyyy-mm")</f>
        <v>2023-08</v>
      </c>
      <c r="X578" s="40">
        <f t="shared" ref="X578:X641" si="197">EOMONTH(B578,0)</f>
        <v>45169</v>
      </c>
      <c r="Y578" s="39" t="str">
        <f t="shared" ref="Y578:Y641" si="198">YEAR(B578)&amp;"-Q"&amp;ROUNDUP(MONTH(B578)/3,0)</f>
        <v>2023-Q3</v>
      </c>
      <c r="Z578" s="39" t="str">
        <f t="shared" ref="Z578:Z641" si="199">TEXT(B578,"ddd")</f>
        <v>Tue</v>
      </c>
      <c r="AA578" s="39">
        <f t="shared" ref="AA578:AA641" si="200">WEEKDAY(B578,2)</f>
        <v>2</v>
      </c>
      <c r="AB578" s="39">
        <f t="shared" ref="AB578:AB641" si="201">WEEKNUM(B578,2)</f>
        <v>34</v>
      </c>
      <c r="AC578" s="39" t="str">
        <f t="shared" ref="AC578:AC641" si="202">IF(AA578&gt;5,"Weekend","Weekday")</f>
        <v>Weekday</v>
      </c>
      <c r="AD578" s="39">
        <f t="shared" ref="AD578:AD641" ca="1" si="203">TODAY()-B578</f>
        <v>1166</v>
      </c>
      <c r="AE578" s="39">
        <f t="shared" ref="AE578:AE641" ca="1" si="204">DATEDIF(B578,TODAY(),"M")</f>
        <v>38</v>
      </c>
      <c r="AF578" s="39" t="str">
        <f t="shared" ref="AF578:AF641" si="205">UPPER(LEFT(C578,3))</f>
        <v>DAV</v>
      </c>
      <c r="AG578" s="39" t="str">
        <f t="shared" ref="AG578:AG641" si="206">UPPER(LEFT(D578,1))&amp;UPPER(LEFT(M578,1))&amp;"-"&amp;TEXT(B578,"yymmdd")&amp;"-"&amp;TEXT(ROW()-1,"0000")</f>
        <v>WR-230815-0577</v>
      </c>
      <c r="AH578" s="39" t="str">
        <f>IF(AND(OR(Filter!$B$4="All",D578=Filter!$B$4),OR(Filter!$B$5="All",M578=Filter!$B$5),E578&gt;=Filter!$B$6),MAX(AH$1:AH577)+1,"")</f>
        <v/>
      </c>
      <c r="AI578" s="39">
        <f t="shared" ref="AI578:AI641" si="207">F578</f>
        <v>29</v>
      </c>
      <c r="AJ578" s="42">
        <f t="shared" ref="AJ578:AJ641" si="208">K578</f>
        <v>7.0000000000000007E-2</v>
      </c>
      <c r="AK578" s="41">
        <f t="shared" ref="AK578:AK641" si="209">I578</f>
        <v>2197.42</v>
      </c>
      <c r="AL578" s="39">
        <f>RANK(E578,$E$2:$E$1001,0)+COUNTIF($E$2:E578,E578)-1</f>
        <v>976</v>
      </c>
    </row>
    <row r="579" spans="1:38" x14ac:dyDescent="0.2">
      <c r="A579" s="39">
        <v>1090</v>
      </c>
      <c r="B579" s="40">
        <v>44965</v>
      </c>
      <c r="C579" s="39" t="s">
        <v>71</v>
      </c>
      <c r="D579" s="39" t="s">
        <v>64</v>
      </c>
      <c r="E579" s="41">
        <v>1740.91</v>
      </c>
      <c r="F579" s="39">
        <v>44</v>
      </c>
      <c r="G579" s="39" t="s">
        <v>60</v>
      </c>
      <c r="H579" s="41">
        <v>3542.18</v>
      </c>
      <c r="I579" s="41">
        <v>3578.49</v>
      </c>
      <c r="J579" s="39" t="s">
        <v>137</v>
      </c>
      <c r="K579" s="42">
        <v>0.12</v>
      </c>
      <c r="L579" s="39" t="s">
        <v>68</v>
      </c>
      <c r="M579" s="39" t="s">
        <v>138</v>
      </c>
      <c r="N579" s="39" t="s">
        <v>160</v>
      </c>
      <c r="O579" s="43">
        <f t="shared" si="189"/>
        <v>157453.56</v>
      </c>
      <c r="P579" s="43">
        <f t="shared" si="190"/>
        <v>138559.13</v>
      </c>
      <c r="Q579" s="43">
        <f t="shared" si="191"/>
        <v>155855.92000000001</v>
      </c>
      <c r="R579" s="43">
        <f t="shared" si="192"/>
        <v>-17296.790000000008</v>
      </c>
      <c r="S579" s="44">
        <f t="shared" si="193"/>
        <v>-0.12483327515119363</v>
      </c>
      <c r="T579" s="39" t="str">
        <f t="shared" si="194"/>
        <v>Loss</v>
      </c>
      <c r="U579" s="39" t="str">
        <f t="shared" si="195"/>
        <v>10-19%</v>
      </c>
      <c r="V579" s="39" t="str">
        <f>IF(E579&gt;=Analysis!$B$4,"High",IF(E579&gt;=Analysis!$B$5,"Mid","Low"))</f>
        <v>Low</v>
      </c>
      <c r="W579" s="39" t="str">
        <f t="shared" si="196"/>
        <v>2023-02</v>
      </c>
      <c r="X579" s="40">
        <f t="shared" si="197"/>
        <v>44985</v>
      </c>
      <c r="Y579" s="39" t="str">
        <f t="shared" si="198"/>
        <v>2023-Q1</v>
      </c>
      <c r="Z579" s="39" t="str">
        <f t="shared" si="199"/>
        <v>Wed</v>
      </c>
      <c r="AA579" s="39">
        <f t="shared" si="200"/>
        <v>3</v>
      </c>
      <c r="AB579" s="39">
        <f t="shared" si="201"/>
        <v>7</v>
      </c>
      <c r="AC579" s="39" t="str">
        <f t="shared" si="202"/>
        <v>Weekday</v>
      </c>
      <c r="AD579" s="39">
        <f t="shared" ca="1" si="203"/>
        <v>1354</v>
      </c>
      <c r="AE579" s="39">
        <f t="shared" ca="1" si="204"/>
        <v>44</v>
      </c>
      <c r="AF579" s="39" t="str">
        <f t="shared" si="205"/>
        <v>CHA</v>
      </c>
      <c r="AG579" s="39" t="str">
        <f t="shared" si="206"/>
        <v>NO-230208-0578</v>
      </c>
      <c r="AH579" s="39" t="str">
        <f>IF(AND(OR(Filter!$B$4="All",D579=Filter!$B$4),OR(Filter!$B$5="All",M579=Filter!$B$5),E579&gt;=Filter!$B$6),MAX(AH$1:AH578)+1,"")</f>
        <v/>
      </c>
      <c r="AI579" s="39">
        <f t="shared" si="207"/>
        <v>44</v>
      </c>
      <c r="AJ579" s="42">
        <f t="shared" si="208"/>
        <v>0.12</v>
      </c>
      <c r="AK579" s="41">
        <f t="shared" si="209"/>
        <v>3578.49</v>
      </c>
      <c r="AL579" s="39">
        <f>RANK(E579,$E$2:$E$1001,0)+COUNTIF($E$2:E579,E579)-1</f>
        <v>844</v>
      </c>
    </row>
    <row r="580" spans="1:38" x14ac:dyDescent="0.2">
      <c r="A580" s="39">
        <v>1034</v>
      </c>
      <c r="B580" s="40">
        <v>45228</v>
      </c>
      <c r="C580" s="39" t="s">
        <v>76</v>
      </c>
      <c r="D580" s="39" t="s">
        <v>64</v>
      </c>
      <c r="E580" s="41">
        <v>8919.4699999999993</v>
      </c>
      <c r="F580" s="39">
        <v>34</v>
      </c>
      <c r="G580" s="39" t="s">
        <v>70</v>
      </c>
      <c r="H580" s="41">
        <v>978.15</v>
      </c>
      <c r="I580" s="41">
        <v>1040.21</v>
      </c>
      <c r="J580" s="39" t="s">
        <v>143</v>
      </c>
      <c r="K580" s="42">
        <v>0.12</v>
      </c>
      <c r="L580" s="39" t="s">
        <v>73</v>
      </c>
      <c r="M580" s="39" t="s">
        <v>140</v>
      </c>
      <c r="N580" s="39" t="s">
        <v>152</v>
      </c>
      <c r="O580" s="43">
        <f t="shared" si="189"/>
        <v>35367.14</v>
      </c>
      <c r="P580" s="43">
        <f t="shared" si="190"/>
        <v>31123.08</v>
      </c>
      <c r="Q580" s="43">
        <f t="shared" si="191"/>
        <v>33257.1</v>
      </c>
      <c r="R580" s="43">
        <f t="shared" si="192"/>
        <v>-2134.0199999999968</v>
      </c>
      <c r="S580" s="44">
        <f t="shared" si="193"/>
        <v>-6.8567121248925125E-2</v>
      </c>
      <c r="T580" s="39" t="str">
        <f t="shared" si="194"/>
        <v>Loss</v>
      </c>
      <c r="U580" s="39" t="str">
        <f t="shared" si="195"/>
        <v>10-19%</v>
      </c>
      <c r="V580" s="39" t="str">
        <f>IF(E580&gt;=Analysis!$B$4,"High",IF(E580&gt;=Analysis!$B$5,"Mid","Low"))</f>
        <v>High</v>
      </c>
      <c r="W580" s="39" t="str">
        <f t="shared" si="196"/>
        <v>2023-10</v>
      </c>
      <c r="X580" s="40">
        <f t="shared" si="197"/>
        <v>45230</v>
      </c>
      <c r="Y580" s="39" t="str">
        <f t="shared" si="198"/>
        <v>2023-Q4</v>
      </c>
      <c r="Z580" s="39" t="str">
        <f t="shared" si="199"/>
        <v>Sun</v>
      </c>
      <c r="AA580" s="39">
        <f t="shared" si="200"/>
        <v>7</v>
      </c>
      <c r="AB580" s="39">
        <f t="shared" si="201"/>
        <v>44</v>
      </c>
      <c r="AC580" s="39" t="str">
        <f t="shared" si="202"/>
        <v>Weekend</v>
      </c>
      <c r="AD580" s="39">
        <f t="shared" ca="1" si="203"/>
        <v>1091</v>
      </c>
      <c r="AE580" s="39">
        <f t="shared" ca="1" si="204"/>
        <v>35</v>
      </c>
      <c r="AF580" s="39" t="str">
        <f t="shared" si="205"/>
        <v>DAV</v>
      </c>
      <c r="AG580" s="39" t="str">
        <f t="shared" si="206"/>
        <v>NR-231029-0579</v>
      </c>
      <c r="AH580" s="39" t="str">
        <f>IF(AND(OR(Filter!$B$4="All",D580=Filter!$B$4),OR(Filter!$B$5="All",M580=Filter!$B$5),E580&gt;=Filter!$B$6),MAX(AH$1:AH579)+1,"")</f>
        <v/>
      </c>
      <c r="AI580" s="39">
        <f t="shared" si="207"/>
        <v>34</v>
      </c>
      <c r="AJ580" s="42">
        <f t="shared" si="208"/>
        <v>0.12</v>
      </c>
      <c r="AK580" s="41">
        <f t="shared" si="209"/>
        <v>1040.21</v>
      </c>
      <c r="AL580" s="39">
        <f>RANK(E580,$E$2:$E$1001,0)+COUNTIF($E$2:E580,E580)-1</f>
        <v>98</v>
      </c>
    </row>
    <row r="581" spans="1:38" x14ac:dyDescent="0.2">
      <c r="A581" s="39">
        <v>1007</v>
      </c>
      <c r="B581" s="40">
        <v>44955</v>
      </c>
      <c r="C581" s="39" t="s">
        <v>71</v>
      </c>
      <c r="D581" s="39" t="s">
        <v>74</v>
      </c>
      <c r="E581" s="41">
        <v>2491.21</v>
      </c>
      <c r="F581" s="39">
        <v>13</v>
      </c>
      <c r="G581" s="39" t="s">
        <v>75</v>
      </c>
      <c r="H581" s="41">
        <v>3765.46</v>
      </c>
      <c r="I581" s="41">
        <v>3860.56</v>
      </c>
      <c r="J581" s="39" t="s">
        <v>137</v>
      </c>
      <c r="K581" s="42">
        <v>0.22</v>
      </c>
      <c r="L581" s="39" t="s">
        <v>68</v>
      </c>
      <c r="M581" s="39" t="s">
        <v>140</v>
      </c>
      <c r="N581" s="39" t="s">
        <v>146</v>
      </c>
      <c r="O581" s="43">
        <f t="shared" si="189"/>
        <v>50187.28</v>
      </c>
      <c r="P581" s="43">
        <f t="shared" si="190"/>
        <v>39146.080000000002</v>
      </c>
      <c r="Q581" s="43">
        <f t="shared" si="191"/>
        <v>48950.98</v>
      </c>
      <c r="R581" s="43">
        <f t="shared" si="192"/>
        <v>-9804.9000000000015</v>
      </c>
      <c r="S581" s="44">
        <f t="shared" si="193"/>
        <v>-0.25046952338522788</v>
      </c>
      <c r="T581" s="39" t="str">
        <f t="shared" si="194"/>
        <v>Loss</v>
      </c>
      <c r="U581" s="39" t="str">
        <f t="shared" si="195"/>
        <v>20%+</v>
      </c>
      <c r="V581" s="39" t="str">
        <f>IF(E581&gt;=Analysis!$B$4,"High",IF(E581&gt;=Analysis!$B$5,"Mid","Low"))</f>
        <v>Low</v>
      </c>
      <c r="W581" s="39" t="str">
        <f t="shared" si="196"/>
        <v>2023-01</v>
      </c>
      <c r="X581" s="40">
        <f t="shared" si="197"/>
        <v>44957</v>
      </c>
      <c r="Y581" s="39" t="str">
        <f t="shared" si="198"/>
        <v>2023-Q1</v>
      </c>
      <c r="Z581" s="39" t="str">
        <f t="shared" si="199"/>
        <v>Sun</v>
      </c>
      <c r="AA581" s="39">
        <f t="shared" si="200"/>
        <v>7</v>
      </c>
      <c r="AB581" s="39">
        <f t="shared" si="201"/>
        <v>5</v>
      </c>
      <c r="AC581" s="39" t="str">
        <f t="shared" si="202"/>
        <v>Weekend</v>
      </c>
      <c r="AD581" s="39">
        <f t="shared" ca="1" si="203"/>
        <v>1364</v>
      </c>
      <c r="AE581" s="39">
        <f t="shared" ca="1" si="204"/>
        <v>44</v>
      </c>
      <c r="AF581" s="39" t="str">
        <f t="shared" si="205"/>
        <v>CHA</v>
      </c>
      <c r="AG581" s="39" t="str">
        <f t="shared" si="206"/>
        <v>WR-230129-0580</v>
      </c>
      <c r="AH581" s="39" t="str">
        <f>IF(AND(OR(Filter!$B$4="All",D581=Filter!$B$4),OR(Filter!$B$5="All",M581=Filter!$B$5),E581&gt;=Filter!$B$6),MAX(AH$1:AH580)+1,"")</f>
        <v/>
      </c>
      <c r="AI581" s="39">
        <f t="shared" si="207"/>
        <v>13</v>
      </c>
      <c r="AJ581" s="42">
        <f t="shared" si="208"/>
        <v>0.22</v>
      </c>
      <c r="AK581" s="41">
        <f t="shared" si="209"/>
        <v>3860.56</v>
      </c>
      <c r="AL581" s="39">
        <f>RANK(E581,$E$2:$E$1001,0)+COUNTIF($E$2:E581,E581)-1</f>
        <v>758</v>
      </c>
    </row>
    <row r="582" spans="1:38" x14ac:dyDescent="0.2">
      <c r="A582" s="39">
        <v>1068</v>
      </c>
      <c r="B582" s="40">
        <v>45244</v>
      </c>
      <c r="C582" s="39" t="s">
        <v>71</v>
      </c>
      <c r="D582" s="39" t="s">
        <v>74</v>
      </c>
      <c r="E582" s="41">
        <v>3607.29</v>
      </c>
      <c r="F582" s="39">
        <v>42</v>
      </c>
      <c r="G582" s="39" t="s">
        <v>60</v>
      </c>
      <c r="H582" s="41">
        <v>1218.18</v>
      </c>
      <c r="I582" s="41">
        <v>1566.36</v>
      </c>
      <c r="J582" s="39" t="s">
        <v>137</v>
      </c>
      <c r="K582" s="42">
        <v>0.03</v>
      </c>
      <c r="L582" s="39" t="s">
        <v>73</v>
      </c>
      <c r="M582" s="39" t="s">
        <v>140</v>
      </c>
      <c r="N582" s="39" t="s">
        <v>146</v>
      </c>
      <c r="O582" s="43">
        <f t="shared" si="189"/>
        <v>65787.12</v>
      </c>
      <c r="P582" s="43">
        <f t="shared" si="190"/>
        <v>63813.51</v>
      </c>
      <c r="Q582" s="43">
        <f t="shared" si="191"/>
        <v>51163.56</v>
      </c>
      <c r="R582" s="43">
        <f t="shared" si="192"/>
        <v>12649.950000000004</v>
      </c>
      <c r="S582" s="44">
        <f t="shared" si="193"/>
        <v>0.198233101423194</v>
      </c>
      <c r="T582" s="39" t="str">
        <f t="shared" si="194"/>
        <v>OK</v>
      </c>
      <c r="U582" s="39" t="str">
        <f t="shared" si="195"/>
        <v>0-9%</v>
      </c>
      <c r="V582" s="39" t="str">
        <f>IF(E582&gt;=Analysis!$B$4,"High",IF(E582&gt;=Analysis!$B$5,"Mid","Low"))</f>
        <v>Mid</v>
      </c>
      <c r="W582" s="39" t="str">
        <f t="shared" si="196"/>
        <v>2023-11</v>
      </c>
      <c r="X582" s="40">
        <f t="shared" si="197"/>
        <v>45260</v>
      </c>
      <c r="Y582" s="39" t="str">
        <f t="shared" si="198"/>
        <v>2023-Q4</v>
      </c>
      <c r="Z582" s="39" t="str">
        <f t="shared" si="199"/>
        <v>Tue</v>
      </c>
      <c r="AA582" s="39">
        <f t="shared" si="200"/>
        <v>2</v>
      </c>
      <c r="AB582" s="39">
        <f t="shared" si="201"/>
        <v>47</v>
      </c>
      <c r="AC582" s="39" t="str">
        <f t="shared" si="202"/>
        <v>Weekday</v>
      </c>
      <c r="AD582" s="39">
        <f t="shared" ca="1" si="203"/>
        <v>1075</v>
      </c>
      <c r="AE582" s="39">
        <f t="shared" ca="1" si="204"/>
        <v>35</v>
      </c>
      <c r="AF582" s="39" t="str">
        <f t="shared" si="205"/>
        <v>CHA</v>
      </c>
      <c r="AG582" s="39" t="str">
        <f t="shared" si="206"/>
        <v>WR-231114-0581</v>
      </c>
      <c r="AH582" s="39" t="str">
        <f>IF(AND(OR(Filter!$B$4="All",D582=Filter!$B$4),OR(Filter!$B$5="All",M582=Filter!$B$5),E582&gt;=Filter!$B$6),MAX(AH$1:AH581)+1,"")</f>
        <v/>
      </c>
      <c r="AI582" s="39">
        <f t="shared" si="207"/>
        <v>42</v>
      </c>
      <c r="AJ582" s="42">
        <f t="shared" si="208"/>
        <v>0.03</v>
      </c>
      <c r="AK582" s="41">
        <f t="shared" si="209"/>
        <v>1566.36</v>
      </c>
      <c r="AL582" s="39">
        <f>RANK(E582,$E$2:$E$1001,0)+COUNTIF($E$2:E582,E582)-1</f>
        <v>640</v>
      </c>
    </row>
    <row r="583" spans="1:38" x14ac:dyDescent="0.2">
      <c r="A583" s="39">
        <v>1058</v>
      </c>
      <c r="B583" s="40">
        <v>45171</v>
      </c>
      <c r="C583" s="39" t="s">
        <v>76</v>
      </c>
      <c r="D583" s="39" t="s">
        <v>69</v>
      </c>
      <c r="E583" s="41">
        <v>1142.92</v>
      </c>
      <c r="F583" s="39">
        <v>9</v>
      </c>
      <c r="G583" s="39" t="s">
        <v>75</v>
      </c>
      <c r="H583" s="41">
        <v>760.55</v>
      </c>
      <c r="I583" s="41">
        <v>1086.8900000000001</v>
      </c>
      <c r="J583" s="39" t="s">
        <v>137</v>
      </c>
      <c r="K583" s="42">
        <v>0.15</v>
      </c>
      <c r="L583" s="39" t="s">
        <v>68</v>
      </c>
      <c r="M583" s="39" t="s">
        <v>140</v>
      </c>
      <c r="N583" s="39" t="s">
        <v>142</v>
      </c>
      <c r="O583" s="43">
        <f t="shared" si="189"/>
        <v>9782.01</v>
      </c>
      <c r="P583" s="43">
        <f t="shared" si="190"/>
        <v>8314.7099999999991</v>
      </c>
      <c r="Q583" s="43">
        <f t="shared" si="191"/>
        <v>6844.95</v>
      </c>
      <c r="R583" s="43">
        <f t="shared" si="192"/>
        <v>1469.7599999999993</v>
      </c>
      <c r="S583" s="44">
        <f t="shared" si="193"/>
        <v>0.17676623718686515</v>
      </c>
      <c r="T583" s="39" t="str">
        <f t="shared" si="194"/>
        <v>OK</v>
      </c>
      <c r="U583" s="39" t="str">
        <f t="shared" si="195"/>
        <v>10-19%</v>
      </c>
      <c r="V583" s="39" t="str">
        <f>IF(E583&gt;=Analysis!$B$4,"High",IF(E583&gt;=Analysis!$B$5,"Mid","Low"))</f>
        <v>Low</v>
      </c>
      <c r="W583" s="39" t="str">
        <f t="shared" si="196"/>
        <v>2023-09</v>
      </c>
      <c r="X583" s="40">
        <f t="shared" si="197"/>
        <v>45199</v>
      </c>
      <c r="Y583" s="39" t="str">
        <f t="shared" si="198"/>
        <v>2023-Q3</v>
      </c>
      <c r="Z583" s="39" t="str">
        <f t="shared" si="199"/>
        <v>Sat</v>
      </c>
      <c r="AA583" s="39">
        <f t="shared" si="200"/>
        <v>6</v>
      </c>
      <c r="AB583" s="39">
        <f t="shared" si="201"/>
        <v>36</v>
      </c>
      <c r="AC583" s="39" t="str">
        <f t="shared" si="202"/>
        <v>Weekend</v>
      </c>
      <c r="AD583" s="39">
        <f t="shared" ca="1" si="203"/>
        <v>1148</v>
      </c>
      <c r="AE583" s="39">
        <f t="shared" ca="1" si="204"/>
        <v>37</v>
      </c>
      <c r="AF583" s="39" t="str">
        <f t="shared" si="205"/>
        <v>DAV</v>
      </c>
      <c r="AG583" s="39" t="str">
        <f t="shared" si="206"/>
        <v>SR-230902-0582</v>
      </c>
      <c r="AH583" s="39" t="str">
        <f>IF(AND(OR(Filter!$B$4="All",D583=Filter!$B$4),OR(Filter!$B$5="All",M583=Filter!$B$5),E583&gt;=Filter!$B$6),MAX(AH$1:AH582)+1,"")</f>
        <v/>
      </c>
      <c r="AI583" s="39">
        <f t="shared" si="207"/>
        <v>9</v>
      </c>
      <c r="AJ583" s="42">
        <f t="shared" si="208"/>
        <v>0.15</v>
      </c>
      <c r="AK583" s="41">
        <f t="shared" si="209"/>
        <v>1086.8900000000001</v>
      </c>
      <c r="AL583" s="39">
        <f>RANK(E583,$E$2:$E$1001,0)+COUNTIF($E$2:E583,E583)-1</f>
        <v>892</v>
      </c>
    </row>
    <row r="584" spans="1:38" x14ac:dyDescent="0.2">
      <c r="A584" s="39">
        <v>1075</v>
      </c>
      <c r="B584" s="40">
        <v>45162</v>
      </c>
      <c r="C584" s="39" t="s">
        <v>71</v>
      </c>
      <c r="D584" s="39" t="s">
        <v>74</v>
      </c>
      <c r="E584" s="41">
        <v>2301.38</v>
      </c>
      <c r="F584" s="39">
        <v>42</v>
      </c>
      <c r="G584" s="39" t="s">
        <v>60</v>
      </c>
      <c r="H584" s="41">
        <v>967.77</v>
      </c>
      <c r="I584" s="41">
        <v>1414.88</v>
      </c>
      <c r="J584" s="39" t="s">
        <v>143</v>
      </c>
      <c r="K584" s="42">
        <v>0.17</v>
      </c>
      <c r="L584" s="39" t="s">
        <v>63</v>
      </c>
      <c r="M584" s="39" t="s">
        <v>138</v>
      </c>
      <c r="N584" s="39" t="s">
        <v>146</v>
      </c>
      <c r="O584" s="43">
        <f t="shared" si="189"/>
        <v>59424.959999999999</v>
      </c>
      <c r="P584" s="43">
        <f t="shared" si="190"/>
        <v>49322.720000000001</v>
      </c>
      <c r="Q584" s="43">
        <f t="shared" si="191"/>
        <v>40646.339999999997</v>
      </c>
      <c r="R584" s="43">
        <f t="shared" si="192"/>
        <v>8676.3800000000047</v>
      </c>
      <c r="S584" s="44">
        <f t="shared" si="193"/>
        <v>0.17591041207784169</v>
      </c>
      <c r="T584" s="39" t="str">
        <f t="shared" si="194"/>
        <v>OK</v>
      </c>
      <c r="U584" s="39" t="str">
        <f t="shared" si="195"/>
        <v>10-19%</v>
      </c>
      <c r="V584" s="39" t="str">
        <f>IF(E584&gt;=Analysis!$B$4,"High",IF(E584&gt;=Analysis!$B$5,"Mid","Low"))</f>
        <v>Low</v>
      </c>
      <c r="W584" s="39" t="str">
        <f t="shared" si="196"/>
        <v>2023-08</v>
      </c>
      <c r="X584" s="40">
        <f t="shared" si="197"/>
        <v>45169</v>
      </c>
      <c r="Y584" s="39" t="str">
        <f t="shared" si="198"/>
        <v>2023-Q3</v>
      </c>
      <c r="Z584" s="39" t="str">
        <f t="shared" si="199"/>
        <v>Thu</v>
      </c>
      <c r="AA584" s="39">
        <f t="shared" si="200"/>
        <v>4</v>
      </c>
      <c r="AB584" s="39">
        <f t="shared" si="201"/>
        <v>35</v>
      </c>
      <c r="AC584" s="39" t="str">
        <f t="shared" si="202"/>
        <v>Weekday</v>
      </c>
      <c r="AD584" s="39">
        <f t="shared" ca="1" si="203"/>
        <v>1157</v>
      </c>
      <c r="AE584" s="39">
        <f t="shared" ca="1" si="204"/>
        <v>38</v>
      </c>
      <c r="AF584" s="39" t="str">
        <f t="shared" si="205"/>
        <v>CHA</v>
      </c>
      <c r="AG584" s="39" t="str">
        <f t="shared" si="206"/>
        <v>WO-230824-0583</v>
      </c>
      <c r="AH584" s="39" t="str">
        <f>IF(AND(OR(Filter!$B$4="All",D584=Filter!$B$4),OR(Filter!$B$5="All",M584=Filter!$B$5),E584&gt;=Filter!$B$6),MAX(AH$1:AH583)+1,"")</f>
        <v/>
      </c>
      <c r="AI584" s="39">
        <f t="shared" si="207"/>
        <v>42</v>
      </c>
      <c r="AJ584" s="42">
        <f t="shared" si="208"/>
        <v>0.17</v>
      </c>
      <c r="AK584" s="41">
        <f t="shared" si="209"/>
        <v>1414.88</v>
      </c>
      <c r="AL584" s="39">
        <f>RANK(E584,$E$2:$E$1001,0)+COUNTIF($E$2:E584,E584)-1</f>
        <v>777</v>
      </c>
    </row>
    <row r="585" spans="1:38" x14ac:dyDescent="0.2">
      <c r="A585" s="39">
        <v>1029</v>
      </c>
      <c r="B585" s="40">
        <v>45111</v>
      </c>
      <c r="C585" s="39" t="s">
        <v>71</v>
      </c>
      <c r="D585" s="39" t="s">
        <v>64</v>
      </c>
      <c r="E585" s="41">
        <v>5240.32</v>
      </c>
      <c r="F585" s="39">
        <v>31</v>
      </c>
      <c r="G585" s="39" t="s">
        <v>75</v>
      </c>
      <c r="H585" s="41">
        <v>951.21</v>
      </c>
      <c r="I585" s="41">
        <v>1320.32</v>
      </c>
      <c r="J585" s="39" t="s">
        <v>143</v>
      </c>
      <c r="K585" s="42">
        <v>0.15</v>
      </c>
      <c r="L585" s="39" t="s">
        <v>68</v>
      </c>
      <c r="M585" s="39" t="s">
        <v>138</v>
      </c>
      <c r="N585" s="39" t="s">
        <v>160</v>
      </c>
      <c r="O585" s="43">
        <f t="shared" si="189"/>
        <v>40929.919999999998</v>
      </c>
      <c r="P585" s="43">
        <f t="shared" si="190"/>
        <v>34790.43</v>
      </c>
      <c r="Q585" s="43">
        <f t="shared" si="191"/>
        <v>29487.51</v>
      </c>
      <c r="R585" s="43">
        <f t="shared" si="192"/>
        <v>5302.9200000000019</v>
      </c>
      <c r="S585" s="44">
        <f t="shared" si="193"/>
        <v>0.15242467540642649</v>
      </c>
      <c r="T585" s="39" t="str">
        <f t="shared" si="194"/>
        <v>OK</v>
      </c>
      <c r="U585" s="39" t="str">
        <f t="shared" si="195"/>
        <v>10-19%</v>
      </c>
      <c r="V585" s="39" t="str">
        <f>IF(E585&gt;=Analysis!$B$4,"High",IF(E585&gt;=Analysis!$B$5,"Mid","Low"))</f>
        <v>Mid</v>
      </c>
      <c r="W585" s="39" t="str">
        <f t="shared" si="196"/>
        <v>2023-07</v>
      </c>
      <c r="X585" s="40">
        <f t="shared" si="197"/>
        <v>45138</v>
      </c>
      <c r="Y585" s="39" t="str">
        <f t="shared" si="198"/>
        <v>2023-Q3</v>
      </c>
      <c r="Z585" s="39" t="str">
        <f t="shared" si="199"/>
        <v>Tue</v>
      </c>
      <c r="AA585" s="39">
        <f t="shared" si="200"/>
        <v>2</v>
      </c>
      <c r="AB585" s="39">
        <f t="shared" si="201"/>
        <v>28</v>
      </c>
      <c r="AC585" s="39" t="str">
        <f t="shared" si="202"/>
        <v>Weekday</v>
      </c>
      <c r="AD585" s="39">
        <f t="shared" ca="1" si="203"/>
        <v>1208</v>
      </c>
      <c r="AE585" s="39">
        <f t="shared" ca="1" si="204"/>
        <v>39</v>
      </c>
      <c r="AF585" s="39" t="str">
        <f t="shared" si="205"/>
        <v>CHA</v>
      </c>
      <c r="AG585" s="39" t="str">
        <f t="shared" si="206"/>
        <v>NO-230704-0584</v>
      </c>
      <c r="AH585" s="39" t="str">
        <f>IF(AND(OR(Filter!$B$4="All",D585=Filter!$B$4),OR(Filter!$B$5="All",M585=Filter!$B$5),E585&gt;=Filter!$B$6),MAX(AH$1:AH584)+1,"")</f>
        <v/>
      </c>
      <c r="AI585" s="39">
        <f t="shared" si="207"/>
        <v>31</v>
      </c>
      <c r="AJ585" s="42">
        <f t="shared" si="208"/>
        <v>0.15</v>
      </c>
      <c r="AK585" s="41">
        <f t="shared" si="209"/>
        <v>1320.32</v>
      </c>
      <c r="AL585" s="39">
        <f>RANK(E585,$E$2:$E$1001,0)+COUNTIF($E$2:E585,E585)-1</f>
        <v>475</v>
      </c>
    </row>
    <row r="586" spans="1:38" x14ac:dyDescent="0.2">
      <c r="A586" s="39">
        <v>1036</v>
      </c>
      <c r="B586" s="40">
        <v>45198</v>
      </c>
      <c r="C586" s="39" t="s">
        <v>66</v>
      </c>
      <c r="D586" s="39" t="s">
        <v>64</v>
      </c>
      <c r="E586" s="41">
        <v>6116.75</v>
      </c>
      <c r="F586" s="39">
        <v>7</v>
      </c>
      <c r="G586" s="39" t="s">
        <v>60</v>
      </c>
      <c r="H586" s="41">
        <v>2588.67</v>
      </c>
      <c r="I586" s="41">
        <v>2847.76</v>
      </c>
      <c r="J586" s="39" t="s">
        <v>143</v>
      </c>
      <c r="K586" s="42">
        <v>0.22</v>
      </c>
      <c r="L586" s="39" t="s">
        <v>68</v>
      </c>
      <c r="M586" s="39" t="s">
        <v>140</v>
      </c>
      <c r="N586" s="39" t="s">
        <v>139</v>
      </c>
      <c r="O586" s="43">
        <f t="shared" si="189"/>
        <v>19934.32</v>
      </c>
      <c r="P586" s="43">
        <f t="shared" si="190"/>
        <v>15548.77</v>
      </c>
      <c r="Q586" s="43">
        <f t="shared" si="191"/>
        <v>18120.689999999999</v>
      </c>
      <c r="R586" s="43">
        <f t="shared" si="192"/>
        <v>-2571.9199999999983</v>
      </c>
      <c r="S586" s="44">
        <f t="shared" si="193"/>
        <v>-0.16540986843332289</v>
      </c>
      <c r="T586" s="39" t="str">
        <f t="shared" si="194"/>
        <v>Loss</v>
      </c>
      <c r="U586" s="39" t="str">
        <f t="shared" si="195"/>
        <v>20%+</v>
      </c>
      <c r="V586" s="39" t="str">
        <f>IF(E586&gt;=Analysis!$B$4,"High",IF(E586&gt;=Analysis!$B$5,"Mid","Low"))</f>
        <v>Mid</v>
      </c>
      <c r="W586" s="39" t="str">
        <f t="shared" si="196"/>
        <v>2023-09</v>
      </c>
      <c r="X586" s="40">
        <f t="shared" si="197"/>
        <v>45199</v>
      </c>
      <c r="Y586" s="39" t="str">
        <f t="shared" si="198"/>
        <v>2023-Q3</v>
      </c>
      <c r="Z586" s="39" t="str">
        <f t="shared" si="199"/>
        <v>Fri</v>
      </c>
      <c r="AA586" s="39">
        <f t="shared" si="200"/>
        <v>5</v>
      </c>
      <c r="AB586" s="39">
        <f t="shared" si="201"/>
        <v>40</v>
      </c>
      <c r="AC586" s="39" t="str">
        <f t="shared" si="202"/>
        <v>Weekday</v>
      </c>
      <c r="AD586" s="39">
        <f t="shared" ca="1" si="203"/>
        <v>1121</v>
      </c>
      <c r="AE586" s="39">
        <f t="shared" ca="1" si="204"/>
        <v>36</v>
      </c>
      <c r="AF586" s="39" t="str">
        <f t="shared" si="205"/>
        <v>BOB</v>
      </c>
      <c r="AG586" s="39" t="str">
        <f t="shared" si="206"/>
        <v>NR-230929-0585</v>
      </c>
      <c r="AH586" s="39" t="str">
        <f>IF(AND(OR(Filter!$B$4="All",D586=Filter!$B$4),OR(Filter!$B$5="All",M586=Filter!$B$5),E586&gt;=Filter!$B$6),MAX(AH$1:AH585)+1,"")</f>
        <v/>
      </c>
      <c r="AI586" s="39">
        <f t="shared" si="207"/>
        <v>7</v>
      </c>
      <c r="AJ586" s="42">
        <f t="shared" si="208"/>
        <v>0.22</v>
      </c>
      <c r="AK586" s="41">
        <f t="shared" si="209"/>
        <v>2847.76</v>
      </c>
      <c r="AL586" s="39">
        <f>RANK(E586,$E$2:$E$1001,0)+COUNTIF($E$2:E586,E586)-1</f>
        <v>396</v>
      </c>
    </row>
    <row r="587" spans="1:38" x14ac:dyDescent="0.2">
      <c r="A587" s="39">
        <v>1089</v>
      </c>
      <c r="B587" s="40">
        <v>45162</v>
      </c>
      <c r="C587" s="39" t="s">
        <v>79</v>
      </c>
      <c r="D587" s="39" t="s">
        <v>64</v>
      </c>
      <c r="E587" s="41">
        <v>2528.9899999999998</v>
      </c>
      <c r="F587" s="39">
        <v>4</v>
      </c>
      <c r="G587" s="39" t="s">
        <v>75</v>
      </c>
      <c r="H587" s="41">
        <v>4231.75</v>
      </c>
      <c r="I587" s="41">
        <v>4727.75</v>
      </c>
      <c r="J587" s="39" t="s">
        <v>137</v>
      </c>
      <c r="K587" s="42">
        <v>0.12</v>
      </c>
      <c r="L587" s="39" t="s">
        <v>73</v>
      </c>
      <c r="M587" s="39" t="s">
        <v>140</v>
      </c>
      <c r="N587" s="39" t="s">
        <v>148</v>
      </c>
      <c r="O587" s="43">
        <f t="shared" si="189"/>
        <v>18911</v>
      </c>
      <c r="P587" s="43">
        <f t="shared" si="190"/>
        <v>16641.68</v>
      </c>
      <c r="Q587" s="43">
        <f t="shared" si="191"/>
        <v>16927</v>
      </c>
      <c r="R587" s="43">
        <f t="shared" si="192"/>
        <v>-285.31999999999971</v>
      </c>
      <c r="S587" s="44">
        <f t="shared" si="193"/>
        <v>-1.7144903639536375E-2</v>
      </c>
      <c r="T587" s="39" t="str">
        <f t="shared" si="194"/>
        <v>Loss</v>
      </c>
      <c r="U587" s="39" t="str">
        <f t="shared" si="195"/>
        <v>10-19%</v>
      </c>
      <c r="V587" s="39" t="str">
        <f>IF(E587&gt;=Analysis!$B$4,"High",IF(E587&gt;=Analysis!$B$5,"Mid","Low"))</f>
        <v>Low</v>
      </c>
      <c r="W587" s="39" t="str">
        <f t="shared" si="196"/>
        <v>2023-08</v>
      </c>
      <c r="X587" s="40">
        <f t="shared" si="197"/>
        <v>45169</v>
      </c>
      <c r="Y587" s="39" t="str">
        <f t="shared" si="198"/>
        <v>2023-Q3</v>
      </c>
      <c r="Z587" s="39" t="str">
        <f t="shared" si="199"/>
        <v>Thu</v>
      </c>
      <c r="AA587" s="39">
        <f t="shared" si="200"/>
        <v>4</v>
      </c>
      <c r="AB587" s="39">
        <f t="shared" si="201"/>
        <v>35</v>
      </c>
      <c r="AC587" s="39" t="str">
        <f t="shared" si="202"/>
        <v>Weekday</v>
      </c>
      <c r="AD587" s="39">
        <f t="shared" ca="1" si="203"/>
        <v>1157</v>
      </c>
      <c r="AE587" s="39">
        <f t="shared" ca="1" si="204"/>
        <v>38</v>
      </c>
      <c r="AF587" s="39" t="str">
        <f t="shared" si="205"/>
        <v>EVE</v>
      </c>
      <c r="AG587" s="39" t="str">
        <f t="shared" si="206"/>
        <v>NR-230824-0586</v>
      </c>
      <c r="AH587" s="39" t="str">
        <f>IF(AND(OR(Filter!$B$4="All",D587=Filter!$B$4),OR(Filter!$B$5="All",M587=Filter!$B$5),E587&gt;=Filter!$B$6),MAX(AH$1:AH586)+1,"")</f>
        <v/>
      </c>
      <c r="AI587" s="39">
        <f t="shared" si="207"/>
        <v>4</v>
      </c>
      <c r="AJ587" s="42">
        <f t="shared" si="208"/>
        <v>0.12</v>
      </c>
      <c r="AK587" s="41">
        <f t="shared" si="209"/>
        <v>4727.75</v>
      </c>
      <c r="AL587" s="39">
        <f>RANK(E587,$E$2:$E$1001,0)+COUNTIF($E$2:E587,E587)-1</f>
        <v>753</v>
      </c>
    </row>
    <row r="588" spans="1:38" x14ac:dyDescent="0.2">
      <c r="A588" s="39">
        <v>1021</v>
      </c>
      <c r="B588" s="40">
        <v>45165</v>
      </c>
      <c r="C588" s="39" t="s">
        <v>79</v>
      </c>
      <c r="D588" s="39" t="s">
        <v>64</v>
      </c>
      <c r="E588" s="41">
        <v>671.55</v>
      </c>
      <c r="F588" s="39">
        <v>19</v>
      </c>
      <c r="G588" s="39" t="s">
        <v>60</v>
      </c>
      <c r="H588" s="41">
        <v>444.05</v>
      </c>
      <c r="I588" s="41">
        <v>584.44000000000005</v>
      </c>
      <c r="J588" s="39" t="s">
        <v>137</v>
      </c>
      <c r="K588" s="42">
        <v>0.28000000000000003</v>
      </c>
      <c r="L588" s="39" t="s">
        <v>68</v>
      </c>
      <c r="M588" s="39" t="s">
        <v>140</v>
      </c>
      <c r="N588" s="39" t="s">
        <v>148</v>
      </c>
      <c r="O588" s="43">
        <f t="shared" si="189"/>
        <v>11104.36</v>
      </c>
      <c r="P588" s="43">
        <f t="shared" si="190"/>
        <v>7995.14</v>
      </c>
      <c r="Q588" s="43">
        <f t="shared" si="191"/>
        <v>8436.9500000000007</v>
      </c>
      <c r="R588" s="43">
        <f t="shared" si="192"/>
        <v>-441.8100000000004</v>
      </c>
      <c r="S588" s="44">
        <f t="shared" si="193"/>
        <v>-5.5259820340857121E-2</v>
      </c>
      <c r="T588" s="39" t="str">
        <f t="shared" si="194"/>
        <v>Loss</v>
      </c>
      <c r="U588" s="39" t="str">
        <f t="shared" si="195"/>
        <v>20%+</v>
      </c>
      <c r="V588" s="39" t="str">
        <f>IF(E588&gt;=Analysis!$B$4,"High",IF(E588&gt;=Analysis!$B$5,"Mid","Low"))</f>
        <v>Low</v>
      </c>
      <c r="W588" s="39" t="str">
        <f t="shared" si="196"/>
        <v>2023-08</v>
      </c>
      <c r="X588" s="40">
        <f t="shared" si="197"/>
        <v>45169</v>
      </c>
      <c r="Y588" s="39" t="str">
        <f t="shared" si="198"/>
        <v>2023-Q3</v>
      </c>
      <c r="Z588" s="39" t="str">
        <f t="shared" si="199"/>
        <v>Sun</v>
      </c>
      <c r="AA588" s="39">
        <f t="shared" si="200"/>
        <v>7</v>
      </c>
      <c r="AB588" s="39">
        <f t="shared" si="201"/>
        <v>35</v>
      </c>
      <c r="AC588" s="39" t="str">
        <f t="shared" si="202"/>
        <v>Weekend</v>
      </c>
      <c r="AD588" s="39">
        <f t="shared" ca="1" si="203"/>
        <v>1154</v>
      </c>
      <c r="AE588" s="39">
        <f t="shared" ca="1" si="204"/>
        <v>37</v>
      </c>
      <c r="AF588" s="39" t="str">
        <f t="shared" si="205"/>
        <v>EVE</v>
      </c>
      <c r="AG588" s="39" t="str">
        <f t="shared" si="206"/>
        <v>NR-230827-0587</v>
      </c>
      <c r="AH588" s="39" t="str">
        <f>IF(AND(OR(Filter!$B$4="All",D588=Filter!$B$4),OR(Filter!$B$5="All",M588=Filter!$B$5),E588&gt;=Filter!$B$6),MAX(AH$1:AH587)+1,"")</f>
        <v/>
      </c>
      <c r="AI588" s="39">
        <f t="shared" si="207"/>
        <v>19</v>
      </c>
      <c r="AJ588" s="42">
        <f t="shared" si="208"/>
        <v>0.28000000000000003</v>
      </c>
      <c r="AK588" s="41">
        <f t="shared" si="209"/>
        <v>584.44000000000005</v>
      </c>
      <c r="AL588" s="39">
        <f>RANK(E588,$E$2:$E$1001,0)+COUNTIF($E$2:E588,E588)-1</f>
        <v>944</v>
      </c>
    </row>
    <row r="589" spans="1:38" x14ac:dyDescent="0.2">
      <c r="A589" s="39">
        <v>1036</v>
      </c>
      <c r="B589" s="40">
        <v>45192</v>
      </c>
      <c r="C589" s="39" t="s">
        <v>66</v>
      </c>
      <c r="D589" s="39" t="s">
        <v>64</v>
      </c>
      <c r="E589" s="41">
        <v>3971.23</v>
      </c>
      <c r="F589" s="39">
        <v>42</v>
      </c>
      <c r="G589" s="39" t="s">
        <v>75</v>
      </c>
      <c r="H589" s="41">
        <v>3549.43</v>
      </c>
      <c r="I589" s="41">
        <v>3967.69</v>
      </c>
      <c r="J589" s="39" t="s">
        <v>143</v>
      </c>
      <c r="K589" s="42">
        <v>0.14000000000000001</v>
      </c>
      <c r="L589" s="39" t="s">
        <v>63</v>
      </c>
      <c r="M589" s="39" t="s">
        <v>138</v>
      </c>
      <c r="N589" s="39" t="s">
        <v>139</v>
      </c>
      <c r="O589" s="43">
        <f t="shared" si="189"/>
        <v>166642.98000000001</v>
      </c>
      <c r="P589" s="43">
        <f t="shared" si="190"/>
        <v>143312.95999999999</v>
      </c>
      <c r="Q589" s="43">
        <f t="shared" si="191"/>
        <v>149076.06</v>
      </c>
      <c r="R589" s="43">
        <f t="shared" si="192"/>
        <v>-5763.1000000000058</v>
      </c>
      <c r="S589" s="44">
        <f t="shared" si="193"/>
        <v>-4.021339033120247E-2</v>
      </c>
      <c r="T589" s="39" t="str">
        <f t="shared" si="194"/>
        <v>Loss</v>
      </c>
      <c r="U589" s="39" t="str">
        <f t="shared" si="195"/>
        <v>10-19%</v>
      </c>
      <c r="V589" s="39" t="str">
        <f>IF(E589&gt;=Analysis!$B$4,"High",IF(E589&gt;=Analysis!$B$5,"Mid","Low"))</f>
        <v>Mid</v>
      </c>
      <c r="W589" s="39" t="str">
        <f t="shared" si="196"/>
        <v>2023-09</v>
      </c>
      <c r="X589" s="40">
        <f t="shared" si="197"/>
        <v>45199</v>
      </c>
      <c r="Y589" s="39" t="str">
        <f t="shared" si="198"/>
        <v>2023-Q3</v>
      </c>
      <c r="Z589" s="39" t="str">
        <f t="shared" si="199"/>
        <v>Sat</v>
      </c>
      <c r="AA589" s="39">
        <f t="shared" si="200"/>
        <v>6</v>
      </c>
      <c r="AB589" s="39">
        <f t="shared" si="201"/>
        <v>39</v>
      </c>
      <c r="AC589" s="39" t="str">
        <f t="shared" si="202"/>
        <v>Weekend</v>
      </c>
      <c r="AD589" s="39">
        <f t="shared" ca="1" si="203"/>
        <v>1127</v>
      </c>
      <c r="AE589" s="39">
        <f t="shared" ca="1" si="204"/>
        <v>37</v>
      </c>
      <c r="AF589" s="39" t="str">
        <f t="shared" si="205"/>
        <v>BOB</v>
      </c>
      <c r="AG589" s="39" t="str">
        <f t="shared" si="206"/>
        <v>NO-230923-0588</v>
      </c>
      <c r="AH589" s="39" t="str">
        <f>IF(AND(OR(Filter!$B$4="All",D589=Filter!$B$4),OR(Filter!$B$5="All",M589=Filter!$B$5),E589&gt;=Filter!$B$6),MAX(AH$1:AH588)+1,"")</f>
        <v/>
      </c>
      <c r="AI589" s="39">
        <f t="shared" si="207"/>
        <v>42</v>
      </c>
      <c r="AJ589" s="42">
        <f t="shared" si="208"/>
        <v>0.14000000000000001</v>
      </c>
      <c r="AK589" s="41">
        <f t="shared" si="209"/>
        <v>3967.69</v>
      </c>
      <c r="AL589" s="39">
        <f>RANK(E589,$E$2:$E$1001,0)+COUNTIF($E$2:E589,E589)-1</f>
        <v>601</v>
      </c>
    </row>
    <row r="590" spans="1:38" x14ac:dyDescent="0.2">
      <c r="A590" s="39">
        <v>1010</v>
      </c>
      <c r="B590" s="40">
        <v>45285</v>
      </c>
      <c r="C590" s="39" t="s">
        <v>76</v>
      </c>
      <c r="D590" s="39" t="s">
        <v>69</v>
      </c>
      <c r="E590" s="41">
        <v>2418.61</v>
      </c>
      <c r="F590" s="39">
        <v>30</v>
      </c>
      <c r="G590" s="39" t="s">
        <v>70</v>
      </c>
      <c r="H590" s="41">
        <v>3289.01</v>
      </c>
      <c r="I590" s="41">
        <v>3508.14</v>
      </c>
      <c r="J590" s="39" t="s">
        <v>143</v>
      </c>
      <c r="K590" s="42">
        <v>0.17</v>
      </c>
      <c r="L590" s="39" t="s">
        <v>63</v>
      </c>
      <c r="M590" s="39" t="s">
        <v>140</v>
      </c>
      <c r="N590" s="39" t="s">
        <v>142</v>
      </c>
      <c r="O590" s="43">
        <f t="shared" si="189"/>
        <v>105244.2</v>
      </c>
      <c r="P590" s="43">
        <f t="shared" si="190"/>
        <v>87352.69</v>
      </c>
      <c r="Q590" s="43">
        <f t="shared" si="191"/>
        <v>98670.3</v>
      </c>
      <c r="R590" s="43">
        <f t="shared" si="192"/>
        <v>-11317.61</v>
      </c>
      <c r="S590" s="44">
        <f t="shared" si="193"/>
        <v>-0.12956223786582874</v>
      </c>
      <c r="T590" s="39" t="str">
        <f t="shared" si="194"/>
        <v>Loss</v>
      </c>
      <c r="U590" s="39" t="str">
        <f t="shared" si="195"/>
        <v>10-19%</v>
      </c>
      <c r="V590" s="39" t="str">
        <f>IF(E590&gt;=Analysis!$B$4,"High",IF(E590&gt;=Analysis!$B$5,"Mid","Low"))</f>
        <v>Low</v>
      </c>
      <c r="W590" s="39" t="str">
        <f t="shared" si="196"/>
        <v>2023-12</v>
      </c>
      <c r="X590" s="40">
        <f t="shared" si="197"/>
        <v>45291</v>
      </c>
      <c r="Y590" s="39" t="str">
        <f t="shared" si="198"/>
        <v>2023-Q4</v>
      </c>
      <c r="Z590" s="39" t="str">
        <f t="shared" si="199"/>
        <v>Mon</v>
      </c>
      <c r="AA590" s="39">
        <f t="shared" si="200"/>
        <v>1</v>
      </c>
      <c r="AB590" s="39">
        <f t="shared" si="201"/>
        <v>53</v>
      </c>
      <c r="AC590" s="39" t="str">
        <f t="shared" si="202"/>
        <v>Weekday</v>
      </c>
      <c r="AD590" s="39">
        <f t="shared" ca="1" si="203"/>
        <v>1034</v>
      </c>
      <c r="AE590" s="39">
        <f t="shared" ca="1" si="204"/>
        <v>33</v>
      </c>
      <c r="AF590" s="39" t="str">
        <f t="shared" si="205"/>
        <v>DAV</v>
      </c>
      <c r="AG590" s="39" t="str">
        <f t="shared" si="206"/>
        <v>SR-231225-0589</v>
      </c>
      <c r="AH590" s="39" t="str">
        <f>IF(AND(OR(Filter!$B$4="All",D590=Filter!$B$4),OR(Filter!$B$5="All",M590=Filter!$B$5),E590&gt;=Filter!$B$6),MAX(AH$1:AH589)+1,"")</f>
        <v/>
      </c>
      <c r="AI590" s="39">
        <f t="shared" si="207"/>
        <v>30</v>
      </c>
      <c r="AJ590" s="42">
        <f t="shared" si="208"/>
        <v>0.17</v>
      </c>
      <c r="AK590" s="41">
        <f t="shared" si="209"/>
        <v>3508.14</v>
      </c>
      <c r="AL590" s="39">
        <f>RANK(E590,$E$2:$E$1001,0)+COUNTIF($E$2:E590,E590)-1</f>
        <v>764</v>
      </c>
    </row>
    <row r="591" spans="1:38" x14ac:dyDescent="0.2">
      <c r="A591" s="39">
        <v>1073</v>
      </c>
      <c r="B591" s="40">
        <v>45266</v>
      </c>
      <c r="C591" s="39" t="s">
        <v>61</v>
      </c>
      <c r="D591" s="39" t="s">
        <v>64</v>
      </c>
      <c r="E591" s="41">
        <v>2273.58</v>
      </c>
      <c r="F591" s="39">
        <v>31</v>
      </c>
      <c r="G591" s="39" t="s">
        <v>70</v>
      </c>
      <c r="H591" s="41">
        <v>4368.97</v>
      </c>
      <c r="I591" s="41">
        <v>4696.8500000000004</v>
      </c>
      <c r="J591" s="39" t="s">
        <v>137</v>
      </c>
      <c r="K591" s="42">
        <v>0.25</v>
      </c>
      <c r="L591" s="39" t="s">
        <v>63</v>
      </c>
      <c r="M591" s="39" t="s">
        <v>140</v>
      </c>
      <c r="N591" s="39" t="s">
        <v>156</v>
      </c>
      <c r="O591" s="43">
        <f t="shared" si="189"/>
        <v>145602.35</v>
      </c>
      <c r="P591" s="43">
        <f t="shared" si="190"/>
        <v>109201.76</v>
      </c>
      <c r="Q591" s="43">
        <f t="shared" si="191"/>
        <v>135438.07</v>
      </c>
      <c r="R591" s="43">
        <f t="shared" si="192"/>
        <v>-26236.310000000012</v>
      </c>
      <c r="S591" s="44">
        <f t="shared" si="193"/>
        <v>-0.2402553768364174</v>
      </c>
      <c r="T591" s="39" t="str">
        <f t="shared" si="194"/>
        <v>Loss</v>
      </c>
      <c r="U591" s="39" t="str">
        <f t="shared" si="195"/>
        <v>20%+</v>
      </c>
      <c r="V591" s="39" t="str">
        <f>IF(E591&gt;=Analysis!$B$4,"High",IF(E591&gt;=Analysis!$B$5,"Mid","Low"))</f>
        <v>Low</v>
      </c>
      <c r="W591" s="39" t="str">
        <f t="shared" si="196"/>
        <v>2023-12</v>
      </c>
      <c r="X591" s="40">
        <f t="shared" si="197"/>
        <v>45291</v>
      </c>
      <c r="Y591" s="39" t="str">
        <f t="shared" si="198"/>
        <v>2023-Q4</v>
      </c>
      <c r="Z591" s="39" t="str">
        <f t="shared" si="199"/>
        <v>Wed</v>
      </c>
      <c r="AA591" s="39">
        <f t="shared" si="200"/>
        <v>3</v>
      </c>
      <c r="AB591" s="39">
        <f t="shared" si="201"/>
        <v>50</v>
      </c>
      <c r="AC591" s="39" t="str">
        <f t="shared" si="202"/>
        <v>Weekday</v>
      </c>
      <c r="AD591" s="39">
        <f t="shared" ca="1" si="203"/>
        <v>1053</v>
      </c>
      <c r="AE591" s="39">
        <f t="shared" ca="1" si="204"/>
        <v>34</v>
      </c>
      <c r="AF591" s="39" t="str">
        <f t="shared" si="205"/>
        <v>ALI</v>
      </c>
      <c r="AG591" s="39" t="str">
        <f t="shared" si="206"/>
        <v>NR-231206-0590</v>
      </c>
      <c r="AH591" s="39" t="str">
        <f>IF(AND(OR(Filter!$B$4="All",D591=Filter!$B$4),OR(Filter!$B$5="All",M591=Filter!$B$5),E591&gt;=Filter!$B$6),MAX(AH$1:AH590)+1,"")</f>
        <v/>
      </c>
      <c r="AI591" s="39">
        <f t="shared" si="207"/>
        <v>31</v>
      </c>
      <c r="AJ591" s="42">
        <f t="shared" si="208"/>
        <v>0.25</v>
      </c>
      <c r="AK591" s="41">
        <f t="shared" si="209"/>
        <v>4696.8500000000004</v>
      </c>
      <c r="AL591" s="39">
        <f>RANK(E591,$E$2:$E$1001,0)+COUNTIF($E$2:E591,E591)-1</f>
        <v>782</v>
      </c>
    </row>
    <row r="592" spans="1:38" x14ac:dyDescent="0.2">
      <c r="A592" s="39">
        <v>1024</v>
      </c>
      <c r="B592" s="40">
        <v>44991</v>
      </c>
      <c r="C592" s="39" t="s">
        <v>61</v>
      </c>
      <c r="D592" s="39" t="s">
        <v>69</v>
      </c>
      <c r="E592" s="41">
        <v>9602.64</v>
      </c>
      <c r="F592" s="39">
        <v>35</v>
      </c>
      <c r="G592" s="39" t="s">
        <v>65</v>
      </c>
      <c r="H592" s="41">
        <v>1258.53</v>
      </c>
      <c r="I592" s="41">
        <v>1624.89</v>
      </c>
      <c r="J592" s="39" t="s">
        <v>143</v>
      </c>
      <c r="K592" s="42">
        <v>0.08</v>
      </c>
      <c r="L592" s="39" t="s">
        <v>73</v>
      </c>
      <c r="M592" s="39" t="s">
        <v>138</v>
      </c>
      <c r="N592" s="39" t="s">
        <v>150</v>
      </c>
      <c r="O592" s="43">
        <f t="shared" si="189"/>
        <v>56871.15</v>
      </c>
      <c r="P592" s="43">
        <f t="shared" si="190"/>
        <v>52321.46</v>
      </c>
      <c r="Q592" s="43">
        <f t="shared" si="191"/>
        <v>44048.55</v>
      </c>
      <c r="R592" s="43">
        <f t="shared" si="192"/>
        <v>8272.9099999999962</v>
      </c>
      <c r="S592" s="44">
        <f t="shared" si="193"/>
        <v>0.15811695621643579</v>
      </c>
      <c r="T592" s="39" t="str">
        <f t="shared" si="194"/>
        <v>OK</v>
      </c>
      <c r="U592" s="39" t="str">
        <f t="shared" si="195"/>
        <v>0-9%</v>
      </c>
      <c r="V592" s="39" t="str">
        <f>IF(E592&gt;=Analysis!$B$4,"High",IF(E592&gt;=Analysis!$B$5,"Mid","Low"))</f>
        <v>High</v>
      </c>
      <c r="W592" s="39" t="str">
        <f t="shared" si="196"/>
        <v>2023-03</v>
      </c>
      <c r="X592" s="40">
        <f t="shared" si="197"/>
        <v>45016</v>
      </c>
      <c r="Y592" s="39" t="str">
        <f t="shared" si="198"/>
        <v>2023-Q1</v>
      </c>
      <c r="Z592" s="39" t="str">
        <f t="shared" si="199"/>
        <v>Mon</v>
      </c>
      <c r="AA592" s="39">
        <f t="shared" si="200"/>
        <v>1</v>
      </c>
      <c r="AB592" s="39">
        <f t="shared" si="201"/>
        <v>11</v>
      </c>
      <c r="AC592" s="39" t="str">
        <f t="shared" si="202"/>
        <v>Weekday</v>
      </c>
      <c r="AD592" s="39">
        <f t="shared" ca="1" si="203"/>
        <v>1328</v>
      </c>
      <c r="AE592" s="39">
        <f t="shared" ca="1" si="204"/>
        <v>43</v>
      </c>
      <c r="AF592" s="39" t="str">
        <f t="shared" si="205"/>
        <v>ALI</v>
      </c>
      <c r="AG592" s="39" t="str">
        <f t="shared" si="206"/>
        <v>SO-230306-0591</v>
      </c>
      <c r="AH592" s="39">
        <f>IF(AND(OR(Filter!$B$4="All",D592=Filter!$B$4),OR(Filter!$B$5="All",M592=Filter!$B$5),E592&gt;=Filter!$B$6),MAX(AH$1:AH591)+1,"")</f>
        <v>60</v>
      </c>
      <c r="AI592" s="39">
        <f t="shared" si="207"/>
        <v>35</v>
      </c>
      <c r="AJ592" s="42">
        <f t="shared" si="208"/>
        <v>0.08</v>
      </c>
      <c r="AK592" s="41">
        <f t="shared" si="209"/>
        <v>1624.89</v>
      </c>
      <c r="AL592" s="39">
        <f>RANK(E592,$E$2:$E$1001,0)+COUNTIF($E$2:E592,E592)-1</f>
        <v>41</v>
      </c>
    </row>
    <row r="593" spans="1:38" x14ac:dyDescent="0.2">
      <c r="A593" s="39">
        <v>1064</v>
      </c>
      <c r="B593" s="40">
        <v>45103</v>
      </c>
      <c r="C593" s="39" t="s">
        <v>61</v>
      </c>
      <c r="D593" s="39" t="s">
        <v>64</v>
      </c>
      <c r="E593" s="41">
        <v>6201.37</v>
      </c>
      <c r="F593" s="39">
        <v>21</v>
      </c>
      <c r="G593" s="39" t="s">
        <v>60</v>
      </c>
      <c r="H593" s="41">
        <v>2278.04</v>
      </c>
      <c r="I593" s="41">
        <v>2598.58</v>
      </c>
      <c r="J593" s="39" t="s">
        <v>137</v>
      </c>
      <c r="K593" s="42">
        <v>0.02</v>
      </c>
      <c r="L593" s="39" t="s">
        <v>73</v>
      </c>
      <c r="M593" s="39" t="s">
        <v>140</v>
      </c>
      <c r="N593" s="39" t="s">
        <v>156</v>
      </c>
      <c r="O593" s="43">
        <f t="shared" si="189"/>
        <v>54570.18</v>
      </c>
      <c r="P593" s="43">
        <f t="shared" si="190"/>
        <v>53478.78</v>
      </c>
      <c r="Q593" s="43">
        <f t="shared" si="191"/>
        <v>47838.84</v>
      </c>
      <c r="R593" s="43">
        <f t="shared" si="192"/>
        <v>5639.9400000000023</v>
      </c>
      <c r="S593" s="44">
        <f t="shared" si="193"/>
        <v>0.10546126893695036</v>
      </c>
      <c r="T593" s="39" t="str">
        <f t="shared" si="194"/>
        <v>OK</v>
      </c>
      <c r="U593" s="39" t="str">
        <f t="shared" si="195"/>
        <v>0-9%</v>
      </c>
      <c r="V593" s="39" t="str">
        <f>IF(E593&gt;=Analysis!$B$4,"High",IF(E593&gt;=Analysis!$B$5,"Mid","Low"))</f>
        <v>Mid</v>
      </c>
      <c r="W593" s="39" t="str">
        <f t="shared" si="196"/>
        <v>2023-06</v>
      </c>
      <c r="X593" s="40">
        <f t="shared" si="197"/>
        <v>45107</v>
      </c>
      <c r="Y593" s="39" t="str">
        <f t="shared" si="198"/>
        <v>2023-Q2</v>
      </c>
      <c r="Z593" s="39" t="str">
        <f t="shared" si="199"/>
        <v>Mon</v>
      </c>
      <c r="AA593" s="39">
        <f t="shared" si="200"/>
        <v>1</v>
      </c>
      <c r="AB593" s="39">
        <f t="shared" si="201"/>
        <v>27</v>
      </c>
      <c r="AC593" s="39" t="str">
        <f t="shared" si="202"/>
        <v>Weekday</v>
      </c>
      <c r="AD593" s="39">
        <f t="shared" ca="1" si="203"/>
        <v>1216</v>
      </c>
      <c r="AE593" s="39">
        <f t="shared" ca="1" si="204"/>
        <v>39</v>
      </c>
      <c r="AF593" s="39" t="str">
        <f t="shared" si="205"/>
        <v>ALI</v>
      </c>
      <c r="AG593" s="39" t="str">
        <f t="shared" si="206"/>
        <v>NR-230626-0592</v>
      </c>
      <c r="AH593" s="39" t="str">
        <f>IF(AND(OR(Filter!$B$4="All",D593=Filter!$B$4),OR(Filter!$B$5="All",M593=Filter!$B$5),E593&gt;=Filter!$B$6),MAX(AH$1:AH592)+1,"")</f>
        <v/>
      </c>
      <c r="AI593" s="39">
        <f t="shared" si="207"/>
        <v>21</v>
      </c>
      <c r="AJ593" s="42">
        <f t="shared" si="208"/>
        <v>0.02</v>
      </c>
      <c r="AK593" s="41">
        <f t="shared" si="209"/>
        <v>2598.58</v>
      </c>
      <c r="AL593" s="39">
        <f>RANK(E593,$E$2:$E$1001,0)+COUNTIF($E$2:E593,E593)-1</f>
        <v>390</v>
      </c>
    </row>
    <row r="594" spans="1:38" x14ac:dyDescent="0.2">
      <c r="A594" s="39">
        <v>1099</v>
      </c>
      <c r="B594" s="40">
        <v>44929</v>
      </c>
      <c r="C594" s="39" t="s">
        <v>66</v>
      </c>
      <c r="D594" s="39" t="s">
        <v>59</v>
      </c>
      <c r="E594" s="41">
        <v>5613.1</v>
      </c>
      <c r="F594" s="39">
        <v>31</v>
      </c>
      <c r="G594" s="39" t="s">
        <v>75</v>
      </c>
      <c r="H594" s="41">
        <v>4632.8500000000004</v>
      </c>
      <c r="I594" s="41">
        <v>4711.7</v>
      </c>
      <c r="J594" s="39" t="s">
        <v>143</v>
      </c>
      <c r="K594" s="42">
        <v>0.21</v>
      </c>
      <c r="L594" s="39" t="s">
        <v>68</v>
      </c>
      <c r="M594" s="39" t="s">
        <v>140</v>
      </c>
      <c r="N594" s="39" t="s">
        <v>153</v>
      </c>
      <c r="O594" s="43">
        <f t="shared" si="189"/>
        <v>146062.70000000001</v>
      </c>
      <c r="P594" s="43">
        <f t="shared" si="190"/>
        <v>115389.53</v>
      </c>
      <c r="Q594" s="43">
        <f t="shared" si="191"/>
        <v>143618.35</v>
      </c>
      <c r="R594" s="43">
        <f t="shared" si="192"/>
        <v>-28228.820000000007</v>
      </c>
      <c r="S594" s="44">
        <f t="shared" si="193"/>
        <v>-0.24463935332781064</v>
      </c>
      <c r="T594" s="39" t="str">
        <f t="shared" si="194"/>
        <v>Loss</v>
      </c>
      <c r="U594" s="39" t="str">
        <f t="shared" si="195"/>
        <v>20%+</v>
      </c>
      <c r="V594" s="39" t="str">
        <f>IF(E594&gt;=Analysis!$B$4,"High",IF(E594&gt;=Analysis!$B$5,"Mid","Low"))</f>
        <v>Mid</v>
      </c>
      <c r="W594" s="39" t="str">
        <f t="shared" si="196"/>
        <v>2023-01</v>
      </c>
      <c r="X594" s="40">
        <f t="shared" si="197"/>
        <v>44957</v>
      </c>
      <c r="Y594" s="39" t="str">
        <f t="shared" si="198"/>
        <v>2023-Q1</v>
      </c>
      <c r="Z594" s="39" t="str">
        <f t="shared" si="199"/>
        <v>Tue</v>
      </c>
      <c r="AA594" s="39">
        <f t="shared" si="200"/>
        <v>2</v>
      </c>
      <c r="AB594" s="39">
        <f t="shared" si="201"/>
        <v>2</v>
      </c>
      <c r="AC594" s="39" t="str">
        <f t="shared" si="202"/>
        <v>Weekday</v>
      </c>
      <c r="AD594" s="39">
        <f t="shared" ca="1" si="203"/>
        <v>1390</v>
      </c>
      <c r="AE594" s="39">
        <f t="shared" ca="1" si="204"/>
        <v>45</v>
      </c>
      <c r="AF594" s="39" t="str">
        <f t="shared" si="205"/>
        <v>BOB</v>
      </c>
      <c r="AG594" s="39" t="str">
        <f t="shared" si="206"/>
        <v>ER-230103-0593</v>
      </c>
      <c r="AH594" s="39" t="str">
        <f>IF(AND(OR(Filter!$B$4="All",D594=Filter!$B$4),OR(Filter!$B$5="All",M594=Filter!$B$5),E594&gt;=Filter!$B$6),MAX(AH$1:AH593)+1,"")</f>
        <v/>
      </c>
      <c r="AI594" s="39">
        <f t="shared" si="207"/>
        <v>31</v>
      </c>
      <c r="AJ594" s="42">
        <f t="shared" si="208"/>
        <v>0.21</v>
      </c>
      <c r="AK594" s="41">
        <f t="shared" si="209"/>
        <v>4711.7</v>
      </c>
      <c r="AL594" s="39">
        <f>RANK(E594,$E$2:$E$1001,0)+COUNTIF($E$2:E594,E594)-1</f>
        <v>447</v>
      </c>
    </row>
    <row r="595" spans="1:38" x14ac:dyDescent="0.2">
      <c r="A595" s="39">
        <v>1049</v>
      </c>
      <c r="B595" s="40">
        <v>45068</v>
      </c>
      <c r="C595" s="39" t="s">
        <v>66</v>
      </c>
      <c r="D595" s="39" t="s">
        <v>59</v>
      </c>
      <c r="E595" s="41">
        <v>4216.17</v>
      </c>
      <c r="F595" s="39">
        <v>19</v>
      </c>
      <c r="G595" s="39" t="s">
        <v>60</v>
      </c>
      <c r="H595" s="41">
        <v>3316.97</v>
      </c>
      <c r="I595" s="41">
        <v>3544.02</v>
      </c>
      <c r="J595" s="39" t="s">
        <v>137</v>
      </c>
      <c r="K595" s="42">
        <v>0.14000000000000001</v>
      </c>
      <c r="L595" s="39" t="s">
        <v>68</v>
      </c>
      <c r="M595" s="39" t="s">
        <v>138</v>
      </c>
      <c r="N595" s="39" t="s">
        <v>153</v>
      </c>
      <c r="O595" s="43">
        <f t="shared" si="189"/>
        <v>67336.38</v>
      </c>
      <c r="P595" s="43">
        <f t="shared" si="190"/>
        <v>57909.29</v>
      </c>
      <c r="Q595" s="43">
        <f t="shared" si="191"/>
        <v>63022.43</v>
      </c>
      <c r="R595" s="43">
        <f t="shared" si="192"/>
        <v>-5113.1399999999994</v>
      </c>
      <c r="S595" s="44">
        <f t="shared" si="193"/>
        <v>-8.8295677601987504E-2</v>
      </c>
      <c r="T595" s="39" t="str">
        <f t="shared" si="194"/>
        <v>Loss</v>
      </c>
      <c r="U595" s="39" t="str">
        <f t="shared" si="195"/>
        <v>10-19%</v>
      </c>
      <c r="V595" s="39" t="str">
        <f>IF(E595&gt;=Analysis!$B$4,"High",IF(E595&gt;=Analysis!$B$5,"Mid","Low"))</f>
        <v>Mid</v>
      </c>
      <c r="W595" s="39" t="str">
        <f t="shared" si="196"/>
        <v>2023-05</v>
      </c>
      <c r="X595" s="40">
        <f t="shared" si="197"/>
        <v>45077</v>
      </c>
      <c r="Y595" s="39" t="str">
        <f t="shared" si="198"/>
        <v>2023-Q2</v>
      </c>
      <c r="Z595" s="39" t="str">
        <f t="shared" si="199"/>
        <v>Mon</v>
      </c>
      <c r="AA595" s="39">
        <f t="shared" si="200"/>
        <v>1</v>
      </c>
      <c r="AB595" s="39">
        <f t="shared" si="201"/>
        <v>22</v>
      </c>
      <c r="AC595" s="39" t="str">
        <f t="shared" si="202"/>
        <v>Weekday</v>
      </c>
      <c r="AD595" s="39">
        <f t="shared" ca="1" si="203"/>
        <v>1251</v>
      </c>
      <c r="AE595" s="39">
        <f t="shared" ca="1" si="204"/>
        <v>41</v>
      </c>
      <c r="AF595" s="39" t="str">
        <f t="shared" si="205"/>
        <v>BOB</v>
      </c>
      <c r="AG595" s="39" t="str">
        <f t="shared" si="206"/>
        <v>EO-230522-0594</v>
      </c>
      <c r="AH595" s="39" t="str">
        <f>IF(AND(OR(Filter!$B$4="All",D595=Filter!$B$4),OR(Filter!$B$5="All",M595=Filter!$B$5),E595&gt;=Filter!$B$6),MAX(AH$1:AH594)+1,"")</f>
        <v/>
      </c>
      <c r="AI595" s="39">
        <f t="shared" si="207"/>
        <v>19</v>
      </c>
      <c r="AJ595" s="42">
        <f t="shared" si="208"/>
        <v>0.14000000000000001</v>
      </c>
      <c r="AK595" s="41">
        <f t="shared" si="209"/>
        <v>3544.02</v>
      </c>
      <c r="AL595" s="39">
        <f>RANK(E595,$E$2:$E$1001,0)+COUNTIF($E$2:E595,E595)-1</f>
        <v>579</v>
      </c>
    </row>
    <row r="596" spans="1:38" x14ac:dyDescent="0.2">
      <c r="A596" s="39">
        <v>1099</v>
      </c>
      <c r="B596" s="40">
        <v>45084</v>
      </c>
      <c r="C596" s="39" t="s">
        <v>71</v>
      </c>
      <c r="D596" s="39" t="s">
        <v>59</v>
      </c>
      <c r="E596" s="41">
        <v>4346.55</v>
      </c>
      <c r="F596" s="39">
        <v>31</v>
      </c>
      <c r="G596" s="39" t="s">
        <v>70</v>
      </c>
      <c r="H596" s="41">
        <v>1974.4</v>
      </c>
      <c r="I596" s="41">
        <v>2259.5</v>
      </c>
      <c r="J596" s="39" t="s">
        <v>143</v>
      </c>
      <c r="K596" s="42">
        <v>0.27</v>
      </c>
      <c r="L596" s="39" t="s">
        <v>68</v>
      </c>
      <c r="M596" s="39" t="s">
        <v>140</v>
      </c>
      <c r="N596" s="39" t="s">
        <v>145</v>
      </c>
      <c r="O596" s="43">
        <f t="shared" si="189"/>
        <v>70044.5</v>
      </c>
      <c r="P596" s="43">
        <f t="shared" si="190"/>
        <v>51132.49</v>
      </c>
      <c r="Q596" s="43">
        <f t="shared" si="191"/>
        <v>61206.400000000001</v>
      </c>
      <c r="R596" s="43">
        <f t="shared" si="192"/>
        <v>-10073.910000000003</v>
      </c>
      <c r="S596" s="44">
        <f t="shared" si="193"/>
        <v>-0.19701583083475896</v>
      </c>
      <c r="T596" s="39" t="str">
        <f t="shared" si="194"/>
        <v>Loss</v>
      </c>
      <c r="U596" s="39" t="str">
        <f t="shared" si="195"/>
        <v>20%+</v>
      </c>
      <c r="V596" s="39" t="str">
        <f>IF(E596&gt;=Analysis!$B$4,"High",IF(E596&gt;=Analysis!$B$5,"Mid","Low"))</f>
        <v>Mid</v>
      </c>
      <c r="W596" s="39" t="str">
        <f t="shared" si="196"/>
        <v>2023-06</v>
      </c>
      <c r="X596" s="40">
        <f t="shared" si="197"/>
        <v>45107</v>
      </c>
      <c r="Y596" s="39" t="str">
        <f t="shared" si="198"/>
        <v>2023-Q2</v>
      </c>
      <c r="Z596" s="39" t="str">
        <f t="shared" si="199"/>
        <v>Wed</v>
      </c>
      <c r="AA596" s="39">
        <f t="shared" si="200"/>
        <v>3</v>
      </c>
      <c r="AB596" s="39">
        <f t="shared" si="201"/>
        <v>24</v>
      </c>
      <c r="AC596" s="39" t="str">
        <f t="shared" si="202"/>
        <v>Weekday</v>
      </c>
      <c r="AD596" s="39">
        <f t="shared" ca="1" si="203"/>
        <v>1235</v>
      </c>
      <c r="AE596" s="39">
        <f t="shared" ca="1" si="204"/>
        <v>40</v>
      </c>
      <c r="AF596" s="39" t="str">
        <f t="shared" si="205"/>
        <v>CHA</v>
      </c>
      <c r="AG596" s="39" t="str">
        <f t="shared" si="206"/>
        <v>ER-230607-0595</v>
      </c>
      <c r="AH596" s="39" t="str">
        <f>IF(AND(OR(Filter!$B$4="All",D596=Filter!$B$4),OR(Filter!$B$5="All",M596=Filter!$B$5),E596&gt;=Filter!$B$6),MAX(AH$1:AH595)+1,"")</f>
        <v/>
      </c>
      <c r="AI596" s="39">
        <f t="shared" si="207"/>
        <v>31</v>
      </c>
      <c r="AJ596" s="42">
        <f t="shared" si="208"/>
        <v>0.27</v>
      </c>
      <c r="AK596" s="41">
        <f t="shared" si="209"/>
        <v>2259.5</v>
      </c>
      <c r="AL596" s="39">
        <f>RANK(E596,$E$2:$E$1001,0)+COUNTIF($E$2:E596,E596)-1</f>
        <v>565</v>
      </c>
    </row>
    <row r="597" spans="1:38" x14ac:dyDescent="0.2">
      <c r="A597" s="39">
        <v>1036</v>
      </c>
      <c r="B597" s="40">
        <v>45250</v>
      </c>
      <c r="C597" s="39" t="s">
        <v>61</v>
      </c>
      <c r="D597" s="39" t="s">
        <v>59</v>
      </c>
      <c r="E597" s="41">
        <v>5454.96</v>
      </c>
      <c r="F597" s="39">
        <v>32</v>
      </c>
      <c r="G597" s="39" t="s">
        <v>60</v>
      </c>
      <c r="H597" s="41">
        <v>700.49</v>
      </c>
      <c r="I597" s="41">
        <v>1126.52</v>
      </c>
      <c r="J597" s="39" t="s">
        <v>143</v>
      </c>
      <c r="K597" s="42">
        <v>0.28999999999999998</v>
      </c>
      <c r="L597" s="39" t="s">
        <v>73</v>
      </c>
      <c r="M597" s="39" t="s">
        <v>140</v>
      </c>
      <c r="N597" s="39" t="s">
        <v>159</v>
      </c>
      <c r="O597" s="43">
        <f t="shared" si="189"/>
        <v>36048.639999999999</v>
      </c>
      <c r="P597" s="43">
        <f t="shared" si="190"/>
        <v>25594.53</v>
      </c>
      <c r="Q597" s="43">
        <f t="shared" si="191"/>
        <v>22415.68</v>
      </c>
      <c r="R597" s="43">
        <f t="shared" si="192"/>
        <v>3178.8499999999985</v>
      </c>
      <c r="S597" s="44">
        <f t="shared" si="193"/>
        <v>0.1242003662501323</v>
      </c>
      <c r="T597" s="39" t="str">
        <f t="shared" si="194"/>
        <v>OK</v>
      </c>
      <c r="U597" s="39" t="str">
        <f t="shared" si="195"/>
        <v>20%+</v>
      </c>
      <c r="V597" s="39" t="str">
        <f>IF(E597&gt;=Analysis!$B$4,"High",IF(E597&gt;=Analysis!$B$5,"Mid","Low"))</f>
        <v>Mid</v>
      </c>
      <c r="W597" s="39" t="str">
        <f t="shared" si="196"/>
        <v>2023-11</v>
      </c>
      <c r="X597" s="40">
        <f t="shared" si="197"/>
        <v>45260</v>
      </c>
      <c r="Y597" s="39" t="str">
        <f t="shared" si="198"/>
        <v>2023-Q4</v>
      </c>
      <c r="Z597" s="39" t="str">
        <f t="shared" si="199"/>
        <v>Mon</v>
      </c>
      <c r="AA597" s="39">
        <f t="shared" si="200"/>
        <v>1</v>
      </c>
      <c r="AB597" s="39">
        <f t="shared" si="201"/>
        <v>48</v>
      </c>
      <c r="AC597" s="39" t="str">
        <f t="shared" si="202"/>
        <v>Weekday</v>
      </c>
      <c r="AD597" s="39">
        <f t="shared" ca="1" si="203"/>
        <v>1069</v>
      </c>
      <c r="AE597" s="39">
        <f t="shared" ca="1" si="204"/>
        <v>35</v>
      </c>
      <c r="AF597" s="39" t="str">
        <f t="shared" si="205"/>
        <v>ALI</v>
      </c>
      <c r="AG597" s="39" t="str">
        <f t="shared" si="206"/>
        <v>ER-231120-0596</v>
      </c>
      <c r="AH597" s="39" t="str">
        <f>IF(AND(OR(Filter!$B$4="All",D597=Filter!$B$4),OR(Filter!$B$5="All",M597=Filter!$B$5),E597&gt;=Filter!$B$6),MAX(AH$1:AH596)+1,"")</f>
        <v/>
      </c>
      <c r="AI597" s="39">
        <f t="shared" si="207"/>
        <v>32</v>
      </c>
      <c r="AJ597" s="42">
        <f t="shared" si="208"/>
        <v>0.28999999999999998</v>
      </c>
      <c r="AK597" s="41">
        <f t="shared" si="209"/>
        <v>1126.52</v>
      </c>
      <c r="AL597" s="39">
        <f>RANK(E597,$E$2:$E$1001,0)+COUNTIF($E$2:E597,E597)-1</f>
        <v>460</v>
      </c>
    </row>
    <row r="598" spans="1:38" x14ac:dyDescent="0.2">
      <c r="A598" s="39">
        <v>1082</v>
      </c>
      <c r="B598" s="40">
        <v>45072</v>
      </c>
      <c r="C598" s="39" t="s">
        <v>76</v>
      </c>
      <c r="D598" s="39" t="s">
        <v>69</v>
      </c>
      <c r="E598" s="41">
        <v>6994.66</v>
      </c>
      <c r="F598" s="39">
        <v>2</v>
      </c>
      <c r="G598" s="39" t="s">
        <v>75</v>
      </c>
      <c r="H598" s="41">
        <v>1349.3</v>
      </c>
      <c r="I598" s="41">
        <v>1576.69</v>
      </c>
      <c r="J598" s="39" t="s">
        <v>137</v>
      </c>
      <c r="K598" s="42">
        <v>0.12</v>
      </c>
      <c r="L598" s="39" t="s">
        <v>73</v>
      </c>
      <c r="M598" s="39" t="s">
        <v>138</v>
      </c>
      <c r="N598" s="39" t="s">
        <v>142</v>
      </c>
      <c r="O598" s="43">
        <f t="shared" si="189"/>
        <v>3153.38</v>
      </c>
      <c r="P598" s="43">
        <f t="shared" si="190"/>
        <v>2774.97</v>
      </c>
      <c r="Q598" s="43">
        <f t="shared" si="191"/>
        <v>2698.6</v>
      </c>
      <c r="R598" s="43">
        <f t="shared" si="192"/>
        <v>76.369999999999891</v>
      </c>
      <c r="S598" s="44">
        <f t="shared" si="193"/>
        <v>2.7521018245242255E-2</v>
      </c>
      <c r="T598" s="39" t="str">
        <f t="shared" si="194"/>
        <v>OK</v>
      </c>
      <c r="U598" s="39" t="str">
        <f t="shared" si="195"/>
        <v>10-19%</v>
      </c>
      <c r="V598" s="39" t="str">
        <f>IF(E598&gt;=Analysis!$B$4,"High",IF(E598&gt;=Analysis!$B$5,"Mid","Low"))</f>
        <v>Mid</v>
      </c>
      <c r="W598" s="39" t="str">
        <f t="shared" si="196"/>
        <v>2023-05</v>
      </c>
      <c r="X598" s="40">
        <f t="shared" si="197"/>
        <v>45077</v>
      </c>
      <c r="Y598" s="39" t="str">
        <f t="shared" si="198"/>
        <v>2023-Q2</v>
      </c>
      <c r="Z598" s="39" t="str">
        <f t="shared" si="199"/>
        <v>Fri</v>
      </c>
      <c r="AA598" s="39">
        <f t="shared" si="200"/>
        <v>5</v>
      </c>
      <c r="AB598" s="39">
        <f t="shared" si="201"/>
        <v>22</v>
      </c>
      <c r="AC598" s="39" t="str">
        <f t="shared" si="202"/>
        <v>Weekday</v>
      </c>
      <c r="AD598" s="39">
        <f t="shared" ca="1" si="203"/>
        <v>1247</v>
      </c>
      <c r="AE598" s="39">
        <f t="shared" ca="1" si="204"/>
        <v>40</v>
      </c>
      <c r="AF598" s="39" t="str">
        <f t="shared" si="205"/>
        <v>DAV</v>
      </c>
      <c r="AG598" s="39" t="str">
        <f t="shared" si="206"/>
        <v>SO-230526-0597</v>
      </c>
      <c r="AH598" s="39" t="str">
        <f>IF(AND(OR(Filter!$B$4="All",D598=Filter!$B$4),OR(Filter!$B$5="All",M598=Filter!$B$5),E598&gt;=Filter!$B$6),MAX(AH$1:AH597)+1,"")</f>
        <v/>
      </c>
      <c r="AI598" s="39">
        <f t="shared" si="207"/>
        <v>2</v>
      </c>
      <c r="AJ598" s="42">
        <f t="shared" si="208"/>
        <v>0.12</v>
      </c>
      <c r="AK598" s="41">
        <f t="shared" si="209"/>
        <v>1576.69</v>
      </c>
      <c r="AL598" s="39">
        <f>RANK(E598,$E$2:$E$1001,0)+COUNTIF($E$2:E598,E598)-1</f>
        <v>303</v>
      </c>
    </row>
    <row r="599" spans="1:38" x14ac:dyDescent="0.2">
      <c r="A599" s="39">
        <v>1096</v>
      </c>
      <c r="B599" s="40">
        <v>45219</v>
      </c>
      <c r="C599" s="39" t="s">
        <v>76</v>
      </c>
      <c r="D599" s="39" t="s">
        <v>69</v>
      </c>
      <c r="E599" s="41">
        <v>7051.25</v>
      </c>
      <c r="F599" s="39">
        <v>10</v>
      </c>
      <c r="G599" s="39" t="s">
        <v>60</v>
      </c>
      <c r="H599" s="41">
        <v>2927.02</v>
      </c>
      <c r="I599" s="41">
        <v>3387.21</v>
      </c>
      <c r="J599" s="39" t="s">
        <v>137</v>
      </c>
      <c r="K599" s="42">
        <v>0.12</v>
      </c>
      <c r="L599" s="39" t="s">
        <v>68</v>
      </c>
      <c r="M599" s="39" t="s">
        <v>140</v>
      </c>
      <c r="N599" s="39" t="s">
        <v>142</v>
      </c>
      <c r="O599" s="43">
        <f t="shared" si="189"/>
        <v>33872.1</v>
      </c>
      <c r="P599" s="43">
        <f t="shared" si="190"/>
        <v>29807.45</v>
      </c>
      <c r="Q599" s="43">
        <f t="shared" si="191"/>
        <v>29270.2</v>
      </c>
      <c r="R599" s="43">
        <f t="shared" si="192"/>
        <v>537.25</v>
      </c>
      <c r="S599" s="44">
        <f t="shared" si="193"/>
        <v>1.8024017485561494E-2</v>
      </c>
      <c r="T599" s="39" t="str">
        <f t="shared" si="194"/>
        <v>OK</v>
      </c>
      <c r="U599" s="39" t="str">
        <f t="shared" si="195"/>
        <v>10-19%</v>
      </c>
      <c r="V599" s="39" t="str">
        <f>IF(E599&gt;=Analysis!$B$4,"High",IF(E599&gt;=Analysis!$B$5,"Mid","Low"))</f>
        <v>Mid</v>
      </c>
      <c r="W599" s="39" t="str">
        <f t="shared" si="196"/>
        <v>2023-10</v>
      </c>
      <c r="X599" s="40">
        <f t="shared" si="197"/>
        <v>45230</v>
      </c>
      <c r="Y599" s="39" t="str">
        <f t="shared" si="198"/>
        <v>2023-Q4</v>
      </c>
      <c r="Z599" s="39" t="str">
        <f t="shared" si="199"/>
        <v>Fri</v>
      </c>
      <c r="AA599" s="39">
        <f t="shared" si="200"/>
        <v>5</v>
      </c>
      <c r="AB599" s="39">
        <f t="shared" si="201"/>
        <v>43</v>
      </c>
      <c r="AC599" s="39" t="str">
        <f t="shared" si="202"/>
        <v>Weekday</v>
      </c>
      <c r="AD599" s="39">
        <f t="shared" ca="1" si="203"/>
        <v>1100</v>
      </c>
      <c r="AE599" s="39">
        <f t="shared" ca="1" si="204"/>
        <v>36</v>
      </c>
      <c r="AF599" s="39" t="str">
        <f t="shared" si="205"/>
        <v>DAV</v>
      </c>
      <c r="AG599" s="39" t="str">
        <f t="shared" si="206"/>
        <v>SR-231020-0598</v>
      </c>
      <c r="AH599" s="39" t="str">
        <f>IF(AND(OR(Filter!$B$4="All",D599=Filter!$B$4),OR(Filter!$B$5="All",M599=Filter!$B$5),E599&gt;=Filter!$B$6),MAX(AH$1:AH598)+1,"")</f>
        <v/>
      </c>
      <c r="AI599" s="39">
        <f t="shared" si="207"/>
        <v>10</v>
      </c>
      <c r="AJ599" s="42">
        <f t="shared" si="208"/>
        <v>0.12</v>
      </c>
      <c r="AK599" s="41">
        <f t="shared" si="209"/>
        <v>3387.21</v>
      </c>
      <c r="AL599" s="39">
        <f>RANK(E599,$E$2:$E$1001,0)+COUNTIF($E$2:E599,E599)-1</f>
        <v>296</v>
      </c>
    </row>
    <row r="600" spans="1:38" x14ac:dyDescent="0.2">
      <c r="A600" s="39">
        <v>1024</v>
      </c>
      <c r="B600" s="40">
        <v>45079</v>
      </c>
      <c r="C600" s="39" t="s">
        <v>61</v>
      </c>
      <c r="D600" s="39" t="s">
        <v>74</v>
      </c>
      <c r="E600" s="41">
        <v>1799.77</v>
      </c>
      <c r="F600" s="39">
        <v>2</v>
      </c>
      <c r="G600" s="39" t="s">
        <v>75</v>
      </c>
      <c r="H600" s="41">
        <v>3604.93</v>
      </c>
      <c r="I600" s="41">
        <v>3830.71</v>
      </c>
      <c r="J600" s="39" t="s">
        <v>137</v>
      </c>
      <c r="K600" s="42">
        <v>0.12</v>
      </c>
      <c r="L600" s="39" t="s">
        <v>73</v>
      </c>
      <c r="M600" s="39" t="s">
        <v>138</v>
      </c>
      <c r="N600" s="39" t="s">
        <v>158</v>
      </c>
      <c r="O600" s="43">
        <f t="shared" si="189"/>
        <v>7661.42</v>
      </c>
      <c r="P600" s="43">
        <f t="shared" si="190"/>
        <v>6742.05</v>
      </c>
      <c r="Q600" s="43">
        <f t="shared" si="191"/>
        <v>7209.86</v>
      </c>
      <c r="R600" s="43">
        <f t="shared" si="192"/>
        <v>-467.80999999999949</v>
      </c>
      <c r="S600" s="44">
        <f t="shared" si="193"/>
        <v>-6.9386907542957926E-2</v>
      </c>
      <c r="T600" s="39" t="str">
        <f t="shared" si="194"/>
        <v>Loss</v>
      </c>
      <c r="U600" s="39" t="str">
        <f t="shared" si="195"/>
        <v>10-19%</v>
      </c>
      <c r="V600" s="39" t="str">
        <f>IF(E600&gt;=Analysis!$B$4,"High",IF(E600&gt;=Analysis!$B$5,"Mid","Low"))</f>
        <v>Low</v>
      </c>
      <c r="W600" s="39" t="str">
        <f t="shared" si="196"/>
        <v>2023-06</v>
      </c>
      <c r="X600" s="40">
        <f t="shared" si="197"/>
        <v>45107</v>
      </c>
      <c r="Y600" s="39" t="str">
        <f t="shared" si="198"/>
        <v>2023-Q2</v>
      </c>
      <c r="Z600" s="39" t="str">
        <f t="shared" si="199"/>
        <v>Fri</v>
      </c>
      <c r="AA600" s="39">
        <f t="shared" si="200"/>
        <v>5</v>
      </c>
      <c r="AB600" s="39">
        <f t="shared" si="201"/>
        <v>23</v>
      </c>
      <c r="AC600" s="39" t="str">
        <f t="shared" si="202"/>
        <v>Weekday</v>
      </c>
      <c r="AD600" s="39">
        <f t="shared" ca="1" si="203"/>
        <v>1240</v>
      </c>
      <c r="AE600" s="39">
        <f t="shared" ca="1" si="204"/>
        <v>40</v>
      </c>
      <c r="AF600" s="39" t="str">
        <f t="shared" si="205"/>
        <v>ALI</v>
      </c>
      <c r="AG600" s="39" t="str">
        <f t="shared" si="206"/>
        <v>WO-230602-0599</v>
      </c>
      <c r="AH600" s="39" t="str">
        <f>IF(AND(OR(Filter!$B$4="All",D600=Filter!$B$4),OR(Filter!$B$5="All",M600=Filter!$B$5),E600&gt;=Filter!$B$6),MAX(AH$1:AH599)+1,"")</f>
        <v/>
      </c>
      <c r="AI600" s="39">
        <f t="shared" si="207"/>
        <v>2</v>
      </c>
      <c r="AJ600" s="42">
        <f t="shared" si="208"/>
        <v>0.12</v>
      </c>
      <c r="AK600" s="41">
        <f t="shared" si="209"/>
        <v>3830.71</v>
      </c>
      <c r="AL600" s="39">
        <f>RANK(E600,$E$2:$E$1001,0)+COUNTIF($E$2:E600,E600)-1</f>
        <v>837</v>
      </c>
    </row>
    <row r="601" spans="1:38" x14ac:dyDescent="0.2">
      <c r="A601" s="39">
        <v>1023</v>
      </c>
      <c r="B601" s="40">
        <v>45119</v>
      </c>
      <c r="C601" s="39" t="s">
        <v>61</v>
      </c>
      <c r="D601" s="39" t="s">
        <v>64</v>
      </c>
      <c r="E601" s="41">
        <v>5051.12</v>
      </c>
      <c r="F601" s="39">
        <v>2</v>
      </c>
      <c r="G601" s="39" t="s">
        <v>70</v>
      </c>
      <c r="H601" s="41">
        <v>665.89</v>
      </c>
      <c r="I601" s="41">
        <v>944.79</v>
      </c>
      <c r="J601" s="39" t="s">
        <v>143</v>
      </c>
      <c r="K601" s="42">
        <v>0.1</v>
      </c>
      <c r="L601" s="39" t="s">
        <v>73</v>
      </c>
      <c r="M601" s="39" t="s">
        <v>140</v>
      </c>
      <c r="N601" s="39" t="s">
        <v>156</v>
      </c>
      <c r="O601" s="43">
        <f t="shared" si="189"/>
        <v>1889.58</v>
      </c>
      <c r="P601" s="43">
        <f t="shared" si="190"/>
        <v>1700.62</v>
      </c>
      <c r="Q601" s="43">
        <f t="shared" si="191"/>
        <v>1331.78</v>
      </c>
      <c r="R601" s="43">
        <f t="shared" si="192"/>
        <v>368.83999999999992</v>
      </c>
      <c r="S601" s="44">
        <f t="shared" si="193"/>
        <v>0.21688560642589169</v>
      </c>
      <c r="T601" s="39" t="str">
        <f t="shared" si="194"/>
        <v>OK</v>
      </c>
      <c r="U601" s="39" t="str">
        <f t="shared" si="195"/>
        <v>10-19%</v>
      </c>
      <c r="V601" s="39" t="str">
        <f>IF(E601&gt;=Analysis!$B$4,"High",IF(E601&gt;=Analysis!$B$5,"Mid","Low"))</f>
        <v>Mid</v>
      </c>
      <c r="W601" s="39" t="str">
        <f t="shared" si="196"/>
        <v>2023-07</v>
      </c>
      <c r="X601" s="40">
        <f t="shared" si="197"/>
        <v>45138</v>
      </c>
      <c r="Y601" s="39" t="str">
        <f t="shared" si="198"/>
        <v>2023-Q3</v>
      </c>
      <c r="Z601" s="39" t="str">
        <f t="shared" si="199"/>
        <v>Wed</v>
      </c>
      <c r="AA601" s="39">
        <f t="shared" si="200"/>
        <v>3</v>
      </c>
      <c r="AB601" s="39">
        <f t="shared" si="201"/>
        <v>29</v>
      </c>
      <c r="AC601" s="39" t="str">
        <f t="shared" si="202"/>
        <v>Weekday</v>
      </c>
      <c r="AD601" s="39">
        <f t="shared" ca="1" si="203"/>
        <v>1200</v>
      </c>
      <c r="AE601" s="39">
        <f t="shared" ca="1" si="204"/>
        <v>39</v>
      </c>
      <c r="AF601" s="39" t="str">
        <f t="shared" si="205"/>
        <v>ALI</v>
      </c>
      <c r="AG601" s="39" t="str">
        <f t="shared" si="206"/>
        <v>NR-230712-0600</v>
      </c>
      <c r="AH601" s="39" t="str">
        <f>IF(AND(OR(Filter!$B$4="All",D601=Filter!$B$4),OR(Filter!$B$5="All",M601=Filter!$B$5),E601&gt;=Filter!$B$6),MAX(AH$1:AH600)+1,"")</f>
        <v/>
      </c>
      <c r="AI601" s="39">
        <f t="shared" si="207"/>
        <v>2</v>
      </c>
      <c r="AJ601" s="42">
        <f t="shared" si="208"/>
        <v>0.1</v>
      </c>
      <c r="AK601" s="41">
        <f t="shared" si="209"/>
        <v>944.79</v>
      </c>
      <c r="AL601" s="39">
        <f>RANK(E601,$E$2:$E$1001,0)+COUNTIF($E$2:E601,E601)-1</f>
        <v>498</v>
      </c>
    </row>
    <row r="602" spans="1:38" x14ac:dyDescent="0.2">
      <c r="A602" s="39">
        <v>1062</v>
      </c>
      <c r="B602" s="40">
        <v>44999</v>
      </c>
      <c r="C602" s="39" t="s">
        <v>61</v>
      </c>
      <c r="D602" s="39" t="s">
        <v>59</v>
      </c>
      <c r="E602" s="41">
        <v>4178.3900000000003</v>
      </c>
      <c r="F602" s="39">
        <v>24</v>
      </c>
      <c r="G602" s="39" t="s">
        <v>70</v>
      </c>
      <c r="H602" s="41">
        <v>3018.01</v>
      </c>
      <c r="I602" s="41">
        <v>3418.19</v>
      </c>
      <c r="J602" s="39" t="s">
        <v>137</v>
      </c>
      <c r="K602" s="42">
        <v>0.23</v>
      </c>
      <c r="L602" s="39" t="s">
        <v>63</v>
      </c>
      <c r="M602" s="39" t="s">
        <v>140</v>
      </c>
      <c r="N602" s="39" t="s">
        <v>159</v>
      </c>
      <c r="O602" s="43">
        <f t="shared" si="189"/>
        <v>82036.56</v>
      </c>
      <c r="P602" s="43">
        <f t="shared" si="190"/>
        <v>63168.15</v>
      </c>
      <c r="Q602" s="43">
        <f t="shared" si="191"/>
        <v>72432.240000000005</v>
      </c>
      <c r="R602" s="43">
        <f t="shared" si="192"/>
        <v>-9264.0900000000038</v>
      </c>
      <c r="S602" s="44">
        <f t="shared" si="193"/>
        <v>-0.14665761147033757</v>
      </c>
      <c r="T602" s="39" t="str">
        <f t="shared" si="194"/>
        <v>Loss</v>
      </c>
      <c r="U602" s="39" t="str">
        <f t="shared" si="195"/>
        <v>20%+</v>
      </c>
      <c r="V602" s="39" t="str">
        <f>IF(E602&gt;=Analysis!$B$4,"High",IF(E602&gt;=Analysis!$B$5,"Mid","Low"))</f>
        <v>Mid</v>
      </c>
      <c r="W602" s="39" t="str">
        <f t="shared" si="196"/>
        <v>2023-03</v>
      </c>
      <c r="X602" s="40">
        <f t="shared" si="197"/>
        <v>45016</v>
      </c>
      <c r="Y602" s="39" t="str">
        <f t="shared" si="198"/>
        <v>2023-Q1</v>
      </c>
      <c r="Z602" s="39" t="str">
        <f t="shared" si="199"/>
        <v>Tue</v>
      </c>
      <c r="AA602" s="39">
        <f t="shared" si="200"/>
        <v>2</v>
      </c>
      <c r="AB602" s="39">
        <f t="shared" si="201"/>
        <v>12</v>
      </c>
      <c r="AC602" s="39" t="str">
        <f t="shared" si="202"/>
        <v>Weekday</v>
      </c>
      <c r="AD602" s="39">
        <f t="shared" ca="1" si="203"/>
        <v>1320</v>
      </c>
      <c r="AE602" s="39">
        <f t="shared" ca="1" si="204"/>
        <v>43</v>
      </c>
      <c r="AF602" s="39" t="str">
        <f t="shared" si="205"/>
        <v>ALI</v>
      </c>
      <c r="AG602" s="39" t="str">
        <f t="shared" si="206"/>
        <v>ER-230314-0601</v>
      </c>
      <c r="AH602" s="39" t="str">
        <f>IF(AND(OR(Filter!$B$4="All",D602=Filter!$B$4),OR(Filter!$B$5="All",M602=Filter!$B$5),E602&gt;=Filter!$B$6),MAX(AH$1:AH601)+1,"")</f>
        <v/>
      </c>
      <c r="AI602" s="39">
        <f t="shared" si="207"/>
        <v>24</v>
      </c>
      <c r="AJ602" s="42">
        <f t="shared" si="208"/>
        <v>0.23</v>
      </c>
      <c r="AK602" s="41">
        <f t="shared" si="209"/>
        <v>3418.19</v>
      </c>
      <c r="AL602" s="39">
        <f>RANK(E602,$E$2:$E$1001,0)+COUNTIF($E$2:E602,E602)-1</f>
        <v>581</v>
      </c>
    </row>
    <row r="603" spans="1:38" x14ac:dyDescent="0.2">
      <c r="A603" s="39">
        <v>1096</v>
      </c>
      <c r="B603" s="40">
        <v>45231</v>
      </c>
      <c r="C603" s="39" t="s">
        <v>66</v>
      </c>
      <c r="D603" s="39" t="s">
        <v>69</v>
      </c>
      <c r="E603" s="41">
        <v>8718.2199999999993</v>
      </c>
      <c r="F603" s="39">
        <v>17</v>
      </c>
      <c r="G603" s="39" t="s">
        <v>70</v>
      </c>
      <c r="H603" s="41">
        <v>2774.24</v>
      </c>
      <c r="I603" s="41">
        <v>3069.94</v>
      </c>
      <c r="J603" s="39" t="s">
        <v>137</v>
      </c>
      <c r="K603" s="42">
        <v>0.23</v>
      </c>
      <c r="L603" s="39" t="s">
        <v>63</v>
      </c>
      <c r="M603" s="39" t="s">
        <v>140</v>
      </c>
      <c r="N603" s="39" t="s">
        <v>144</v>
      </c>
      <c r="O603" s="43">
        <f t="shared" si="189"/>
        <v>52188.98</v>
      </c>
      <c r="P603" s="43">
        <f t="shared" si="190"/>
        <v>40185.51</v>
      </c>
      <c r="Q603" s="43">
        <f t="shared" si="191"/>
        <v>47162.080000000002</v>
      </c>
      <c r="R603" s="43">
        <f t="shared" si="192"/>
        <v>-6976.57</v>
      </c>
      <c r="S603" s="44">
        <f t="shared" si="193"/>
        <v>-0.17360909442234276</v>
      </c>
      <c r="T603" s="39" t="str">
        <f t="shared" si="194"/>
        <v>Loss</v>
      </c>
      <c r="U603" s="39" t="str">
        <f t="shared" si="195"/>
        <v>20%+</v>
      </c>
      <c r="V603" s="39" t="str">
        <f>IF(E603&gt;=Analysis!$B$4,"High",IF(E603&gt;=Analysis!$B$5,"Mid","Low"))</f>
        <v>High</v>
      </c>
      <c r="W603" s="39" t="str">
        <f t="shared" si="196"/>
        <v>2023-11</v>
      </c>
      <c r="X603" s="40">
        <f t="shared" si="197"/>
        <v>45260</v>
      </c>
      <c r="Y603" s="39" t="str">
        <f t="shared" si="198"/>
        <v>2023-Q4</v>
      </c>
      <c r="Z603" s="39" t="str">
        <f t="shared" si="199"/>
        <v>Wed</v>
      </c>
      <c r="AA603" s="39">
        <f t="shared" si="200"/>
        <v>3</v>
      </c>
      <c r="AB603" s="39">
        <f t="shared" si="201"/>
        <v>45</v>
      </c>
      <c r="AC603" s="39" t="str">
        <f t="shared" si="202"/>
        <v>Weekday</v>
      </c>
      <c r="AD603" s="39">
        <f t="shared" ca="1" si="203"/>
        <v>1088</v>
      </c>
      <c r="AE603" s="39">
        <f t="shared" ca="1" si="204"/>
        <v>35</v>
      </c>
      <c r="AF603" s="39" t="str">
        <f t="shared" si="205"/>
        <v>BOB</v>
      </c>
      <c r="AG603" s="39" t="str">
        <f t="shared" si="206"/>
        <v>SR-231101-0602</v>
      </c>
      <c r="AH603" s="39" t="str">
        <f>IF(AND(OR(Filter!$B$4="All",D603=Filter!$B$4),OR(Filter!$B$5="All",M603=Filter!$B$5),E603&gt;=Filter!$B$6),MAX(AH$1:AH602)+1,"")</f>
        <v/>
      </c>
      <c r="AI603" s="39">
        <f t="shared" si="207"/>
        <v>17</v>
      </c>
      <c r="AJ603" s="42">
        <f t="shared" si="208"/>
        <v>0.23</v>
      </c>
      <c r="AK603" s="41">
        <f t="shared" si="209"/>
        <v>3069.94</v>
      </c>
      <c r="AL603" s="39">
        <f>RANK(E603,$E$2:$E$1001,0)+COUNTIF($E$2:E603,E603)-1</f>
        <v>120</v>
      </c>
    </row>
    <row r="604" spans="1:38" x14ac:dyDescent="0.2">
      <c r="A604" s="39">
        <v>1037</v>
      </c>
      <c r="B604" s="40">
        <v>45270</v>
      </c>
      <c r="C604" s="39" t="s">
        <v>66</v>
      </c>
      <c r="D604" s="39" t="s">
        <v>64</v>
      </c>
      <c r="E604" s="41">
        <v>6351.05</v>
      </c>
      <c r="F604" s="39">
        <v>32</v>
      </c>
      <c r="G604" s="39" t="s">
        <v>65</v>
      </c>
      <c r="H604" s="41">
        <v>2594.08</v>
      </c>
      <c r="I604" s="41">
        <v>3074.59</v>
      </c>
      <c r="J604" s="39" t="s">
        <v>143</v>
      </c>
      <c r="K604" s="42">
        <v>0.14000000000000001</v>
      </c>
      <c r="L604" s="39" t="s">
        <v>68</v>
      </c>
      <c r="M604" s="39" t="s">
        <v>140</v>
      </c>
      <c r="N604" s="39" t="s">
        <v>139</v>
      </c>
      <c r="O604" s="43">
        <f t="shared" si="189"/>
        <v>98386.880000000005</v>
      </c>
      <c r="P604" s="43">
        <f t="shared" si="190"/>
        <v>84612.72</v>
      </c>
      <c r="Q604" s="43">
        <f t="shared" si="191"/>
        <v>83010.559999999998</v>
      </c>
      <c r="R604" s="43">
        <f t="shared" si="192"/>
        <v>1602.1600000000035</v>
      </c>
      <c r="S604" s="44">
        <f t="shared" si="193"/>
        <v>1.8935214468935681E-2</v>
      </c>
      <c r="T604" s="39" t="str">
        <f t="shared" si="194"/>
        <v>OK</v>
      </c>
      <c r="U604" s="39" t="str">
        <f t="shared" si="195"/>
        <v>10-19%</v>
      </c>
      <c r="V604" s="39" t="str">
        <f>IF(E604&gt;=Analysis!$B$4,"High",IF(E604&gt;=Analysis!$B$5,"Mid","Low"))</f>
        <v>Mid</v>
      </c>
      <c r="W604" s="39" t="str">
        <f t="shared" si="196"/>
        <v>2023-12</v>
      </c>
      <c r="X604" s="40">
        <f t="shared" si="197"/>
        <v>45291</v>
      </c>
      <c r="Y604" s="39" t="str">
        <f t="shared" si="198"/>
        <v>2023-Q4</v>
      </c>
      <c r="Z604" s="39" t="str">
        <f t="shared" si="199"/>
        <v>Sun</v>
      </c>
      <c r="AA604" s="39">
        <f t="shared" si="200"/>
        <v>7</v>
      </c>
      <c r="AB604" s="39">
        <f t="shared" si="201"/>
        <v>50</v>
      </c>
      <c r="AC604" s="39" t="str">
        <f t="shared" si="202"/>
        <v>Weekend</v>
      </c>
      <c r="AD604" s="39">
        <f t="shared" ca="1" si="203"/>
        <v>1049</v>
      </c>
      <c r="AE604" s="39">
        <f t="shared" ca="1" si="204"/>
        <v>34</v>
      </c>
      <c r="AF604" s="39" t="str">
        <f t="shared" si="205"/>
        <v>BOB</v>
      </c>
      <c r="AG604" s="39" t="str">
        <f t="shared" si="206"/>
        <v>NR-231210-0603</v>
      </c>
      <c r="AH604" s="39" t="str">
        <f>IF(AND(OR(Filter!$B$4="All",D604=Filter!$B$4),OR(Filter!$B$5="All",M604=Filter!$B$5),E604&gt;=Filter!$B$6),MAX(AH$1:AH603)+1,"")</f>
        <v/>
      </c>
      <c r="AI604" s="39">
        <f t="shared" si="207"/>
        <v>32</v>
      </c>
      <c r="AJ604" s="42">
        <f t="shared" si="208"/>
        <v>0.14000000000000001</v>
      </c>
      <c r="AK604" s="41">
        <f t="shared" si="209"/>
        <v>3074.59</v>
      </c>
      <c r="AL604" s="39">
        <f>RANK(E604,$E$2:$E$1001,0)+COUNTIF($E$2:E604,E604)-1</f>
        <v>373</v>
      </c>
    </row>
    <row r="605" spans="1:38" x14ac:dyDescent="0.2">
      <c r="A605" s="39">
        <v>1012</v>
      </c>
      <c r="B605" s="40">
        <v>45066</v>
      </c>
      <c r="C605" s="39" t="s">
        <v>66</v>
      </c>
      <c r="D605" s="39" t="s">
        <v>64</v>
      </c>
      <c r="E605" s="41">
        <v>5371.79</v>
      </c>
      <c r="F605" s="39">
        <v>16</v>
      </c>
      <c r="G605" s="39" t="s">
        <v>70</v>
      </c>
      <c r="H605" s="41">
        <v>3466.11</v>
      </c>
      <c r="I605" s="41">
        <v>3799.67</v>
      </c>
      <c r="J605" s="39" t="s">
        <v>137</v>
      </c>
      <c r="K605" s="42">
        <v>0.01</v>
      </c>
      <c r="L605" s="39" t="s">
        <v>68</v>
      </c>
      <c r="M605" s="39" t="s">
        <v>140</v>
      </c>
      <c r="N605" s="39" t="s">
        <v>139</v>
      </c>
      <c r="O605" s="43">
        <f t="shared" si="189"/>
        <v>60794.720000000001</v>
      </c>
      <c r="P605" s="43">
        <f t="shared" si="190"/>
        <v>60186.77</v>
      </c>
      <c r="Q605" s="43">
        <f t="shared" si="191"/>
        <v>55457.760000000002</v>
      </c>
      <c r="R605" s="43">
        <f t="shared" si="192"/>
        <v>4729.0099999999948</v>
      </c>
      <c r="S605" s="44">
        <f t="shared" si="193"/>
        <v>7.8572251011310212E-2</v>
      </c>
      <c r="T605" s="39" t="str">
        <f t="shared" si="194"/>
        <v>OK</v>
      </c>
      <c r="U605" s="39" t="str">
        <f t="shared" si="195"/>
        <v>0-9%</v>
      </c>
      <c r="V605" s="39" t="str">
        <f>IF(E605&gt;=Analysis!$B$4,"High",IF(E605&gt;=Analysis!$B$5,"Mid","Low"))</f>
        <v>Mid</v>
      </c>
      <c r="W605" s="39" t="str">
        <f t="shared" si="196"/>
        <v>2023-05</v>
      </c>
      <c r="X605" s="40">
        <f t="shared" si="197"/>
        <v>45077</v>
      </c>
      <c r="Y605" s="39" t="str">
        <f t="shared" si="198"/>
        <v>2023-Q2</v>
      </c>
      <c r="Z605" s="39" t="str">
        <f t="shared" si="199"/>
        <v>Sat</v>
      </c>
      <c r="AA605" s="39">
        <f t="shared" si="200"/>
        <v>6</v>
      </c>
      <c r="AB605" s="39">
        <f t="shared" si="201"/>
        <v>21</v>
      </c>
      <c r="AC605" s="39" t="str">
        <f t="shared" si="202"/>
        <v>Weekend</v>
      </c>
      <c r="AD605" s="39">
        <f t="shared" ca="1" si="203"/>
        <v>1253</v>
      </c>
      <c r="AE605" s="39">
        <f t="shared" ca="1" si="204"/>
        <v>41</v>
      </c>
      <c r="AF605" s="39" t="str">
        <f t="shared" si="205"/>
        <v>BOB</v>
      </c>
      <c r="AG605" s="39" t="str">
        <f t="shared" si="206"/>
        <v>NR-230520-0604</v>
      </c>
      <c r="AH605" s="39" t="str">
        <f>IF(AND(OR(Filter!$B$4="All",D605=Filter!$B$4),OR(Filter!$B$5="All",M605=Filter!$B$5),E605&gt;=Filter!$B$6),MAX(AH$1:AH604)+1,"")</f>
        <v/>
      </c>
      <c r="AI605" s="39">
        <f t="shared" si="207"/>
        <v>16</v>
      </c>
      <c r="AJ605" s="42">
        <f t="shared" si="208"/>
        <v>0.01</v>
      </c>
      <c r="AK605" s="41">
        <f t="shared" si="209"/>
        <v>3799.67</v>
      </c>
      <c r="AL605" s="39">
        <f>RANK(E605,$E$2:$E$1001,0)+COUNTIF($E$2:E605,E605)-1</f>
        <v>467</v>
      </c>
    </row>
    <row r="606" spans="1:38" x14ac:dyDescent="0.2">
      <c r="A606" s="39">
        <v>1055</v>
      </c>
      <c r="B606" s="40">
        <v>45113</v>
      </c>
      <c r="C606" s="39" t="s">
        <v>79</v>
      </c>
      <c r="D606" s="39" t="s">
        <v>69</v>
      </c>
      <c r="E606" s="41">
        <v>1242.4100000000001</v>
      </c>
      <c r="F606" s="39">
        <v>16</v>
      </c>
      <c r="G606" s="39" t="s">
        <v>60</v>
      </c>
      <c r="H606" s="41">
        <v>4195.38</v>
      </c>
      <c r="I606" s="41">
        <v>4461.51</v>
      </c>
      <c r="J606" s="39" t="s">
        <v>137</v>
      </c>
      <c r="K606" s="42">
        <v>0.09</v>
      </c>
      <c r="L606" s="39" t="s">
        <v>63</v>
      </c>
      <c r="M606" s="39" t="s">
        <v>138</v>
      </c>
      <c r="N606" s="39" t="s">
        <v>147</v>
      </c>
      <c r="O606" s="43">
        <f t="shared" si="189"/>
        <v>71384.160000000003</v>
      </c>
      <c r="P606" s="43">
        <f t="shared" si="190"/>
        <v>64959.59</v>
      </c>
      <c r="Q606" s="43">
        <f t="shared" si="191"/>
        <v>67126.080000000002</v>
      </c>
      <c r="R606" s="43">
        <f t="shared" si="192"/>
        <v>-2166.4900000000052</v>
      </c>
      <c r="S606" s="44">
        <f t="shared" si="193"/>
        <v>-3.3351349662151586E-2</v>
      </c>
      <c r="T606" s="39" t="str">
        <f t="shared" si="194"/>
        <v>Loss</v>
      </c>
      <c r="U606" s="39" t="str">
        <f t="shared" si="195"/>
        <v>0-9%</v>
      </c>
      <c r="V606" s="39" t="str">
        <f>IF(E606&gt;=Analysis!$B$4,"High",IF(E606&gt;=Analysis!$B$5,"Mid","Low"))</f>
        <v>Low</v>
      </c>
      <c r="W606" s="39" t="str">
        <f t="shared" si="196"/>
        <v>2023-07</v>
      </c>
      <c r="X606" s="40">
        <f t="shared" si="197"/>
        <v>45138</v>
      </c>
      <c r="Y606" s="39" t="str">
        <f t="shared" si="198"/>
        <v>2023-Q3</v>
      </c>
      <c r="Z606" s="39" t="str">
        <f t="shared" si="199"/>
        <v>Thu</v>
      </c>
      <c r="AA606" s="39">
        <f t="shared" si="200"/>
        <v>4</v>
      </c>
      <c r="AB606" s="39">
        <f t="shared" si="201"/>
        <v>28</v>
      </c>
      <c r="AC606" s="39" t="str">
        <f t="shared" si="202"/>
        <v>Weekday</v>
      </c>
      <c r="AD606" s="39">
        <f t="shared" ca="1" si="203"/>
        <v>1206</v>
      </c>
      <c r="AE606" s="39">
        <f t="shared" ca="1" si="204"/>
        <v>39</v>
      </c>
      <c r="AF606" s="39" t="str">
        <f t="shared" si="205"/>
        <v>EVE</v>
      </c>
      <c r="AG606" s="39" t="str">
        <f t="shared" si="206"/>
        <v>SO-230706-0605</v>
      </c>
      <c r="AH606" s="39" t="str">
        <f>IF(AND(OR(Filter!$B$4="All",D606=Filter!$B$4),OR(Filter!$B$5="All",M606=Filter!$B$5),E606&gt;=Filter!$B$6),MAX(AH$1:AH605)+1,"")</f>
        <v/>
      </c>
      <c r="AI606" s="39">
        <f t="shared" si="207"/>
        <v>16</v>
      </c>
      <c r="AJ606" s="42">
        <f t="shared" si="208"/>
        <v>0.09</v>
      </c>
      <c r="AK606" s="41">
        <f t="shared" si="209"/>
        <v>4461.51</v>
      </c>
      <c r="AL606" s="39">
        <f>RANK(E606,$E$2:$E$1001,0)+COUNTIF($E$2:E606,E606)-1</f>
        <v>886</v>
      </c>
    </row>
    <row r="607" spans="1:38" x14ac:dyDescent="0.2">
      <c r="A607" s="39">
        <v>1013</v>
      </c>
      <c r="B607" s="40">
        <v>45219</v>
      </c>
      <c r="C607" s="39" t="s">
        <v>76</v>
      </c>
      <c r="D607" s="39" t="s">
        <v>59</v>
      </c>
      <c r="E607" s="41">
        <v>6095.82</v>
      </c>
      <c r="F607" s="39">
        <v>46</v>
      </c>
      <c r="G607" s="39" t="s">
        <v>65</v>
      </c>
      <c r="H607" s="41">
        <v>1648.8</v>
      </c>
      <c r="I607" s="41">
        <v>1670.36</v>
      </c>
      <c r="J607" s="39" t="s">
        <v>137</v>
      </c>
      <c r="K607" s="42">
        <v>0.09</v>
      </c>
      <c r="L607" s="39" t="s">
        <v>73</v>
      </c>
      <c r="M607" s="39" t="s">
        <v>140</v>
      </c>
      <c r="N607" s="39" t="s">
        <v>157</v>
      </c>
      <c r="O607" s="43">
        <f t="shared" si="189"/>
        <v>76836.56</v>
      </c>
      <c r="P607" s="43">
        <f t="shared" si="190"/>
        <v>69921.27</v>
      </c>
      <c r="Q607" s="43">
        <f t="shared" si="191"/>
        <v>75844.800000000003</v>
      </c>
      <c r="R607" s="43">
        <f t="shared" si="192"/>
        <v>-5923.5299999999988</v>
      </c>
      <c r="S607" s="44">
        <f t="shared" si="193"/>
        <v>-8.4717139720145218E-2</v>
      </c>
      <c r="T607" s="39" t="str">
        <f t="shared" si="194"/>
        <v>Loss</v>
      </c>
      <c r="U607" s="39" t="str">
        <f t="shared" si="195"/>
        <v>0-9%</v>
      </c>
      <c r="V607" s="39" t="str">
        <f>IF(E607&gt;=Analysis!$B$4,"High",IF(E607&gt;=Analysis!$B$5,"Mid","Low"))</f>
        <v>Mid</v>
      </c>
      <c r="W607" s="39" t="str">
        <f t="shared" si="196"/>
        <v>2023-10</v>
      </c>
      <c r="X607" s="40">
        <f t="shared" si="197"/>
        <v>45230</v>
      </c>
      <c r="Y607" s="39" t="str">
        <f t="shared" si="198"/>
        <v>2023-Q4</v>
      </c>
      <c r="Z607" s="39" t="str">
        <f t="shared" si="199"/>
        <v>Fri</v>
      </c>
      <c r="AA607" s="39">
        <f t="shared" si="200"/>
        <v>5</v>
      </c>
      <c r="AB607" s="39">
        <f t="shared" si="201"/>
        <v>43</v>
      </c>
      <c r="AC607" s="39" t="str">
        <f t="shared" si="202"/>
        <v>Weekday</v>
      </c>
      <c r="AD607" s="39">
        <f t="shared" ca="1" si="203"/>
        <v>1100</v>
      </c>
      <c r="AE607" s="39">
        <f t="shared" ca="1" si="204"/>
        <v>36</v>
      </c>
      <c r="AF607" s="39" t="str">
        <f t="shared" si="205"/>
        <v>DAV</v>
      </c>
      <c r="AG607" s="39" t="str">
        <f t="shared" si="206"/>
        <v>ER-231020-0606</v>
      </c>
      <c r="AH607" s="39" t="str">
        <f>IF(AND(OR(Filter!$B$4="All",D607=Filter!$B$4),OR(Filter!$B$5="All",M607=Filter!$B$5),E607&gt;=Filter!$B$6),MAX(AH$1:AH606)+1,"")</f>
        <v/>
      </c>
      <c r="AI607" s="39">
        <f t="shared" si="207"/>
        <v>46</v>
      </c>
      <c r="AJ607" s="42">
        <f t="shared" si="208"/>
        <v>0.09</v>
      </c>
      <c r="AK607" s="41">
        <f t="shared" si="209"/>
        <v>1670.36</v>
      </c>
      <c r="AL607" s="39">
        <f>RANK(E607,$E$2:$E$1001,0)+COUNTIF($E$2:E607,E607)-1</f>
        <v>399</v>
      </c>
    </row>
    <row r="608" spans="1:38" x14ac:dyDescent="0.2">
      <c r="A608" s="39">
        <v>1023</v>
      </c>
      <c r="B608" s="40">
        <v>44987</v>
      </c>
      <c r="C608" s="39" t="s">
        <v>76</v>
      </c>
      <c r="D608" s="39" t="s">
        <v>74</v>
      </c>
      <c r="E608" s="41">
        <v>1260.32</v>
      </c>
      <c r="F608" s="39">
        <v>39</v>
      </c>
      <c r="G608" s="39" t="s">
        <v>70</v>
      </c>
      <c r="H608" s="41">
        <v>4450.6099999999997</v>
      </c>
      <c r="I608" s="41">
        <v>4663.34</v>
      </c>
      <c r="J608" s="39" t="s">
        <v>143</v>
      </c>
      <c r="K608" s="42">
        <v>0.24</v>
      </c>
      <c r="L608" s="39" t="s">
        <v>68</v>
      </c>
      <c r="M608" s="39" t="s">
        <v>140</v>
      </c>
      <c r="N608" s="39" t="s">
        <v>154</v>
      </c>
      <c r="O608" s="43">
        <f t="shared" si="189"/>
        <v>181870.26</v>
      </c>
      <c r="P608" s="43">
        <f t="shared" si="190"/>
        <v>138221.4</v>
      </c>
      <c r="Q608" s="43">
        <f t="shared" si="191"/>
        <v>173573.79</v>
      </c>
      <c r="R608" s="43">
        <f t="shared" si="192"/>
        <v>-35352.390000000014</v>
      </c>
      <c r="S608" s="44">
        <f t="shared" si="193"/>
        <v>-0.25576640086122709</v>
      </c>
      <c r="T608" s="39" t="str">
        <f t="shared" si="194"/>
        <v>Loss</v>
      </c>
      <c r="U608" s="39" t="str">
        <f t="shared" si="195"/>
        <v>20%+</v>
      </c>
      <c r="V608" s="39" t="str">
        <f>IF(E608&gt;=Analysis!$B$4,"High",IF(E608&gt;=Analysis!$B$5,"Mid","Low"))</f>
        <v>Low</v>
      </c>
      <c r="W608" s="39" t="str">
        <f t="shared" si="196"/>
        <v>2023-03</v>
      </c>
      <c r="X608" s="40">
        <f t="shared" si="197"/>
        <v>45016</v>
      </c>
      <c r="Y608" s="39" t="str">
        <f t="shared" si="198"/>
        <v>2023-Q1</v>
      </c>
      <c r="Z608" s="39" t="str">
        <f t="shared" si="199"/>
        <v>Thu</v>
      </c>
      <c r="AA608" s="39">
        <f t="shared" si="200"/>
        <v>4</v>
      </c>
      <c r="AB608" s="39">
        <f t="shared" si="201"/>
        <v>10</v>
      </c>
      <c r="AC608" s="39" t="str">
        <f t="shared" si="202"/>
        <v>Weekday</v>
      </c>
      <c r="AD608" s="39">
        <f t="shared" ca="1" si="203"/>
        <v>1332</v>
      </c>
      <c r="AE608" s="39">
        <f t="shared" ca="1" si="204"/>
        <v>43</v>
      </c>
      <c r="AF608" s="39" t="str">
        <f t="shared" si="205"/>
        <v>DAV</v>
      </c>
      <c r="AG608" s="39" t="str">
        <f t="shared" si="206"/>
        <v>WR-230302-0607</v>
      </c>
      <c r="AH608" s="39" t="str">
        <f>IF(AND(OR(Filter!$B$4="All",D608=Filter!$B$4),OR(Filter!$B$5="All",M608=Filter!$B$5),E608&gt;=Filter!$B$6),MAX(AH$1:AH607)+1,"")</f>
        <v/>
      </c>
      <c r="AI608" s="39">
        <f t="shared" si="207"/>
        <v>39</v>
      </c>
      <c r="AJ608" s="42">
        <f t="shared" si="208"/>
        <v>0.24</v>
      </c>
      <c r="AK608" s="41">
        <f t="shared" si="209"/>
        <v>4663.34</v>
      </c>
      <c r="AL608" s="39">
        <f>RANK(E608,$E$2:$E$1001,0)+COUNTIF($E$2:E608,E608)-1</f>
        <v>885</v>
      </c>
    </row>
    <row r="609" spans="1:38" x14ac:dyDescent="0.2">
      <c r="A609" s="39">
        <v>1089</v>
      </c>
      <c r="B609" s="40">
        <v>45124</v>
      </c>
      <c r="C609" s="39" t="s">
        <v>71</v>
      </c>
      <c r="D609" s="39" t="s">
        <v>64</v>
      </c>
      <c r="E609" s="41">
        <v>3438.35</v>
      </c>
      <c r="F609" s="39">
        <v>31</v>
      </c>
      <c r="G609" s="39" t="s">
        <v>60</v>
      </c>
      <c r="H609" s="41">
        <v>845.14</v>
      </c>
      <c r="I609" s="41">
        <v>1001.77</v>
      </c>
      <c r="J609" s="39" t="s">
        <v>143</v>
      </c>
      <c r="K609" s="42">
        <v>0.03</v>
      </c>
      <c r="L609" s="39" t="s">
        <v>68</v>
      </c>
      <c r="M609" s="39" t="s">
        <v>138</v>
      </c>
      <c r="N609" s="39" t="s">
        <v>160</v>
      </c>
      <c r="O609" s="43">
        <f t="shared" si="189"/>
        <v>31054.87</v>
      </c>
      <c r="P609" s="43">
        <f t="shared" si="190"/>
        <v>30123.22</v>
      </c>
      <c r="Q609" s="43">
        <f t="shared" si="191"/>
        <v>26199.34</v>
      </c>
      <c r="R609" s="43">
        <f t="shared" si="192"/>
        <v>3923.880000000001</v>
      </c>
      <c r="S609" s="44">
        <f t="shared" si="193"/>
        <v>0.13026097475635079</v>
      </c>
      <c r="T609" s="39" t="str">
        <f t="shared" si="194"/>
        <v>OK</v>
      </c>
      <c r="U609" s="39" t="str">
        <f t="shared" si="195"/>
        <v>0-9%</v>
      </c>
      <c r="V609" s="39" t="str">
        <f>IF(E609&gt;=Analysis!$B$4,"High",IF(E609&gt;=Analysis!$B$5,"Mid","Low"))</f>
        <v>Mid</v>
      </c>
      <c r="W609" s="39" t="str">
        <f t="shared" si="196"/>
        <v>2023-07</v>
      </c>
      <c r="X609" s="40">
        <f t="shared" si="197"/>
        <v>45138</v>
      </c>
      <c r="Y609" s="39" t="str">
        <f t="shared" si="198"/>
        <v>2023-Q3</v>
      </c>
      <c r="Z609" s="39" t="str">
        <f t="shared" si="199"/>
        <v>Mon</v>
      </c>
      <c r="AA609" s="39">
        <f t="shared" si="200"/>
        <v>1</v>
      </c>
      <c r="AB609" s="39">
        <f t="shared" si="201"/>
        <v>30</v>
      </c>
      <c r="AC609" s="39" t="str">
        <f t="shared" si="202"/>
        <v>Weekday</v>
      </c>
      <c r="AD609" s="39">
        <f t="shared" ca="1" si="203"/>
        <v>1195</v>
      </c>
      <c r="AE609" s="39">
        <f t="shared" ca="1" si="204"/>
        <v>39</v>
      </c>
      <c r="AF609" s="39" t="str">
        <f t="shared" si="205"/>
        <v>CHA</v>
      </c>
      <c r="AG609" s="39" t="str">
        <f t="shared" si="206"/>
        <v>NO-230717-0608</v>
      </c>
      <c r="AH609" s="39" t="str">
        <f>IF(AND(OR(Filter!$B$4="All",D609=Filter!$B$4),OR(Filter!$B$5="All",M609=Filter!$B$5),E609&gt;=Filter!$B$6),MAX(AH$1:AH608)+1,"")</f>
        <v/>
      </c>
      <c r="AI609" s="39">
        <f t="shared" si="207"/>
        <v>31</v>
      </c>
      <c r="AJ609" s="42">
        <f t="shared" si="208"/>
        <v>0.03</v>
      </c>
      <c r="AK609" s="41">
        <f t="shared" si="209"/>
        <v>1001.77</v>
      </c>
      <c r="AL609" s="39">
        <f>RANK(E609,$E$2:$E$1001,0)+COUNTIF($E$2:E609,E609)-1</f>
        <v>653</v>
      </c>
    </row>
    <row r="610" spans="1:38" x14ac:dyDescent="0.2">
      <c r="A610" s="39">
        <v>1099</v>
      </c>
      <c r="B610" s="40">
        <v>45221</v>
      </c>
      <c r="C610" s="39" t="s">
        <v>66</v>
      </c>
      <c r="D610" s="39" t="s">
        <v>74</v>
      </c>
      <c r="E610" s="41">
        <v>1514.14</v>
      </c>
      <c r="F610" s="39">
        <v>43</v>
      </c>
      <c r="G610" s="39" t="s">
        <v>60</v>
      </c>
      <c r="H610" s="41">
        <v>906.47</v>
      </c>
      <c r="I610" s="41">
        <v>1283.04</v>
      </c>
      <c r="J610" s="39" t="s">
        <v>143</v>
      </c>
      <c r="K610" s="42">
        <v>0.24</v>
      </c>
      <c r="L610" s="39" t="s">
        <v>68</v>
      </c>
      <c r="M610" s="39" t="s">
        <v>138</v>
      </c>
      <c r="N610" s="39" t="s">
        <v>141</v>
      </c>
      <c r="O610" s="43">
        <f t="shared" si="189"/>
        <v>55170.720000000001</v>
      </c>
      <c r="P610" s="43">
        <f t="shared" si="190"/>
        <v>41929.75</v>
      </c>
      <c r="Q610" s="43">
        <f t="shared" si="191"/>
        <v>38978.21</v>
      </c>
      <c r="R610" s="43">
        <f t="shared" si="192"/>
        <v>2951.5400000000009</v>
      </c>
      <c r="S610" s="44">
        <f t="shared" si="193"/>
        <v>7.0392501743988478E-2</v>
      </c>
      <c r="T610" s="39" t="str">
        <f t="shared" si="194"/>
        <v>OK</v>
      </c>
      <c r="U610" s="39" t="str">
        <f t="shared" si="195"/>
        <v>20%+</v>
      </c>
      <c r="V610" s="39" t="str">
        <f>IF(E610&gt;=Analysis!$B$4,"High",IF(E610&gt;=Analysis!$B$5,"Mid","Low"))</f>
        <v>Low</v>
      </c>
      <c r="W610" s="39" t="str">
        <f t="shared" si="196"/>
        <v>2023-10</v>
      </c>
      <c r="X610" s="40">
        <f t="shared" si="197"/>
        <v>45230</v>
      </c>
      <c r="Y610" s="39" t="str">
        <f t="shared" si="198"/>
        <v>2023-Q4</v>
      </c>
      <c r="Z610" s="39" t="str">
        <f t="shared" si="199"/>
        <v>Sun</v>
      </c>
      <c r="AA610" s="39">
        <f t="shared" si="200"/>
        <v>7</v>
      </c>
      <c r="AB610" s="39">
        <f t="shared" si="201"/>
        <v>43</v>
      </c>
      <c r="AC610" s="39" t="str">
        <f t="shared" si="202"/>
        <v>Weekend</v>
      </c>
      <c r="AD610" s="39">
        <f t="shared" ca="1" si="203"/>
        <v>1098</v>
      </c>
      <c r="AE610" s="39">
        <f t="shared" ca="1" si="204"/>
        <v>36</v>
      </c>
      <c r="AF610" s="39" t="str">
        <f t="shared" si="205"/>
        <v>BOB</v>
      </c>
      <c r="AG610" s="39" t="str">
        <f t="shared" si="206"/>
        <v>WO-231022-0609</v>
      </c>
      <c r="AH610" s="39" t="str">
        <f>IF(AND(OR(Filter!$B$4="All",D610=Filter!$B$4),OR(Filter!$B$5="All",M610=Filter!$B$5),E610&gt;=Filter!$B$6),MAX(AH$1:AH609)+1,"")</f>
        <v/>
      </c>
      <c r="AI610" s="39">
        <f t="shared" si="207"/>
        <v>43</v>
      </c>
      <c r="AJ610" s="42">
        <f t="shared" si="208"/>
        <v>0.24</v>
      </c>
      <c r="AK610" s="41">
        <f t="shared" si="209"/>
        <v>1283.04</v>
      </c>
      <c r="AL610" s="39">
        <f>RANK(E610,$E$2:$E$1001,0)+COUNTIF($E$2:E610,E610)-1</f>
        <v>868</v>
      </c>
    </row>
    <row r="611" spans="1:38" x14ac:dyDescent="0.2">
      <c r="A611" s="39">
        <v>1030</v>
      </c>
      <c r="B611" s="40">
        <v>45245</v>
      </c>
      <c r="C611" s="39" t="s">
        <v>79</v>
      </c>
      <c r="D611" s="39" t="s">
        <v>59</v>
      </c>
      <c r="E611" s="41">
        <v>6951.53</v>
      </c>
      <c r="F611" s="39">
        <v>24</v>
      </c>
      <c r="G611" s="39" t="s">
        <v>60</v>
      </c>
      <c r="H611" s="41">
        <v>1370.52</v>
      </c>
      <c r="I611" s="41">
        <v>1482.58</v>
      </c>
      <c r="J611" s="39" t="s">
        <v>137</v>
      </c>
      <c r="K611" s="42">
        <v>0.2</v>
      </c>
      <c r="L611" s="39" t="s">
        <v>73</v>
      </c>
      <c r="M611" s="39" t="s">
        <v>140</v>
      </c>
      <c r="N611" s="39" t="s">
        <v>155</v>
      </c>
      <c r="O611" s="43">
        <f t="shared" si="189"/>
        <v>35581.919999999998</v>
      </c>
      <c r="P611" s="43">
        <f t="shared" si="190"/>
        <v>28465.54</v>
      </c>
      <c r="Q611" s="43">
        <f t="shared" si="191"/>
        <v>32892.480000000003</v>
      </c>
      <c r="R611" s="43">
        <f t="shared" si="192"/>
        <v>-4426.9400000000023</v>
      </c>
      <c r="S611" s="44">
        <f t="shared" si="193"/>
        <v>-0.15551926996642262</v>
      </c>
      <c r="T611" s="39" t="str">
        <f t="shared" si="194"/>
        <v>Loss</v>
      </c>
      <c r="U611" s="39" t="str">
        <f t="shared" si="195"/>
        <v>20%+</v>
      </c>
      <c r="V611" s="39" t="str">
        <f>IF(E611&gt;=Analysis!$B$4,"High",IF(E611&gt;=Analysis!$B$5,"Mid","Low"))</f>
        <v>Mid</v>
      </c>
      <c r="W611" s="39" t="str">
        <f t="shared" si="196"/>
        <v>2023-11</v>
      </c>
      <c r="X611" s="40">
        <f t="shared" si="197"/>
        <v>45260</v>
      </c>
      <c r="Y611" s="39" t="str">
        <f t="shared" si="198"/>
        <v>2023-Q4</v>
      </c>
      <c r="Z611" s="39" t="str">
        <f t="shared" si="199"/>
        <v>Wed</v>
      </c>
      <c r="AA611" s="39">
        <f t="shared" si="200"/>
        <v>3</v>
      </c>
      <c r="AB611" s="39">
        <f t="shared" si="201"/>
        <v>47</v>
      </c>
      <c r="AC611" s="39" t="str">
        <f t="shared" si="202"/>
        <v>Weekday</v>
      </c>
      <c r="AD611" s="39">
        <f t="shared" ca="1" si="203"/>
        <v>1074</v>
      </c>
      <c r="AE611" s="39">
        <f t="shared" ca="1" si="204"/>
        <v>35</v>
      </c>
      <c r="AF611" s="39" t="str">
        <f t="shared" si="205"/>
        <v>EVE</v>
      </c>
      <c r="AG611" s="39" t="str">
        <f t="shared" si="206"/>
        <v>ER-231115-0610</v>
      </c>
      <c r="AH611" s="39" t="str">
        <f>IF(AND(OR(Filter!$B$4="All",D611=Filter!$B$4),OR(Filter!$B$5="All",M611=Filter!$B$5),E611&gt;=Filter!$B$6),MAX(AH$1:AH610)+1,"")</f>
        <v/>
      </c>
      <c r="AI611" s="39">
        <f t="shared" si="207"/>
        <v>24</v>
      </c>
      <c r="AJ611" s="42">
        <f t="shared" si="208"/>
        <v>0.2</v>
      </c>
      <c r="AK611" s="41">
        <f t="shared" si="209"/>
        <v>1482.58</v>
      </c>
      <c r="AL611" s="39">
        <f>RANK(E611,$E$2:$E$1001,0)+COUNTIF($E$2:E611,E611)-1</f>
        <v>310</v>
      </c>
    </row>
    <row r="612" spans="1:38" x14ac:dyDescent="0.2">
      <c r="A612" s="39">
        <v>1017</v>
      </c>
      <c r="B612" s="40">
        <v>45228</v>
      </c>
      <c r="C612" s="39" t="s">
        <v>79</v>
      </c>
      <c r="D612" s="39" t="s">
        <v>59</v>
      </c>
      <c r="E612" s="41">
        <v>2141.9</v>
      </c>
      <c r="F612" s="39">
        <v>1</v>
      </c>
      <c r="G612" s="39" t="s">
        <v>75</v>
      </c>
      <c r="H612" s="41">
        <v>641.67999999999995</v>
      </c>
      <c r="I612" s="41">
        <v>752.24</v>
      </c>
      <c r="J612" s="39" t="s">
        <v>143</v>
      </c>
      <c r="K612" s="42">
        <v>0.22</v>
      </c>
      <c r="L612" s="39" t="s">
        <v>63</v>
      </c>
      <c r="M612" s="39" t="s">
        <v>138</v>
      </c>
      <c r="N612" s="39" t="s">
        <v>155</v>
      </c>
      <c r="O612" s="43">
        <f t="shared" si="189"/>
        <v>752.24</v>
      </c>
      <c r="P612" s="43">
        <f t="shared" si="190"/>
        <v>586.75</v>
      </c>
      <c r="Q612" s="43">
        <f t="shared" si="191"/>
        <v>641.67999999999995</v>
      </c>
      <c r="R612" s="43">
        <f t="shared" si="192"/>
        <v>-54.92999999999995</v>
      </c>
      <c r="S612" s="44">
        <f t="shared" si="193"/>
        <v>-9.3617383894333106E-2</v>
      </c>
      <c r="T612" s="39" t="str">
        <f t="shared" si="194"/>
        <v>Loss</v>
      </c>
      <c r="U612" s="39" t="str">
        <f t="shared" si="195"/>
        <v>20%+</v>
      </c>
      <c r="V612" s="39" t="str">
        <f>IF(E612&gt;=Analysis!$B$4,"High",IF(E612&gt;=Analysis!$B$5,"Mid","Low"))</f>
        <v>Low</v>
      </c>
      <c r="W612" s="39" t="str">
        <f t="shared" si="196"/>
        <v>2023-10</v>
      </c>
      <c r="X612" s="40">
        <f t="shared" si="197"/>
        <v>45230</v>
      </c>
      <c r="Y612" s="39" t="str">
        <f t="shared" si="198"/>
        <v>2023-Q4</v>
      </c>
      <c r="Z612" s="39" t="str">
        <f t="shared" si="199"/>
        <v>Sun</v>
      </c>
      <c r="AA612" s="39">
        <f t="shared" si="200"/>
        <v>7</v>
      </c>
      <c r="AB612" s="39">
        <f t="shared" si="201"/>
        <v>44</v>
      </c>
      <c r="AC612" s="39" t="str">
        <f t="shared" si="202"/>
        <v>Weekend</v>
      </c>
      <c r="AD612" s="39">
        <f t="shared" ca="1" si="203"/>
        <v>1091</v>
      </c>
      <c r="AE612" s="39">
        <f t="shared" ca="1" si="204"/>
        <v>35</v>
      </c>
      <c r="AF612" s="39" t="str">
        <f t="shared" si="205"/>
        <v>EVE</v>
      </c>
      <c r="AG612" s="39" t="str">
        <f t="shared" si="206"/>
        <v>EO-231029-0611</v>
      </c>
      <c r="AH612" s="39" t="str">
        <f>IF(AND(OR(Filter!$B$4="All",D612=Filter!$B$4),OR(Filter!$B$5="All",M612=Filter!$B$5),E612&gt;=Filter!$B$6),MAX(AH$1:AH611)+1,"")</f>
        <v/>
      </c>
      <c r="AI612" s="39">
        <f t="shared" si="207"/>
        <v>1</v>
      </c>
      <c r="AJ612" s="42">
        <f t="shared" si="208"/>
        <v>0.22</v>
      </c>
      <c r="AK612" s="41">
        <f t="shared" si="209"/>
        <v>752.24</v>
      </c>
      <c r="AL612" s="39">
        <f>RANK(E612,$E$2:$E$1001,0)+COUNTIF($E$2:E612,E612)-1</f>
        <v>799</v>
      </c>
    </row>
    <row r="613" spans="1:38" x14ac:dyDescent="0.2">
      <c r="A613" s="39">
        <v>1062</v>
      </c>
      <c r="B613" s="40">
        <v>45270</v>
      </c>
      <c r="C613" s="39" t="s">
        <v>76</v>
      </c>
      <c r="D613" s="39" t="s">
        <v>74</v>
      </c>
      <c r="E613" s="41">
        <v>3979.41</v>
      </c>
      <c r="F613" s="39">
        <v>11</v>
      </c>
      <c r="G613" s="39" t="s">
        <v>65</v>
      </c>
      <c r="H613" s="41">
        <v>1190.08</v>
      </c>
      <c r="I613" s="41">
        <v>1292.94</v>
      </c>
      <c r="J613" s="39" t="s">
        <v>137</v>
      </c>
      <c r="K613" s="42">
        <v>0.13</v>
      </c>
      <c r="L613" s="39" t="s">
        <v>68</v>
      </c>
      <c r="M613" s="39" t="s">
        <v>140</v>
      </c>
      <c r="N613" s="39" t="s">
        <v>154</v>
      </c>
      <c r="O613" s="43">
        <f t="shared" si="189"/>
        <v>14222.34</v>
      </c>
      <c r="P613" s="43">
        <f t="shared" si="190"/>
        <v>12373.44</v>
      </c>
      <c r="Q613" s="43">
        <f t="shared" si="191"/>
        <v>13090.88</v>
      </c>
      <c r="R613" s="43">
        <f t="shared" si="192"/>
        <v>-717.43999999999869</v>
      </c>
      <c r="S613" s="44">
        <f t="shared" si="193"/>
        <v>-5.7982258773631154E-2</v>
      </c>
      <c r="T613" s="39" t="str">
        <f t="shared" si="194"/>
        <v>Loss</v>
      </c>
      <c r="U613" s="39" t="str">
        <f t="shared" si="195"/>
        <v>10-19%</v>
      </c>
      <c r="V613" s="39" t="str">
        <f>IF(E613&gt;=Analysis!$B$4,"High",IF(E613&gt;=Analysis!$B$5,"Mid","Low"))</f>
        <v>Mid</v>
      </c>
      <c r="W613" s="39" t="str">
        <f t="shared" si="196"/>
        <v>2023-12</v>
      </c>
      <c r="X613" s="40">
        <f t="shared" si="197"/>
        <v>45291</v>
      </c>
      <c r="Y613" s="39" t="str">
        <f t="shared" si="198"/>
        <v>2023-Q4</v>
      </c>
      <c r="Z613" s="39" t="str">
        <f t="shared" si="199"/>
        <v>Sun</v>
      </c>
      <c r="AA613" s="39">
        <f t="shared" si="200"/>
        <v>7</v>
      </c>
      <c r="AB613" s="39">
        <f t="shared" si="201"/>
        <v>50</v>
      </c>
      <c r="AC613" s="39" t="str">
        <f t="shared" si="202"/>
        <v>Weekend</v>
      </c>
      <c r="AD613" s="39">
        <f t="shared" ca="1" si="203"/>
        <v>1049</v>
      </c>
      <c r="AE613" s="39">
        <f t="shared" ca="1" si="204"/>
        <v>34</v>
      </c>
      <c r="AF613" s="39" t="str">
        <f t="shared" si="205"/>
        <v>DAV</v>
      </c>
      <c r="AG613" s="39" t="str">
        <f t="shared" si="206"/>
        <v>WR-231210-0612</v>
      </c>
      <c r="AH613" s="39" t="str">
        <f>IF(AND(OR(Filter!$B$4="All",D613=Filter!$B$4),OR(Filter!$B$5="All",M613=Filter!$B$5),E613&gt;=Filter!$B$6),MAX(AH$1:AH612)+1,"")</f>
        <v/>
      </c>
      <c r="AI613" s="39">
        <f t="shared" si="207"/>
        <v>11</v>
      </c>
      <c r="AJ613" s="42">
        <f t="shared" si="208"/>
        <v>0.13</v>
      </c>
      <c r="AK613" s="41">
        <f t="shared" si="209"/>
        <v>1292.94</v>
      </c>
      <c r="AL613" s="39">
        <f>RANK(E613,$E$2:$E$1001,0)+COUNTIF($E$2:E613,E613)-1</f>
        <v>600</v>
      </c>
    </row>
    <row r="614" spans="1:38" x14ac:dyDescent="0.2">
      <c r="A614" s="39">
        <v>1084</v>
      </c>
      <c r="B614" s="40">
        <v>44937</v>
      </c>
      <c r="C614" s="39" t="s">
        <v>66</v>
      </c>
      <c r="D614" s="39" t="s">
        <v>59</v>
      </c>
      <c r="E614" s="41">
        <v>8967.18</v>
      </c>
      <c r="F614" s="39">
        <v>21</v>
      </c>
      <c r="G614" s="39" t="s">
        <v>60</v>
      </c>
      <c r="H614" s="41">
        <v>576.74</v>
      </c>
      <c r="I614" s="41">
        <v>648.29</v>
      </c>
      <c r="J614" s="39" t="s">
        <v>137</v>
      </c>
      <c r="K614" s="42">
        <v>0.2</v>
      </c>
      <c r="L614" s="39" t="s">
        <v>63</v>
      </c>
      <c r="M614" s="39" t="s">
        <v>138</v>
      </c>
      <c r="N614" s="39" t="s">
        <v>153</v>
      </c>
      <c r="O614" s="43">
        <f t="shared" si="189"/>
        <v>13614.09</v>
      </c>
      <c r="P614" s="43">
        <f t="shared" si="190"/>
        <v>10891.27</v>
      </c>
      <c r="Q614" s="43">
        <f t="shared" si="191"/>
        <v>12111.54</v>
      </c>
      <c r="R614" s="43">
        <f t="shared" si="192"/>
        <v>-1220.2700000000004</v>
      </c>
      <c r="S614" s="44">
        <f t="shared" si="193"/>
        <v>-0.11204111182626088</v>
      </c>
      <c r="T614" s="39" t="str">
        <f t="shared" si="194"/>
        <v>Loss</v>
      </c>
      <c r="U614" s="39" t="str">
        <f t="shared" si="195"/>
        <v>20%+</v>
      </c>
      <c r="V614" s="39" t="str">
        <f>IF(E614&gt;=Analysis!$B$4,"High",IF(E614&gt;=Analysis!$B$5,"Mid","Low"))</f>
        <v>High</v>
      </c>
      <c r="W614" s="39" t="str">
        <f t="shared" si="196"/>
        <v>2023-01</v>
      </c>
      <c r="X614" s="40">
        <f t="shared" si="197"/>
        <v>44957</v>
      </c>
      <c r="Y614" s="39" t="str">
        <f t="shared" si="198"/>
        <v>2023-Q1</v>
      </c>
      <c r="Z614" s="39" t="str">
        <f t="shared" si="199"/>
        <v>Wed</v>
      </c>
      <c r="AA614" s="39">
        <f t="shared" si="200"/>
        <v>3</v>
      </c>
      <c r="AB614" s="39">
        <f t="shared" si="201"/>
        <v>3</v>
      </c>
      <c r="AC614" s="39" t="str">
        <f t="shared" si="202"/>
        <v>Weekday</v>
      </c>
      <c r="AD614" s="39">
        <f t="shared" ca="1" si="203"/>
        <v>1382</v>
      </c>
      <c r="AE614" s="39">
        <f t="shared" ca="1" si="204"/>
        <v>45</v>
      </c>
      <c r="AF614" s="39" t="str">
        <f t="shared" si="205"/>
        <v>BOB</v>
      </c>
      <c r="AG614" s="39" t="str">
        <f t="shared" si="206"/>
        <v>EO-230111-0613</v>
      </c>
      <c r="AH614" s="39" t="str">
        <f>IF(AND(OR(Filter!$B$4="All",D614=Filter!$B$4),OR(Filter!$B$5="All",M614=Filter!$B$5),E614&gt;=Filter!$B$6),MAX(AH$1:AH613)+1,"")</f>
        <v/>
      </c>
      <c r="AI614" s="39">
        <f t="shared" si="207"/>
        <v>21</v>
      </c>
      <c r="AJ614" s="42">
        <f t="shared" si="208"/>
        <v>0.2</v>
      </c>
      <c r="AK614" s="41">
        <f t="shared" si="209"/>
        <v>648.29</v>
      </c>
      <c r="AL614" s="39">
        <f>RANK(E614,$E$2:$E$1001,0)+COUNTIF($E$2:E614,E614)-1</f>
        <v>94</v>
      </c>
    </row>
    <row r="615" spans="1:38" x14ac:dyDescent="0.2">
      <c r="A615" s="39">
        <v>1089</v>
      </c>
      <c r="B615" s="40">
        <v>44988</v>
      </c>
      <c r="C615" s="39" t="s">
        <v>71</v>
      </c>
      <c r="D615" s="39" t="s">
        <v>64</v>
      </c>
      <c r="E615" s="41">
        <v>2122.73</v>
      </c>
      <c r="F615" s="39">
        <v>4</v>
      </c>
      <c r="G615" s="39" t="s">
        <v>75</v>
      </c>
      <c r="H615" s="41">
        <v>4117.67</v>
      </c>
      <c r="I615" s="41">
        <v>4280.0600000000004</v>
      </c>
      <c r="J615" s="39" t="s">
        <v>137</v>
      </c>
      <c r="K615" s="42">
        <v>0.18</v>
      </c>
      <c r="L615" s="39" t="s">
        <v>63</v>
      </c>
      <c r="M615" s="39" t="s">
        <v>138</v>
      </c>
      <c r="N615" s="39" t="s">
        <v>160</v>
      </c>
      <c r="O615" s="43">
        <f t="shared" si="189"/>
        <v>17120.240000000002</v>
      </c>
      <c r="P615" s="43">
        <f t="shared" si="190"/>
        <v>14038.6</v>
      </c>
      <c r="Q615" s="43">
        <f t="shared" si="191"/>
        <v>16470.68</v>
      </c>
      <c r="R615" s="43">
        <f t="shared" si="192"/>
        <v>-2432.08</v>
      </c>
      <c r="S615" s="44">
        <f t="shared" si="193"/>
        <v>-0.17324234610288775</v>
      </c>
      <c r="T615" s="39" t="str">
        <f t="shared" si="194"/>
        <v>Loss</v>
      </c>
      <c r="U615" s="39" t="str">
        <f t="shared" si="195"/>
        <v>10-19%</v>
      </c>
      <c r="V615" s="39" t="str">
        <f>IF(E615&gt;=Analysis!$B$4,"High",IF(E615&gt;=Analysis!$B$5,"Mid","Low"))</f>
        <v>Low</v>
      </c>
      <c r="W615" s="39" t="str">
        <f t="shared" si="196"/>
        <v>2023-03</v>
      </c>
      <c r="X615" s="40">
        <f t="shared" si="197"/>
        <v>45016</v>
      </c>
      <c r="Y615" s="39" t="str">
        <f t="shared" si="198"/>
        <v>2023-Q1</v>
      </c>
      <c r="Z615" s="39" t="str">
        <f t="shared" si="199"/>
        <v>Fri</v>
      </c>
      <c r="AA615" s="39">
        <f t="shared" si="200"/>
        <v>5</v>
      </c>
      <c r="AB615" s="39">
        <f t="shared" si="201"/>
        <v>10</v>
      </c>
      <c r="AC615" s="39" t="str">
        <f t="shared" si="202"/>
        <v>Weekday</v>
      </c>
      <c r="AD615" s="39">
        <f t="shared" ca="1" si="203"/>
        <v>1331</v>
      </c>
      <c r="AE615" s="39">
        <f t="shared" ca="1" si="204"/>
        <v>43</v>
      </c>
      <c r="AF615" s="39" t="str">
        <f t="shared" si="205"/>
        <v>CHA</v>
      </c>
      <c r="AG615" s="39" t="str">
        <f t="shared" si="206"/>
        <v>NO-230303-0614</v>
      </c>
      <c r="AH615" s="39" t="str">
        <f>IF(AND(OR(Filter!$B$4="All",D615=Filter!$B$4),OR(Filter!$B$5="All",M615=Filter!$B$5),E615&gt;=Filter!$B$6),MAX(AH$1:AH614)+1,"")</f>
        <v/>
      </c>
      <c r="AI615" s="39">
        <f t="shared" si="207"/>
        <v>4</v>
      </c>
      <c r="AJ615" s="42">
        <f t="shared" si="208"/>
        <v>0.18</v>
      </c>
      <c r="AK615" s="41">
        <f t="shared" si="209"/>
        <v>4280.0600000000004</v>
      </c>
      <c r="AL615" s="39">
        <f>RANK(E615,$E$2:$E$1001,0)+COUNTIF($E$2:E615,E615)-1</f>
        <v>802</v>
      </c>
    </row>
    <row r="616" spans="1:38" x14ac:dyDescent="0.2">
      <c r="A616" s="39">
        <v>1086</v>
      </c>
      <c r="B616" s="40">
        <v>45259</v>
      </c>
      <c r="C616" s="39" t="s">
        <v>66</v>
      </c>
      <c r="D616" s="39" t="s">
        <v>74</v>
      </c>
      <c r="E616" s="41">
        <v>5127.2700000000004</v>
      </c>
      <c r="F616" s="39">
        <v>7</v>
      </c>
      <c r="G616" s="39" t="s">
        <v>70</v>
      </c>
      <c r="H616" s="41">
        <v>737.9</v>
      </c>
      <c r="I616" s="41">
        <v>1182</v>
      </c>
      <c r="J616" s="39" t="s">
        <v>143</v>
      </c>
      <c r="K616" s="42">
        <v>0.23</v>
      </c>
      <c r="L616" s="39" t="s">
        <v>73</v>
      </c>
      <c r="M616" s="39" t="s">
        <v>140</v>
      </c>
      <c r="N616" s="39" t="s">
        <v>141</v>
      </c>
      <c r="O616" s="43">
        <f t="shared" si="189"/>
        <v>8274</v>
      </c>
      <c r="P616" s="43">
        <f t="shared" si="190"/>
        <v>6370.98</v>
      </c>
      <c r="Q616" s="43">
        <f t="shared" si="191"/>
        <v>5165.3</v>
      </c>
      <c r="R616" s="43">
        <f t="shared" si="192"/>
        <v>1205.6799999999994</v>
      </c>
      <c r="S616" s="44">
        <f t="shared" si="193"/>
        <v>0.18924561056540742</v>
      </c>
      <c r="T616" s="39" t="str">
        <f t="shared" si="194"/>
        <v>OK</v>
      </c>
      <c r="U616" s="39" t="str">
        <f t="shared" si="195"/>
        <v>20%+</v>
      </c>
      <c r="V616" s="39" t="str">
        <f>IF(E616&gt;=Analysis!$B$4,"High",IF(E616&gt;=Analysis!$B$5,"Mid","Low"))</f>
        <v>Mid</v>
      </c>
      <c r="W616" s="39" t="str">
        <f t="shared" si="196"/>
        <v>2023-11</v>
      </c>
      <c r="X616" s="40">
        <f t="shared" si="197"/>
        <v>45260</v>
      </c>
      <c r="Y616" s="39" t="str">
        <f t="shared" si="198"/>
        <v>2023-Q4</v>
      </c>
      <c r="Z616" s="39" t="str">
        <f t="shared" si="199"/>
        <v>Wed</v>
      </c>
      <c r="AA616" s="39">
        <f t="shared" si="200"/>
        <v>3</v>
      </c>
      <c r="AB616" s="39">
        <f t="shared" si="201"/>
        <v>49</v>
      </c>
      <c r="AC616" s="39" t="str">
        <f t="shared" si="202"/>
        <v>Weekday</v>
      </c>
      <c r="AD616" s="39">
        <f t="shared" ca="1" si="203"/>
        <v>1060</v>
      </c>
      <c r="AE616" s="39">
        <f t="shared" ca="1" si="204"/>
        <v>34</v>
      </c>
      <c r="AF616" s="39" t="str">
        <f t="shared" si="205"/>
        <v>BOB</v>
      </c>
      <c r="AG616" s="39" t="str">
        <f t="shared" si="206"/>
        <v>WR-231129-0615</v>
      </c>
      <c r="AH616" s="39" t="str">
        <f>IF(AND(OR(Filter!$B$4="All",D616=Filter!$B$4),OR(Filter!$B$5="All",M616=Filter!$B$5),E616&gt;=Filter!$B$6),MAX(AH$1:AH615)+1,"")</f>
        <v/>
      </c>
      <c r="AI616" s="39">
        <f t="shared" si="207"/>
        <v>7</v>
      </c>
      <c r="AJ616" s="42">
        <f t="shared" si="208"/>
        <v>0.23</v>
      </c>
      <c r="AK616" s="41">
        <f t="shared" si="209"/>
        <v>1182</v>
      </c>
      <c r="AL616" s="39">
        <f>RANK(E616,$E$2:$E$1001,0)+COUNTIF($E$2:E616,E616)-1</f>
        <v>486</v>
      </c>
    </row>
    <row r="617" spans="1:38" x14ac:dyDescent="0.2">
      <c r="A617" s="39">
        <v>1013</v>
      </c>
      <c r="B617" s="40">
        <v>45152</v>
      </c>
      <c r="C617" s="39" t="s">
        <v>61</v>
      </c>
      <c r="D617" s="39" t="s">
        <v>59</v>
      </c>
      <c r="E617" s="41">
        <v>4250.79</v>
      </c>
      <c r="F617" s="39">
        <v>26</v>
      </c>
      <c r="G617" s="39" t="s">
        <v>60</v>
      </c>
      <c r="H617" s="41">
        <v>3749.12</v>
      </c>
      <c r="I617" s="41">
        <v>4138.83</v>
      </c>
      <c r="J617" s="39" t="s">
        <v>143</v>
      </c>
      <c r="K617" s="42">
        <v>0.13</v>
      </c>
      <c r="L617" s="39" t="s">
        <v>73</v>
      </c>
      <c r="M617" s="39" t="s">
        <v>138</v>
      </c>
      <c r="N617" s="39" t="s">
        <v>159</v>
      </c>
      <c r="O617" s="43">
        <f t="shared" si="189"/>
        <v>107609.58</v>
      </c>
      <c r="P617" s="43">
        <f t="shared" si="190"/>
        <v>93620.33</v>
      </c>
      <c r="Q617" s="43">
        <f t="shared" si="191"/>
        <v>97477.119999999995</v>
      </c>
      <c r="R617" s="43">
        <f t="shared" si="192"/>
        <v>-3856.7899999999936</v>
      </c>
      <c r="S617" s="44">
        <f t="shared" si="193"/>
        <v>-4.1196073545136977E-2</v>
      </c>
      <c r="T617" s="39" t="str">
        <f t="shared" si="194"/>
        <v>Loss</v>
      </c>
      <c r="U617" s="39" t="str">
        <f t="shared" si="195"/>
        <v>10-19%</v>
      </c>
      <c r="V617" s="39" t="str">
        <f>IF(E617&gt;=Analysis!$B$4,"High",IF(E617&gt;=Analysis!$B$5,"Mid","Low"))</f>
        <v>Mid</v>
      </c>
      <c r="W617" s="39" t="str">
        <f t="shared" si="196"/>
        <v>2023-08</v>
      </c>
      <c r="X617" s="40">
        <f t="shared" si="197"/>
        <v>45169</v>
      </c>
      <c r="Y617" s="39" t="str">
        <f t="shared" si="198"/>
        <v>2023-Q3</v>
      </c>
      <c r="Z617" s="39" t="str">
        <f t="shared" si="199"/>
        <v>Mon</v>
      </c>
      <c r="AA617" s="39">
        <f t="shared" si="200"/>
        <v>1</v>
      </c>
      <c r="AB617" s="39">
        <f t="shared" si="201"/>
        <v>34</v>
      </c>
      <c r="AC617" s="39" t="str">
        <f t="shared" si="202"/>
        <v>Weekday</v>
      </c>
      <c r="AD617" s="39">
        <f t="shared" ca="1" si="203"/>
        <v>1167</v>
      </c>
      <c r="AE617" s="39">
        <f t="shared" ca="1" si="204"/>
        <v>38</v>
      </c>
      <c r="AF617" s="39" t="str">
        <f t="shared" si="205"/>
        <v>ALI</v>
      </c>
      <c r="AG617" s="39" t="str">
        <f t="shared" si="206"/>
        <v>EO-230814-0616</v>
      </c>
      <c r="AH617" s="39" t="str">
        <f>IF(AND(OR(Filter!$B$4="All",D617=Filter!$B$4),OR(Filter!$B$5="All",M617=Filter!$B$5),E617&gt;=Filter!$B$6),MAX(AH$1:AH616)+1,"")</f>
        <v/>
      </c>
      <c r="AI617" s="39">
        <f t="shared" si="207"/>
        <v>26</v>
      </c>
      <c r="AJ617" s="42">
        <f t="shared" si="208"/>
        <v>0.13</v>
      </c>
      <c r="AK617" s="41">
        <f t="shared" si="209"/>
        <v>4138.83</v>
      </c>
      <c r="AL617" s="39">
        <f>RANK(E617,$E$2:$E$1001,0)+COUNTIF($E$2:E617,E617)-1</f>
        <v>574</v>
      </c>
    </row>
    <row r="618" spans="1:38" x14ac:dyDescent="0.2">
      <c r="A618" s="39">
        <v>1059</v>
      </c>
      <c r="B618" s="40">
        <v>45079</v>
      </c>
      <c r="C618" s="39" t="s">
        <v>66</v>
      </c>
      <c r="D618" s="39" t="s">
        <v>74</v>
      </c>
      <c r="E618" s="41">
        <v>279.43</v>
      </c>
      <c r="F618" s="39">
        <v>47</v>
      </c>
      <c r="G618" s="39" t="s">
        <v>75</v>
      </c>
      <c r="H618" s="41">
        <v>287.17</v>
      </c>
      <c r="I618" s="41">
        <v>657.44</v>
      </c>
      <c r="J618" s="39" t="s">
        <v>137</v>
      </c>
      <c r="K618" s="42">
        <v>0.14000000000000001</v>
      </c>
      <c r="L618" s="39" t="s">
        <v>73</v>
      </c>
      <c r="M618" s="39" t="s">
        <v>140</v>
      </c>
      <c r="N618" s="39" t="s">
        <v>141</v>
      </c>
      <c r="O618" s="43">
        <f t="shared" si="189"/>
        <v>30899.68</v>
      </c>
      <c r="P618" s="43">
        <f t="shared" si="190"/>
        <v>26573.72</v>
      </c>
      <c r="Q618" s="43">
        <f t="shared" si="191"/>
        <v>13496.99</v>
      </c>
      <c r="R618" s="43">
        <f t="shared" si="192"/>
        <v>13076.730000000001</v>
      </c>
      <c r="S618" s="44">
        <f t="shared" si="193"/>
        <v>0.49209256363053427</v>
      </c>
      <c r="T618" s="39" t="str">
        <f t="shared" si="194"/>
        <v>OK</v>
      </c>
      <c r="U618" s="39" t="str">
        <f t="shared" si="195"/>
        <v>10-19%</v>
      </c>
      <c r="V618" s="39" t="str">
        <f>IF(E618&gt;=Analysis!$B$4,"High",IF(E618&gt;=Analysis!$B$5,"Mid","Low"))</f>
        <v>Low</v>
      </c>
      <c r="W618" s="39" t="str">
        <f t="shared" si="196"/>
        <v>2023-06</v>
      </c>
      <c r="X618" s="40">
        <f t="shared" si="197"/>
        <v>45107</v>
      </c>
      <c r="Y618" s="39" t="str">
        <f t="shared" si="198"/>
        <v>2023-Q2</v>
      </c>
      <c r="Z618" s="39" t="str">
        <f t="shared" si="199"/>
        <v>Fri</v>
      </c>
      <c r="AA618" s="39">
        <f t="shared" si="200"/>
        <v>5</v>
      </c>
      <c r="AB618" s="39">
        <f t="shared" si="201"/>
        <v>23</v>
      </c>
      <c r="AC618" s="39" t="str">
        <f t="shared" si="202"/>
        <v>Weekday</v>
      </c>
      <c r="AD618" s="39">
        <f t="shared" ca="1" si="203"/>
        <v>1240</v>
      </c>
      <c r="AE618" s="39">
        <f t="shared" ca="1" si="204"/>
        <v>40</v>
      </c>
      <c r="AF618" s="39" t="str">
        <f t="shared" si="205"/>
        <v>BOB</v>
      </c>
      <c r="AG618" s="39" t="str">
        <f t="shared" si="206"/>
        <v>WR-230602-0617</v>
      </c>
      <c r="AH618" s="39" t="str">
        <f>IF(AND(OR(Filter!$B$4="All",D618=Filter!$B$4),OR(Filter!$B$5="All",M618=Filter!$B$5),E618&gt;=Filter!$B$6),MAX(AH$1:AH617)+1,"")</f>
        <v/>
      </c>
      <c r="AI618" s="39">
        <f t="shared" si="207"/>
        <v>47</v>
      </c>
      <c r="AJ618" s="42">
        <f t="shared" si="208"/>
        <v>0.14000000000000001</v>
      </c>
      <c r="AK618" s="41">
        <f t="shared" si="209"/>
        <v>657.44</v>
      </c>
      <c r="AL618" s="39">
        <f>RANK(E618,$E$2:$E$1001,0)+COUNTIF($E$2:E618,E618)-1</f>
        <v>977</v>
      </c>
    </row>
    <row r="619" spans="1:38" x14ac:dyDescent="0.2">
      <c r="A619" s="39">
        <v>1019</v>
      </c>
      <c r="B619" s="40">
        <v>45125</v>
      </c>
      <c r="C619" s="39" t="s">
        <v>61</v>
      </c>
      <c r="D619" s="39" t="s">
        <v>64</v>
      </c>
      <c r="E619" s="41">
        <v>7948.31</v>
      </c>
      <c r="F619" s="39">
        <v>12</v>
      </c>
      <c r="G619" s="39" t="s">
        <v>60</v>
      </c>
      <c r="H619" s="41">
        <v>4745.18</v>
      </c>
      <c r="I619" s="41">
        <v>5145.88</v>
      </c>
      <c r="J619" s="39" t="s">
        <v>137</v>
      </c>
      <c r="K619" s="42">
        <v>0.19</v>
      </c>
      <c r="L619" s="39" t="s">
        <v>73</v>
      </c>
      <c r="M619" s="39" t="s">
        <v>138</v>
      </c>
      <c r="N619" s="39" t="s">
        <v>156</v>
      </c>
      <c r="O619" s="43">
        <f t="shared" si="189"/>
        <v>61750.559999999998</v>
      </c>
      <c r="P619" s="43">
        <f t="shared" si="190"/>
        <v>50017.95</v>
      </c>
      <c r="Q619" s="43">
        <f t="shared" si="191"/>
        <v>56942.16</v>
      </c>
      <c r="R619" s="43">
        <f t="shared" si="192"/>
        <v>-6924.2100000000064</v>
      </c>
      <c r="S619" s="44">
        <f t="shared" si="193"/>
        <v>-0.13843450201377719</v>
      </c>
      <c r="T619" s="39" t="str">
        <f t="shared" si="194"/>
        <v>Loss</v>
      </c>
      <c r="U619" s="39" t="str">
        <f t="shared" si="195"/>
        <v>10-19%</v>
      </c>
      <c r="V619" s="39" t="str">
        <f>IF(E619&gt;=Analysis!$B$4,"High",IF(E619&gt;=Analysis!$B$5,"Mid","Low"))</f>
        <v>High</v>
      </c>
      <c r="W619" s="39" t="str">
        <f t="shared" si="196"/>
        <v>2023-07</v>
      </c>
      <c r="X619" s="40">
        <f t="shared" si="197"/>
        <v>45138</v>
      </c>
      <c r="Y619" s="39" t="str">
        <f t="shared" si="198"/>
        <v>2023-Q3</v>
      </c>
      <c r="Z619" s="39" t="str">
        <f t="shared" si="199"/>
        <v>Tue</v>
      </c>
      <c r="AA619" s="39">
        <f t="shared" si="200"/>
        <v>2</v>
      </c>
      <c r="AB619" s="39">
        <f t="shared" si="201"/>
        <v>30</v>
      </c>
      <c r="AC619" s="39" t="str">
        <f t="shared" si="202"/>
        <v>Weekday</v>
      </c>
      <c r="AD619" s="39">
        <f t="shared" ca="1" si="203"/>
        <v>1194</v>
      </c>
      <c r="AE619" s="39">
        <f t="shared" ca="1" si="204"/>
        <v>39</v>
      </c>
      <c r="AF619" s="39" t="str">
        <f t="shared" si="205"/>
        <v>ALI</v>
      </c>
      <c r="AG619" s="39" t="str">
        <f t="shared" si="206"/>
        <v>NO-230718-0618</v>
      </c>
      <c r="AH619" s="39" t="str">
        <f>IF(AND(OR(Filter!$B$4="All",D619=Filter!$B$4),OR(Filter!$B$5="All",M619=Filter!$B$5),E619&gt;=Filter!$B$6),MAX(AH$1:AH618)+1,"")</f>
        <v/>
      </c>
      <c r="AI619" s="39">
        <f t="shared" si="207"/>
        <v>12</v>
      </c>
      <c r="AJ619" s="42">
        <f t="shared" si="208"/>
        <v>0.19</v>
      </c>
      <c r="AK619" s="41">
        <f t="shared" si="209"/>
        <v>5145.88</v>
      </c>
      <c r="AL619" s="39">
        <f>RANK(E619,$E$2:$E$1001,0)+COUNTIF($E$2:E619,E619)-1</f>
        <v>200</v>
      </c>
    </row>
    <row r="620" spans="1:38" x14ac:dyDescent="0.2">
      <c r="A620" s="39">
        <v>1049</v>
      </c>
      <c r="B620" s="40">
        <v>44978</v>
      </c>
      <c r="C620" s="39" t="s">
        <v>61</v>
      </c>
      <c r="D620" s="39" t="s">
        <v>59</v>
      </c>
      <c r="E620" s="41">
        <v>783.55</v>
      </c>
      <c r="F620" s="39">
        <v>31</v>
      </c>
      <c r="G620" s="39" t="s">
        <v>65</v>
      </c>
      <c r="H620" s="41">
        <v>3570.24</v>
      </c>
      <c r="I620" s="41">
        <v>3712.25</v>
      </c>
      <c r="J620" s="39" t="s">
        <v>143</v>
      </c>
      <c r="K620" s="42">
        <v>0.03</v>
      </c>
      <c r="L620" s="39" t="s">
        <v>73</v>
      </c>
      <c r="M620" s="39" t="s">
        <v>138</v>
      </c>
      <c r="N620" s="39" t="s">
        <v>159</v>
      </c>
      <c r="O620" s="43">
        <f t="shared" si="189"/>
        <v>115079.75</v>
      </c>
      <c r="P620" s="43">
        <f t="shared" si="190"/>
        <v>111627.36</v>
      </c>
      <c r="Q620" s="43">
        <f t="shared" si="191"/>
        <v>110677.44</v>
      </c>
      <c r="R620" s="43">
        <f t="shared" si="192"/>
        <v>949.91999999999825</v>
      </c>
      <c r="S620" s="44">
        <f t="shared" si="193"/>
        <v>8.5097416977343038E-3</v>
      </c>
      <c r="T620" s="39" t="str">
        <f t="shared" si="194"/>
        <v>OK</v>
      </c>
      <c r="U620" s="39" t="str">
        <f t="shared" si="195"/>
        <v>0-9%</v>
      </c>
      <c r="V620" s="39" t="str">
        <f>IF(E620&gt;=Analysis!$B$4,"High",IF(E620&gt;=Analysis!$B$5,"Mid","Low"))</f>
        <v>Low</v>
      </c>
      <c r="W620" s="39" t="str">
        <f t="shared" si="196"/>
        <v>2023-02</v>
      </c>
      <c r="X620" s="40">
        <f t="shared" si="197"/>
        <v>44985</v>
      </c>
      <c r="Y620" s="39" t="str">
        <f t="shared" si="198"/>
        <v>2023-Q1</v>
      </c>
      <c r="Z620" s="39" t="str">
        <f t="shared" si="199"/>
        <v>Tue</v>
      </c>
      <c r="AA620" s="39">
        <f t="shared" si="200"/>
        <v>2</v>
      </c>
      <c r="AB620" s="39">
        <f t="shared" si="201"/>
        <v>9</v>
      </c>
      <c r="AC620" s="39" t="str">
        <f t="shared" si="202"/>
        <v>Weekday</v>
      </c>
      <c r="AD620" s="39">
        <f t="shared" ca="1" si="203"/>
        <v>1341</v>
      </c>
      <c r="AE620" s="39">
        <f t="shared" ca="1" si="204"/>
        <v>44</v>
      </c>
      <c r="AF620" s="39" t="str">
        <f t="shared" si="205"/>
        <v>ALI</v>
      </c>
      <c r="AG620" s="39" t="str">
        <f t="shared" si="206"/>
        <v>EO-230221-0619</v>
      </c>
      <c r="AH620" s="39" t="str">
        <f>IF(AND(OR(Filter!$B$4="All",D620=Filter!$B$4),OR(Filter!$B$5="All",M620=Filter!$B$5),E620&gt;=Filter!$B$6),MAX(AH$1:AH619)+1,"")</f>
        <v/>
      </c>
      <c r="AI620" s="39">
        <f t="shared" si="207"/>
        <v>31</v>
      </c>
      <c r="AJ620" s="42">
        <f t="shared" si="208"/>
        <v>0.03</v>
      </c>
      <c r="AK620" s="41">
        <f t="shared" si="209"/>
        <v>3712.25</v>
      </c>
      <c r="AL620" s="39">
        <f>RANK(E620,$E$2:$E$1001,0)+COUNTIF($E$2:E620,E620)-1</f>
        <v>925</v>
      </c>
    </row>
    <row r="621" spans="1:38" x14ac:dyDescent="0.2">
      <c r="A621" s="39">
        <v>1100</v>
      </c>
      <c r="B621" s="40">
        <v>45186</v>
      </c>
      <c r="C621" s="39" t="s">
        <v>71</v>
      </c>
      <c r="D621" s="39" t="s">
        <v>64</v>
      </c>
      <c r="E621" s="41">
        <v>4795.12</v>
      </c>
      <c r="F621" s="39">
        <v>17</v>
      </c>
      <c r="G621" s="39" t="s">
        <v>65</v>
      </c>
      <c r="H621" s="41">
        <v>83.64</v>
      </c>
      <c r="I621" s="41">
        <v>528.49</v>
      </c>
      <c r="J621" s="39" t="s">
        <v>143</v>
      </c>
      <c r="K621" s="42">
        <v>0.13</v>
      </c>
      <c r="L621" s="39" t="s">
        <v>73</v>
      </c>
      <c r="M621" s="39" t="s">
        <v>138</v>
      </c>
      <c r="N621" s="39" t="s">
        <v>160</v>
      </c>
      <c r="O621" s="43">
        <f t="shared" si="189"/>
        <v>8984.33</v>
      </c>
      <c r="P621" s="43">
        <f t="shared" si="190"/>
        <v>7816.37</v>
      </c>
      <c r="Q621" s="43">
        <f t="shared" si="191"/>
        <v>1421.88</v>
      </c>
      <c r="R621" s="43">
        <f t="shared" si="192"/>
        <v>6394.49</v>
      </c>
      <c r="S621" s="44">
        <f t="shared" si="193"/>
        <v>0.81808947119954656</v>
      </c>
      <c r="T621" s="39" t="str">
        <f t="shared" si="194"/>
        <v>OK</v>
      </c>
      <c r="U621" s="39" t="str">
        <f t="shared" si="195"/>
        <v>10-19%</v>
      </c>
      <c r="V621" s="39" t="str">
        <f>IF(E621&gt;=Analysis!$B$4,"High",IF(E621&gt;=Analysis!$B$5,"Mid","Low"))</f>
        <v>Mid</v>
      </c>
      <c r="W621" s="39" t="str">
        <f t="shared" si="196"/>
        <v>2023-09</v>
      </c>
      <c r="X621" s="40">
        <f t="shared" si="197"/>
        <v>45199</v>
      </c>
      <c r="Y621" s="39" t="str">
        <f t="shared" si="198"/>
        <v>2023-Q3</v>
      </c>
      <c r="Z621" s="39" t="str">
        <f t="shared" si="199"/>
        <v>Sun</v>
      </c>
      <c r="AA621" s="39">
        <f t="shared" si="200"/>
        <v>7</v>
      </c>
      <c r="AB621" s="39">
        <f t="shared" si="201"/>
        <v>38</v>
      </c>
      <c r="AC621" s="39" t="str">
        <f t="shared" si="202"/>
        <v>Weekend</v>
      </c>
      <c r="AD621" s="39">
        <f t="shared" ca="1" si="203"/>
        <v>1133</v>
      </c>
      <c r="AE621" s="39">
        <f t="shared" ca="1" si="204"/>
        <v>37</v>
      </c>
      <c r="AF621" s="39" t="str">
        <f t="shared" si="205"/>
        <v>CHA</v>
      </c>
      <c r="AG621" s="39" t="str">
        <f t="shared" si="206"/>
        <v>NO-230917-0620</v>
      </c>
      <c r="AH621" s="39" t="str">
        <f>IF(AND(OR(Filter!$B$4="All",D621=Filter!$B$4),OR(Filter!$B$5="All",M621=Filter!$B$5),E621&gt;=Filter!$B$6),MAX(AH$1:AH620)+1,"")</f>
        <v/>
      </c>
      <c r="AI621" s="39">
        <f t="shared" si="207"/>
        <v>17</v>
      </c>
      <c r="AJ621" s="42">
        <f t="shared" si="208"/>
        <v>0.13</v>
      </c>
      <c r="AK621" s="41">
        <f t="shared" si="209"/>
        <v>528.49</v>
      </c>
      <c r="AL621" s="39">
        <f>RANK(E621,$E$2:$E$1001,0)+COUNTIF($E$2:E621,E621)-1</f>
        <v>520</v>
      </c>
    </row>
    <row r="622" spans="1:38" x14ac:dyDescent="0.2">
      <c r="A622" s="39">
        <v>1012</v>
      </c>
      <c r="B622" s="40">
        <v>44985</v>
      </c>
      <c r="C622" s="39" t="s">
        <v>76</v>
      </c>
      <c r="D622" s="39" t="s">
        <v>59</v>
      </c>
      <c r="E622" s="41">
        <v>5650.72</v>
      </c>
      <c r="F622" s="39">
        <v>33</v>
      </c>
      <c r="G622" s="39" t="s">
        <v>70</v>
      </c>
      <c r="H622" s="41">
        <v>3831.09</v>
      </c>
      <c r="I622" s="41">
        <v>3908.37</v>
      </c>
      <c r="J622" s="39" t="s">
        <v>143</v>
      </c>
      <c r="K622" s="42">
        <v>0.28999999999999998</v>
      </c>
      <c r="L622" s="39" t="s">
        <v>68</v>
      </c>
      <c r="M622" s="39" t="s">
        <v>140</v>
      </c>
      <c r="N622" s="39" t="s">
        <v>157</v>
      </c>
      <c r="O622" s="43">
        <f t="shared" si="189"/>
        <v>128976.21</v>
      </c>
      <c r="P622" s="43">
        <f t="shared" si="190"/>
        <v>91573.11</v>
      </c>
      <c r="Q622" s="43">
        <f t="shared" si="191"/>
        <v>126425.97</v>
      </c>
      <c r="R622" s="43">
        <f t="shared" si="192"/>
        <v>-34852.86</v>
      </c>
      <c r="S622" s="44">
        <f t="shared" si="193"/>
        <v>-0.38060146695902325</v>
      </c>
      <c r="T622" s="39" t="str">
        <f t="shared" si="194"/>
        <v>Loss</v>
      </c>
      <c r="U622" s="39" t="str">
        <f t="shared" si="195"/>
        <v>20%+</v>
      </c>
      <c r="V622" s="39" t="str">
        <f>IF(E622&gt;=Analysis!$B$4,"High",IF(E622&gt;=Analysis!$B$5,"Mid","Low"))</f>
        <v>Mid</v>
      </c>
      <c r="W622" s="39" t="str">
        <f t="shared" si="196"/>
        <v>2023-02</v>
      </c>
      <c r="X622" s="40">
        <f t="shared" si="197"/>
        <v>44985</v>
      </c>
      <c r="Y622" s="39" t="str">
        <f t="shared" si="198"/>
        <v>2023-Q1</v>
      </c>
      <c r="Z622" s="39" t="str">
        <f t="shared" si="199"/>
        <v>Tue</v>
      </c>
      <c r="AA622" s="39">
        <f t="shared" si="200"/>
        <v>2</v>
      </c>
      <c r="AB622" s="39">
        <f t="shared" si="201"/>
        <v>10</v>
      </c>
      <c r="AC622" s="39" t="str">
        <f t="shared" si="202"/>
        <v>Weekday</v>
      </c>
      <c r="AD622" s="39">
        <f t="shared" ca="1" si="203"/>
        <v>1334</v>
      </c>
      <c r="AE622" s="39">
        <f t="shared" ca="1" si="204"/>
        <v>43</v>
      </c>
      <c r="AF622" s="39" t="str">
        <f t="shared" si="205"/>
        <v>DAV</v>
      </c>
      <c r="AG622" s="39" t="str">
        <f t="shared" si="206"/>
        <v>ER-230228-0621</v>
      </c>
      <c r="AH622" s="39" t="str">
        <f>IF(AND(OR(Filter!$B$4="All",D622=Filter!$B$4),OR(Filter!$B$5="All",M622=Filter!$B$5),E622&gt;=Filter!$B$6),MAX(AH$1:AH621)+1,"")</f>
        <v/>
      </c>
      <c r="AI622" s="39">
        <f t="shared" si="207"/>
        <v>33</v>
      </c>
      <c r="AJ622" s="42">
        <f t="shared" si="208"/>
        <v>0.28999999999999998</v>
      </c>
      <c r="AK622" s="41">
        <f t="shared" si="209"/>
        <v>3908.37</v>
      </c>
      <c r="AL622" s="39">
        <f>RANK(E622,$E$2:$E$1001,0)+COUNTIF($E$2:E622,E622)-1</f>
        <v>444</v>
      </c>
    </row>
    <row r="623" spans="1:38" x14ac:dyDescent="0.2">
      <c r="A623" s="39">
        <v>1061</v>
      </c>
      <c r="B623" s="40">
        <v>44998</v>
      </c>
      <c r="C623" s="39" t="s">
        <v>66</v>
      </c>
      <c r="D623" s="39" t="s">
        <v>69</v>
      </c>
      <c r="E623" s="41">
        <v>6321.42</v>
      </c>
      <c r="F623" s="39">
        <v>11</v>
      </c>
      <c r="G623" s="39" t="s">
        <v>60</v>
      </c>
      <c r="H623" s="41">
        <v>2594.71</v>
      </c>
      <c r="I623" s="41">
        <v>2769.52</v>
      </c>
      <c r="J623" s="39" t="s">
        <v>137</v>
      </c>
      <c r="K623" s="42">
        <v>0.01</v>
      </c>
      <c r="L623" s="39" t="s">
        <v>63</v>
      </c>
      <c r="M623" s="39" t="s">
        <v>140</v>
      </c>
      <c r="N623" s="39" t="s">
        <v>144</v>
      </c>
      <c r="O623" s="43">
        <f t="shared" si="189"/>
        <v>30464.720000000001</v>
      </c>
      <c r="P623" s="43">
        <f t="shared" si="190"/>
        <v>30160.07</v>
      </c>
      <c r="Q623" s="43">
        <f t="shared" si="191"/>
        <v>28541.81</v>
      </c>
      <c r="R623" s="43">
        <f t="shared" si="192"/>
        <v>1618.2599999999984</v>
      </c>
      <c r="S623" s="44">
        <f t="shared" si="193"/>
        <v>5.3655711011280756E-2</v>
      </c>
      <c r="T623" s="39" t="str">
        <f t="shared" si="194"/>
        <v>OK</v>
      </c>
      <c r="U623" s="39" t="str">
        <f t="shared" si="195"/>
        <v>0-9%</v>
      </c>
      <c r="V623" s="39" t="str">
        <f>IF(E623&gt;=Analysis!$B$4,"High",IF(E623&gt;=Analysis!$B$5,"Mid","Low"))</f>
        <v>Mid</v>
      </c>
      <c r="W623" s="39" t="str">
        <f t="shared" si="196"/>
        <v>2023-03</v>
      </c>
      <c r="X623" s="40">
        <f t="shared" si="197"/>
        <v>45016</v>
      </c>
      <c r="Y623" s="39" t="str">
        <f t="shared" si="198"/>
        <v>2023-Q1</v>
      </c>
      <c r="Z623" s="39" t="str">
        <f t="shared" si="199"/>
        <v>Mon</v>
      </c>
      <c r="AA623" s="39">
        <f t="shared" si="200"/>
        <v>1</v>
      </c>
      <c r="AB623" s="39">
        <f t="shared" si="201"/>
        <v>12</v>
      </c>
      <c r="AC623" s="39" t="str">
        <f t="shared" si="202"/>
        <v>Weekday</v>
      </c>
      <c r="AD623" s="39">
        <f t="shared" ca="1" si="203"/>
        <v>1321</v>
      </c>
      <c r="AE623" s="39">
        <f t="shared" ca="1" si="204"/>
        <v>43</v>
      </c>
      <c r="AF623" s="39" t="str">
        <f t="shared" si="205"/>
        <v>BOB</v>
      </c>
      <c r="AG623" s="39" t="str">
        <f t="shared" si="206"/>
        <v>SR-230313-0622</v>
      </c>
      <c r="AH623" s="39" t="str">
        <f>IF(AND(OR(Filter!$B$4="All",D623=Filter!$B$4),OR(Filter!$B$5="All",M623=Filter!$B$5),E623&gt;=Filter!$B$6),MAX(AH$1:AH622)+1,"")</f>
        <v/>
      </c>
      <c r="AI623" s="39">
        <f t="shared" si="207"/>
        <v>11</v>
      </c>
      <c r="AJ623" s="42">
        <f t="shared" si="208"/>
        <v>0.01</v>
      </c>
      <c r="AK623" s="41">
        <f t="shared" si="209"/>
        <v>2769.52</v>
      </c>
      <c r="AL623" s="39">
        <f>RANK(E623,$E$2:$E$1001,0)+COUNTIF($E$2:E623,E623)-1</f>
        <v>376</v>
      </c>
    </row>
    <row r="624" spans="1:38" x14ac:dyDescent="0.2">
      <c r="A624" s="39">
        <v>1019</v>
      </c>
      <c r="B624" s="40">
        <v>45074</v>
      </c>
      <c r="C624" s="39" t="s">
        <v>61</v>
      </c>
      <c r="D624" s="39" t="s">
        <v>59</v>
      </c>
      <c r="E624" s="41">
        <v>6917.45</v>
      </c>
      <c r="F624" s="39">
        <v>28</v>
      </c>
      <c r="G624" s="39" t="s">
        <v>75</v>
      </c>
      <c r="H624" s="41">
        <v>3907.86</v>
      </c>
      <c r="I624" s="41">
        <v>4205.37</v>
      </c>
      <c r="J624" s="39" t="s">
        <v>143</v>
      </c>
      <c r="K624" s="42">
        <v>0.09</v>
      </c>
      <c r="L624" s="39" t="s">
        <v>73</v>
      </c>
      <c r="M624" s="39" t="s">
        <v>138</v>
      </c>
      <c r="N624" s="39" t="s">
        <v>159</v>
      </c>
      <c r="O624" s="43">
        <f t="shared" si="189"/>
        <v>117750.36</v>
      </c>
      <c r="P624" s="43">
        <f t="shared" si="190"/>
        <v>107152.83</v>
      </c>
      <c r="Q624" s="43">
        <f t="shared" si="191"/>
        <v>109420.08</v>
      </c>
      <c r="R624" s="43">
        <f t="shared" si="192"/>
        <v>-2267.25</v>
      </c>
      <c r="S624" s="44">
        <f t="shared" si="193"/>
        <v>-2.1159030517439437E-2</v>
      </c>
      <c r="T624" s="39" t="str">
        <f t="shared" si="194"/>
        <v>Loss</v>
      </c>
      <c r="U624" s="39" t="str">
        <f t="shared" si="195"/>
        <v>0-9%</v>
      </c>
      <c r="V624" s="39" t="str">
        <f>IF(E624&gt;=Analysis!$B$4,"High",IF(E624&gt;=Analysis!$B$5,"Mid","Low"))</f>
        <v>Mid</v>
      </c>
      <c r="W624" s="39" t="str">
        <f t="shared" si="196"/>
        <v>2023-05</v>
      </c>
      <c r="X624" s="40">
        <f t="shared" si="197"/>
        <v>45077</v>
      </c>
      <c r="Y624" s="39" t="str">
        <f t="shared" si="198"/>
        <v>2023-Q2</v>
      </c>
      <c r="Z624" s="39" t="str">
        <f t="shared" si="199"/>
        <v>Sun</v>
      </c>
      <c r="AA624" s="39">
        <f t="shared" si="200"/>
        <v>7</v>
      </c>
      <c r="AB624" s="39">
        <f t="shared" si="201"/>
        <v>22</v>
      </c>
      <c r="AC624" s="39" t="str">
        <f t="shared" si="202"/>
        <v>Weekend</v>
      </c>
      <c r="AD624" s="39">
        <f t="shared" ca="1" si="203"/>
        <v>1245</v>
      </c>
      <c r="AE624" s="39">
        <f t="shared" ca="1" si="204"/>
        <v>40</v>
      </c>
      <c r="AF624" s="39" t="str">
        <f t="shared" si="205"/>
        <v>ALI</v>
      </c>
      <c r="AG624" s="39" t="str">
        <f t="shared" si="206"/>
        <v>EO-230528-0623</v>
      </c>
      <c r="AH624" s="39" t="str">
        <f>IF(AND(OR(Filter!$B$4="All",D624=Filter!$B$4),OR(Filter!$B$5="All",M624=Filter!$B$5),E624&gt;=Filter!$B$6),MAX(AH$1:AH623)+1,"")</f>
        <v/>
      </c>
      <c r="AI624" s="39">
        <f t="shared" si="207"/>
        <v>28</v>
      </c>
      <c r="AJ624" s="42">
        <f t="shared" si="208"/>
        <v>0.09</v>
      </c>
      <c r="AK624" s="41">
        <f t="shared" si="209"/>
        <v>4205.37</v>
      </c>
      <c r="AL624" s="39">
        <f>RANK(E624,$E$2:$E$1001,0)+COUNTIF($E$2:E624,E624)-1</f>
        <v>312</v>
      </c>
    </row>
    <row r="625" spans="1:38" x14ac:dyDescent="0.2">
      <c r="A625" s="39">
        <v>1076</v>
      </c>
      <c r="B625" s="40">
        <v>45275</v>
      </c>
      <c r="C625" s="39" t="s">
        <v>66</v>
      </c>
      <c r="D625" s="39" t="s">
        <v>74</v>
      </c>
      <c r="E625" s="41">
        <v>2607.4</v>
      </c>
      <c r="F625" s="39">
        <v>32</v>
      </c>
      <c r="G625" s="39" t="s">
        <v>70</v>
      </c>
      <c r="H625" s="41">
        <v>2636.36</v>
      </c>
      <c r="I625" s="41">
        <v>2696.78</v>
      </c>
      <c r="J625" s="39" t="s">
        <v>143</v>
      </c>
      <c r="K625" s="42">
        <v>0.09</v>
      </c>
      <c r="L625" s="39" t="s">
        <v>68</v>
      </c>
      <c r="M625" s="39" t="s">
        <v>140</v>
      </c>
      <c r="N625" s="39" t="s">
        <v>141</v>
      </c>
      <c r="O625" s="43">
        <f t="shared" si="189"/>
        <v>86296.960000000006</v>
      </c>
      <c r="P625" s="43">
        <f t="shared" si="190"/>
        <v>78530.23</v>
      </c>
      <c r="Q625" s="43">
        <f t="shared" si="191"/>
        <v>84363.520000000004</v>
      </c>
      <c r="R625" s="43">
        <f t="shared" si="192"/>
        <v>-5833.2900000000081</v>
      </c>
      <c r="S625" s="44">
        <f t="shared" si="193"/>
        <v>-7.42808215384064E-2</v>
      </c>
      <c r="T625" s="39" t="str">
        <f t="shared" si="194"/>
        <v>Loss</v>
      </c>
      <c r="U625" s="39" t="str">
        <f t="shared" si="195"/>
        <v>0-9%</v>
      </c>
      <c r="V625" s="39" t="str">
        <f>IF(E625&gt;=Analysis!$B$4,"High",IF(E625&gt;=Analysis!$B$5,"Mid","Low"))</f>
        <v>Mid</v>
      </c>
      <c r="W625" s="39" t="str">
        <f t="shared" si="196"/>
        <v>2023-12</v>
      </c>
      <c r="X625" s="40">
        <f t="shared" si="197"/>
        <v>45291</v>
      </c>
      <c r="Y625" s="39" t="str">
        <f t="shared" si="198"/>
        <v>2023-Q4</v>
      </c>
      <c r="Z625" s="39" t="str">
        <f t="shared" si="199"/>
        <v>Fri</v>
      </c>
      <c r="AA625" s="39">
        <f t="shared" si="200"/>
        <v>5</v>
      </c>
      <c r="AB625" s="39">
        <f t="shared" si="201"/>
        <v>51</v>
      </c>
      <c r="AC625" s="39" t="str">
        <f t="shared" si="202"/>
        <v>Weekday</v>
      </c>
      <c r="AD625" s="39">
        <f t="shared" ca="1" si="203"/>
        <v>1044</v>
      </c>
      <c r="AE625" s="39">
        <f t="shared" ca="1" si="204"/>
        <v>34</v>
      </c>
      <c r="AF625" s="39" t="str">
        <f t="shared" si="205"/>
        <v>BOB</v>
      </c>
      <c r="AG625" s="39" t="str">
        <f t="shared" si="206"/>
        <v>WR-231215-0624</v>
      </c>
      <c r="AH625" s="39" t="str">
        <f>IF(AND(OR(Filter!$B$4="All",D625=Filter!$B$4),OR(Filter!$B$5="All",M625=Filter!$B$5),E625&gt;=Filter!$B$6),MAX(AH$1:AH624)+1,"")</f>
        <v/>
      </c>
      <c r="AI625" s="39">
        <f t="shared" si="207"/>
        <v>32</v>
      </c>
      <c r="AJ625" s="42">
        <f t="shared" si="208"/>
        <v>0.09</v>
      </c>
      <c r="AK625" s="41">
        <f t="shared" si="209"/>
        <v>2696.78</v>
      </c>
      <c r="AL625" s="39">
        <f>RANK(E625,$E$2:$E$1001,0)+COUNTIF($E$2:E625,E625)-1</f>
        <v>740</v>
      </c>
    </row>
    <row r="626" spans="1:38" x14ac:dyDescent="0.2">
      <c r="A626" s="39">
        <v>1009</v>
      </c>
      <c r="B626" s="40">
        <v>44989</v>
      </c>
      <c r="C626" s="39" t="s">
        <v>76</v>
      </c>
      <c r="D626" s="39" t="s">
        <v>59</v>
      </c>
      <c r="E626" s="41">
        <v>198.79</v>
      </c>
      <c r="F626" s="39">
        <v>1</v>
      </c>
      <c r="G626" s="39" t="s">
        <v>60</v>
      </c>
      <c r="H626" s="41">
        <v>3223.07</v>
      </c>
      <c r="I626" s="41">
        <v>3590.83</v>
      </c>
      <c r="J626" s="39" t="s">
        <v>143</v>
      </c>
      <c r="K626" s="42">
        <v>0.19</v>
      </c>
      <c r="L626" s="39" t="s">
        <v>63</v>
      </c>
      <c r="M626" s="39" t="s">
        <v>140</v>
      </c>
      <c r="N626" s="39" t="s">
        <v>157</v>
      </c>
      <c r="O626" s="43">
        <f t="shared" si="189"/>
        <v>3590.83</v>
      </c>
      <c r="P626" s="43">
        <f t="shared" si="190"/>
        <v>2908.57</v>
      </c>
      <c r="Q626" s="43">
        <f t="shared" si="191"/>
        <v>3223.07</v>
      </c>
      <c r="R626" s="43">
        <f t="shared" si="192"/>
        <v>-314.5</v>
      </c>
      <c r="S626" s="44">
        <f t="shared" si="193"/>
        <v>-0.10812873680193359</v>
      </c>
      <c r="T626" s="39" t="str">
        <f t="shared" si="194"/>
        <v>Loss</v>
      </c>
      <c r="U626" s="39" t="str">
        <f t="shared" si="195"/>
        <v>10-19%</v>
      </c>
      <c r="V626" s="39" t="str">
        <f>IF(E626&gt;=Analysis!$B$4,"High",IF(E626&gt;=Analysis!$B$5,"Mid","Low"))</f>
        <v>Low</v>
      </c>
      <c r="W626" s="39" t="str">
        <f t="shared" si="196"/>
        <v>2023-03</v>
      </c>
      <c r="X626" s="40">
        <f t="shared" si="197"/>
        <v>45016</v>
      </c>
      <c r="Y626" s="39" t="str">
        <f t="shared" si="198"/>
        <v>2023-Q1</v>
      </c>
      <c r="Z626" s="39" t="str">
        <f t="shared" si="199"/>
        <v>Sat</v>
      </c>
      <c r="AA626" s="39">
        <f t="shared" si="200"/>
        <v>6</v>
      </c>
      <c r="AB626" s="39">
        <f t="shared" si="201"/>
        <v>10</v>
      </c>
      <c r="AC626" s="39" t="str">
        <f t="shared" si="202"/>
        <v>Weekend</v>
      </c>
      <c r="AD626" s="39">
        <f t="shared" ca="1" si="203"/>
        <v>1330</v>
      </c>
      <c r="AE626" s="39">
        <f t="shared" ca="1" si="204"/>
        <v>43</v>
      </c>
      <c r="AF626" s="39" t="str">
        <f t="shared" si="205"/>
        <v>DAV</v>
      </c>
      <c r="AG626" s="39" t="str">
        <f t="shared" si="206"/>
        <v>ER-230304-0625</v>
      </c>
      <c r="AH626" s="39" t="str">
        <f>IF(AND(OR(Filter!$B$4="All",D626=Filter!$B$4),OR(Filter!$B$5="All",M626=Filter!$B$5),E626&gt;=Filter!$B$6),MAX(AH$1:AH625)+1,"")</f>
        <v/>
      </c>
      <c r="AI626" s="39">
        <f t="shared" si="207"/>
        <v>1</v>
      </c>
      <c r="AJ626" s="42">
        <f t="shared" si="208"/>
        <v>0.19</v>
      </c>
      <c r="AK626" s="41">
        <f t="shared" si="209"/>
        <v>3590.83</v>
      </c>
      <c r="AL626" s="39">
        <f>RANK(E626,$E$2:$E$1001,0)+COUNTIF($E$2:E626,E626)-1</f>
        <v>988</v>
      </c>
    </row>
    <row r="627" spans="1:38" x14ac:dyDescent="0.2">
      <c r="A627" s="39">
        <v>1071</v>
      </c>
      <c r="B627" s="40">
        <v>45236</v>
      </c>
      <c r="C627" s="39" t="s">
        <v>76</v>
      </c>
      <c r="D627" s="39" t="s">
        <v>64</v>
      </c>
      <c r="E627" s="41">
        <v>7262.09</v>
      </c>
      <c r="F627" s="39">
        <v>47</v>
      </c>
      <c r="G627" s="39" t="s">
        <v>70</v>
      </c>
      <c r="H627" s="41">
        <v>3942.34</v>
      </c>
      <c r="I627" s="41">
        <v>4142.09</v>
      </c>
      <c r="J627" s="39" t="s">
        <v>137</v>
      </c>
      <c r="K627" s="42">
        <v>0.03</v>
      </c>
      <c r="L627" s="39" t="s">
        <v>73</v>
      </c>
      <c r="M627" s="39" t="s">
        <v>140</v>
      </c>
      <c r="N627" s="39" t="s">
        <v>152</v>
      </c>
      <c r="O627" s="43">
        <f t="shared" si="189"/>
        <v>194678.23</v>
      </c>
      <c r="P627" s="43">
        <f t="shared" si="190"/>
        <v>188837.88</v>
      </c>
      <c r="Q627" s="43">
        <f t="shared" si="191"/>
        <v>185289.98</v>
      </c>
      <c r="R627" s="43">
        <f t="shared" si="192"/>
        <v>3547.8999999999942</v>
      </c>
      <c r="S627" s="44">
        <f t="shared" si="193"/>
        <v>1.87880736640339E-2</v>
      </c>
      <c r="T627" s="39" t="str">
        <f t="shared" si="194"/>
        <v>OK</v>
      </c>
      <c r="U627" s="39" t="str">
        <f t="shared" si="195"/>
        <v>0-9%</v>
      </c>
      <c r="V627" s="39" t="str">
        <f>IF(E627&gt;=Analysis!$B$4,"High",IF(E627&gt;=Analysis!$B$5,"Mid","Low"))</f>
        <v>Mid</v>
      </c>
      <c r="W627" s="39" t="str">
        <f t="shared" si="196"/>
        <v>2023-11</v>
      </c>
      <c r="X627" s="40">
        <f t="shared" si="197"/>
        <v>45260</v>
      </c>
      <c r="Y627" s="39" t="str">
        <f t="shared" si="198"/>
        <v>2023-Q4</v>
      </c>
      <c r="Z627" s="39" t="str">
        <f t="shared" si="199"/>
        <v>Mon</v>
      </c>
      <c r="AA627" s="39">
        <f t="shared" si="200"/>
        <v>1</v>
      </c>
      <c r="AB627" s="39">
        <f t="shared" si="201"/>
        <v>46</v>
      </c>
      <c r="AC627" s="39" t="str">
        <f t="shared" si="202"/>
        <v>Weekday</v>
      </c>
      <c r="AD627" s="39">
        <f t="shared" ca="1" si="203"/>
        <v>1083</v>
      </c>
      <c r="AE627" s="39">
        <f t="shared" ca="1" si="204"/>
        <v>35</v>
      </c>
      <c r="AF627" s="39" t="str">
        <f t="shared" si="205"/>
        <v>DAV</v>
      </c>
      <c r="AG627" s="39" t="str">
        <f t="shared" si="206"/>
        <v>NR-231106-0626</v>
      </c>
      <c r="AH627" s="39" t="str">
        <f>IF(AND(OR(Filter!$B$4="All",D627=Filter!$B$4),OR(Filter!$B$5="All",M627=Filter!$B$5),E627&gt;=Filter!$B$6),MAX(AH$1:AH626)+1,"")</f>
        <v/>
      </c>
      <c r="AI627" s="39">
        <f t="shared" si="207"/>
        <v>47</v>
      </c>
      <c r="AJ627" s="42">
        <f t="shared" si="208"/>
        <v>0.03</v>
      </c>
      <c r="AK627" s="41">
        <f t="shared" si="209"/>
        <v>4142.09</v>
      </c>
      <c r="AL627" s="39">
        <f>RANK(E627,$E$2:$E$1001,0)+COUNTIF($E$2:E627,E627)-1</f>
        <v>273</v>
      </c>
    </row>
    <row r="628" spans="1:38" x14ac:dyDescent="0.2">
      <c r="A628" s="39">
        <v>1028</v>
      </c>
      <c r="B628" s="40">
        <v>45169</v>
      </c>
      <c r="C628" s="39" t="s">
        <v>79</v>
      </c>
      <c r="D628" s="39" t="s">
        <v>64</v>
      </c>
      <c r="E628" s="41">
        <v>5403</v>
      </c>
      <c r="F628" s="39">
        <v>28</v>
      </c>
      <c r="G628" s="39" t="s">
        <v>75</v>
      </c>
      <c r="H628" s="41">
        <v>2055.2800000000002</v>
      </c>
      <c r="I628" s="41">
        <v>2449.64</v>
      </c>
      <c r="J628" s="39" t="s">
        <v>143</v>
      </c>
      <c r="K628" s="42">
        <v>0.19</v>
      </c>
      <c r="L628" s="39" t="s">
        <v>73</v>
      </c>
      <c r="M628" s="39" t="s">
        <v>138</v>
      </c>
      <c r="N628" s="39" t="s">
        <v>148</v>
      </c>
      <c r="O628" s="43">
        <f t="shared" si="189"/>
        <v>68589.919999999998</v>
      </c>
      <c r="P628" s="43">
        <f t="shared" si="190"/>
        <v>55557.84</v>
      </c>
      <c r="Q628" s="43">
        <f t="shared" si="191"/>
        <v>57547.839999999997</v>
      </c>
      <c r="R628" s="43">
        <f t="shared" si="192"/>
        <v>-1990</v>
      </c>
      <c r="S628" s="44">
        <f t="shared" si="193"/>
        <v>-3.5818527142163915E-2</v>
      </c>
      <c r="T628" s="39" t="str">
        <f t="shared" si="194"/>
        <v>Loss</v>
      </c>
      <c r="U628" s="39" t="str">
        <f t="shared" si="195"/>
        <v>10-19%</v>
      </c>
      <c r="V628" s="39" t="str">
        <f>IF(E628&gt;=Analysis!$B$4,"High",IF(E628&gt;=Analysis!$B$5,"Mid","Low"))</f>
        <v>Mid</v>
      </c>
      <c r="W628" s="39" t="str">
        <f t="shared" si="196"/>
        <v>2023-08</v>
      </c>
      <c r="X628" s="40">
        <f t="shared" si="197"/>
        <v>45169</v>
      </c>
      <c r="Y628" s="39" t="str">
        <f t="shared" si="198"/>
        <v>2023-Q3</v>
      </c>
      <c r="Z628" s="39" t="str">
        <f t="shared" si="199"/>
        <v>Thu</v>
      </c>
      <c r="AA628" s="39">
        <f t="shared" si="200"/>
        <v>4</v>
      </c>
      <c r="AB628" s="39">
        <f t="shared" si="201"/>
        <v>36</v>
      </c>
      <c r="AC628" s="39" t="str">
        <f t="shared" si="202"/>
        <v>Weekday</v>
      </c>
      <c r="AD628" s="39">
        <f t="shared" ca="1" si="203"/>
        <v>1150</v>
      </c>
      <c r="AE628" s="39">
        <f t="shared" ca="1" si="204"/>
        <v>37</v>
      </c>
      <c r="AF628" s="39" t="str">
        <f t="shared" si="205"/>
        <v>EVE</v>
      </c>
      <c r="AG628" s="39" t="str">
        <f t="shared" si="206"/>
        <v>NO-230831-0627</v>
      </c>
      <c r="AH628" s="39" t="str">
        <f>IF(AND(OR(Filter!$B$4="All",D628=Filter!$B$4),OR(Filter!$B$5="All",M628=Filter!$B$5),E628&gt;=Filter!$B$6),MAX(AH$1:AH627)+1,"")</f>
        <v/>
      </c>
      <c r="AI628" s="39">
        <f t="shared" si="207"/>
        <v>28</v>
      </c>
      <c r="AJ628" s="42">
        <f t="shared" si="208"/>
        <v>0.19</v>
      </c>
      <c r="AK628" s="41">
        <f t="shared" si="209"/>
        <v>2449.64</v>
      </c>
      <c r="AL628" s="39">
        <f>RANK(E628,$E$2:$E$1001,0)+COUNTIF($E$2:E628,E628)-1</f>
        <v>465</v>
      </c>
    </row>
    <row r="629" spans="1:38" x14ac:dyDescent="0.2">
      <c r="A629" s="39">
        <v>1078</v>
      </c>
      <c r="B629" s="40">
        <v>45292</v>
      </c>
      <c r="C629" s="39" t="s">
        <v>76</v>
      </c>
      <c r="D629" s="39" t="s">
        <v>59</v>
      </c>
      <c r="E629" s="41">
        <v>8377.57</v>
      </c>
      <c r="F629" s="39">
        <v>42</v>
      </c>
      <c r="G629" s="39" t="s">
        <v>70</v>
      </c>
      <c r="H629" s="41">
        <v>63.41</v>
      </c>
      <c r="I629" s="41">
        <v>314.93</v>
      </c>
      <c r="J629" s="39" t="s">
        <v>137</v>
      </c>
      <c r="K629" s="42">
        <v>0.03</v>
      </c>
      <c r="L629" s="39" t="s">
        <v>68</v>
      </c>
      <c r="M629" s="39" t="s">
        <v>140</v>
      </c>
      <c r="N629" s="39" t="s">
        <v>157</v>
      </c>
      <c r="O629" s="43">
        <f t="shared" si="189"/>
        <v>13227.06</v>
      </c>
      <c r="P629" s="43">
        <f t="shared" si="190"/>
        <v>12830.25</v>
      </c>
      <c r="Q629" s="43">
        <f t="shared" si="191"/>
        <v>2663.22</v>
      </c>
      <c r="R629" s="43">
        <f t="shared" si="192"/>
        <v>10167.030000000001</v>
      </c>
      <c r="S629" s="44">
        <f t="shared" si="193"/>
        <v>0.79242649207926585</v>
      </c>
      <c r="T629" s="39" t="str">
        <f t="shared" si="194"/>
        <v>OK</v>
      </c>
      <c r="U629" s="39" t="str">
        <f t="shared" si="195"/>
        <v>0-9%</v>
      </c>
      <c r="V629" s="39" t="str">
        <f>IF(E629&gt;=Analysis!$B$4,"High",IF(E629&gt;=Analysis!$B$5,"Mid","Low"))</f>
        <v>High</v>
      </c>
      <c r="W629" s="39" t="str">
        <f t="shared" si="196"/>
        <v>2024-01</v>
      </c>
      <c r="X629" s="40">
        <f t="shared" si="197"/>
        <v>45322</v>
      </c>
      <c r="Y629" s="39" t="str">
        <f t="shared" si="198"/>
        <v>2024-Q1</v>
      </c>
      <c r="Z629" s="39" t="str">
        <f t="shared" si="199"/>
        <v>Mon</v>
      </c>
      <c r="AA629" s="39">
        <f t="shared" si="200"/>
        <v>1</v>
      </c>
      <c r="AB629" s="39">
        <f t="shared" si="201"/>
        <v>1</v>
      </c>
      <c r="AC629" s="39" t="str">
        <f t="shared" si="202"/>
        <v>Weekday</v>
      </c>
      <c r="AD629" s="39">
        <f t="shared" ca="1" si="203"/>
        <v>1027</v>
      </c>
      <c r="AE629" s="39">
        <f t="shared" ca="1" si="204"/>
        <v>33</v>
      </c>
      <c r="AF629" s="39" t="str">
        <f t="shared" si="205"/>
        <v>DAV</v>
      </c>
      <c r="AG629" s="39" t="str">
        <f t="shared" si="206"/>
        <v>ER-240101-0628</v>
      </c>
      <c r="AH629" s="39" t="str">
        <f>IF(AND(OR(Filter!$B$4="All",D629=Filter!$B$4),OR(Filter!$B$5="All",M629=Filter!$B$5),E629&gt;=Filter!$B$6),MAX(AH$1:AH628)+1,"")</f>
        <v/>
      </c>
      <c r="AI629" s="39">
        <f t="shared" si="207"/>
        <v>42</v>
      </c>
      <c r="AJ629" s="42">
        <f t="shared" si="208"/>
        <v>0.03</v>
      </c>
      <c r="AK629" s="41">
        <f t="shared" si="209"/>
        <v>314.93</v>
      </c>
      <c r="AL629" s="39">
        <f>RANK(E629,$E$2:$E$1001,0)+COUNTIF($E$2:E629,E629)-1</f>
        <v>157</v>
      </c>
    </row>
    <row r="630" spans="1:38" x14ac:dyDescent="0.2">
      <c r="A630" s="39">
        <v>1095</v>
      </c>
      <c r="B630" s="40">
        <v>45256</v>
      </c>
      <c r="C630" s="39" t="s">
        <v>71</v>
      </c>
      <c r="D630" s="39" t="s">
        <v>74</v>
      </c>
      <c r="E630" s="41">
        <v>8231.74</v>
      </c>
      <c r="F630" s="39">
        <v>7</v>
      </c>
      <c r="G630" s="39" t="s">
        <v>70</v>
      </c>
      <c r="H630" s="41">
        <v>4257.24</v>
      </c>
      <c r="I630" s="41">
        <v>4355.87</v>
      </c>
      <c r="J630" s="39" t="s">
        <v>137</v>
      </c>
      <c r="K630" s="42">
        <v>0.03</v>
      </c>
      <c r="L630" s="39" t="s">
        <v>63</v>
      </c>
      <c r="M630" s="39" t="s">
        <v>138</v>
      </c>
      <c r="N630" s="39" t="s">
        <v>146</v>
      </c>
      <c r="O630" s="43">
        <f t="shared" si="189"/>
        <v>30491.09</v>
      </c>
      <c r="P630" s="43">
        <f t="shared" si="190"/>
        <v>29576.36</v>
      </c>
      <c r="Q630" s="43">
        <f t="shared" si="191"/>
        <v>29800.68</v>
      </c>
      <c r="R630" s="43">
        <f t="shared" si="192"/>
        <v>-224.31999999999971</v>
      </c>
      <c r="S630" s="44">
        <f t="shared" si="193"/>
        <v>-7.5844356776831124E-3</v>
      </c>
      <c r="T630" s="39" t="str">
        <f t="shared" si="194"/>
        <v>Loss</v>
      </c>
      <c r="U630" s="39" t="str">
        <f t="shared" si="195"/>
        <v>0-9%</v>
      </c>
      <c r="V630" s="39" t="str">
        <f>IF(E630&gt;=Analysis!$B$4,"High",IF(E630&gt;=Analysis!$B$5,"Mid","Low"))</f>
        <v>High</v>
      </c>
      <c r="W630" s="39" t="str">
        <f t="shared" si="196"/>
        <v>2023-11</v>
      </c>
      <c r="X630" s="40">
        <f t="shared" si="197"/>
        <v>45260</v>
      </c>
      <c r="Y630" s="39" t="str">
        <f t="shared" si="198"/>
        <v>2023-Q4</v>
      </c>
      <c r="Z630" s="39" t="str">
        <f t="shared" si="199"/>
        <v>Sun</v>
      </c>
      <c r="AA630" s="39">
        <f t="shared" si="200"/>
        <v>7</v>
      </c>
      <c r="AB630" s="39">
        <f t="shared" si="201"/>
        <v>48</v>
      </c>
      <c r="AC630" s="39" t="str">
        <f t="shared" si="202"/>
        <v>Weekend</v>
      </c>
      <c r="AD630" s="39">
        <f t="shared" ca="1" si="203"/>
        <v>1063</v>
      </c>
      <c r="AE630" s="39">
        <f t="shared" ca="1" si="204"/>
        <v>34</v>
      </c>
      <c r="AF630" s="39" t="str">
        <f t="shared" si="205"/>
        <v>CHA</v>
      </c>
      <c r="AG630" s="39" t="str">
        <f t="shared" si="206"/>
        <v>WO-231126-0629</v>
      </c>
      <c r="AH630" s="39" t="str">
        <f>IF(AND(OR(Filter!$B$4="All",D630=Filter!$B$4),OR(Filter!$B$5="All",M630=Filter!$B$5),E630&gt;=Filter!$B$6),MAX(AH$1:AH629)+1,"")</f>
        <v/>
      </c>
      <c r="AI630" s="39">
        <f t="shared" si="207"/>
        <v>7</v>
      </c>
      <c r="AJ630" s="42">
        <f t="shared" si="208"/>
        <v>0.03</v>
      </c>
      <c r="AK630" s="41">
        <f t="shared" si="209"/>
        <v>4355.87</v>
      </c>
      <c r="AL630" s="39">
        <f>RANK(E630,$E$2:$E$1001,0)+COUNTIF($E$2:E630,E630)-1</f>
        <v>170</v>
      </c>
    </row>
    <row r="631" spans="1:38" x14ac:dyDescent="0.2">
      <c r="A631" s="39">
        <v>1052</v>
      </c>
      <c r="B631" s="40">
        <v>45033</v>
      </c>
      <c r="C631" s="39" t="s">
        <v>61</v>
      </c>
      <c r="D631" s="39" t="s">
        <v>69</v>
      </c>
      <c r="E631" s="41">
        <v>8448.93</v>
      </c>
      <c r="F631" s="39">
        <v>2</v>
      </c>
      <c r="G631" s="39" t="s">
        <v>70</v>
      </c>
      <c r="H631" s="41">
        <v>1935.41</v>
      </c>
      <c r="I631" s="41">
        <v>2305.44</v>
      </c>
      <c r="J631" s="39" t="s">
        <v>137</v>
      </c>
      <c r="K631" s="42">
        <v>0.22</v>
      </c>
      <c r="L631" s="39" t="s">
        <v>73</v>
      </c>
      <c r="M631" s="39" t="s">
        <v>138</v>
      </c>
      <c r="N631" s="39" t="s">
        <v>150</v>
      </c>
      <c r="O631" s="43">
        <f t="shared" si="189"/>
        <v>4610.88</v>
      </c>
      <c r="P631" s="43">
        <f t="shared" si="190"/>
        <v>3596.49</v>
      </c>
      <c r="Q631" s="43">
        <f t="shared" si="191"/>
        <v>3870.82</v>
      </c>
      <c r="R631" s="43">
        <f t="shared" si="192"/>
        <v>-274.33000000000038</v>
      </c>
      <c r="S631" s="44">
        <f t="shared" si="193"/>
        <v>-7.6277147997075037E-2</v>
      </c>
      <c r="T631" s="39" t="str">
        <f t="shared" si="194"/>
        <v>Loss</v>
      </c>
      <c r="U631" s="39" t="str">
        <f t="shared" si="195"/>
        <v>20%+</v>
      </c>
      <c r="V631" s="39" t="str">
        <f>IF(E631&gt;=Analysis!$B$4,"High",IF(E631&gt;=Analysis!$B$5,"Mid","Low"))</f>
        <v>High</v>
      </c>
      <c r="W631" s="39" t="str">
        <f t="shared" si="196"/>
        <v>2023-04</v>
      </c>
      <c r="X631" s="40">
        <f t="shared" si="197"/>
        <v>45046</v>
      </c>
      <c r="Y631" s="39" t="str">
        <f t="shared" si="198"/>
        <v>2023-Q2</v>
      </c>
      <c r="Z631" s="39" t="str">
        <f t="shared" si="199"/>
        <v>Mon</v>
      </c>
      <c r="AA631" s="39">
        <f t="shared" si="200"/>
        <v>1</v>
      </c>
      <c r="AB631" s="39">
        <f t="shared" si="201"/>
        <v>17</v>
      </c>
      <c r="AC631" s="39" t="str">
        <f t="shared" si="202"/>
        <v>Weekday</v>
      </c>
      <c r="AD631" s="39">
        <f t="shared" ca="1" si="203"/>
        <v>1286</v>
      </c>
      <c r="AE631" s="39">
        <f t="shared" ca="1" si="204"/>
        <v>42</v>
      </c>
      <c r="AF631" s="39" t="str">
        <f t="shared" si="205"/>
        <v>ALI</v>
      </c>
      <c r="AG631" s="39" t="str">
        <f t="shared" si="206"/>
        <v>SO-230417-0630</v>
      </c>
      <c r="AH631" s="39" t="str">
        <f>IF(AND(OR(Filter!$B$4="All",D631=Filter!$B$4),OR(Filter!$B$5="All",M631=Filter!$B$5),E631&gt;=Filter!$B$6),MAX(AH$1:AH630)+1,"")</f>
        <v/>
      </c>
      <c r="AI631" s="39">
        <f t="shared" si="207"/>
        <v>2</v>
      </c>
      <c r="AJ631" s="42">
        <f t="shared" si="208"/>
        <v>0.22</v>
      </c>
      <c r="AK631" s="41">
        <f t="shared" si="209"/>
        <v>2305.44</v>
      </c>
      <c r="AL631" s="39">
        <f>RANK(E631,$E$2:$E$1001,0)+COUNTIF($E$2:E631,E631)-1</f>
        <v>147</v>
      </c>
    </row>
    <row r="632" spans="1:38" x14ac:dyDescent="0.2">
      <c r="A632" s="39">
        <v>1083</v>
      </c>
      <c r="B632" s="40">
        <v>45152</v>
      </c>
      <c r="C632" s="39" t="s">
        <v>79</v>
      </c>
      <c r="D632" s="39" t="s">
        <v>74</v>
      </c>
      <c r="E632" s="41">
        <v>4902.4399999999996</v>
      </c>
      <c r="F632" s="39">
        <v>42</v>
      </c>
      <c r="G632" s="39" t="s">
        <v>60</v>
      </c>
      <c r="H632" s="41">
        <v>2505.41</v>
      </c>
      <c r="I632" s="41">
        <v>2638.96</v>
      </c>
      <c r="J632" s="39" t="s">
        <v>143</v>
      </c>
      <c r="K632" s="42">
        <v>0.1</v>
      </c>
      <c r="L632" s="39" t="s">
        <v>63</v>
      </c>
      <c r="M632" s="39" t="s">
        <v>138</v>
      </c>
      <c r="N632" s="39" t="s">
        <v>149</v>
      </c>
      <c r="O632" s="43">
        <f t="shared" si="189"/>
        <v>110836.32</v>
      </c>
      <c r="P632" s="43">
        <f t="shared" si="190"/>
        <v>99752.69</v>
      </c>
      <c r="Q632" s="43">
        <f t="shared" si="191"/>
        <v>105227.22</v>
      </c>
      <c r="R632" s="43">
        <f t="shared" si="192"/>
        <v>-5474.5299999999988</v>
      </c>
      <c r="S632" s="44">
        <f t="shared" si="193"/>
        <v>-5.4881026266058577E-2</v>
      </c>
      <c r="T632" s="39" t="str">
        <f t="shared" si="194"/>
        <v>Loss</v>
      </c>
      <c r="U632" s="39" t="str">
        <f t="shared" si="195"/>
        <v>10-19%</v>
      </c>
      <c r="V632" s="39" t="str">
        <f>IF(E632&gt;=Analysis!$B$4,"High",IF(E632&gt;=Analysis!$B$5,"Mid","Low"))</f>
        <v>Mid</v>
      </c>
      <c r="W632" s="39" t="str">
        <f t="shared" si="196"/>
        <v>2023-08</v>
      </c>
      <c r="X632" s="40">
        <f t="shared" si="197"/>
        <v>45169</v>
      </c>
      <c r="Y632" s="39" t="str">
        <f t="shared" si="198"/>
        <v>2023-Q3</v>
      </c>
      <c r="Z632" s="39" t="str">
        <f t="shared" si="199"/>
        <v>Mon</v>
      </c>
      <c r="AA632" s="39">
        <f t="shared" si="200"/>
        <v>1</v>
      </c>
      <c r="AB632" s="39">
        <f t="shared" si="201"/>
        <v>34</v>
      </c>
      <c r="AC632" s="39" t="str">
        <f t="shared" si="202"/>
        <v>Weekday</v>
      </c>
      <c r="AD632" s="39">
        <f t="shared" ca="1" si="203"/>
        <v>1167</v>
      </c>
      <c r="AE632" s="39">
        <f t="shared" ca="1" si="204"/>
        <v>38</v>
      </c>
      <c r="AF632" s="39" t="str">
        <f t="shared" si="205"/>
        <v>EVE</v>
      </c>
      <c r="AG632" s="39" t="str">
        <f t="shared" si="206"/>
        <v>WO-230814-0631</v>
      </c>
      <c r="AH632" s="39" t="str">
        <f>IF(AND(OR(Filter!$B$4="All",D632=Filter!$B$4),OR(Filter!$B$5="All",M632=Filter!$B$5),E632&gt;=Filter!$B$6),MAX(AH$1:AH631)+1,"")</f>
        <v/>
      </c>
      <c r="AI632" s="39">
        <f t="shared" si="207"/>
        <v>42</v>
      </c>
      <c r="AJ632" s="42">
        <f t="shared" si="208"/>
        <v>0.1</v>
      </c>
      <c r="AK632" s="41">
        <f t="shared" si="209"/>
        <v>2638.96</v>
      </c>
      <c r="AL632" s="39">
        <f>RANK(E632,$E$2:$E$1001,0)+COUNTIF($E$2:E632,E632)-1</f>
        <v>511</v>
      </c>
    </row>
    <row r="633" spans="1:38" x14ac:dyDescent="0.2">
      <c r="A633" s="39">
        <v>1016</v>
      </c>
      <c r="B633" s="40">
        <v>45239</v>
      </c>
      <c r="C633" s="39" t="s">
        <v>71</v>
      </c>
      <c r="D633" s="39" t="s">
        <v>69</v>
      </c>
      <c r="E633" s="41">
        <v>3402.92</v>
      </c>
      <c r="F633" s="39">
        <v>24</v>
      </c>
      <c r="G633" s="39" t="s">
        <v>75</v>
      </c>
      <c r="H633" s="41">
        <v>88.44</v>
      </c>
      <c r="I633" s="41">
        <v>338.94</v>
      </c>
      <c r="J633" s="39" t="s">
        <v>143</v>
      </c>
      <c r="K633" s="42">
        <v>0.28999999999999998</v>
      </c>
      <c r="L633" s="39" t="s">
        <v>68</v>
      </c>
      <c r="M633" s="39" t="s">
        <v>138</v>
      </c>
      <c r="N633" s="39" t="s">
        <v>151</v>
      </c>
      <c r="O633" s="43">
        <f t="shared" si="189"/>
        <v>8134.56</v>
      </c>
      <c r="P633" s="43">
        <f t="shared" si="190"/>
        <v>5775.54</v>
      </c>
      <c r="Q633" s="43">
        <f t="shared" si="191"/>
        <v>2122.56</v>
      </c>
      <c r="R633" s="43">
        <f t="shared" si="192"/>
        <v>3652.98</v>
      </c>
      <c r="S633" s="44">
        <f t="shared" si="193"/>
        <v>0.63249150728763026</v>
      </c>
      <c r="T633" s="39" t="str">
        <f t="shared" si="194"/>
        <v>OK</v>
      </c>
      <c r="U633" s="39" t="str">
        <f t="shared" si="195"/>
        <v>20%+</v>
      </c>
      <c r="V633" s="39" t="str">
        <f>IF(E633&gt;=Analysis!$B$4,"High",IF(E633&gt;=Analysis!$B$5,"Mid","Low"))</f>
        <v>Mid</v>
      </c>
      <c r="W633" s="39" t="str">
        <f t="shared" si="196"/>
        <v>2023-11</v>
      </c>
      <c r="X633" s="40">
        <f t="shared" si="197"/>
        <v>45260</v>
      </c>
      <c r="Y633" s="39" t="str">
        <f t="shared" si="198"/>
        <v>2023-Q4</v>
      </c>
      <c r="Z633" s="39" t="str">
        <f t="shared" si="199"/>
        <v>Thu</v>
      </c>
      <c r="AA633" s="39">
        <f t="shared" si="200"/>
        <v>4</v>
      </c>
      <c r="AB633" s="39">
        <f t="shared" si="201"/>
        <v>46</v>
      </c>
      <c r="AC633" s="39" t="str">
        <f t="shared" si="202"/>
        <v>Weekday</v>
      </c>
      <c r="AD633" s="39">
        <f t="shared" ca="1" si="203"/>
        <v>1080</v>
      </c>
      <c r="AE633" s="39">
        <f t="shared" ca="1" si="204"/>
        <v>35</v>
      </c>
      <c r="AF633" s="39" t="str">
        <f t="shared" si="205"/>
        <v>CHA</v>
      </c>
      <c r="AG633" s="39" t="str">
        <f t="shared" si="206"/>
        <v>SO-231109-0632</v>
      </c>
      <c r="AH633" s="39" t="str">
        <f>IF(AND(OR(Filter!$B$4="All",D633=Filter!$B$4),OR(Filter!$B$5="All",M633=Filter!$B$5),E633&gt;=Filter!$B$6),MAX(AH$1:AH632)+1,"")</f>
        <v/>
      </c>
      <c r="AI633" s="39">
        <f t="shared" si="207"/>
        <v>24</v>
      </c>
      <c r="AJ633" s="42">
        <f t="shared" si="208"/>
        <v>0.28999999999999998</v>
      </c>
      <c r="AK633" s="41">
        <f t="shared" si="209"/>
        <v>338.94</v>
      </c>
      <c r="AL633" s="39">
        <f>RANK(E633,$E$2:$E$1001,0)+COUNTIF($E$2:E633,E633)-1</f>
        <v>657</v>
      </c>
    </row>
    <row r="634" spans="1:38" x14ac:dyDescent="0.2">
      <c r="A634" s="39">
        <v>1069</v>
      </c>
      <c r="B634" s="40">
        <v>45144</v>
      </c>
      <c r="C634" s="39" t="s">
        <v>66</v>
      </c>
      <c r="D634" s="39" t="s">
        <v>64</v>
      </c>
      <c r="E634" s="41">
        <v>7936.43</v>
      </c>
      <c r="F634" s="39">
        <v>4</v>
      </c>
      <c r="G634" s="39" t="s">
        <v>65</v>
      </c>
      <c r="H634" s="41">
        <v>2485.86</v>
      </c>
      <c r="I634" s="41">
        <v>2532.87</v>
      </c>
      <c r="J634" s="39" t="s">
        <v>143</v>
      </c>
      <c r="K634" s="42">
        <v>0.01</v>
      </c>
      <c r="L634" s="39" t="s">
        <v>73</v>
      </c>
      <c r="M634" s="39" t="s">
        <v>138</v>
      </c>
      <c r="N634" s="39" t="s">
        <v>139</v>
      </c>
      <c r="O634" s="43">
        <f t="shared" si="189"/>
        <v>10131.48</v>
      </c>
      <c r="P634" s="43">
        <f t="shared" si="190"/>
        <v>10030.17</v>
      </c>
      <c r="Q634" s="43">
        <f t="shared" si="191"/>
        <v>9943.44</v>
      </c>
      <c r="R634" s="43">
        <f t="shared" si="192"/>
        <v>86.729999999999563</v>
      </c>
      <c r="S634" s="44">
        <f t="shared" si="193"/>
        <v>8.6469122656943568E-3</v>
      </c>
      <c r="T634" s="39" t="str">
        <f t="shared" si="194"/>
        <v>OK</v>
      </c>
      <c r="U634" s="39" t="str">
        <f t="shared" si="195"/>
        <v>0-9%</v>
      </c>
      <c r="V634" s="39" t="str">
        <f>IF(E634&gt;=Analysis!$B$4,"High",IF(E634&gt;=Analysis!$B$5,"Mid","Low"))</f>
        <v>High</v>
      </c>
      <c r="W634" s="39" t="str">
        <f t="shared" si="196"/>
        <v>2023-08</v>
      </c>
      <c r="X634" s="40">
        <f t="shared" si="197"/>
        <v>45169</v>
      </c>
      <c r="Y634" s="39" t="str">
        <f t="shared" si="198"/>
        <v>2023-Q3</v>
      </c>
      <c r="Z634" s="39" t="str">
        <f t="shared" si="199"/>
        <v>Sun</v>
      </c>
      <c r="AA634" s="39">
        <f t="shared" si="200"/>
        <v>7</v>
      </c>
      <c r="AB634" s="39">
        <f t="shared" si="201"/>
        <v>32</v>
      </c>
      <c r="AC634" s="39" t="str">
        <f t="shared" si="202"/>
        <v>Weekend</v>
      </c>
      <c r="AD634" s="39">
        <f t="shared" ca="1" si="203"/>
        <v>1175</v>
      </c>
      <c r="AE634" s="39">
        <f t="shared" ca="1" si="204"/>
        <v>38</v>
      </c>
      <c r="AF634" s="39" t="str">
        <f t="shared" si="205"/>
        <v>BOB</v>
      </c>
      <c r="AG634" s="39" t="str">
        <f t="shared" si="206"/>
        <v>NO-230806-0633</v>
      </c>
      <c r="AH634" s="39" t="str">
        <f>IF(AND(OR(Filter!$B$4="All",D634=Filter!$B$4),OR(Filter!$B$5="All",M634=Filter!$B$5),E634&gt;=Filter!$B$6),MAX(AH$1:AH633)+1,"")</f>
        <v/>
      </c>
      <c r="AI634" s="39">
        <f t="shared" si="207"/>
        <v>4</v>
      </c>
      <c r="AJ634" s="42">
        <f t="shared" si="208"/>
        <v>0.01</v>
      </c>
      <c r="AK634" s="41">
        <f t="shared" si="209"/>
        <v>2532.87</v>
      </c>
      <c r="AL634" s="39">
        <f>RANK(E634,$E$2:$E$1001,0)+COUNTIF($E$2:E634,E634)-1</f>
        <v>203</v>
      </c>
    </row>
    <row r="635" spans="1:38" x14ac:dyDescent="0.2">
      <c r="A635" s="39">
        <v>1099</v>
      </c>
      <c r="B635" s="40">
        <v>45167</v>
      </c>
      <c r="C635" s="39" t="s">
        <v>61</v>
      </c>
      <c r="D635" s="39" t="s">
        <v>74</v>
      </c>
      <c r="E635" s="41">
        <v>4567.8100000000004</v>
      </c>
      <c r="F635" s="39">
        <v>44</v>
      </c>
      <c r="G635" s="39" t="s">
        <v>60</v>
      </c>
      <c r="H635" s="41">
        <v>4933.1099999999997</v>
      </c>
      <c r="I635" s="41">
        <v>5245.86</v>
      </c>
      <c r="J635" s="39" t="s">
        <v>137</v>
      </c>
      <c r="K635" s="42">
        <v>0.13</v>
      </c>
      <c r="L635" s="39" t="s">
        <v>63</v>
      </c>
      <c r="M635" s="39" t="s">
        <v>140</v>
      </c>
      <c r="N635" s="39" t="s">
        <v>158</v>
      </c>
      <c r="O635" s="43">
        <f t="shared" si="189"/>
        <v>230817.84</v>
      </c>
      <c r="P635" s="43">
        <f t="shared" si="190"/>
        <v>200811.51999999999</v>
      </c>
      <c r="Q635" s="43">
        <f t="shared" si="191"/>
        <v>217056.84</v>
      </c>
      <c r="R635" s="43">
        <f t="shared" si="192"/>
        <v>-16245.320000000007</v>
      </c>
      <c r="S635" s="44">
        <f t="shared" si="193"/>
        <v>-8.0898346867749465E-2</v>
      </c>
      <c r="T635" s="39" t="str">
        <f t="shared" si="194"/>
        <v>Loss</v>
      </c>
      <c r="U635" s="39" t="str">
        <f t="shared" si="195"/>
        <v>10-19%</v>
      </c>
      <c r="V635" s="39" t="str">
        <f>IF(E635&gt;=Analysis!$B$4,"High",IF(E635&gt;=Analysis!$B$5,"Mid","Low"))</f>
        <v>Mid</v>
      </c>
      <c r="W635" s="39" t="str">
        <f t="shared" si="196"/>
        <v>2023-08</v>
      </c>
      <c r="X635" s="40">
        <f t="shared" si="197"/>
        <v>45169</v>
      </c>
      <c r="Y635" s="39" t="str">
        <f t="shared" si="198"/>
        <v>2023-Q3</v>
      </c>
      <c r="Z635" s="39" t="str">
        <f t="shared" si="199"/>
        <v>Tue</v>
      </c>
      <c r="AA635" s="39">
        <f t="shared" si="200"/>
        <v>2</v>
      </c>
      <c r="AB635" s="39">
        <f t="shared" si="201"/>
        <v>36</v>
      </c>
      <c r="AC635" s="39" t="str">
        <f t="shared" si="202"/>
        <v>Weekday</v>
      </c>
      <c r="AD635" s="39">
        <f t="shared" ca="1" si="203"/>
        <v>1152</v>
      </c>
      <c r="AE635" s="39">
        <f t="shared" ca="1" si="204"/>
        <v>37</v>
      </c>
      <c r="AF635" s="39" t="str">
        <f t="shared" si="205"/>
        <v>ALI</v>
      </c>
      <c r="AG635" s="39" t="str">
        <f t="shared" si="206"/>
        <v>WR-230829-0634</v>
      </c>
      <c r="AH635" s="39" t="str">
        <f>IF(AND(OR(Filter!$B$4="All",D635=Filter!$B$4),OR(Filter!$B$5="All",M635=Filter!$B$5),E635&gt;=Filter!$B$6),MAX(AH$1:AH634)+1,"")</f>
        <v/>
      </c>
      <c r="AI635" s="39">
        <f t="shared" si="207"/>
        <v>44</v>
      </c>
      <c r="AJ635" s="42">
        <f t="shared" si="208"/>
        <v>0.13</v>
      </c>
      <c r="AK635" s="41">
        <f t="shared" si="209"/>
        <v>5245.86</v>
      </c>
      <c r="AL635" s="39">
        <f>RANK(E635,$E$2:$E$1001,0)+COUNTIF($E$2:E635,E635)-1</f>
        <v>544</v>
      </c>
    </row>
    <row r="636" spans="1:38" x14ac:dyDescent="0.2">
      <c r="A636" s="39">
        <v>1012</v>
      </c>
      <c r="B636" s="40">
        <v>45185</v>
      </c>
      <c r="C636" s="39" t="s">
        <v>76</v>
      </c>
      <c r="D636" s="39" t="s">
        <v>69</v>
      </c>
      <c r="E636" s="41">
        <v>1916.08</v>
      </c>
      <c r="F636" s="39">
        <v>19</v>
      </c>
      <c r="G636" s="39" t="s">
        <v>65</v>
      </c>
      <c r="H636" s="41">
        <v>1427.42</v>
      </c>
      <c r="I636" s="41">
        <v>1763.69</v>
      </c>
      <c r="J636" s="39" t="s">
        <v>143</v>
      </c>
      <c r="K636" s="42">
        <v>0.03</v>
      </c>
      <c r="L636" s="39" t="s">
        <v>68</v>
      </c>
      <c r="M636" s="39" t="s">
        <v>140</v>
      </c>
      <c r="N636" s="39" t="s">
        <v>142</v>
      </c>
      <c r="O636" s="43">
        <f t="shared" si="189"/>
        <v>33510.11</v>
      </c>
      <c r="P636" s="43">
        <f t="shared" si="190"/>
        <v>32504.81</v>
      </c>
      <c r="Q636" s="43">
        <f t="shared" si="191"/>
        <v>27120.98</v>
      </c>
      <c r="R636" s="43">
        <f t="shared" si="192"/>
        <v>5383.8300000000017</v>
      </c>
      <c r="S636" s="44">
        <f t="shared" si="193"/>
        <v>0.1656317941867681</v>
      </c>
      <c r="T636" s="39" t="str">
        <f t="shared" si="194"/>
        <v>OK</v>
      </c>
      <c r="U636" s="39" t="str">
        <f t="shared" si="195"/>
        <v>0-9%</v>
      </c>
      <c r="V636" s="39" t="str">
        <f>IF(E636&gt;=Analysis!$B$4,"High",IF(E636&gt;=Analysis!$B$5,"Mid","Low"))</f>
        <v>Low</v>
      </c>
      <c r="W636" s="39" t="str">
        <f t="shared" si="196"/>
        <v>2023-09</v>
      </c>
      <c r="X636" s="40">
        <f t="shared" si="197"/>
        <v>45199</v>
      </c>
      <c r="Y636" s="39" t="str">
        <f t="shared" si="198"/>
        <v>2023-Q3</v>
      </c>
      <c r="Z636" s="39" t="str">
        <f t="shared" si="199"/>
        <v>Sat</v>
      </c>
      <c r="AA636" s="39">
        <f t="shared" si="200"/>
        <v>6</v>
      </c>
      <c r="AB636" s="39">
        <f t="shared" si="201"/>
        <v>38</v>
      </c>
      <c r="AC636" s="39" t="str">
        <f t="shared" si="202"/>
        <v>Weekend</v>
      </c>
      <c r="AD636" s="39">
        <f t="shared" ca="1" si="203"/>
        <v>1134</v>
      </c>
      <c r="AE636" s="39">
        <f t="shared" ca="1" si="204"/>
        <v>37</v>
      </c>
      <c r="AF636" s="39" t="str">
        <f t="shared" si="205"/>
        <v>DAV</v>
      </c>
      <c r="AG636" s="39" t="str">
        <f t="shared" si="206"/>
        <v>SR-230916-0635</v>
      </c>
      <c r="AH636" s="39" t="str">
        <f>IF(AND(OR(Filter!$B$4="All",D636=Filter!$B$4),OR(Filter!$B$5="All",M636=Filter!$B$5),E636&gt;=Filter!$B$6),MAX(AH$1:AH635)+1,"")</f>
        <v/>
      </c>
      <c r="AI636" s="39">
        <f t="shared" si="207"/>
        <v>19</v>
      </c>
      <c r="AJ636" s="42">
        <f t="shared" si="208"/>
        <v>0.03</v>
      </c>
      <c r="AK636" s="41">
        <f t="shared" si="209"/>
        <v>1763.69</v>
      </c>
      <c r="AL636" s="39">
        <f>RANK(E636,$E$2:$E$1001,0)+COUNTIF($E$2:E636,E636)-1</f>
        <v>827</v>
      </c>
    </row>
    <row r="637" spans="1:38" x14ac:dyDescent="0.2">
      <c r="A637" s="39">
        <v>1025</v>
      </c>
      <c r="B637" s="40">
        <v>45188</v>
      </c>
      <c r="C637" s="39" t="s">
        <v>61</v>
      </c>
      <c r="D637" s="39" t="s">
        <v>59</v>
      </c>
      <c r="E637" s="41">
        <v>8564.24</v>
      </c>
      <c r="F637" s="39">
        <v>26</v>
      </c>
      <c r="G637" s="39" t="s">
        <v>65</v>
      </c>
      <c r="H637" s="41">
        <v>2007.32</v>
      </c>
      <c r="I637" s="41">
        <v>2202.87</v>
      </c>
      <c r="J637" s="39" t="s">
        <v>137</v>
      </c>
      <c r="K637" s="42">
        <v>0.11</v>
      </c>
      <c r="L637" s="39" t="s">
        <v>68</v>
      </c>
      <c r="M637" s="39" t="s">
        <v>138</v>
      </c>
      <c r="N637" s="39" t="s">
        <v>159</v>
      </c>
      <c r="O637" s="43">
        <f t="shared" si="189"/>
        <v>57274.62</v>
      </c>
      <c r="P637" s="43">
        <f t="shared" si="190"/>
        <v>50974.41</v>
      </c>
      <c r="Q637" s="43">
        <f t="shared" si="191"/>
        <v>52190.32</v>
      </c>
      <c r="R637" s="43">
        <f t="shared" si="192"/>
        <v>-1215.9099999999962</v>
      </c>
      <c r="S637" s="44">
        <f t="shared" si="193"/>
        <v>-2.3853341313808167E-2</v>
      </c>
      <c r="T637" s="39" t="str">
        <f t="shared" si="194"/>
        <v>Loss</v>
      </c>
      <c r="U637" s="39" t="str">
        <f t="shared" si="195"/>
        <v>10-19%</v>
      </c>
      <c r="V637" s="39" t="str">
        <f>IF(E637&gt;=Analysis!$B$4,"High",IF(E637&gt;=Analysis!$B$5,"Mid","Low"))</f>
        <v>High</v>
      </c>
      <c r="W637" s="39" t="str">
        <f t="shared" si="196"/>
        <v>2023-09</v>
      </c>
      <c r="X637" s="40">
        <f t="shared" si="197"/>
        <v>45199</v>
      </c>
      <c r="Y637" s="39" t="str">
        <f t="shared" si="198"/>
        <v>2023-Q3</v>
      </c>
      <c r="Z637" s="39" t="str">
        <f t="shared" si="199"/>
        <v>Tue</v>
      </c>
      <c r="AA637" s="39">
        <f t="shared" si="200"/>
        <v>2</v>
      </c>
      <c r="AB637" s="39">
        <f t="shared" si="201"/>
        <v>39</v>
      </c>
      <c r="AC637" s="39" t="str">
        <f t="shared" si="202"/>
        <v>Weekday</v>
      </c>
      <c r="AD637" s="39">
        <f t="shared" ca="1" si="203"/>
        <v>1131</v>
      </c>
      <c r="AE637" s="39">
        <f t="shared" ca="1" si="204"/>
        <v>37</v>
      </c>
      <c r="AF637" s="39" t="str">
        <f t="shared" si="205"/>
        <v>ALI</v>
      </c>
      <c r="AG637" s="39" t="str">
        <f t="shared" si="206"/>
        <v>EO-230919-0636</v>
      </c>
      <c r="AH637" s="39" t="str">
        <f>IF(AND(OR(Filter!$B$4="All",D637=Filter!$B$4),OR(Filter!$B$5="All",M637=Filter!$B$5),E637&gt;=Filter!$B$6),MAX(AH$1:AH636)+1,"")</f>
        <v/>
      </c>
      <c r="AI637" s="39">
        <f t="shared" si="207"/>
        <v>26</v>
      </c>
      <c r="AJ637" s="42">
        <f t="shared" si="208"/>
        <v>0.11</v>
      </c>
      <c r="AK637" s="41">
        <f t="shared" si="209"/>
        <v>2202.87</v>
      </c>
      <c r="AL637" s="39">
        <f>RANK(E637,$E$2:$E$1001,0)+COUNTIF($E$2:E637,E637)-1</f>
        <v>136</v>
      </c>
    </row>
    <row r="638" spans="1:38" x14ac:dyDescent="0.2">
      <c r="A638" s="39">
        <v>1052</v>
      </c>
      <c r="B638" s="40">
        <v>44931</v>
      </c>
      <c r="C638" s="39" t="s">
        <v>66</v>
      </c>
      <c r="D638" s="39" t="s">
        <v>64</v>
      </c>
      <c r="E638" s="41">
        <v>8837.34</v>
      </c>
      <c r="F638" s="39">
        <v>11</v>
      </c>
      <c r="G638" s="39" t="s">
        <v>60</v>
      </c>
      <c r="H638" s="41">
        <v>3451.59</v>
      </c>
      <c r="I638" s="41">
        <v>3929.26</v>
      </c>
      <c r="J638" s="39" t="s">
        <v>143</v>
      </c>
      <c r="K638" s="42">
        <v>0.3</v>
      </c>
      <c r="L638" s="39" t="s">
        <v>73</v>
      </c>
      <c r="M638" s="39" t="s">
        <v>140</v>
      </c>
      <c r="N638" s="39" t="s">
        <v>139</v>
      </c>
      <c r="O638" s="43">
        <f t="shared" si="189"/>
        <v>43221.86</v>
      </c>
      <c r="P638" s="43">
        <f t="shared" si="190"/>
        <v>30255.3</v>
      </c>
      <c r="Q638" s="43">
        <f t="shared" si="191"/>
        <v>37967.49</v>
      </c>
      <c r="R638" s="43">
        <f t="shared" si="192"/>
        <v>-7712.1899999999987</v>
      </c>
      <c r="S638" s="44">
        <f t="shared" si="193"/>
        <v>-0.25490376892643601</v>
      </c>
      <c r="T638" s="39" t="str">
        <f t="shared" si="194"/>
        <v>Loss</v>
      </c>
      <c r="U638" s="39" t="str">
        <f t="shared" si="195"/>
        <v>20%+</v>
      </c>
      <c r="V638" s="39" t="str">
        <f>IF(E638&gt;=Analysis!$B$4,"High",IF(E638&gt;=Analysis!$B$5,"Mid","Low"))</f>
        <v>High</v>
      </c>
      <c r="W638" s="39" t="str">
        <f t="shared" si="196"/>
        <v>2023-01</v>
      </c>
      <c r="X638" s="40">
        <f t="shared" si="197"/>
        <v>44957</v>
      </c>
      <c r="Y638" s="39" t="str">
        <f t="shared" si="198"/>
        <v>2023-Q1</v>
      </c>
      <c r="Z638" s="39" t="str">
        <f t="shared" si="199"/>
        <v>Thu</v>
      </c>
      <c r="AA638" s="39">
        <f t="shared" si="200"/>
        <v>4</v>
      </c>
      <c r="AB638" s="39">
        <f t="shared" si="201"/>
        <v>2</v>
      </c>
      <c r="AC638" s="39" t="str">
        <f t="shared" si="202"/>
        <v>Weekday</v>
      </c>
      <c r="AD638" s="39">
        <f t="shared" ca="1" si="203"/>
        <v>1388</v>
      </c>
      <c r="AE638" s="39">
        <f t="shared" ca="1" si="204"/>
        <v>45</v>
      </c>
      <c r="AF638" s="39" t="str">
        <f t="shared" si="205"/>
        <v>BOB</v>
      </c>
      <c r="AG638" s="39" t="str">
        <f t="shared" si="206"/>
        <v>NR-230105-0637</v>
      </c>
      <c r="AH638" s="39" t="str">
        <f>IF(AND(OR(Filter!$B$4="All",D638=Filter!$B$4),OR(Filter!$B$5="All",M638=Filter!$B$5),E638&gt;=Filter!$B$6),MAX(AH$1:AH637)+1,"")</f>
        <v/>
      </c>
      <c r="AI638" s="39">
        <f t="shared" si="207"/>
        <v>11</v>
      </c>
      <c r="AJ638" s="42">
        <f t="shared" si="208"/>
        <v>0.3</v>
      </c>
      <c r="AK638" s="41">
        <f t="shared" si="209"/>
        <v>3929.26</v>
      </c>
      <c r="AL638" s="39">
        <f>RANK(E638,$E$2:$E$1001,0)+COUNTIF($E$2:E638,E638)-1</f>
        <v>108</v>
      </c>
    </row>
    <row r="639" spans="1:38" x14ac:dyDescent="0.2">
      <c r="A639" s="39">
        <v>1085</v>
      </c>
      <c r="B639" s="40">
        <v>45187</v>
      </c>
      <c r="C639" s="39" t="s">
        <v>79</v>
      </c>
      <c r="D639" s="39" t="s">
        <v>59</v>
      </c>
      <c r="E639" s="41">
        <v>4716.47</v>
      </c>
      <c r="F639" s="39">
        <v>40</v>
      </c>
      <c r="G639" s="39" t="s">
        <v>60</v>
      </c>
      <c r="H639" s="41">
        <v>4083.23</v>
      </c>
      <c r="I639" s="41">
        <v>4521.57</v>
      </c>
      <c r="J639" s="39" t="s">
        <v>143</v>
      </c>
      <c r="K639" s="42">
        <v>0.27</v>
      </c>
      <c r="L639" s="39" t="s">
        <v>63</v>
      </c>
      <c r="M639" s="39" t="s">
        <v>140</v>
      </c>
      <c r="N639" s="39" t="s">
        <v>155</v>
      </c>
      <c r="O639" s="43">
        <f t="shared" si="189"/>
        <v>180862.8</v>
      </c>
      <c r="P639" s="43">
        <f t="shared" si="190"/>
        <v>132029.84</v>
      </c>
      <c r="Q639" s="43">
        <f t="shared" si="191"/>
        <v>163329.20000000001</v>
      </c>
      <c r="R639" s="43">
        <f t="shared" si="192"/>
        <v>-31299.360000000015</v>
      </c>
      <c r="S639" s="44">
        <f t="shared" si="193"/>
        <v>-0.23706277308220639</v>
      </c>
      <c r="T639" s="39" t="str">
        <f t="shared" si="194"/>
        <v>Loss</v>
      </c>
      <c r="U639" s="39" t="str">
        <f t="shared" si="195"/>
        <v>20%+</v>
      </c>
      <c r="V639" s="39" t="str">
        <f>IF(E639&gt;=Analysis!$B$4,"High",IF(E639&gt;=Analysis!$B$5,"Mid","Low"))</f>
        <v>Mid</v>
      </c>
      <c r="W639" s="39" t="str">
        <f t="shared" si="196"/>
        <v>2023-09</v>
      </c>
      <c r="X639" s="40">
        <f t="shared" si="197"/>
        <v>45199</v>
      </c>
      <c r="Y639" s="39" t="str">
        <f t="shared" si="198"/>
        <v>2023-Q3</v>
      </c>
      <c r="Z639" s="39" t="str">
        <f t="shared" si="199"/>
        <v>Mon</v>
      </c>
      <c r="AA639" s="39">
        <f t="shared" si="200"/>
        <v>1</v>
      </c>
      <c r="AB639" s="39">
        <f t="shared" si="201"/>
        <v>39</v>
      </c>
      <c r="AC639" s="39" t="str">
        <f t="shared" si="202"/>
        <v>Weekday</v>
      </c>
      <c r="AD639" s="39">
        <f t="shared" ca="1" si="203"/>
        <v>1132</v>
      </c>
      <c r="AE639" s="39">
        <f t="shared" ca="1" si="204"/>
        <v>37</v>
      </c>
      <c r="AF639" s="39" t="str">
        <f t="shared" si="205"/>
        <v>EVE</v>
      </c>
      <c r="AG639" s="39" t="str">
        <f t="shared" si="206"/>
        <v>ER-230918-0638</v>
      </c>
      <c r="AH639" s="39" t="str">
        <f>IF(AND(OR(Filter!$B$4="All",D639=Filter!$B$4),OR(Filter!$B$5="All",M639=Filter!$B$5),E639&gt;=Filter!$B$6),MAX(AH$1:AH638)+1,"")</f>
        <v/>
      </c>
      <c r="AI639" s="39">
        <f t="shared" si="207"/>
        <v>40</v>
      </c>
      <c r="AJ639" s="42">
        <f t="shared" si="208"/>
        <v>0.27</v>
      </c>
      <c r="AK639" s="41">
        <f t="shared" si="209"/>
        <v>4521.57</v>
      </c>
      <c r="AL639" s="39">
        <f>RANK(E639,$E$2:$E$1001,0)+COUNTIF($E$2:E639,E639)-1</f>
        <v>527</v>
      </c>
    </row>
    <row r="640" spans="1:38" x14ac:dyDescent="0.2">
      <c r="A640" s="39">
        <v>1100</v>
      </c>
      <c r="B640" s="40">
        <v>44980</v>
      </c>
      <c r="C640" s="39" t="s">
        <v>79</v>
      </c>
      <c r="D640" s="39" t="s">
        <v>64</v>
      </c>
      <c r="E640" s="41">
        <v>849.43</v>
      </c>
      <c r="F640" s="39">
        <v>43</v>
      </c>
      <c r="G640" s="39" t="s">
        <v>75</v>
      </c>
      <c r="H640" s="41">
        <v>2116.09</v>
      </c>
      <c r="I640" s="41">
        <v>2472.98</v>
      </c>
      <c r="J640" s="39" t="s">
        <v>143</v>
      </c>
      <c r="K640" s="42">
        <v>0.01</v>
      </c>
      <c r="L640" s="39" t="s">
        <v>73</v>
      </c>
      <c r="M640" s="39" t="s">
        <v>140</v>
      </c>
      <c r="N640" s="39" t="s">
        <v>148</v>
      </c>
      <c r="O640" s="43">
        <f t="shared" si="189"/>
        <v>106338.14</v>
      </c>
      <c r="P640" s="43">
        <f t="shared" si="190"/>
        <v>105274.76</v>
      </c>
      <c r="Q640" s="43">
        <f t="shared" si="191"/>
        <v>90991.87</v>
      </c>
      <c r="R640" s="43">
        <f t="shared" si="192"/>
        <v>14282.89</v>
      </c>
      <c r="S640" s="44">
        <f t="shared" si="193"/>
        <v>0.13567250117692028</v>
      </c>
      <c r="T640" s="39" t="str">
        <f t="shared" si="194"/>
        <v>OK</v>
      </c>
      <c r="U640" s="39" t="str">
        <f t="shared" si="195"/>
        <v>0-9%</v>
      </c>
      <c r="V640" s="39" t="str">
        <f>IF(E640&gt;=Analysis!$B$4,"High",IF(E640&gt;=Analysis!$B$5,"Mid","Low"))</f>
        <v>Low</v>
      </c>
      <c r="W640" s="39" t="str">
        <f t="shared" si="196"/>
        <v>2023-02</v>
      </c>
      <c r="X640" s="40">
        <f t="shared" si="197"/>
        <v>44985</v>
      </c>
      <c r="Y640" s="39" t="str">
        <f t="shared" si="198"/>
        <v>2023-Q1</v>
      </c>
      <c r="Z640" s="39" t="str">
        <f t="shared" si="199"/>
        <v>Thu</v>
      </c>
      <c r="AA640" s="39">
        <f t="shared" si="200"/>
        <v>4</v>
      </c>
      <c r="AB640" s="39">
        <f t="shared" si="201"/>
        <v>9</v>
      </c>
      <c r="AC640" s="39" t="str">
        <f t="shared" si="202"/>
        <v>Weekday</v>
      </c>
      <c r="AD640" s="39">
        <f t="shared" ca="1" si="203"/>
        <v>1339</v>
      </c>
      <c r="AE640" s="39">
        <f t="shared" ca="1" si="204"/>
        <v>44</v>
      </c>
      <c r="AF640" s="39" t="str">
        <f t="shared" si="205"/>
        <v>EVE</v>
      </c>
      <c r="AG640" s="39" t="str">
        <f t="shared" si="206"/>
        <v>NR-230223-0639</v>
      </c>
      <c r="AH640" s="39" t="str">
        <f>IF(AND(OR(Filter!$B$4="All",D640=Filter!$B$4),OR(Filter!$B$5="All",M640=Filter!$B$5),E640&gt;=Filter!$B$6),MAX(AH$1:AH639)+1,"")</f>
        <v/>
      </c>
      <c r="AI640" s="39">
        <f t="shared" si="207"/>
        <v>43</v>
      </c>
      <c r="AJ640" s="42">
        <f t="shared" si="208"/>
        <v>0.01</v>
      </c>
      <c r="AK640" s="41">
        <f t="shared" si="209"/>
        <v>2472.98</v>
      </c>
      <c r="AL640" s="39">
        <f>RANK(E640,$E$2:$E$1001,0)+COUNTIF($E$2:E640,E640)-1</f>
        <v>917</v>
      </c>
    </row>
    <row r="641" spans="1:38" x14ac:dyDescent="0.2">
      <c r="A641" s="39">
        <v>1053</v>
      </c>
      <c r="B641" s="40">
        <v>44973</v>
      </c>
      <c r="C641" s="39" t="s">
        <v>79</v>
      </c>
      <c r="D641" s="39" t="s">
        <v>74</v>
      </c>
      <c r="E641" s="41">
        <v>3939.48</v>
      </c>
      <c r="F641" s="39">
        <v>11</v>
      </c>
      <c r="G641" s="39" t="s">
        <v>75</v>
      </c>
      <c r="H641" s="41">
        <v>1582.86</v>
      </c>
      <c r="I641" s="41">
        <v>1942.55</v>
      </c>
      <c r="J641" s="39" t="s">
        <v>143</v>
      </c>
      <c r="K641" s="42">
        <v>0.17</v>
      </c>
      <c r="L641" s="39" t="s">
        <v>73</v>
      </c>
      <c r="M641" s="39" t="s">
        <v>140</v>
      </c>
      <c r="N641" s="39" t="s">
        <v>149</v>
      </c>
      <c r="O641" s="43">
        <f t="shared" si="189"/>
        <v>21368.05</v>
      </c>
      <c r="P641" s="43">
        <f t="shared" si="190"/>
        <v>17735.48</v>
      </c>
      <c r="Q641" s="43">
        <f t="shared" si="191"/>
        <v>17411.46</v>
      </c>
      <c r="R641" s="43">
        <f t="shared" si="192"/>
        <v>324.02000000000044</v>
      </c>
      <c r="S641" s="44">
        <f t="shared" si="193"/>
        <v>1.8269592928976293E-2</v>
      </c>
      <c r="T641" s="39" t="str">
        <f t="shared" si="194"/>
        <v>OK</v>
      </c>
      <c r="U641" s="39" t="str">
        <f t="shared" si="195"/>
        <v>10-19%</v>
      </c>
      <c r="V641" s="39" t="str">
        <f>IF(E641&gt;=Analysis!$B$4,"High",IF(E641&gt;=Analysis!$B$5,"Mid","Low"))</f>
        <v>Mid</v>
      </c>
      <c r="W641" s="39" t="str">
        <f t="shared" si="196"/>
        <v>2023-02</v>
      </c>
      <c r="X641" s="40">
        <f t="shared" si="197"/>
        <v>44985</v>
      </c>
      <c r="Y641" s="39" t="str">
        <f t="shared" si="198"/>
        <v>2023-Q1</v>
      </c>
      <c r="Z641" s="39" t="str">
        <f t="shared" si="199"/>
        <v>Thu</v>
      </c>
      <c r="AA641" s="39">
        <f t="shared" si="200"/>
        <v>4</v>
      </c>
      <c r="AB641" s="39">
        <f t="shared" si="201"/>
        <v>8</v>
      </c>
      <c r="AC641" s="39" t="str">
        <f t="shared" si="202"/>
        <v>Weekday</v>
      </c>
      <c r="AD641" s="39">
        <f t="shared" ca="1" si="203"/>
        <v>1346</v>
      </c>
      <c r="AE641" s="39">
        <f t="shared" ca="1" si="204"/>
        <v>44</v>
      </c>
      <c r="AF641" s="39" t="str">
        <f t="shared" si="205"/>
        <v>EVE</v>
      </c>
      <c r="AG641" s="39" t="str">
        <f t="shared" si="206"/>
        <v>WR-230216-0640</v>
      </c>
      <c r="AH641" s="39" t="str">
        <f>IF(AND(OR(Filter!$B$4="All",D641=Filter!$B$4),OR(Filter!$B$5="All",M641=Filter!$B$5),E641&gt;=Filter!$B$6),MAX(AH$1:AH640)+1,"")</f>
        <v/>
      </c>
      <c r="AI641" s="39">
        <f t="shared" si="207"/>
        <v>11</v>
      </c>
      <c r="AJ641" s="42">
        <f t="shared" si="208"/>
        <v>0.17</v>
      </c>
      <c r="AK641" s="41">
        <f t="shared" si="209"/>
        <v>1942.55</v>
      </c>
      <c r="AL641" s="39">
        <f>RANK(E641,$E$2:$E$1001,0)+COUNTIF($E$2:E641,E641)-1</f>
        <v>605</v>
      </c>
    </row>
    <row r="642" spans="1:38" x14ac:dyDescent="0.2">
      <c r="A642" s="39">
        <v>1023</v>
      </c>
      <c r="B642" s="40">
        <v>45141</v>
      </c>
      <c r="C642" s="39" t="s">
        <v>76</v>
      </c>
      <c r="D642" s="39" t="s">
        <v>74</v>
      </c>
      <c r="E642" s="41">
        <v>8055.02</v>
      </c>
      <c r="F642" s="39">
        <v>45</v>
      </c>
      <c r="G642" s="39" t="s">
        <v>70</v>
      </c>
      <c r="H642" s="41">
        <v>4692.24</v>
      </c>
      <c r="I642" s="41">
        <v>4825.92</v>
      </c>
      <c r="J642" s="39" t="s">
        <v>137</v>
      </c>
      <c r="K642" s="42">
        <v>0.19</v>
      </c>
      <c r="L642" s="39" t="s">
        <v>63</v>
      </c>
      <c r="M642" s="39" t="s">
        <v>140</v>
      </c>
      <c r="N642" s="39" t="s">
        <v>154</v>
      </c>
      <c r="O642" s="43">
        <f t="shared" ref="O642:O705" si="210">ROUND(F642*I642,2)</f>
        <v>217166.4</v>
      </c>
      <c r="P642" s="43">
        <f t="shared" ref="P642:P705" si="211">ROUND(F642*I642*(1-K642),2)</f>
        <v>175904.78</v>
      </c>
      <c r="Q642" s="43">
        <f t="shared" ref="Q642:Q705" si="212">ROUND(F642*H642,2)</f>
        <v>211150.8</v>
      </c>
      <c r="R642" s="43">
        <f t="shared" ref="R642:R705" si="213">P642-Q642</f>
        <v>-35246.01999999999</v>
      </c>
      <c r="S642" s="44">
        <f t="shared" ref="S642:S705" si="214">IF(P642=0,0,R642/P642)</f>
        <v>-0.20036988193271377</v>
      </c>
      <c r="T642" s="39" t="str">
        <f t="shared" ref="T642:T705" si="215">IF(R642&lt;0,"Loss","OK")</f>
        <v>Loss</v>
      </c>
      <c r="U642" s="39" t="str">
        <f t="shared" ref="U642:U705" si="216">IF(K642&lt;0.1,"0-9%",IF(K642&lt;0.2,"10-19%","20%+"))</f>
        <v>10-19%</v>
      </c>
      <c r="V642" s="39" t="str">
        <f>IF(E642&gt;=Analysis!$B$4,"High",IF(E642&gt;=Analysis!$B$5,"Mid","Low"))</f>
        <v>High</v>
      </c>
      <c r="W642" s="39" t="str">
        <f t="shared" ref="W642:W705" si="217">TEXT(B642,"yyyy-mm")</f>
        <v>2023-08</v>
      </c>
      <c r="X642" s="40">
        <f t="shared" ref="X642:X705" si="218">EOMONTH(B642,0)</f>
        <v>45169</v>
      </c>
      <c r="Y642" s="39" t="str">
        <f t="shared" ref="Y642:Y705" si="219">YEAR(B642)&amp;"-Q"&amp;ROUNDUP(MONTH(B642)/3,0)</f>
        <v>2023-Q3</v>
      </c>
      <c r="Z642" s="39" t="str">
        <f t="shared" ref="Z642:Z705" si="220">TEXT(B642,"ddd")</f>
        <v>Thu</v>
      </c>
      <c r="AA642" s="39">
        <f t="shared" ref="AA642:AA705" si="221">WEEKDAY(B642,2)</f>
        <v>4</v>
      </c>
      <c r="AB642" s="39">
        <f t="shared" ref="AB642:AB705" si="222">WEEKNUM(B642,2)</f>
        <v>32</v>
      </c>
      <c r="AC642" s="39" t="str">
        <f t="shared" ref="AC642:AC705" si="223">IF(AA642&gt;5,"Weekend","Weekday")</f>
        <v>Weekday</v>
      </c>
      <c r="AD642" s="39">
        <f t="shared" ref="AD642:AD705" ca="1" si="224">TODAY()-B642</f>
        <v>1178</v>
      </c>
      <c r="AE642" s="39">
        <f t="shared" ref="AE642:AE705" ca="1" si="225">DATEDIF(B642,TODAY(),"M")</f>
        <v>38</v>
      </c>
      <c r="AF642" s="39" t="str">
        <f t="shared" ref="AF642:AF705" si="226">UPPER(LEFT(C642,3))</f>
        <v>DAV</v>
      </c>
      <c r="AG642" s="39" t="str">
        <f t="shared" ref="AG642:AG705" si="227">UPPER(LEFT(D642,1))&amp;UPPER(LEFT(M642,1))&amp;"-"&amp;TEXT(B642,"yymmdd")&amp;"-"&amp;TEXT(ROW()-1,"0000")</f>
        <v>WR-230803-0641</v>
      </c>
      <c r="AH642" s="39" t="str">
        <f>IF(AND(OR(Filter!$B$4="All",D642=Filter!$B$4),OR(Filter!$B$5="All",M642=Filter!$B$5),E642&gt;=Filter!$B$6),MAX(AH$1:AH641)+1,"")</f>
        <v/>
      </c>
      <c r="AI642" s="39">
        <f t="shared" ref="AI642:AI705" si="228">F642</f>
        <v>45</v>
      </c>
      <c r="AJ642" s="42">
        <f t="shared" ref="AJ642:AJ705" si="229">K642</f>
        <v>0.19</v>
      </c>
      <c r="AK642" s="41">
        <f t="shared" ref="AK642:AK705" si="230">I642</f>
        <v>4825.92</v>
      </c>
      <c r="AL642" s="39">
        <f>RANK(E642,$E$2:$E$1001,0)+COUNTIF($E$2:E642,E642)-1</f>
        <v>189</v>
      </c>
    </row>
    <row r="643" spans="1:38" x14ac:dyDescent="0.2">
      <c r="A643" s="39">
        <v>1016</v>
      </c>
      <c r="B643" s="40">
        <v>45103</v>
      </c>
      <c r="C643" s="39" t="s">
        <v>71</v>
      </c>
      <c r="D643" s="39" t="s">
        <v>64</v>
      </c>
      <c r="E643" s="41">
        <v>9027.56</v>
      </c>
      <c r="F643" s="39">
        <v>3</v>
      </c>
      <c r="G643" s="39" t="s">
        <v>65</v>
      </c>
      <c r="H643" s="41">
        <v>3401.87</v>
      </c>
      <c r="I643" s="41">
        <v>3733.71</v>
      </c>
      <c r="J643" s="39" t="s">
        <v>137</v>
      </c>
      <c r="K643" s="42">
        <v>0.06</v>
      </c>
      <c r="L643" s="39" t="s">
        <v>63</v>
      </c>
      <c r="M643" s="39" t="s">
        <v>140</v>
      </c>
      <c r="N643" s="39" t="s">
        <v>160</v>
      </c>
      <c r="O643" s="43">
        <f t="shared" si="210"/>
        <v>11201.13</v>
      </c>
      <c r="P643" s="43">
        <f t="shared" si="211"/>
        <v>10529.06</v>
      </c>
      <c r="Q643" s="43">
        <f t="shared" si="212"/>
        <v>10205.61</v>
      </c>
      <c r="R643" s="43">
        <f t="shared" si="213"/>
        <v>323.44999999999891</v>
      </c>
      <c r="S643" s="44">
        <f t="shared" si="214"/>
        <v>3.0719741363426454E-2</v>
      </c>
      <c r="T643" s="39" t="str">
        <f t="shared" si="215"/>
        <v>OK</v>
      </c>
      <c r="U643" s="39" t="str">
        <f t="shared" si="216"/>
        <v>0-9%</v>
      </c>
      <c r="V643" s="39" t="str">
        <f>IF(E643&gt;=Analysis!$B$4,"High",IF(E643&gt;=Analysis!$B$5,"Mid","Low"))</f>
        <v>High</v>
      </c>
      <c r="W643" s="39" t="str">
        <f t="shared" si="217"/>
        <v>2023-06</v>
      </c>
      <c r="X643" s="40">
        <f t="shared" si="218"/>
        <v>45107</v>
      </c>
      <c r="Y643" s="39" t="str">
        <f t="shared" si="219"/>
        <v>2023-Q2</v>
      </c>
      <c r="Z643" s="39" t="str">
        <f t="shared" si="220"/>
        <v>Mon</v>
      </c>
      <c r="AA643" s="39">
        <f t="shared" si="221"/>
        <v>1</v>
      </c>
      <c r="AB643" s="39">
        <f t="shared" si="222"/>
        <v>27</v>
      </c>
      <c r="AC643" s="39" t="str">
        <f t="shared" si="223"/>
        <v>Weekday</v>
      </c>
      <c r="AD643" s="39">
        <f t="shared" ca="1" si="224"/>
        <v>1216</v>
      </c>
      <c r="AE643" s="39">
        <f t="shared" ca="1" si="225"/>
        <v>39</v>
      </c>
      <c r="AF643" s="39" t="str">
        <f t="shared" si="226"/>
        <v>CHA</v>
      </c>
      <c r="AG643" s="39" t="str">
        <f t="shared" si="227"/>
        <v>NR-230626-0642</v>
      </c>
      <c r="AH643" s="39">
        <f>IF(AND(OR(Filter!$B$4="All",D643=Filter!$B$4),OR(Filter!$B$5="All",M643=Filter!$B$5),E643&gt;=Filter!$B$6),MAX(AH$1:AH642)+1,"")</f>
        <v>61</v>
      </c>
      <c r="AI643" s="39">
        <f t="shared" si="228"/>
        <v>3</v>
      </c>
      <c r="AJ643" s="42">
        <f t="shared" si="229"/>
        <v>0.06</v>
      </c>
      <c r="AK643" s="41">
        <f t="shared" si="230"/>
        <v>3733.71</v>
      </c>
      <c r="AL643" s="39">
        <f>RANK(E643,$E$2:$E$1001,0)+COUNTIF($E$2:E643,E643)-1</f>
        <v>89</v>
      </c>
    </row>
    <row r="644" spans="1:38" x14ac:dyDescent="0.2">
      <c r="A644" s="39">
        <v>1057</v>
      </c>
      <c r="B644" s="40">
        <v>44935</v>
      </c>
      <c r="C644" s="39" t="s">
        <v>71</v>
      </c>
      <c r="D644" s="39" t="s">
        <v>64</v>
      </c>
      <c r="E644" s="41">
        <v>2114.38</v>
      </c>
      <c r="F644" s="39">
        <v>12</v>
      </c>
      <c r="G644" s="39" t="s">
        <v>75</v>
      </c>
      <c r="H644" s="41">
        <v>639.16</v>
      </c>
      <c r="I644" s="41">
        <v>746.28</v>
      </c>
      <c r="J644" s="39" t="s">
        <v>137</v>
      </c>
      <c r="K644" s="42">
        <v>0.04</v>
      </c>
      <c r="L644" s="39" t="s">
        <v>63</v>
      </c>
      <c r="M644" s="39" t="s">
        <v>140</v>
      </c>
      <c r="N644" s="39" t="s">
        <v>160</v>
      </c>
      <c r="O644" s="43">
        <f t="shared" si="210"/>
        <v>8955.36</v>
      </c>
      <c r="P644" s="43">
        <f t="shared" si="211"/>
        <v>8597.15</v>
      </c>
      <c r="Q644" s="43">
        <f t="shared" si="212"/>
        <v>7669.92</v>
      </c>
      <c r="R644" s="43">
        <f t="shared" si="213"/>
        <v>927.22999999999956</v>
      </c>
      <c r="S644" s="44">
        <f t="shared" si="214"/>
        <v>0.10785318390396813</v>
      </c>
      <c r="T644" s="39" t="str">
        <f t="shared" si="215"/>
        <v>OK</v>
      </c>
      <c r="U644" s="39" t="str">
        <f t="shared" si="216"/>
        <v>0-9%</v>
      </c>
      <c r="V644" s="39" t="str">
        <f>IF(E644&gt;=Analysis!$B$4,"High",IF(E644&gt;=Analysis!$B$5,"Mid","Low"))</f>
        <v>Low</v>
      </c>
      <c r="W644" s="39" t="str">
        <f t="shared" si="217"/>
        <v>2023-01</v>
      </c>
      <c r="X644" s="40">
        <f t="shared" si="218"/>
        <v>44957</v>
      </c>
      <c r="Y644" s="39" t="str">
        <f t="shared" si="219"/>
        <v>2023-Q1</v>
      </c>
      <c r="Z644" s="39" t="str">
        <f t="shared" si="220"/>
        <v>Mon</v>
      </c>
      <c r="AA644" s="39">
        <f t="shared" si="221"/>
        <v>1</v>
      </c>
      <c r="AB644" s="39">
        <f t="shared" si="222"/>
        <v>3</v>
      </c>
      <c r="AC644" s="39" t="str">
        <f t="shared" si="223"/>
        <v>Weekday</v>
      </c>
      <c r="AD644" s="39">
        <f t="shared" ca="1" si="224"/>
        <v>1384</v>
      </c>
      <c r="AE644" s="39">
        <f t="shared" ca="1" si="225"/>
        <v>45</v>
      </c>
      <c r="AF644" s="39" t="str">
        <f t="shared" si="226"/>
        <v>CHA</v>
      </c>
      <c r="AG644" s="39" t="str">
        <f t="shared" si="227"/>
        <v>NR-230109-0643</v>
      </c>
      <c r="AH644" s="39" t="str">
        <f>IF(AND(OR(Filter!$B$4="All",D644=Filter!$B$4),OR(Filter!$B$5="All",M644=Filter!$B$5),E644&gt;=Filter!$B$6),MAX(AH$1:AH643)+1,"")</f>
        <v/>
      </c>
      <c r="AI644" s="39">
        <f t="shared" si="228"/>
        <v>12</v>
      </c>
      <c r="AJ644" s="42">
        <f t="shared" si="229"/>
        <v>0.04</v>
      </c>
      <c r="AK644" s="41">
        <f t="shared" si="230"/>
        <v>746.28</v>
      </c>
      <c r="AL644" s="39">
        <f>RANK(E644,$E$2:$E$1001,0)+COUNTIF($E$2:E644,E644)-1</f>
        <v>803</v>
      </c>
    </row>
    <row r="645" spans="1:38" x14ac:dyDescent="0.2">
      <c r="A645" s="39">
        <v>1039</v>
      </c>
      <c r="B645" s="40">
        <v>45025</v>
      </c>
      <c r="C645" s="39" t="s">
        <v>61</v>
      </c>
      <c r="D645" s="39" t="s">
        <v>64</v>
      </c>
      <c r="E645" s="41">
        <v>763.04</v>
      </c>
      <c r="F645" s="39">
        <v>3</v>
      </c>
      <c r="G645" s="39" t="s">
        <v>70</v>
      </c>
      <c r="H645" s="41">
        <v>391.19</v>
      </c>
      <c r="I645" s="41">
        <v>471.75</v>
      </c>
      <c r="J645" s="39" t="s">
        <v>137</v>
      </c>
      <c r="K645" s="42">
        <v>0.27</v>
      </c>
      <c r="L645" s="39" t="s">
        <v>68</v>
      </c>
      <c r="M645" s="39" t="s">
        <v>138</v>
      </c>
      <c r="N645" s="39" t="s">
        <v>156</v>
      </c>
      <c r="O645" s="43">
        <f t="shared" si="210"/>
        <v>1415.25</v>
      </c>
      <c r="P645" s="43">
        <f t="shared" si="211"/>
        <v>1033.1300000000001</v>
      </c>
      <c r="Q645" s="43">
        <f t="shared" si="212"/>
        <v>1173.57</v>
      </c>
      <c r="R645" s="43">
        <f t="shared" si="213"/>
        <v>-140.43999999999983</v>
      </c>
      <c r="S645" s="44">
        <f t="shared" si="214"/>
        <v>-0.13593642619999402</v>
      </c>
      <c r="T645" s="39" t="str">
        <f t="shared" si="215"/>
        <v>Loss</v>
      </c>
      <c r="U645" s="39" t="str">
        <f t="shared" si="216"/>
        <v>20%+</v>
      </c>
      <c r="V645" s="39" t="str">
        <f>IF(E645&gt;=Analysis!$B$4,"High",IF(E645&gt;=Analysis!$B$5,"Mid","Low"))</f>
        <v>Low</v>
      </c>
      <c r="W645" s="39" t="str">
        <f t="shared" si="217"/>
        <v>2023-04</v>
      </c>
      <c r="X645" s="40">
        <f t="shared" si="218"/>
        <v>45046</v>
      </c>
      <c r="Y645" s="39" t="str">
        <f t="shared" si="219"/>
        <v>2023-Q2</v>
      </c>
      <c r="Z645" s="39" t="str">
        <f t="shared" si="220"/>
        <v>Sun</v>
      </c>
      <c r="AA645" s="39">
        <f t="shared" si="221"/>
        <v>7</v>
      </c>
      <c r="AB645" s="39">
        <f t="shared" si="222"/>
        <v>15</v>
      </c>
      <c r="AC645" s="39" t="str">
        <f t="shared" si="223"/>
        <v>Weekend</v>
      </c>
      <c r="AD645" s="39">
        <f t="shared" ca="1" si="224"/>
        <v>1294</v>
      </c>
      <c r="AE645" s="39">
        <f t="shared" ca="1" si="225"/>
        <v>42</v>
      </c>
      <c r="AF645" s="39" t="str">
        <f t="shared" si="226"/>
        <v>ALI</v>
      </c>
      <c r="AG645" s="39" t="str">
        <f t="shared" si="227"/>
        <v>NO-230409-0644</v>
      </c>
      <c r="AH645" s="39" t="str">
        <f>IF(AND(OR(Filter!$B$4="All",D645=Filter!$B$4),OR(Filter!$B$5="All",M645=Filter!$B$5),E645&gt;=Filter!$B$6),MAX(AH$1:AH644)+1,"")</f>
        <v/>
      </c>
      <c r="AI645" s="39">
        <f t="shared" si="228"/>
        <v>3</v>
      </c>
      <c r="AJ645" s="42">
        <f t="shared" si="229"/>
        <v>0.27</v>
      </c>
      <c r="AK645" s="41">
        <f t="shared" si="230"/>
        <v>471.75</v>
      </c>
      <c r="AL645" s="39">
        <f>RANK(E645,$E$2:$E$1001,0)+COUNTIF($E$2:E645,E645)-1</f>
        <v>933</v>
      </c>
    </row>
    <row r="646" spans="1:38" x14ac:dyDescent="0.2">
      <c r="A646" s="39">
        <v>1053</v>
      </c>
      <c r="B646" s="40">
        <v>44946</v>
      </c>
      <c r="C646" s="39" t="s">
        <v>76</v>
      </c>
      <c r="D646" s="39" t="s">
        <v>74</v>
      </c>
      <c r="E646" s="41">
        <v>8785.77</v>
      </c>
      <c r="F646" s="39">
        <v>42</v>
      </c>
      <c r="G646" s="39" t="s">
        <v>75</v>
      </c>
      <c r="H646" s="41">
        <v>2443.5700000000002</v>
      </c>
      <c r="I646" s="41">
        <v>2943.31</v>
      </c>
      <c r="J646" s="39" t="s">
        <v>143</v>
      </c>
      <c r="K646" s="42">
        <v>0.28999999999999998</v>
      </c>
      <c r="L646" s="39" t="s">
        <v>68</v>
      </c>
      <c r="M646" s="39" t="s">
        <v>138</v>
      </c>
      <c r="N646" s="39" t="s">
        <v>154</v>
      </c>
      <c r="O646" s="43">
        <f t="shared" si="210"/>
        <v>123619.02</v>
      </c>
      <c r="P646" s="43">
        <f t="shared" si="211"/>
        <v>87769.5</v>
      </c>
      <c r="Q646" s="43">
        <f t="shared" si="212"/>
        <v>102629.94</v>
      </c>
      <c r="R646" s="43">
        <f t="shared" si="213"/>
        <v>-14860.440000000002</v>
      </c>
      <c r="S646" s="44">
        <f t="shared" si="214"/>
        <v>-0.16931211867448262</v>
      </c>
      <c r="T646" s="39" t="str">
        <f t="shared" si="215"/>
        <v>Loss</v>
      </c>
      <c r="U646" s="39" t="str">
        <f t="shared" si="216"/>
        <v>20%+</v>
      </c>
      <c r="V646" s="39" t="str">
        <f>IF(E646&gt;=Analysis!$B$4,"High",IF(E646&gt;=Analysis!$B$5,"Mid","Low"))</f>
        <v>High</v>
      </c>
      <c r="W646" s="39" t="str">
        <f t="shared" si="217"/>
        <v>2023-01</v>
      </c>
      <c r="X646" s="40">
        <f t="shared" si="218"/>
        <v>44957</v>
      </c>
      <c r="Y646" s="39" t="str">
        <f t="shared" si="219"/>
        <v>2023-Q1</v>
      </c>
      <c r="Z646" s="39" t="str">
        <f t="shared" si="220"/>
        <v>Fri</v>
      </c>
      <c r="AA646" s="39">
        <f t="shared" si="221"/>
        <v>5</v>
      </c>
      <c r="AB646" s="39">
        <f t="shared" si="222"/>
        <v>4</v>
      </c>
      <c r="AC646" s="39" t="str">
        <f t="shared" si="223"/>
        <v>Weekday</v>
      </c>
      <c r="AD646" s="39">
        <f t="shared" ca="1" si="224"/>
        <v>1373</v>
      </c>
      <c r="AE646" s="39">
        <f t="shared" ca="1" si="225"/>
        <v>45</v>
      </c>
      <c r="AF646" s="39" t="str">
        <f t="shared" si="226"/>
        <v>DAV</v>
      </c>
      <c r="AG646" s="39" t="str">
        <f t="shared" si="227"/>
        <v>WO-230120-0645</v>
      </c>
      <c r="AH646" s="39" t="str">
        <f>IF(AND(OR(Filter!$B$4="All",D646=Filter!$B$4),OR(Filter!$B$5="All",M646=Filter!$B$5),E646&gt;=Filter!$B$6),MAX(AH$1:AH645)+1,"")</f>
        <v/>
      </c>
      <c r="AI646" s="39">
        <f t="shared" si="228"/>
        <v>42</v>
      </c>
      <c r="AJ646" s="42">
        <f t="shared" si="229"/>
        <v>0.28999999999999998</v>
      </c>
      <c r="AK646" s="41">
        <f t="shared" si="230"/>
        <v>2943.31</v>
      </c>
      <c r="AL646" s="39">
        <f>RANK(E646,$E$2:$E$1001,0)+COUNTIF($E$2:E646,E646)-1</f>
        <v>114</v>
      </c>
    </row>
    <row r="647" spans="1:38" x14ac:dyDescent="0.2">
      <c r="A647" s="39">
        <v>1042</v>
      </c>
      <c r="B647" s="40">
        <v>45167</v>
      </c>
      <c r="C647" s="39" t="s">
        <v>79</v>
      </c>
      <c r="D647" s="39" t="s">
        <v>69</v>
      </c>
      <c r="E647" s="41">
        <v>3955.11</v>
      </c>
      <c r="F647" s="39">
        <v>27</v>
      </c>
      <c r="G647" s="39" t="s">
        <v>60</v>
      </c>
      <c r="H647" s="41">
        <v>1139.45</v>
      </c>
      <c r="I647" s="41">
        <v>1454.41</v>
      </c>
      <c r="J647" s="39" t="s">
        <v>137</v>
      </c>
      <c r="K647" s="42">
        <v>0.3</v>
      </c>
      <c r="L647" s="39" t="s">
        <v>63</v>
      </c>
      <c r="M647" s="39" t="s">
        <v>138</v>
      </c>
      <c r="N647" s="39" t="s">
        <v>147</v>
      </c>
      <c r="O647" s="43">
        <f t="shared" si="210"/>
        <v>39269.07</v>
      </c>
      <c r="P647" s="43">
        <f t="shared" si="211"/>
        <v>27488.35</v>
      </c>
      <c r="Q647" s="43">
        <f t="shared" si="212"/>
        <v>30765.15</v>
      </c>
      <c r="R647" s="43">
        <f t="shared" si="213"/>
        <v>-3276.8000000000029</v>
      </c>
      <c r="S647" s="44">
        <f t="shared" si="214"/>
        <v>-0.11920686399874868</v>
      </c>
      <c r="T647" s="39" t="str">
        <f t="shared" si="215"/>
        <v>Loss</v>
      </c>
      <c r="U647" s="39" t="str">
        <f t="shared" si="216"/>
        <v>20%+</v>
      </c>
      <c r="V647" s="39" t="str">
        <f>IF(E647&gt;=Analysis!$B$4,"High",IF(E647&gt;=Analysis!$B$5,"Mid","Low"))</f>
        <v>Mid</v>
      </c>
      <c r="W647" s="39" t="str">
        <f t="shared" si="217"/>
        <v>2023-08</v>
      </c>
      <c r="X647" s="40">
        <f t="shared" si="218"/>
        <v>45169</v>
      </c>
      <c r="Y647" s="39" t="str">
        <f t="shared" si="219"/>
        <v>2023-Q3</v>
      </c>
      <c r="Z647" s="39" t="str">
        <f t="shared" si="220"/>
        <v>Tue</v>
      </c>
      <c r="AA647" s="39">
        <f t="shared" si="221"/>
        <v>2</v>
      </c>
      <c r="AB647" s="39">
        <f t="shared" si="222"/>
        <v>36</v>
      </c>
      <c r="AC647" s="39" t="str">
        <f t="shared" si="223"/>
        <v>Weekday</v>
      </c>
      <c r="AD647" s="39">
        <f t="shared" ca="1" si="224"/>
        <v>1152</v>
      </c>
      <c r="AE647" s="39">
        <f t="shared" ca="1" si="225"/>
        <v>37</v>
      </c>
      <c r="AF647" s="39" t="str">
        <f t="shared" si="226"/>
        <v>EVE</v>
      </c>
      <c r="AG647" s="39" t="str">
        <f t="shared" si="227"/>
        <v>SO-230829-0646</v>
      </c>
      <c r="AH647" s="39" t="str">
        <f>IF(AND(OR(Filter!$B$4="All",D647=Filter!$B$4),OR(Filter!$B$5="All",M647=Filter!$B$5),E647&gt;=Filter!$B$6),MAX(AH$1:AH646)+1,"")</f>
        <v/>
      </c>
      <c r="AI647" s="39">
        <f t="shared" si="228"/>
        <v>27</v>
      </c>
      <c r="AJ647" s="42">
        <f t="shared" si="229"/>
        <v>0.3</v>
      </c>
      <c r="AK647" s="41">
        <f t="shared" si="230"/>
        <v>1454.41</v>
      </c>
      <c r="AL647" s="39">
        <f>RANK(E647,$E$2:$E$1001,0)+COUNTIF($E$2:E647,E647)-1</f>
        <v>602</v>
      </c>
    </row>
    <row r="648" spans="1:38" x14ac:dyDescent="0.2">
      <c r="A648" s="39">
        <v>1058</v>
      </c>
      <c r="B648" s="40">
        <v>44987</v>
      </c>
      <c r="C648" s="39" t="s">
        <v>79</v>
      </c>
      <c r="D648" s="39" t="s">
        <v>59</v>
      </c>
      <c r="E648" s="41">
        <v>5463.43</v>
      </c>
      <c r="F648" s="39">
        <v>49</v>
      </c>
      <c r="G648" s="39" t="s">
        <v>75</v>
      </c>
      <c r="H648" s="41">
        <v>1307.22</v>
      </c>
      <c r="I648" s="41">
        <v>1528.4</v>
      </c>
      <c r="J648" s="39" t="s">
        <v>137</v>
      </c>
      <c r="K648" s="42">
        <v>0.24</v>
      </c>
      <c r="L648" s="39" t="s">
        <v>68</v>
      </c>
      <c r="M648" s="39" t="s">
        <v>140</v>
      </c>
      <c r="N648" s="39" t="s">
        <v>155</v>
      </c>
      <c r="O648" s="43">
        <f t="shared" si="210"/>
        <v>74891.600000000006</v>
      </c>
      <c r="P648" s="43">
        <f t="shared" si="211"/>
        <v>56917.62</v>
      </c>
      <c r="Q648" s="43">
        <f t="shared" si="212"/>
        <v>64053.78</v>
      </c>
      <c r="R648" s="43">
        <f t="shared" si="213"/>
        <v>-7136.1599999999962</v>
      </c>
      <c r="S648" s="44">
        <f t="shared" si="214"/>
        <v>-0.12537699222138937</v>
      </c>
      <c r="T648" s="39" t="str">
        <f t="shared" si="215"/>
        <v>Loss</v>
      </c>
      <c r="U648" s="39" t="str">
        <f t="shared" si="216"/>
        <v>20%+</v>
      </c>
      <c r="V648" s="39" t="str">
        <f>IF(E648&gt;=Analysis!$B$4,"High",IF(E648&gt;=Analysis!$B$5,"Mid","Low"))</f>
        <v>Mid</v>
      </c>
      <c r="W648" s="39" t="str">
        <f t="shared" si="217"/>
        <v>2023-03</v>
      </c>
      <c r="X648" s="40">
        <f t="shared" si="218"/>
        <v>45016</v>
      </c>
      <c r="Y648" s="39" t="str">
        <f t="shared" si="219"/>
        <v>2023-Q1</v>
      </c>
      <c r="Z648" s="39" t="str">
        <f t="shared" si="220"/>
        <v>Thu</v>
      </c>
      <c r="AA648" s="39">
        <f t="shared" si="221"/>
        <v>4</v>
      </c>
      <c r="AB648" s="39">
        <f t="shared" si="222"/>
        <v>10</v>
      </c>
      <c r="AC648" s="39" t="str">
        <f t="shared" si="223"/>
        <v>Weekday</v>
      </c>
      <c r="AD648" s="39">
        <f t="shared" ca="1" si="224"/>
        <v>1332</v>
      </c>
      <c r="AE648" s="39">
        <f t="shared" ca="1" si="225"/>
        <v>43</v>
      </c>
      <c r="AF648" s="39" t="str">
        <f t="shared" si="226"/>
        <v>EVE</v>
      </c>
      <c r="AG648" s="39" t="str">
        <f t="shared" si="227"/>
        <v>ER-230302-0647</v>
      </c>
      <c r="AH648" s="39" t="str">
        <f>IF(AND(OR(Filter!$B$4="All",D648=Filter!$B$4),OR(Filter!$B$5="All",M648=Filter!$B$5),E648&gt;=Filter!$B$6),MAX(AH$1:AH647)+1,"")</f>
        <v/>
      </c>
      <c r="AI648" s="39">
        <f t="shared" si="228"/>
        <v>49</v>
      </c>
      <c r="AJ648" s="42">
        <f t="shared" si="229"/>
        <v>0.24</v>
      </c>
      <c r="AK648" s="41">
        <f t="shared" si="230"/>
        <v>1528.4</v>
      </c>
      <c r="AL648" s="39">
        <f>RANK(E648,$E$2:$E$1001,0)+COUNTIF($E$2:E648,E648)-1</f>
        <v>459</v>
      </c>
    </row>
    <row r="649" spans="1:38" x14ac:dyDescent="0.2">
      <c r="A649" s="39">
        <v>1039</v>
      </c>
      <c r="B649" s="40">
        <v>45104</v>
      </c>
      <c r="C649" s="39" t="s">
        <v>66</v>
      </c>
      <c r="D649" s="39" t="s">
        <v>59</v>
      </c>
      <c r="E649" s="41">
        <v>9683.85</v>
      </c>
      <c r="F649" s="39">
        <v>2</v>
      </c>
      <c r="G649" s="39" t="s">
        <v>65</v>
      </c>
      <c r="H649" s="41">
        <v>4394.58</v>
      </c>
      <c r="I649" s="41">
        <v>4545.78</v>
      </c>
      <c r="J649" s="39" t="s">
        <v>137</v>
      </c>
      <c r="K649" s="42">
        <v>0.2</v>
      </c>
      <c r="L649" s="39" t="s">
        <v>73</v>
      </c>
      <c r="M649" s="39" t="s">
        <v>140</v>
      </c>
      <c r="N649" s="39" t="s">
        <v>153</v>
      </c>
      <c r="O649" s="43">
        <f t="shared" si="210"/>
        <v>9091.56</v>
      </c>
      <c r="P649" s="43">
        <f t="shared" si="211"/>
        <v>7273.25</v>
      </c>
      <c r="Q649" s="43">
        <f t="shared" si="212"/>
        <v>8789.16</v>
      </c>
      <c r="R649" s="43">
        <f t="shared" si="213"/>
        <v>-1515.9099999999999</v>
      </c>
      <c r="S649" s="44">
        <f t="shared" si="214"/>
        <v>-0.20842264462241775</v>
      </c>
      <c r="T649" s="39" t="str">
        <f t="shared" si="215"/>
        <v>Loss</v>
      </c>
      <c r="U649" s="39" t="str">
        <f t="shared" si="216"/>
        <v>20%+</v>
      </c>
      <c r="V649" s="39" t="str">
        <f>IF(E649&gt;=Analysis!$B$4,"High",IF(E649&gt;=Analysis!$B$5,"Mid","Low"))</f>
        <v>High</v>
      </c>
      <c r="W649" s="39" t="str">
        <f t="shared" si="217"/>
        <v>2023-06</v>
      </c>
      <c r="X649" s="40">
        <f t="shared" si="218"/>
        <v>45107</v>
      </c>
      <c r="Y649" s="39" t="str">
        <f t="shared" si="219"/>
        <v>2023-Q2</v>
      </c>
      <c r="Z649" s="39" t="str">
        <f t="shared" si="220"/>
        <v>Tue</v>
      </c>
      <c r="AA649" s="39">
        <f t="shared" si="221"/>
        <v>2</v>
      </c>
      <c r="AB649" s="39">
        <f t="shared" si="222"/>
        <v>27</v>
      </c>
      <c r="AC649" s="39" t="str">
        <f t="shared" si="223"/>
        <v>Weekday</v>
      </c>
      <c r="AD649" s="39">
        <f t="shared" ca="1" si="224"/>
        <v>1215</v>
      </c>
      <c r="AE649" s="39">
        <f t="shared" ca="1" si="225"/>
        <v>39</v>
      </c>
      <c r="AF649" s="39" t="str">
        <f t="shared" si="226"/>
        <v>BOB</v>
      </c>
      <c r="AG649" s="39" t="str">
        <f t="shared" si="227"/>
        <v>ER-230627-0648</v>
      </c>
      <c r="AH649" s="39">
        <f>IF(AND(OR(Filter!$B$4="All",D649=Filter!$B$4),OR(Filter!$B$5="All",M649=Filter!$B$5),E649&gt;=Filter!$B$6),MAX(AH$1:AH648)+1,"")</f>
        <v>62</v>
      </c>
      <c r="AI649" s="39">
        <f t="shared" si="228"/>
        <v>2</v>
      </c>
      <c r="AJ649" s="42">
        <f t="shared" si="229"/>
        <v>0.2</v>
      </c>
      <c r="AK649" s="41">
        <f t="shared" si="230"/>
        <v>4545.78</v>
      </c>
      <c r="AL649" s="39">
        <f>RANK(E649,$E$2:$E$1001,0)+COUNTIF($E$2:E649,E649)-1</f>
        <v>31</v>
      </c>
    </row>
    <row r="650" spans="1:38" x14ac:dyDescent="0.2">
      <c r="A650" s="39">
        <v>1014</v>
      </c>
      <c r="B650" s="40">
        <v>45264</v>
      </c>
      <c r="C650" s="39" t="s">
        <v>66</v>
      </c>
      <c r="D650" s="39" t="s">
        <v>74</v>
      </c>
      <c r="E650" s="41">
        <v>758.99</v>
      </c>
      <c r="F650" s="39">
        <v>49</v>
      </c>
      <c r="G650" s="39" t="s">
        <v>75</v>
      </c>
      <c r="H650" s="41">
        <v>493.35</v>
      </c>
      <c r="I650" s="41">
        <v>799.27</v>
      </c>
      <c r="J650" s="39" t="s">
        <v>143</v>
      </c>
      <c r="K650" s="42">
        <v>0.1</v>
      </c>
      <c r="L650" s="39" t="s">
        <v>63</v>
      </c>
      <c r="M650" s="39" t="s">
        <v>138</v>
      </c>
      <c r="N650" s="39" t="s">
        <v>141</v>
      </c>
      <c r="O650" s="43">
        <f t="shared" si="210"/>
        <v>39164.230000000003</v>
      </c>
      <c r="P650" s="43">
        <f t="shared" si="211"/>
        <v>35247.81</v>
      </c>
      <c r="Q650" s="43">
        <f t="shared" si="212"/>
        <v>24174.15</v>
      </c>
      <c r="R650" s="43">
        <f t="shared" si="213"/>
        <v>11073.659999999996</v>
      </c>
      <c r="S650" s="44">
        <f t="shared" si="214"/>
        <v>0.31416590137089362</v>
      </c>
      <c r="T650" s="39" t="str">
        <f t="shared" si="215"/>
        <v>OK</v>
      </c>
      <c r="U650" s="39" t="str">
        <f t="shared" si="216"/>
        <v>10-19%</v>
      </c>
      <c r="V650" s="39" t="str">
        <f>IF(E650&gt;=Analysis!$B$4,"High",IF(E650&gt;=Analysis!$B$5,"Mid","Low"))</f>
        <v>Low</v>
      </c>
      <c r="W650" s="39" t="str">
        <f t="shared" si="217"/>
        <v>2023-12</v>
      </c>
      <c r="X650" s="40">
        <f t="shared" si="218"/>
        <v>45291</v>
      </c>
      <c r="Y650" s="39" t="str">
        <f t="shared" si="219"/>
        <v>2023-Q4</v>
      </c>
      <c r="Z650" s="39" t="str">
        <f t="shared" si="220"/>
        <v>Mon</v>
      </c>
      <c r="AA650" s="39">
        <f t="shared" si="221"/>
        <v>1</v>
      </c>
      <c r="AB650" s="39">
        <f t="shared" si="222"/>
        <v>50</v>
      </c>
      <c r="AC650" s="39" t="str">
        <f t="shared" si="223"/>
        <v>Weekday</v>
      </c>
      <c r="AD650" s="39">
        <f t="shared" ca="1" si="224"/>
        <v>1055</v>
      </c>
      <c r="AE650" s="39">
        <f t="shared" ca="1" si="225"/>
        <v>34</v>
      </c>
      <c r="AF650" s="39" t="str">
        <f t="shared" si="226"/>
        <v>BOB</v>
      </c>
      <c r="AG650" s="39" t="str">
        <f t="shared" si="227"/>
        <v>WO-231204-0649</v>
      </c>
      <c r="AH650" s="39" t="str">
        <f>IF(AND(OR(Filter!$B$4="All",D650=Filter!$B$4),OR(Filter!$B$5="All",M650=Filter!$B$5),E650&gt;=Filter!$B$6),MAX(AH$1:AH649)+1,"")</f>
        <v/>
      </c>
      <c r="AI650" s="39">
        <f t="shared" si="228"/>
        <v>49</v>
      </c>
      <c r="AJ650" s="42">
        <f t="shared" si="229"/>
        <v>0.1</v>
      </c>
      <c r="AK650" s="41">
        <f t="shared" si="230"/>
        <v>799.27</v>
      </c>
      <c r="AL650" s="39">
        <f>RANK(E650,$E$2:$E$1001,0)+COUNTIF($E$2:E650,E650)-1</f>
        <v>934</v>
      </c>
    </row>
    <row r="651" spans="1:38" x14ac:dyDescent="0.2">
      <c r="A651" s="39">
        <v>1095</v>
      </c>
      <c r="B651" s="40">
        <v>44988</v>
      </c>
      <c r="C651" s="39" t="s">
        <v>79</v>
      </c>
      <c r="D651" s="39" t="s">
        <v>59</v>
      </c>
      <c r="E651" s="41">
        <v>6518.35</v>
      </c>
      <c r="F651" s="39">
        <v>16</v>
      </c>
      <c r="G651" s="39" t="s">
        <v>65</v>
      </c>
      <c r="H651" s="41">
        <v>3591.05</v>
      </c>
      <c r="I651" s="41">
        <v>3625.35</v>
      </c>
      <c r="J651" s="39" t="s">
        <v>137</v>
      </c>
      <c r="K651" s="42">
        <v>0.05</v>
      </c>
      <c r="L651" s="39" t="s">
        <v>73</v>
      </c>
      <c r="M651" s="39" t="s">
        <v>140</v>
      </c>
      <c r="N651" s="39" t="s">
        <v>155</v>
      </c>
      <c r="O651" s="43">
        <f t="shared" si="210"/>
        <v>58005.599999999999</v>
      </c>
      <c r="P651" s="43">
        <f t="shared" si="211"/>
        <v>55105.32</v>
      </c>
      <c r="Q651" s="43">
        <f t="shared" si="212"/>
        <v>57456.800000000003</v>
      </c>
      <c r="R651" s="43">
        <f t="shared" si="213"/>
        <v>-2351.4800000000032</v>
      </c>
      <c r="S651" s="44">
        <f t="shared" si="214"/>
        <v>-4.2672467921427606E-2</v>
      </c>
      <c r="T651" s="39" t="str">
        <f t="shared" si="215"/>
        <v>Loss</v>
      </c>
      <c r="U651" s="39" t="str">
        <f t="shared" si="216"/>
        <v>0-9%</v>
      </c>
      <c r="V651" s="39" t="str">
        <f>IF(E651&gt;=Analysis!$B$4,"High",IF(E651&gt;=Analysis!$B$5,"Mid","Low"))</f>
        <v>Mid</v>
      </c>
      <c r="W651" s="39" t="str">
        <f t="shared" si="217"/>
        <v>2023-03</v>
      </c>
      <c r="X651" s="40">
        <f t="shared" si="218"/>
        <v>45016</v>
      </c>
      <c r="Y651" s="39" t="str">
        <f t="shared" si="219"/>
        <v>2023-Q1</v>
      </c>
      <c r="Z651" s="39" t="str">
        <f t="shared" si="220"/>
        <v>Fri</v>
      </c>
      <c r="AA651" s="39">
        <f t="shared" si="221"/>
        <v>5</v>
      </c>
      <c r="AB651" s="39">
        <f t="shared" si="222"/>
        <v>10</v>
      </c>
      <c r="AC651" s="39" t="str">
        <f t="shared" si="223"/>
        <v>Weekday</v>
      </c>
      <c r="AD651" s="39">
        <f t="shared" ca="1" si="224"/>
        <v>1331</v>
      </c>
      <c r="AE651" s="39">
        <f t="shared" ca="1" si="225"/>
        <v>43</v>
      </c>
      <c r="AF651" s="39" t="str">
        <f t="shared" si="226"/>
        <v>EVE</v>
      </c>
      <c r="AG651" s="39" t="str">
        <f t="shared" si="227"/>
        <v>ER-230303-0650</v>
      </c>
      <c r="AH651" s="39" t="str">
        <f>IF(AND(OR(Filter!$B$4="All",D651=Filter!$B$4),OR(Filter!$B$5="All",M651=Filter!$B$5),E651&gt;=Filter!$B$6),MAX(AH$1:AH650)+1,"")</f>
        <v/>
      </c>
      <c r="AI651" s="39">
        <f t="shared" si="228"/>
        <v>16</v>
      </c>
      <c r="AJ651" s="42">
        <f t="shared" si="229"/>
        <v>0.05</v>
      </c>
      <c r="AK651" s="41">
        <f t="shared" si="230"/>
        <v>3625.35</v>
      </c>
      <c r="AL651" s="39">
        <f>RANK(E651,$E$2:$E$1001,0)+COUNTIF($E$2:E651,E651)-1</f>
        <v>360</v>
      </c>
    </row>
    <row r="652" spans="1:38" x14ac:dyDescent="0.2">
      <c r="A652" s="39">
        <v>1005</v>
      </c>
      <c r="B652" s="40">
        <v>45071</v>
      </c>
      <c r="C652" s="39" t="s">
        <v>79</v>
      </c>
      <c r="D652" s="39" t="s">
        <v>64</v>
      </c>
      <c r="E652" s="41">
        <v>833.64</v>
      </c>
      <c r="F652" s="39">
        <v>2</v>
      </c>
      <c r="G652" s="39" t="s">
        <v>60</v>
      </c>
      <c r="H652" s="41">
        <v>1392.15</v>
      </c>
      <c r="I652" s="41">
        <v>1448.54</v>
      </c>
      <c r="J652" s="39" t="s">
        <v>137</v>
      </c>
      <c r="K652" s="42">
        <v>0.02</v>
      </c>
      <c r="L652" s="39" t="s">
        <v>63</v>
      </c>
      <c r="M652" s="39" t="s">
        <v>140</v>
      </c>
      <c r="N652" s="39" t="s">
        <v>148</v>
      </c>
      <c r="O652" s="43">
        <f t="shared" si="210"/>
        <v>2897.08</v>
      </c>
      <c r="P652" s="43">
        <f t="shared" si="211"/>
        <v>2839.14</v>
      </c>
      <c r="Q652" s="43">
        <f t="shared" si="212"/>
        <v>2784.3</v>
      </c>
      <c r="R652" s="43">
        <f t="shared" si="213"/>
        <v>54.839999999999691</v>
      </c>
      <c r="S652" s="44">
        <f t="shared" si="214"/>
        <v>1.9315708277858681E-2</v>
      </c>
      <c r="T652" s="39" t="str">
        <f t="shared" si="215"/>
        <v>OK</v>
      </c>
      <c r="U652" s="39" t="str">
        <f t="shared" si="216"/>
        <v>0-9%</v>
      </c>
      <c r="V652" s="39" t="str">
        <f>IF(E652&gt;=Analysis!$B$4,"High",IF(E652&gt;=Analysis!$B$5,"Mid","Low"))</f>
        <v>Low</v>
      </c>
      <c r="W652" s="39" t="str">
        <f t="shared" si="217"/>
        <v>2023-05</v>
      </c>
      <c r="X652" s="40">
        <f t="shared" si="218"/>
        <v>45077</v>
      </c>
      <c r="Y652" s="39" t="str">
        <f t="shared" si="219"/>
        <v>2023-Q2</v>
      </c>
      <c r="Z652" s="39" t="str">
        <f t="shared" si="220"/>
        <v>Thu</v>
      </c>
      <c r="AA652" s="39">
        <f t="shared" si="221"/>
        <v>4</v>
      </c>
      <c r="AB652" s="39">
        <f t="shared" si="222"/>
        <v>22</v>
      </c>
      <c r="AC652" s="39" t="str">
        <f t="shared" si="223"/>
        <v>Weekday</v>
      </c>
      <c r="AD652" s="39">
        <f t="shared" ca="1" si="224"/>
        <v>1248</v>
      </c>
      <c r="AE652" s="39">
        <f t="shared" ca="1" si="225"/>
        <v>40</v>
      </c>
      <c r="AF652" s="39" t="str">
        <f t="shared" si="226"/>
        <v>EVE</v>
      </c>
      <c r="AG652" s="39" t="str">
        <f t="shared" si="227"/>
        <v>NR-230525-0651</v>
      </c>
      <c r="AH652" s="39" t="str">
        <f>IF(AND(OR(Filter!$B$4="All",D652=Filter!$B$4),OR(Filter!$B$5="All",M652=Filter!$B$5),E652&gt;=Filter!$B$6),MAX(AH$1:AH651)+1,"")</f>
        <v/>
      </c>
      <c r="AI652" s="39">
        <f t="shared" si="228"/>
        <v>2</v>
      </c>
      <c r="AJ652" s="42">
        <f t="shared" si="229"/>
        <v>0.02</v>
      </c>
      <c r="AK652" s="41">
        <f t="shared" si="230"/>
        <v>1448.54</v>
      </c>
      <c r="AL652" s="39">
        <f>RANK(E652,$E$2:$E$1001,0)+COUNTIF($E$2:E652,E652)-1</f>
        <v>920</v>
      </c>
    </row>
    <row r="653" spans="1:38" x14ac:dyDescent="0.2">
      <c r="A653" s="39">
        <v>1035</v>
      </c>
      <c r="B653" s="40">
        <v>45142</v>
      </c>
      <c r="C653" s="39" t="s">
        <v>76</v>
      </c>
      <c r="D653" s="39" t="s">
        <v>69</v>
      </c>
      <c r="E653" s="41">
        <v>3817.14</v>
      </c>
      <c r="F653" s="39">
        <v>30</v>
      </c>
      <c r="G653" s="39" t="s">
        <v>65</v>
      </c>
      <c r="H653" s="41">
        <v>3813.62</v>
      </c>
      <c r="I653" s="41">
        <v>3839.72</v>
      </c>
      <c r="J653" s="39" t="s">
        <v>143</v>
      </c>
      <c r="K653" s="42">
        <v>0.21</v>
      </c>
      <c r="L653" s="39" t="s">
        <v>73</v>
      </c>
      <c r="M653" s="39" t="s">
        <v>138</v>
      </c>
      <c r="N653" s="39" t="s">
        <v>142</v>
      </c>
      <c r="O653" s="43">
        <f t="shared" si="210"/>
        <v>115191.6</v>
      </c>
      <c r="P653" s="43">
        <f t="shared" si="211"/>
        <v>91001.36</v>
      </c>
      <c r="Q653" s="43">
        <f t="shared" si="212"/>
        <v>114408.6</v>
      </c>
      <c r="R653" s="43">
        <f t="shared" si="213"/>
        <v>-23407.240000000005</v>
      </c>
      <c r="S653" s="44">
        <f t="shared" si="214"/>
        <v>-0.25721857343670473</v>
      </c>
      <c r="T653" s="39" t="str">
        <f t="shared" si="215"/>
        <v>Loss</v>
      </c>
      <c r="U653" s="39" t="str">
        <f t="shared" si="216"/>
        <v>20%+</v>
      </c>
      <c r="V653" s="39" t="str">
        <f>IF(E653&gt;=Analysis!$B$4,"High",IF(E653&gt;=Analysis!$B$5,"Mid","Low"))</f>
        <v>Mid</v>
      </c>
      <c r="W653" s="39" t="str">
        <f t="shared" si="217"/>
        <v>2023-08</v>
      </c>
      <c r="X653" s="40">
        <f t="shared" si="218"/>
        <v>45169</v>
      </c>
      <c r="Y653" s="39" t="str">
        <f t="shared" si="219"/>
        <v>2023-Q3</v>
      </c>
      <c r="Z653" s="39" t="str">
        <f t="shared" si="220"/>
        <v>Fri</v>
      </c>
      <c r="AA653" s="39">
        <f t="shared" si="221"/>
        <v>5</v>
      </c>
      <c r="AB653" s="39">
        <f t="shared" si="222"/>
        <v>32</v>
      </c>
      <c r="AC653" s="39" t="str">
        <f t="shared" si="223"/>
        <v>Weekday</v>
      </c>
      <c r="AD653" s="39">
        <f t="shared" ca="1" si="224"/>
        <v>1177</v>
      </c>
      <c r="AE653" s="39">
        <f t="shared" ca="1" si="225"/>
        <v>38</v>
      </c>
      <c r="AF653" s="39" t="str">
        <f t="shared" si="226"/>
        <v>DAV</v>
      </c>
      <c r="AG653" s="39" t="str">
        <f t="shared" si="227"/>
        <v>SO-230804-0652</v>
      </c>
      <c r="AH653" s="39" t="str">
        <f>IF(AND(OR(Filter!$B$4="All",D653=Filter!$B$4),OR(Filter!$B$5="All",M653=Filter!$B$5),E653&gt;=Filter!$B$6),MAX(AH$1:AH652)+1,"")</f>
        <v/>
      </c>
      <c r="AI653" s="39">
        <f t="shared" si="228"/>
        <v>30</v>
      </c>
      <c r="AJ653" s="42">
        <f t="shared" si="229"/>
        <v>0.21</v>
      </c>
      <c r="AK653" s="41">
        <f t="shared" si="230"/>
        <v>3839.72</v>
      </c>
      <c r="AL653" s="39">
        <f>RANK(E653,$E$2:$E$1001,0)+COUNTIF($E$2:E653,E653)-1</f>
        <v>611</v>
      </c>
    </row>
    <row r="654" spans="1:38" x14ac:dyDescent="0.2">
      <c r="A654" s="39">
        <v>1087</v>
      </c>
      <c r="B654" s="40">
        <v>44929</v>
      </c>
      <c r="C654" s="39" t="s">
        <v>71</v>
      </c>
      <c r="D654" s="39" t="s">
        <v>59</v>
      </c>
      <c r="E654" s="41">
        <v>8057.76</v>
      </c>
      <c r="F654" s="39">
        <v>20</v>
      </c>
      <c r="G654" s="39" t="s">
        <v>75</v>
      </c>
      <c r="H654" s="41">
        <v>3625.94</v>
      </c>
      <c r="I654" s="41">
        <v>3880.53</v>
      </c>
      <c r="J654" s="39" t="s">
        <v>143</v>
      </c>
      <c r="K654" s="42">
        <v>0.24</v>
      </c>
      <c r="L654" s="39" t="s">
        <v>63</v>
      </c>
      <c r="M654" s="39" t="s">
        <v>138</v>
      </c>
      <c r="N654" s="39" t="s">
        <v>145</v>
      </c>
      <c r="O654" s="43">
        <f t="shared" si="210"/>
        <v>77610.600000000006</v>
      </c>
      <c r="P654" s="43">
        <f t="shared" si="211"/>
        <v>58984.06</v>
      </c>
      <c r="Q654" s="43">
        <f t="shared" si="212"/>
        <v>72518.8</v>
      </c>
      <c r="R654" s="43">
        <f t="shared" si="213"/>
        <v>-13534.740000000005</v>
      </c>
      <c r="S654" s="44">
        <f t="shared" si="214"/>
        <v>-0.2294643671527529</v>
      </c>
      <c r="T654" s="39" t="str">
        <f t="shared" si="215"/>
        <v>Loss</v>
      </c>
      <c r="U654" s="39" t="str">
        <f t="shared" si="216"/>
        <v>20%+</v>
      </c>
      <c r="V654" s="39" t="str">
        <f>IF(E654&gt;=Analysis!$B$4,"High",IF(E654&gt;=Analysis!$B$5,"Mid","Low"))</f>
        <v>High</v>
      </c>
      <c r="W654" s="39" t="str">
        <f t="shared" si="217"/>
        <v>2023-01</v>
      </c>
      <c r="X654" s="40">
        <f t="shared" si="218"/>
        <v>44957</v>
      </c>
      <c r="Y654" s="39" t="str">
        <f t="shared" si="219"/>
        <v>2023-Q1</v>
      </c>
      <c r="Z654" s="39" t="str">
        <f t="shared" si="220"/>
        <v>Tue</v>
      </c>
      <c r="AA654" s="39">
        <f t="shared" si="221"/>
        <v>2</v>
      </c>
      <c r="AB654" s="39">
        <f t="shared" si="222"/>
        <v>2</v>
      </c>
      <c r="AC654" s="39" t="str">
        <f t="shared" si="223"/>
        <v>Weekday</v>
      </c>
      <c r="AD654" s="39">
        <f t="shared" ca="1" si="224"/>
        <v>1390</v>
      </c>
      <c r="AE654" s="39">
        <f t="shared" ca="1" si="225"/>
        <v>45</v>
      </c>
      <c r="AF654" s="39" t="str">
        <f t="shared" si="226"/>
        <v>CHA</v>
      </c>
      <c r="AG654" s="39" t="str">
        <f t="shared" si="227"/>
        <v>EO-230103-0653</v>
      </c>
      <c r="AH654" s="39" t="str">
        <f>IF(AND(OR(Filter!$B$4="All",D654=Filter!$B$4),OR(Filter!$B$5="All",M654=Filter!$B$5),E654&gt;=Filter!$B$6),MAX(AH$1:AH653)+1,"")</f>
        <v/>
      </c>
      <c r="AI654" s="39">
        <f t="shared" si="228"/>
        <v>20</v>
      </c>
      <c r="AJ654" s="42">
        <f t="shared" si="229"/>
        <v>0.24</v>
      </c>
      <c r="AK654" s="41">
        <f t="shared" si="230"/>
        <v>3880.53</v>
      </c>
      <c r="AL654" s="39">
        <f>RANK(E654,$E$2:$E$1001,0)+COUNTIF($E$2:E654,E654)-1</f>
        <v>187</v>
      </c>
    </row>
    <row r="655" spans="1:38" x14ac:dyDescent="0.2">
      <c r="A655" s="39">
        <v>1093</v>
      </c>
      <c r="B655" s="40">
        <v>45086</v>
      </c>
      <c r="C655" s="39" t="s">
        <v>66</v>
      </c>
      <c r="D655" s="39" t="s">
        <v>69</v>
      </c>
      <c r="E655" s="41">
        <v>4391.38</v>
      </c>
      <c r="F655" s="39">
        <v>38</v>
      </c>
      <c r="G655" s="39" t="s">
        <v>70</v>
      </c>
      <c r="H655" s="41">
        <v>86.59</v>
      </c>
      <c r="I655" s="41">
        <v>390.89</v>
      </c>
      <c r="J655" s="39" t="s">
        <v>137</v>
      </c>
      <c r="K655" s="42">
        <v>0.25</v>
      </c>
      <c r="L655" s="39" t="s">
        <v>73</v>
      </c>
      <c r="M655" s="39" t="s">
        <v>138</v>
      </c>
      <c r="N655" s="39" t="s">
        <v>144</v>
      </c>
      <c r="O655" s="43">
        <f t="shared" si="210"/>
        <v>14853.82</v>
      </c>
      <c r="P655" s="43">
        <f t="shared" si="211"/>
        <v>11140.37</v>
      </c>
      <c r="Q655" s="43">
        <f t="shared" si="212"/>
        <v>3290.42</v>
      </c>
      <c r="R655" s="43">
        <f t="shared" si="213"/>
        <v>7849.9500000000007</v>
      </c>
      <c r="S655" s="44">
        <f t="shared" si="214"/>
        <v>0.70463997156288349</v>
      </c>
      <c r="T655" s="39" t="str">
        <f t="shared" si="215"/>
        <v>OK</v>
      </c>
      <c r="U655" s="39" t="str">
        <f t="shared" si="216"/>
        <v>20%+</v>
      </c>
      <c r="V655" s="39" t="str">
        <f>IF(E655&gt;=Analysis!$B$4,"High",IF(E655&gt;=Analysis!$B$5,"Mid","Low"))</f>
        <v>Mid</v>
      </c>
      <c r="W655" s="39" t="str">
        <f t="shared" si="217"/>
        <v>2023-06</v>
      </c>
      <c r="X655" s="40">
        <f t="shared" si="218"/>
        <v>45107</v>
      </c>
      <c r="Y655" s="39" t="str">
        <f t="shared" si="219"/>
        <v>2023-Q2</v>
      </c>
      <c r="Z655" s="39" t="str">
        <f t="shared" si="220"/>
        <v>Fri</v>
      </c>
      <c r="AA655" s="39">
        <f t="shared" si="221"/>
        <v>5</v>
      </c>
      <c r="AB655" s="39">
        <f t="shared" si="222"/>
        <v>24</v>
      </c>
      <c r="AC655" s="39" t="str">
        <f t="shared" si="223"/>
        <v>Weekday</v>
      </c>
      <c r="AD655" s="39">
        <f t="shared" ca="1" si="224"/>
        <v>1233</v>
      </c>
      <c r="AE655" s="39">
        <f t="shared" ca="1" si="225"/>
        <v>40</v>
      </c>
      <c r="AF655" s="39" t="str">
        <f t="shared" si="226"/>
        <v>BOB</v>
      </c>
      <c r="AG655" s="39" t="str">
        <f t="shared" si="227"/>
        <v>SO-230609-0654</v>
      </c>
      <c r="AH655" s="39" t="str">
        <f>IF(AND(OR(Filter!$B$4="All",D655=Filter!$B$4),OR(Filter!$B$5="All",M655=Filter!$B$5),E655&gt;=Filter!$B$6),MAX(AH$1:AH654)+1,"")</f>
        <v/>
      </c>
      <c r="AI655" s="39">
        <f t="shared" si="228"/>
        <v>38</v>
      </c>
      <c r="AJ655" s="42">
        <f t="shared" si="229"/>
        <v>0.25</v>
      </c>
      <c r="AK655" s="41">
        <f t="shared" si="230"/>
        <v>390.89</v>
      </c>
      <c r="AL655" s="39">
        <f>RANK(E655,$E$2:$E$1001,0)+COUNTIF($E$2:E655,E655)-1</f>
        <v>559</v>
      </c>
    </row>
    <row r="656" spans="1:38" x14ac:dyDescent="0.2">
      <c r="A656" s="39">
        <v>1075</v>
      </c>
      <c r="B656" s="40">
        <v>45153</v>
      </c>
      <c r="C656" s="39" t="s">
        <v>71</v>
      </c>
      <c r="D656" s="39" t="s">
        <v>64</v>
      </c>
      <c r="E656" s="41">
        <v>9972.11</v>
      </c>
      <c r="F656" s="39">
        <v>28</v>
      </c>
      <c r="G656" s="39" t="s">
        <v>60</v>
      </c>
      <c r="H656" s="41">
        <v>2570.2199999999998</v>
      </c>
      <c r="I656" s="41">
        <v>2610.84</v>
      </c>
      <c r="J656" s="39" t="s">
        <v>137</v>
      </c>
      <c r="K656" s="42">
        <v>0.27</v>
      </c>
      <c r="L656" s="39" t="s">
        <v>63</v>
      </c>
      <c r="M656" s="39" t="s">
        <v>140</v>
      </c>
      <c r="N656" s="39" t="s">
        <v>160</v>
      </c>
      <c r="O656" s="43">
        <f t="shared" si="210"/>
        <v>73103.520000000004</v>
      </c>
      <c r="P656" s="43">
        <f t="shared" si="211"/>
        <v>53365.57</v>
      </c>
      <c r="Q656" s="43">
        <f t="shared" si="212"/>
        <v>71966.16</v>
      </c>
      <c r="R656" s="43">
        <f t="shared" si="213"/>
        <v>-18600.590000000004</v>
      </c>
      <c r="S656" s="44">
        <f t="shared" si="214"/>
        <v>-0.34855038557631829</v>
      </c>
      <c r="T656" s="39" t="str">
        <f t="shared" si="215"/>
        <v>Loss</v>
      </c>
      <c r="U656" s="39" t="str">
        <f t="shared" si="216"/>
        <v>20%+</v>
      </c>
      <c r="V656" s="39" t="str">
        <f>IF(E656&gt;=Analysis!$B$4,"High",IF(E656&gt;=Analysis!$B$5,"Mid","Low"))</f>
        <v>High</v>
      </c>
      <c r="W656" s="39" t="str">
        <f t="shared" si="217"/>
        <v>2023-08</v>
      </c>
      <c r="X656" s="40">
        <f t="shared" si="218"/>
        <v>45169</v>
      </c>
      <c r="Y656" s="39" t="str">
        <f t="shared" si="219"/>
        <v>2023-Q3</v>
      </c>
      <c r="Z656" s="39" t="str">
        <f t="shared" si="220"/>
        <v>Tue</v>
      </c>
      <c r="AA656" s="39">
        <f t="shared" si="221"/>
        <v>2</v>
      </c>
      <c r="AB656" s="39">
        <f t="shared" si="222"/>
        <v>34</v>
      </c>
      <c r="AC656" s="39" t="str">
        <f t="shared" si="223"/>
        <v>Weekday</v>
      </c>
      <c r="AD656" s="39">
        <f t="shared" ca="1" si="224"/>
        <v>1166</v>
      </c>
      <c r="AE656" s="39">
        <f t="shared" ca="1" si="225"/>
        <v>38</v>
      </c>
      <c r="AF656" s="39" t="str">
        <f t="shared" si="226"/>
        <v>CHA</v>
      </c>
      <c r="AG656" s="39" t="str">
        <f t="shared" si="227"/>
        <v>NR-230815-0655</v>
      </c>
      <c r="AH656" s="39">
        <f>IF(AND(OR(Filter!$B$4="All",D656=Filter!$B$4),OR(Filter!$B$5="All",M656=Filter!$B$5),E656&gt;=Filter!$B$6),MAX(AH$1:AH655)+1,"")</f>
        <v>63</v>
      </c>
      <c r="AI656" s="39">
        <f t="shared" si="228"/>
        <v>28</v>
      </c>
      <c r="AJ656" s="42">
        <f t="shared" si="229"/>
        <v>0.27</v>
      </c>
      <c r="AK656" s="41">
        <f t="shared" si="230"/>
        <v>2610.84</v>
      </c>
      <c r="AL656" s="39">
        <f>RANK(E656,$E$2:$E$1001,0)+COUNTIF($E$2:E656,E656)-1</f>
        <v>4</v>
      </c>
    </row>
    <row r="657" spans="1:38" x14ac:dyDescent="0.2">
      <c r="A657" s="39">
        <v>1018</v>
      </c>
      <c r="B657" s="40">
        <v>45195</v>
      </c>
      <c r="C657" s="39" t="s">
        <v>76</v>
      </c>
      <c r="D657" s="39" t="s">
        <v>59</v>
      </c>
      <c r="E657" s="41">
        <v>5634.69</v>
      </c>
      <c r="F657" s="39">
        <v>25</v>
      </c>
      <c r="G657" s="39" t="s">
        <v>75</v>
      </c>
      <c r="H657" s="41">
        <v>739.63</v>
      </c>
      <c r="I657" s="41">
        <v>1103.03</v>
      </c>
      <c r="J657" s="39" t="s">
        <v>143</v>
      </c>
      <c r="K657" s="42">
        <v>0.26</v>
      </c>
      <c r="L657" s="39" t="s">
        <v>63</v>
      </c>
      <c r="M657" s="39" t="s">
        <v>140</v>
      </c>
      <c r="N657" s="39" t="s">
        <v>157</v>
      </c>
      <c r="O657" s="43">
        <f t="shared" si="210"/>
        <v>27575.75</v>
      </c>
      <c r="P657" s="43">
        <f t="shared" si="211"/>
        <v>20406.060000000001</v>
      </c>
      <c r="Q657" s="43">
        <f t="shared" si="212"/>
        <v>18490.75</v>
      </c>
      <c r="R657" s="43">
        <f t="shared" si="213"/>
        <v>1915.3100000000013</v>
      </c>
      <c r="S657" s="44">
        <f t="shared" si="214"/>
        <v>9.3859863197501198E-2</v>
      </c>
      <c r="T657" s="39" t="str">
        <f t="shared" si="215"/>
        <v>OK</v>
      </c>
      <c r="U657" s="39" t="str">
        <f t="shared" si="216"/>
        <v>20%+</v>
      </c>
      <c r="V657" s="39" t="str">
        <f>IF(E657&gt;=Analysis!$B$4,"High",IF(E657&gt;=Analysis!$B$5,"Mid","Low"))</f>
        <v>Mid</v>
      </c>
      <c r="W657" s="39" t="str">
        <f t="shared" si="217"/>
        <v>2023-09</v>
      </c>
      <c r="X657" s="40">
        <f t="shared" si="218"/>
        <v>45199</v>
      </c>
      <c r="Y657" s="39" t="str">
        <f t="shared" si="219"/>
        <v>2023-Q3</v>
      </c>
      <c r="Z657" s="39" t="str">
        <f t="shared" si="220"/>
        <v>Tue</v>
      </c>
      <c r="AA657" s="39">
        <f t="shared" si="221"/>
        <v>2</v>
      </c>
      <c r="AB657" s="39">
        <f t="shared" si="222"/>
        <v>40</v>
      </c>
      <c r="AC657" s="39" t="str">
        <f t="shared" si="223"/>
        <v>Weekday</v>
      </c>
      <c r="AD657" s="39">
        <f t="shared" ca="1" si="224"/>
        <v>1124</v>
      </c>
      <c r="AE657" s="39">
        <f t="shared" ca="1" si="225"/>
        <v>36</v>
      </c>
      <c r="AF657" s="39" t="str">
        <f t="shared" si="226"/>
        <v>DAV</v>
      </c>
      <c r="AG657" s="39" t="str">
        <f t="shared" si="227"/>
        <v>ER-230926-0656</v>
      </c>
      <c r="AH657" s="39" t="str">
        <f>IF(AND(OR(Filter!$B$4="All",D657=Filter!$B$4),OR(Filter!$B$5="All",M657=Filter!$B$5),E657&gt;=Filter!$B$6),MAX(AH$1:AH656)+1,"")</f>
        <v/>
      </c>
      <c r="AI657" s="39">
        <f t="shared" si="228"/>
        <v>25</v>
      </c>
      <c r="AJ657" s="42">
        <f t="shared" si="229"/>
        <v>0.26</v>
      </c>
      <c r="AK657" s="41">
        <f t="shared" si="230"/>
        <v>1103.03</v>
      </c>
      <c r="AL657" s="39">
        <f>RANK(E657,$E$2:$E$1001,0)+COUNTIF($E$2:E657,E657)-1</f>
        <v>445</v>
      </c>
    </row>
    <row r="658" spans="1:38" x14ac:dyDescent="0.2">
      <c r="A658" s="39">
        <v>1076</v>
      </c>
      <c r="B658" s="40">
        <v>45046</v>
      </c>
      <c r="C658" s="39" t="s">
        <v>79</v>
      </c>
      <c r="D658" s="39" t="s">
        <v>74</v>
      </c>
      <c r="E658" s="41">
        <v>3279.51</v>
      </c>
      <c r="F658" s="39">
        <v>32</v>
      </c>
      <c r="G658" s="39" t="s">
        <v>60</v>
      </c>
      <c r="H658" s="41">
        <v>4337.82</v>
      </c>
      <c r="I658" s="41">
        <v>4460.71</v>
      </c>
      <c r="J658" s="39" t="s">
        <v>137</v>
      </c>
      <c r="K658" s="42">
        <v>0.3</v>
      </c>
      <c r="L658" s="39" t="s">
        <v>68</v>
      </c>
      <c r="M658" s="39" t="s">
        <v>140</v>
      </c>
      <c r="N658" s="39" t="s">
        <v>149</v>
      </c>
      <c r="O658" s="43">
        <f t="shared" si="210"/>
        <v>142742.72</v>
      </c>
      <c r="P658" s="43">
        <f t="shared" si="211"/>
        <v>99919.9</v>
      </c>
      <c r="Q658" s="43">
        <f t="shared" si="212"/>
        <v>138810.23999999999</v>
      </c>
      <c r="R658" s="43">
        <f t="shared" si="213"/>
        <v>-38890.339999999997</v>
      </c>
      <c r="S658" s="44">
        <f t="shared" si="214"/>
        <v>-0.38921516134423673</v>
      </c>
      <c r="T658" s="39" t="str">
        <f t="shared" si="215"/>
        <v>Loss</v>
      </c>
      <c r="U658" s="39" t="str">
        <f t="shared" si="216"/>
        <v>20%+</v>
      </c>
      <c r="V658" s="39" t="str">
        <f>IF(E658&gt;=Analysis!$B$4,"High",IF(E658&gt;=Analysis!$B$5,"Mid","Low"))</f>
        <v>Mid</v>
      </c>
      <c r="W658" s="39" t="str">
        <f t="shared" si="217"/>
        <v>2023-04</v>
      </c>
      <c r="X658" s="40">
        <f t="shared" si="218"/>
        <v>45046</v>
      </c>
      <c r="Y658" s="39" t="str">
        <f t="shared" si="219"/>
        <v>2023-Q2</v>
      </c>
      <c r="Z658" s="39" t="str">
        <f t="shared" si="220"/>
        <v>Sun</v>
      </c>
      <c r="AA658" s="39">
        <f t="shared" si="221"/>
        <v>7</v>
      </c>
      <c r="AB658" s="39">
        <f t="shared" si="222"/>
        <v>18</v>
      </c>
      <c r="AC658" s="39" t="str">
        <f t="shared" si="223"/>
        <v>Weekend</v>
      </c>
      <c r="AD658" s="39">
        <f t="shared" ca="1" si="224"/>
        <v>1273</v>
      </c>
      <c r="AE658" s="39">
        <f t="shared" ca="1" si="225"/>
        <v>41</v>
      </c>
      <c r="AF658" s="39" t="str">
        <f t="shared" si="226"/>
        <v>EVE</v>
      </c>
      <c r="AG658" s="39" t="str">
        <f t="shared" si="227"/>
        <v>WR-230430-0657</v>
      </c>
      <c r="AH658" s="39" t="str">
        <f>IF(AND(OR(Filter!$B$4="All",D658=Filter!$B$4),OR(Filter!$B$5="All",M658=Filter!$B$5),E658&gt;=Filter!$B$6),MAX(AH$1:AH657)+1,"")</f>
        <v/>
      </c>
      <c r="AI658" s="39">
        <f t="shared" si="228"/>
        <v>32</v>
      </c>
      <c r="AJ658" s="42">
        <f t="shared" si="229"/>
        <v>0.3</v>
      </c>
      <c r="AK658" s="41">
        <f t="shared" si="230"/>
        <v>4460.71</v>
      </c>
      <c r="AL658" s="39">
        <f>RANK(E658,$E$2:$E$1001,0)+COUNTIF($E$2:E658,E658)-1</f>
        <v>670</v>
      </c>
    </row>
    <row r="659" spans="1:38" x14ac:dyDescent="0.2">
      <c r="A659" s="39">
        <v>1009</v>
      </c>
      <c r="B659" s="40">
        <v>45015</v>
      </c>
      <c r="C659" s="39" t="s">
        <v>71</v>
      </c>
      <c r="D659" s="39" t="s">
        <v>69</v>
      </c>
      <c r="E659" s="41">
        <v>2279.1</v>
      </c>
      <c r="F659" s="39">
        <v>10</v>
      </c>
      <c r="G659" s="39" t="s">
        <v>60</v>
      </c>
      <c r="H659" s="41">
        <v>4364.3500000000004</v>
      </c>
      <c r="I659" s="41">
        <v>4710.1000000000004</v>
      </c>
      <c r="J659" s="39" t="s">
        <v>143</v>
      </c>
      <c r="K659" s="42">
        <v>7.0000000000000007E-2</v>
      </c>
      <c r="L659" s="39" t="s">
        <v>73</v>
      </c>
      <c r="M659" s="39" t="s">
        <v>138</v>
      </c>
      <c r="N659" s="39" t="s">
        <v>151</v>
      </c>
      <c r="O659" s="43">
        <f t="shared" si="210"/>
        <v>47101</v>
      </c>
      <c r="P659" s="43">
        <f t="shared" si="211"/>
        <v>43803.93</v>
      </c>
      <c r="Q659" s="43">
        <f t="shared" si="212"/>
        <v>43643.5</v>
      </c>
      <c r="R659" s="43">
        <f t="shared" si="213"/>
        <v>160.43000000000029</v>
      </c>
      <c r="S659" s="44">
        <f t="shared" si="214"/>
        <v>3.6624567704313356E-3</v>
      </c>
      <c r="T659" s="39" t="str">
        <f t="shared" si="215"/>
        <v>OK</v>
      </c>
      <c r="U659" s="39" t="str">
        <f t="shared" si="216"/>
        <v>0-9%</v>
      </c>
      <c r="V659" s="39" t="str">
        <f>IF(E659&gt;=Analysis!$B$4,"High",IF(E659&gt;=Analysis!$B$5,"Mid","Low"))</f>
        <v>Low</v>
      </c>
      <c r="W659" s="39" t="str">
        <f t="shared" si="217"/>
        <v>2023-03</v>
      </c>
      <c r="X659" s="40">
        <f t="shared" si="218"/>
        <v>45016</v>
      </c>
      <c r="Y659" s="39" t="str">
        <f t="shared" si="219"/>
        <v>2023-Q1</v>
      </c>
      <c r="Z659" s="39" t="str">
        <f t="shared" si="220"/>
        <v>Thu</v>
      </c>
      <c r="AA659" s="39">
        <f t="shared" si="221"/>
        <v>4</v>
      </c>
      <c r="AB659" s="39">
        <f t="shared" si="222"/>
        <v>14</v>
      </c>
      <c r="AC659" s="39" t="str">
        <f t="shared" si="223"/>
        <v>Weekday</v>
      </c>
      <c r="AD659" s="39">
        <f t="shared" ca="1" si="224"/>
        <v>1304</v>
      </c>
      <c r="AE659" s="39">
        <f t="shared" ca="1" si="225"/>
        <v>42</v>
      </c>
      <c r="AF659" s="39" t="str">
        <f t="shared" si="226"/>
        <v>CHA</v>
      </c>
      <c r="AG659" s="39" t="str">
        <f t="shared" si="227"/>
        <v>SO-230330-0658</v>
      </c>
      <c r="AH659" s="39" t="str">
        <f>IF(AND(OR(Filter!$B$4="All",D659=Filter!$B$4),OR(Filter!$B$5="All",M659=Filter!$B$5),E659&gt;=Filter!$B$6),MAX(AH$1:AH658)+1,"")</f>
        <v/>
      </c>
      <c r="AI659" s="39">
        <f t="shared" si="228"/>
        <v>10</v>
      </c>
      <c r="AJ659" s="42">
        <f t="shared" si="229"/>
        <v>7.0000000000000007E-2</v>
      </c>
      <c r="AK659" s="41">
        <f t="shared" si="230"/>
        <v>4710.1000000000004</v>
      </c>
      <c r="AL659" s="39">
        <f>RANK(E659,$E$2:$E$1001,0)+COUNTIF($E$2:E659,E659)-1</f>
        <v>781</v>
      </c>
    </row>
    <row r="660" spans="1:38" x14ac:dyDescent="0.2">
      <c r="A660" s="39">
        <v>1074</v>
      </c>
      <c r="B660" s="40">
        <v>45255</v>
      </c>
      <c r="C660" s="39" t="s">
        <v>79</v>
      </c>
      <c r="D660" s="39" t="s">
        <v>64</v>
      </c>
      <c r="E660" s="41">
        <v>3570.15</v>
      </c>
      <c r="F660" s="39">
        <v>42</v>
      </c>
      <c r="G660" s="39" t="s">
        <v>75</v>
      </c>
      <c r="H660" s="41">
        <v>2120.81</v>
      </c>
      <c r="I660" s="41">
        <v>2611.94</v>
      </c>
      <c r="J660" s="39" t="s">
        <v>137</v>
      </c>
      <c r="K660" s="42">
        <v>0.23</v>
      </c>
      <c r="L660" s="39" t="s">
        <v>68</v>
      </c>
      <c r="M660" s="39" t="s">
        <v>138</v>
      </c>
      <c r="N660" s="39" t="s">
        <v>148</v>
      </c>
      <c r="O660" s="43">
        <f t="shared" si="210"/>
        <v>109701.48</v>
      </c>
      <c r="P660" s="43">
        <f t="shared" si="211"/>
        <v>84470.14</v>
      </c>
      <c r="Q660" s="43">
        <f t="shared" si="212"/>
        <v>89074.02</v>
      </c>
      <c r="R660" s="43">
        <f t="shared" si="213"/>
        <v>-4603.8800000000047</v>
      </c>
      <c r="S660" s="44">
        <f t="shared" si="214"/>
        <v>-5.4503046875499492E-2</v>
      </c>
      <c r="T660" s="39" t="str">
        <f t="shared" si="215"/>
        <v>Loss</v>
      </c>
      <c r="U660" s="39" t="str">
        <f t="shared" si="216"/>
        <v>20%+</v>
      </c>
      <c r="V660" s="39" t="str">
        <f>IF(E660&gt;=Analysis!$B$4,"High",IF(E660&gt;=Analysis!$B$5,"Mid","Low"))</f>
        <v>Mid</v>
      </c>
      <c r="W660" s="39" t="str">
        <f t="shared" si="217"/>
        <v>2023-11</v>
      </c>
      <c r="X660" s="40">
        <f t="shared" si="218"/>
        <v>45260</v>
      </c>
      <c r="Y660" s="39" t="str">
        <f t="shared" si="219"/>
        <v>2023-Q4</v>
      </c>
      <c r="Z660" s="39" t="str">
        <f t="shared" si="220"/>
        <v>Sat</v>
      </c>
      <c r="AA660" s="39">
        <f t="shared" si="221"/>
        <v>6</v>
      </c>
      <c r="AB660" s="39">
        <f t="shared" si="222"/>
        <v>48</v>
      </c>
      <c r="AC660" s="39" t="str">
        <f t="shared" si="223"/>
        <v>Weekend</v>
      </c>
      <c r="AD660" s="39">
        <f t="shared" ca="1" si="224"/>
        <v>1064</v>
      </c>
      <c r="AE660" s="39">
        <f t="shared" ca="1" si="225"/>
        <v>34</v>
      </c>
      <c r="AF660" s="39" t="str">
        <f t="shared" si="226"/>
        <v>EVE</v>
      </c>
      <c r="AG660" s="39" t="str">
        <f t="shared" si="227"/>
        <v>NO-231125-0659</v>
      </c>
      <c r="AH660" s="39" t="str">
        <f>IF(AND(OR(Filter!$B$4="All",D660=Filter!$B$4),OR(Filter!$B$5="All",M660=Filter!$B$5),E660&gt;=Filter!$B$6),MAX(AH$1:AH659)+1,"")</f>
        <v/>
      </c>
      <c r="AI660" s="39">
        <f t="shared" si="228"/>
        <v>42</v>
      </c>
      <c r="AJ660" s="42">
        <f t="shared" si="229"/>
        <v>0.23</v>
      </c>
      <c r="AK660" s="41">
        <f t="shared" si="230"/>
        <v>2611.94</v>
      </c>
      <c r="AL660" s="39">
        <f>RANK(E660,$E$2:$E$1001,0)+COUNTIF($E$2:E660,E660)-1</f>
        <v>645</v>
      </c>
    </row>
    <row r="661" spans="1:38" x14ac:dyDescent="0.2">
      <c r="A661" s="39">
        <v>1058</v>
      </c>
      <c r="B661" s="40">
        <v>44994</v>
      </c>
      <c r="C661" s="39" t="s">
        <v>79</v>
      </c>
      <c r="D661" s="39" t="s">
        <v>69</v>
      </c>
      <c r="E661" s="41">
        <v>3788.08</v>
      </c>
      <c r="F661" s="39">
        <v>40</v>
      </c>
      <c r="G661" s="39" t="s">
        <v>75</v>
      </c>
      <c r="H661" s="41">
        <v>2249.7600000000002</v>
      </c>
      <c r="I661" s="41">
        <v>2598.4</v>
      </c>
      <c r="J661" s="39" t="s">
        <v>137</v>
      </c>
      <c r="K661" s="42">
        <v>0.18</v>
      </c>
      <c r="L661" s="39" t="s">
        <v>73</v>
      </c>
      <c r="M661" s="39" t="s">
        <v>140</v>
      </c>
      <c r="N661" s="39" t="s">
        <v>147</v>
      </c>
      <c r="O661" s="43">
        <f t="shared" si="210"/>
        <v>103936</v>
      </c>
      <c r="P661" s="43">
        <f t="shared" si="211"/>
        <v>85227.520000000004</v>
      </c>
      <c r="Q661" s="43">
        <f t="shared" si="212"/>
        <v>89990.399999999994</v>
      </c>
      <c r="R661" s="43">
        <f t="shared" si="213"/>
        <v>-4762.8799999999901</v>
      </c>
      <c r="S661" s="44">
        <f t="shared" si="214"/>
        <v>-5.5884296527694222E-2</v>
      </c>
      <c r="T661" s="39" t="str">
        <f t="shared" si="215"/>
        <v>Loss</v>
      </c>
      <c r="U661" s="39" t="str">
        <f t="shared" si="216"/>
        <v>10-19%</v>
      </c>
      <c r="V661" s="39" t="str">
        <f>IF(E661&gt;=Analysis!$B$4,"High",IF(E661&gt;=Analysis!$B$5,"Mid","Low"))</f>
        <v>Mid</v>
      </c>
      <c r="W661" s="39" t="str">
        <f t="shared" si="217"/>
        <v>2023-03</v>
      </c>
      <c r="X661" s="40">
        <f t="shared" si="218"/>
        <v>45016</v>
      </c>
      <c r="Y661" s="39" t="str">
        <f t="shared" si="219"/>
        <v>2023-Q1</v>
      </c>
      <c r="Z661" s="39" t="str">
        <f t="shared" si="220"/>
        <v>Thu</v>
      </c>
      <c r="AA661" s="39">
        <f t="shared" si="221"/>
        <v>4</v>
      </c>
      <c r="AB661" s="39">
        <f t="shared" si="222"/>
        <v>11</v>
      </c>
      <c r="AC661" s="39" t="str">
        <f t="shared" si="223"/>
        <v>Weekday</v>
      </c>
      <c r="AD661" s="39">
        <f t="shared" ca="1" si="224"/>
        <v>1325</v>
      </c>
      <c r="AE661" s="39">
        <f t="shared" ca="1" si="225"/>
        <v>43</v>
      </c>
      <c r="AF661" s="39" t="str">
        <f t="shared" si="226"/>
        <v>EVE</v>
      </c>
      <c r="AG661" s="39" t="str">
        <f t="shared" si="227"/>
        <v>SR-230309-0660</v>
      </c>
      <c r="AH661" s="39" t="str">
        <f>IF(AND(OR(Filter!$B$4="All",D661=Filter!$B$4),OR(Filter!$B$5="All",M661=Filter!$B$5),E661&gt;=Filter!$B$6),MAX(AH$1:AH660)+1,"")</f>
        <v/>
      </c>
      <c r="AI661" s="39">
        <f t="shared" si="228"/>
        <v>40</v>
      </c>
      <c r="AJ661" s="42">
        <f t="shared" si="229"/>
        <v>0.18</v>
      </c>
      <c r="AK661" s="41">
        <f t="shared" si="230"/>
        <v>2598.4</v>
      </c>
      <c r="AL661" s="39">
        <f>RANK(E661,$E$2:$E$1001,0)+COUNTIF($E$2:E661,E661)-1</f>
        <v>615</v>
      </c>
    </row>
    <row r="662" spans="1:38" x14ac:dyDescent="0.2">
      <c r="A662" s="39">
        <v>1017</v>
      </c>
      <c r="B662" s="40">
        <v>45283</v>
      </c>
      <c r="C662" s="39" t="s">
        <v>61</v>
      </c>
      <c r="D662" s="39" t="s">
        <v>59</v>
      </c>
      <c r="E662" s="41">
        <v>780.27</v>
      </c>
      <c r="F662" s="39">
        <v>33</v>
      </c>
      <c r="G662" s="39" t="s">
        <v>70</v>
      </c>
      <c r="H662" s="41">
        <v>1551.25</v>
      </c>
      <c r="I662" s="41">
        <v>1994.01</v>
      </c>
      <c r="J662" s="39" t="s">
        <v>137</v>
      </c>
      <c r="K662" s="42">
        <v>0.08</v>
      </c>
      <c r="L662" s="39" t="s">
        <v>68</v>
      </c>
      <c r="M662" s="39" t="s">
        <v>138</v>
      </c>
      <c r="N662" s="39" t="s">
        <v>159</v>
      </c>
      <c r="O662" s="43">
        <f t="shared" si="210"/>
        <v>65802.33</v>
      </c>
      <c r="P662" s="43">
        <f t="shared" si="211"/>
        <v>60538.14</v>
      </c>
      <c r="Q662" s="43">
        <f t="shared" si="212"/>
        <v>51191.25</v>
      </c>
      <c r="R662" s="43">
        <f t="shared" si="213"/>
        <v>9346.89</v>
      </c>
      <c r="S662" s="44">
        <f t="shared" si="214"/>
        <v>0.15439671585549208</v>
      </c>
      <c r="T662" s="39" t="str">
        <f t="shared" si="215"/>
        <v>OK</v>
      </c>
      <c r="U662" s="39" t="str">
        <f t="shared" si="216"/>
        <v>0-9%</v>
      </c>
      <c r="V662" s="39" t="str">
        <f>IF(E662&gt;=Analysis!$B$4,"High",IF(E662&gt;=Analysis!$B$5,"Mid","Low"))</f>
        <v>Low</v>
      </c>
      <c r="W662" s="39" t="str">
        <f t="shared" si="217"/>
        <v>2023-12</v>
      </c>
      <c r="X662" s="40">
        <f t="shared" si="218"/>
        <v>45291</v>
      </c>
      <c r="Y662" s="39" t="str">
        <f t="shared" si="219"/>
        <v>2023-Q4</v>
      </c>
      <c r="Z662" s="39" t="str">
        <f t="shared" si="220"/>
        <v>Sat</v>
      </c>
      <c r="AA662" s="39">
        <f t="shared" si="221"/>
        <v>6</v>
      </c>
      <c r="AB662" s="39">
        <f t="shared" si="222"/>
        <v>52</v>
      </c>
      <c r="AC662" s="39" t="str">
        <f t="shared" si="223"/>
        <v>Weekend</v>
      </c>
      <c r="AD662" s="39">
        <f t="shared" ca="1" si="224"/>
        <v>1036</v>
      </c>
      <c r="AE662" s="39">
        <f t="shared" ca="1" si="225"/>
        <v>34</v>
      </c>
      <c r="AF662" s="39" t="str">
        <f t="shared" si="226"/>
        <v>ALI</v>
      </c>
      <c r="AG662" s="39" t="str">
        <f t="shared" si="227"/>
        <v>EO-231223-0661</v>
      </c>
      <c r="AH662" s="39" t="str">
        <f>IF(AND(OR(Filter!$B$4="All",D662=Filter!$B$4),OR(Filter!$B$5="All",M662=Filter!$B$5),E662&gt;=Filter!$B$6),MAX(AH$1:AH661)+1,"")</f>
        <v/>
      </c>
      <c r="AI662" s="39">
        <f t="shared" si="228"/>
        <v>33</v>
      </c>
      <c r="AJ662" s="42">
        <f t="shared" si="229"/>
        <v>0.08</v>
      </c>
      <c r="AK662" s="41">
        <f t="shared" si="230"/>
        <v>1994.01</v>
      </c>
      <c r="AL662" s="39">
        <f>RANK(E662,$E$2:$E$1001,0)+COUNTIF($E$2:E662,E662)-1</f>
        <v>927</v>
      </c>
    </row>
    <row r="663" spans="1:38" x14ac:dyDescent="0.2">
      <c r="A663" s="39">
        <v>1007</v>
      </c>
      <c r="B663" s="40">
        <v>45024</v>
      </c>
      <c r="C663" s="39" t="s">
        <v>71</v>
      </c>
      <c r="D663" s="39" t="s">
        <v>59</v>
      </c>
      <c r="E663" s="41">
        <v>3758.78</v>
      </c>
      <c r="F663" s="39">
        <v>13</v>
      </c>
      <c r="G663" s="39" t="s">
        <v>60</v>
      </c>
      <c r="H663" s="41">
        <v>3597.2</v>
      </c>
      <c r="I663" s="41">
        <v>4071.82</v>
      </c>
      <c r="J663" s="39" t="s">
        <v>137</v>
      </c>
      <c r="K663" s="42">
        <v>0.28999999999999998</v>
      </c>
      <c r="L663" s="39" t="s">
        <v>63</v>
      </c>
      <c r="M663" s="39" t="s">
        <v>138</v>
      </c>
      <c r="N663" s="39" t="s">
        <v>145</v>
      </c>
      <c r="O663" s="43">
        <f t="shared" si="210"/>
        <v>52933.66</v>
      </c>
      <c r="P663" s="43">
        <f t="shared" si="211"/>
        <v>37582.9</v>
      </c>
      <c r="Q663" s="43">
        <f t="shared" si="212"/>
        <v>46763.6</v>
      </c>
      <c r="R663" s="43">
        <f t="shared" si="213"/>
        <v>-9180.6999999999971</v>
      </c>
      <c r="S663" s="44">
        <f t="shared" si="214"/>
        <v>-0.24427864800214982</v>
      </c>
      <c r="T663" s="39" t="str">
        <f t="shared" si="215"/>
        <v>Loss</v>
      </c>
      <c r="U663" s="39" t="str">
        <f t="shared" si="216"/>
        <v>20%+</v>
      </c>
      <c r="V663" s="39" t="str">
        <f>IF(E663&gt;=Analysis!$B$4,"High",IF(E663&gt;=Analysis!$B$5,"Mid","Low"))</f>
        <v>Mid</v>
      </c>
      <c r="W663" s="39" t="str">
        <f t="shared" si="217"/>
        <v>2023-04</v>
      </c>
      <c r="X663" s="40">
        <f t="shared" si="218"/>
        <v>45046</v>
      </c>
      <c r="Y663" s="39" t="str">
        <f t="shared" si="219"/>
        <v>2023-Q2</v>
      </c>
      <c r="Z663" s="39" t="str">
        <f t="shared" si="220"/>
        <v>Sat</v>
      </c>
      <c r="AA663" s="39">
        <f t="shared" si="221"/>
        <v>6</v>
      </c>
      <c r="AB663" s="39">
        <f t="shared" si="222"/>
        <v>15</v>
      </c>
      <c r="AC663" s="39" t="str">
        <f t="shared" si="223"/>
        <v>Weekend</v>
      </c>
      <c r="AD663" s="39">
        <f t="shared" ca="1" si="224"/>
        <v>1295</v>
      </c>
      <c r="AE663" s="39">
        <f t="shared" ca="1" si="225"/>
        <v>42</v>
      </c>
      <c r="AF663" s="39" t="str">
        <f t="shared" si="226"/>
        <v>CHA</v>
      </c>
      <c r="AG663" s="39" t="str">
        <f t="shared" si="227"/>
        <v>EO-230408-0662</v>
      </c>
      <c r="AH663" s="39" t="str">
        <f>IF(AND(OR(Filter!$B$4="All",D663=Filter!$B$4),OR(Filter!$B$5="All",M663=Filter!$B$5),E663&gt;=Filter!$B$6),MAX(AH$1:AH662)+1,"")</f>
        <v/>
      </c>
      <c r="AI663" s="39">
        <f t="shared" si="228"/>
        <v>13</v>
      </c>
      <c r="AJ663" s="42">
        <f t="shared" si="229"/>
        <v>0.28999999999999998</v>
      </c>
      <c r="AK663" s="41">
        <f t="shared" si="230"/>
        <v>4071.82</v>
      </c>
      <c r="AL663" s="39">
        <f>RANK(E663,$E$2:$E$1001,0)+COUNTIF($E$2:E663,E663)-1</f>
        <v>623</v>
      </c>
    </row>
    <row r="664" spans="1:38" x14ac:dyDescent="0.2">
      <c r="A664" s="39">
        <v>1046</v>
      </c>
      <c r="B664" s="40">
        <v>45193</v>
      </c>
      <c r="C664" s="39" t="s">
        <v>71</v>
      </c>
      <c r="D664" s="39" t="s">
        <v>74</v>
      </c>
      <c r="E664" s="41">
        <v>4695.96</v>
      </c>
      <c r="F664" s="39">
        <v>41</v>
      </c>
      <c r="G664" s="39" t="s">
        <v>60</v>
      </c>
      <c r="H664" s="41">
        <v>1825.37</v>
      </c>
      <c r="I664" s="41">
        <v>2073.88</v>
      </c>
      <c r="J664" s="39" t="s">
        <v>137</v>
      </c>
      <c r="K664" s="42">
        <v>0.27</v>
      </c>
      <c r="L664" s="39" t="s">
        <v>68</v>
      </c>
      <c r="M664" s="39" t="s">
        <v>140</v>
      </c>
      <c r="N664" s="39" t="s">
        <v>146</v>
      </c>
      <c r="O664" s="43">
        <f t="shared" si="210"/>
        <v>85029.08</v>
      </c>
      <c r="P664" s="43">
        <f t="shared" si="211"/>
        <v>62071.23</v>
      </c>
      <c r="Q664" s="43">
        <f t="shared" si="212"/>
        <v>74840.17</v>
      </c>
      <c r="R664" s="43">
        <f t="shared" si="213"/>
        <v>-12768.939999999995</v>
      </c>
      <c r="S664" s="44">
        <f t="shared" si="214"/>
        <v>-0.20571430596751497</v>
      </c>
      <c r="T664" s="39" t="str">
        <f t="shared" si="215"/>
        <v>Loss</v>
      </c>
      <c r="U664" s="39" t="str">
        <f t="shared" si="216"/>
        <v>20%+</v>
      </c>
      <c r="V664" s="39" t="str">
        <f>IF(E664&gt;=Analysis!$B$4,"High",IF(E664&gt;=Analysis!$B$5,"Mid","Low"))</f>
        <v>Mid</v>
      </c>
      <c r="W664" s="39" t="str">
        <f t="shared" si="217"/>
        <v>2023-09</v>
      </c>
      <c r="X664" s="40">
        <f t="shared" si="218"/>
        <v>45199</v>
      </c>
      <c r="Y664" s="39" t="str">
        <f t="shared" si="219"/>
        <v>2023-Q3</v>
      </c>
      <c r="Z664" s="39" t="str">
        <f t="shared" si="220"/>
        <v>Sun</v>
      </c>
      <c r="AA664" s="39">
        <f t="shared" si="221"/>
        <v>7</v>
      </c>
      <c r="AB664" s="39">
        <f t="shared" si="222"/>
        <v>39</v>
      </c>
      <c r="AC664" s="39" t="str">
        <f t="shared" si="223"/>
        <v>Weekend</v>
      </c>
      <c r="AD664" s="39">
        <f t="shared" ca="1" si="224"/>
        <v>1126</v>
      </c>
      <c r="AE664" s="39">
        <f t="shared" ca="1" si="225"/>
        <v>37</v>
      </c>
      <c r="AF664" s="39" t="str">
        <f t="shared" si="226"/>
        <v>CHA</v>
      </c>
      <c r="AG664" s="39" t="str">
        <f t="shared" si="227"/>
        <v>WR-230924-0663</v>
      </c>
      <c r="AH664" s="39" t="str">
        <f>IF(AND(OR(Filter!$B$4="All",D664=Filter!$B$4),OR(Filter!$B$5="All",M664=Filter!$B$5),E664&gt;=Filter!$B$6),MAX(AH$1:AH663)+1,"")</f>
        <v/>
      </c>
      <c r="AI664" s="39">
        <f t="shared" si="228"/>
        <v>41</v>
      </c>
      <c r="AJ664" s="42">
        <f t="shared" si="229"/>
        <v>0.27</v>
      </c>
      <c r="AK664" s="41">
        <f t="shared" si="230"/>
        <v>2073.88</v>
      </c>
      <c r="AL664" s="39">
        <f>RANK(E664,$E$2:$E$1001,0)+COUNTIF($E$2:E664,E664)-1</f>
        <v>530</v>
      </c>
    </row>
    <row r="665" spans="1:38" x14ac:dyDescent="0.2">
      <c r="A665" s="39">
        <v>1013</v>
      </c>
      <c r="B665" s="40">
        <v>45031</v>
      </c>
      <c r="C665" s="39" t="s">
        <v>79</v>
      </c>
      <c r="D665" s="39" t="s">
        <v>64</v>
      </c>
      <c r="E665" s="41">
        <v>7255.1</v>
      </c>
      <c r="F665" s="39">
        <v>42</v>
      </c>
      <c r="G665" s="39" t="s">
        <v>75</v>
      </c>
      <c r="H665" s="41">
        <v>1375.57</v>
      </c>
      <c r="I665" s="41">
        <v>1729.71</v>
      </c>
      <c r="J665" s="39" t="s">
        <v>143</v>
      </c>
      <c r="K665" s="42">
        <v>0.04</v>
      </c>
      <c r="L665" s="39" t="s">
        <v>68</v>
      </c>
      <c r="M665" s="39" t="s">
        <v>138</v>
      </c>
      <c r="N665" s="39" t="s">
        <v>148</v>
      </c>
      <c r="O665" s="43">
        <f t="shared" si="210"/>
        <v>72647.820000000007</v>
      </c>
      <c r="P665" s="43">
        <f t="shared" si="211"/>
        <v>69741.91</v>
      </c>
      <c r="Q665" s="43">
        <f t="shared" si="212"/>
        <v>57773.94</v>
      </c>
      <c r="R665" s="43">
        <f t="shared" si="213"/>
        <v>11967.970000000001</v>
      </c>
      <c r="S665" s="44">
        <f t="shared" si="214"/>
        <v>0.17160370285241686</v>
      </c>
      <c r="T665" s="39" t="str">
        <f t="shared" si="215"/>
        <v>OK</v>
      </c>
      <c r="U665" s="39" t="str">
        <f t="shared" si="216"/>
        <v>0-9%</v>
      </c>
      <c r="V665" s="39" t="str">
        <f>IF(E665&gt;=Analysis!$B$4,"High",IF(E665&gt;=Analysis!$B$5,"Mid","Low"))</f>
        <v>Mid</v>
      </c>
      <c r="W665" s="39" t="str">
        <f t="shared" si="217"/>
        <v>2023-04</v>
      </c>
      <c r="X665" s="40">
        <f t="shared" si="218"/>
        <v>45046</v>
      </c>
      <c r="Y665" s="39" t="str">
        <f t="shared" si="219"/>
        <v>2023-Q2</v>
      </c>
      <c r="Z665" s="39" t="str">
        <f t="shared" si="220"/>
        <v>Sat</v>
      </c>
      <c r="AA665" s="39">
        <f t="shared" si="221"/>
        <v>6</v>
      </c>
      <c r="AB665" s="39">
        <f t="shared" si="222"/>
        <v>16</v>
      </c>
      <c r="AC665" s="39" t="str">
        <f t="shared" si="223"/>
        <v>Weekend</v>
      </c>
      <c r="AD665" s="39">
        <f t="shared" ca="1" si="224"/>
        <v>1288</v>
      </c>
      <c r="AE665" s="39">
        <f t="shared" ca="1" si="225"/>
        <v>42</v>
      </c>
      <c r="AF665" s="39" t="str">
        <f t="shared" si="226"/>
        <v>EVE</v>
      </c>
      <c r="AG665" s="39" t="str">
        <f t="shared" si="227"/>
        <v>NO-230415-0664</v>
      </c>
      <c r="AH665" s="39" t="str">
        <f>IF(AND(OR(Filter!$B$4="All",D665=Filter!$B$4),OR(Filter!$B$5="All",M665=Filter!$B$5),E665&gt;=Filter!$B$6),MAX(AH$1:AH664)+1,"")</f>
        <v/>
      </c>
      <c r="AI665" s="39">
        <f t="shared" si="228"/>
        <v>42</v>
      </c>
      <c r="AJ665" s="42">
        <f t="shared" si="229"/>
        <v>0.04</v>
      </c>
      <c r="AK665" s="41">
        <f t="shared" si="230"/>
        <v>1729.71</v>
      </c>
      <c r="AL665" s="39">
        <f>RANK(E665,$E$2:$E$1001,0)+COUNTIF($E$2:E665,E665)-1</f>
        <v>274</v>
      </c>
    </row>
    <row r="666" spans="1:38" x14ac:dyDescent="0.2">
      <c r="A666" s="39">
        <v>1040</v>
      </c>
      <c r="B666" s="40">
        <v>45249</v>
      </c>
      <c r="C666" s="39" t="s">
        <v>76</v>
      </c>
      <c r="D666" s="39" t="s">
        <v>64</v>
      </c>
      <c r="E666" s="41">
        <v>6601.62</v>
      </c>
      <c r="F666" s="39">
        <v>47</v>
      </c>
      <c r="G666" s="39" t="s">
        <v>65</v>
      </c>
      <c r="H666" s="41">
        <v>2189.54</v>
      </c>
      <c r="I666" s="41">
        <v>2617</v>
      </c>
      <c r="J666" s="39" t="s">
        <v>143</v>
      </c>
      <c r="K666" s="42">
        <v>0.01</v>
      </c>
      <c r="L666" s="39" t="s">
        <v>63</v>
      </c>
      <c r="M666" s="39" t="s">
        <v>138</v>
      </c>
      <c r="N666" s="39" t="s">
        <v>152</v>
      </c>
      <c r="O666" s="43">
        <f t="shared" si="210"/>
        <v>122999</v>
      </c>
      <c r="P666" s="43">
        <f t="shared" si="211"/>
        <v>121769.01</v>
      </c>
      <c r="Q666" s="43">
        <f t="shared" si="212"/>
        <v>102908.38</v>
      </c>
      <c r="R666" s="43">
        <f t="shared" si="213"/>
        <v>18860.62999999999</v>
      </c>
      <c r="S666" s="44">
        <f t="shared" si="214"/>
        <v>0.15488858782706694</v>
      </c>
      <c r="T666" s="39" t="str">
        <f t="shared" si="215"/>
        <v>OK</v>
      </c>
      <c r="U666" s="39" t="str">
        <f t="shared" si="216"/>
        <v>0-9%</v>
      </c>
      <c r="V666" s="39" t="str">
        <f>IF(E666&gt;=Analysis!$B$4,"High",IF(E666&gt;=Analysis!$B$5,"Mid","Low"))</f>
        <v>Mid</v>
      </c>
      <c r="W666" s="39" t="str">
        <f t="shared" si="217"/>
        <v>2023-11</v>
      </c>
      <c r="X666" s="40">
        <f t="shared" si="218"/>
        <v>45260</v>
      </c>
      <c r="Y666" s="39" t="str">
        <f t="shared" si="219"/>
        <v>2023-Q4</v>
      </c>
      <c r="Z666" s="39" t="str">
        <f t="shared" si="220"/>
        <v>Sun</v>
      </c>
      <c r="AA666" s="39">
        <f t="shared" si="221"/>
        <v>7</v>
      </c>
      <c r="AB666" s="39">
        <f t="shared" si="222"/>
        <v>47</v>
      </c>
      <c r="AC666" s="39" t="str">
        <f t="shared" si="223"/>
        <v>Weekend</v>
      </c>
      <c r="AD666" s="39">
        <f t="shared" ca="1" si="224"/>
        <v>1070</v>
      </c>
      <c r="AE666" s="39">
        <f t="shared" ca="1" si="225"/>
        <v>35</v>
      </c>
      <c r="AF666" s="39" t="str">
        <f t="shared" si="226"/>
        <v>DAV</v>
      </c>
      <c r="AG666" s="39" t="str">
        <f t="shared" si="227"/>
        <v>NO-231119-0665</v>
      </c>
      <c r="AH666" s="39" t="str">
        <f>IF(AND(OR(Filter!$B$4="All",D666=Filter!$B$4),OR(Filter!$B$5="All",M666=Filter!$B$5),E666&gt;=Filter!$B$6),MAX(AH$1:AH665)+1,"")</f>
        <v/>
      </c>
      <c r="AI666" s="39">
        <f t="shared" si="228"/>
        <v>47</v>
      </c>
      <c r="AJ666" s="42">
        <f t="shared" si="229"/>
        <v>0.01</v>
      </c>
      <c r="AK666" s="41">
        <f t="shared" si="230"/>
        <v>2617</v>
      </c>
      <c r="AL666" s="39">
        <f>RANK(E666,$E$2:$E$1001,0)+COUNTIF($E$2:E666,E666)-1</f>
        <v>349</v>
      </c>
    </row>
    <row r="667" spans="1:38" x14ac:dyDescent="0.2">
      <c r="A667" s="39">
        <v>1042</v>
      </c>
      <c r="B667" s="40">
        <v>45049</v>
      </c>
      <c r="C667" s="39" t="s">
        <v>61</v>
      </c>
      <c r="D667" s="39" t="s">
        <v>74</v>
      </c>
      <c r="E667" s="41">
        <v>7116.78</v>
      </c>
      <c r="F667" s="39">
        <v>37</v>
      </c>
      <c r="G667" s="39" t="s">
        <v>75</v>
      </c>
      <c r="H667" s="41">
        <v>502.86</v>
      </c>
      <c r="I667" s="41">
        <v>687.6</v>
      </c>
      <c r="J667" s="39" t="s">
        <v>137</v>
      </c>
      <c r="K667" s="42">
        <v>0.21</v>
      </c>
      <c r="L667" s="39" t="s">
        <v>68</v>
      </c>
      <c r="M667" s="39" t="s">
        <v>138</v>
      </c>
      <c r="N667" s="39" t="s">
        <v>158</v>
      </c>
      <c r="O667" s="43">
        <f t="shared" si="210"/>
        <v>25441.200000000001</v>
      </c>
      <c r="P667" s="43">
        <f t="shared" si="211"/>
        <v>20098.55</v>
      </c>
      <c r="Q667" s="43">
        <f t="shared" si="212"/>
        <v>18605.82</v>
      </c>
      <c r="R667" s="43">
        <f t="shared" si="213"/>
        <v>1492.7299999999996</v>
      </c>
      <c r="S667" s="44">
        <f t="shared" si="214"/>
        <v>7.4270531953797639E-2</v>
      </c>
      <c r="T667" s="39" t="str">
        <f t="shared" si="215"/>
        <v>OK</v>
      </c>
      <c r="U667" s="39" t="str">
        <f t="shared" si="216"/>
        <v>20%+</v>
      </c>
      <c r="V667" s="39" t="str">
        <f>IF(E667&gt;=Analysis!$B$4,"High",IF(E667&gt;=Analysis!$B$5,"Mid","Low"))</f>
        <v>Mid</v>
      </c>
      <c r="W667" s="39" t="str">
        <f t="shared" si="217"/>
        <v>2023-05</v>
      </c>
      <c r="X667" s="40">
        <f t="shared" si="218"/>
        <v>45077</v>
      </c>
      <c r="Y667" s="39" t="str">
        <f t="shared" si="219"/>
        <v>2023-Q2</v>
      </c>
      <c r="Z667" s="39" t="str">
        <f t="shared" si="220"/>
        <v>Wed</v>
      </c>
      <c r="AA667" s="39">
        <f t="shared" si="221"/>
        <v>3</v>
      </c>
      <c r="AB667" s="39">
        <f t="shared" si="222"/>
        <v>19</v>
      </c>
      <c r="AC667" s="39" t="str">
        <f t="shared" si="223"/>
        <v>Weekday</v>
      </c>
      <c r="AD667" s="39">
        <f t="shared" ca="1" si="224"/>
        <v>1270</v>
      </c>
      <c r="AE667" s="39">
        <f t="shared" ca="1" si="225"/>
        <v>41</v>
      </c>
      <c r="AF667" s="39" t="str">
        <f t="shared" si="226"/>
        <v>ALI</v>
      </c>
      <c r="AG667" s="39" t="str">
        <f t="shared" si="227"/>
        <v>WO-230503-0666</v>
      </c>
      <c r="AH667" s="39" t="str">
        <f>IF(AND(OR(Filter!$B$4="All",D667=Filter!$B$4),OR(Filter!$B$5="All",M667=Filter!$B$5),E667&gt;=Filter!$B$6),MAX(AH$1:AH666)+1,"")</f>
        <v/>
      </c>
      <c r="AI667" s="39">
        <f t="shared" si="228"/>
        <v>37</v>
      </c>
      <c r="AJ667" s="42">
        <f t="shared" si="229"/>
        <v>0.21</v>
      </c>
      <c r="AK667" s="41">
        <f t="shared" si="230"/>
        <v>687.6</v>
      </c>
      <c r="AL667" s="39">
        <f>RANK(E667,$E$2:$E$1001,0)+COUNTIF($E$2:E667,E667)-1</f>
        <v>287</v>
      </c>
    </row>
    <row r="668" spans="1:38" x14ac:dyDescent="0.2">
      <c r="A668" s="39">
        <v>1009</v>
      </c>
      <c r="B668" s="40">
        <v>44955</v>
      </c>
      <c r="C668" s="39" t="s">
        <v>79</v>
      </c>
      <c r="D668" s="39" t="s">
        <v>74</v>
      </c>
      <c r="E668" s="41">
        <v>182.8</v>
      </c>
      <c r="F668" s="39">
        <v>16</v>
      </c>
      <c r="G668" s="39" t="s">
        <v>60</v>
      </c>
      <c r="H668" s="41">
        <v>3745.69</v>
      </c>
      <c r="I668" s="41">
        <v>3883.77</v>
      </c>
      <c r="J668" s="39" t="s">
        <v>137</v>
      </c>
      <c r="K668" s="42">
        <v>0.18</v>
      </c>
      <c r="L668" s="39" t="s">
        <v>63</v>
      </c>
      <c r="M668" s="39" t="s">
        <v>140</v>
      </c>
      <c r="N668" s="39" t="s">
        <v>149</v>
      </c>
      <c r="O668" s="43">
        <f t="shared" si="210"/>
        <v>62140.32</v>
      </c>
      <c r="P668" s="43">
        <f t="shared" si="211"/>
        <v>50955.06</v>
      </c>
      <c r="Q668" s="43">
        <f t="shared" si="212"/>
        <v>59931.040000000001</v>
      </c>
      <c r="R668" s="43">
        <f t="shared" si="213"/>
        <v>-8975.9800000000032</v>
      </c>
      <c r="S668" s="44">
        <f t="shared" si="214"/>
        <v>-0.17615483133569076</v>
      </c>
      <c r="T668" s="39" t="str">
        <f t="shared" si="215"/>
        <v>Loss</v>
      </c>
      <c r="U668" s="39" t="str">
        <f t="shared" si="216"/>
        <v>10-19%</v>
      </c>
      <c r="V668" s="39" t="str">
        <f>IF(E668&gt;=Analysis!$B$4,"High",IF(E668&gt;=Analysis!$B$5,"Mid","Low"))</f>
        <v>Low</v>
      </c>
      <c r="W668" s="39" t="str">
        <f t="shared" si="217"/>
        <v>2023-01</v>
      </c>
      <c r="X668" s="40">
        <f t="shared" si="218"/>
        <v>44957</v>
      </c>
      <c r="Y668" s="39" t="str">
        <f t="shared" si="219"/>
        <v>2023-Q1</v>
      </c>
      <c r="Z668" s="39" t="str">
        <f t="shared" si="220"/>
        <v>Sun</v>
      </c>
      <c r="AA668" s="39">
        <f t="shared" si="221"/>
        <v>7</v>
      </c>
      <c r="AB668" s="39">
        <f t="shared" si="222"/>
        <v>5</v>
      </c>
      <c r="AC668" s="39" t="str">
        <f t="shared" si="223"/>
        <v>Weekend</v>
      </c>
      <c r="AD668" s="39">
        <f t="shared" ca="1" si="224"/>
        <v>1364</v>
      </c>
      <c r="AE668" s="39">
        <f t="shared" ca="1" si="225"/>
        <v>44</v>
      </c>
      <c r="AF668" s="39" t="str">
        <f t="shared" si="226"/>
        <v>EVE</v>
      </c>
      <c r="AG668" s="39" t="str">
        <f t="shared" si="227"/>
        <v>WR-230129-0667</v>
      </c>
      <c r="AH668" s="39" t="str">
        <f>IF(AND(OR(Filter!$B$4="All",D668=Filter!$B$4),OR(Filter!$B$5="All",M668=Filter!$B$5),E668&gt;=Filter!$B$6),MAX(AH$1:AH667)+1,"")</f>
        <v/>
      </c>
      <c r="AI668" s="39">
        <f t="shared" si="228"/>
        <v>16</v>
      </c>
      <c r="AJ668" s="42">
        <f t="shared" si="229"/>
        <v>0.18</v>
      </c>
      <c r="AK668" s="41">
        <f t="shared" si="230"/>
        <v>3883.77</v>
      </c>
      <c r="AL668" s="39">
        <f>RANK(E668,$E$2:$E$1001,0)+COUNTIF($E$2:E668,E668)-1</f>
        <v>992</v>
      </c>
    </row>
    <row r="669" spans="1:38" x14ac:dyDescent="0.2">
      <c r="A669" s="39">
        <v>1050</v>
      </c>
      <c r="B669" s="40">
        <v>45063</v>
      </c>
      <c r="C669" s="39" t="s">
        <v>66</v>
      </c>
      <c r="D669" s="39" t="s">
        <v>64</v>
      </c>
      <c r="E669" s="41">
        <v>2254.91</v>
      </c>
      <c r="F669" s="39">
        <v>45</v>
      </c>
      <c r="G669" s="39" t="s">
        <v>75</v>
      </c>
      <c r="H669" s="41">
        <v>112.35</v>
      </c>
      <c r="I669" s="41">
        <v>586.17999999999995</v>
      </c>
      <c r="J669" s="39" t="s">
        <v>137</v>
      </c>
      <c r="K669" s="42">
        <v>0.28000000000000003</v>
      </c>
      <c r="L669" s="39" t="s">
        <v>73</v>
      </c>
      <c r="M669" s="39" t="s">
        <v>140</v>
      </c>
      <c r="N669" s="39" t="s">
        <v>139</v>
      </c>
      <c r="O669" s="43">
        <f t="shared" si="210"/>
        <v>26378.1</v>
      </c>
      <c r="P669" s="43">
        <f t="shared" si="211"/>
        <v>18992.23</v>
      </c>
      <c r="Q669" s="43">
        <f t="shared" si="212"/>
        <v>5055.75</v>
      </c>
      <c r="R669" s="43">
        <f t="shared" si="213"/>
        <v>13936.48</v>
      </c>
      <c r="S669" s="44">
        <f t="shared" si="214"/>
        <v>0.73379903255173295</v>
      </c>
      <c r="T669" s="39" t="str">
        <f t="shared" si="215"/>
        <v>OK</v>
      </c>
      <c r="U669" s="39" t="str">
        <f t="shared" si="216"/>
        <v>20%+</v>
      </c>
      <c r="V669" s="39" t="str">
        <f>IF(E669&gt;=Analysis!$B$4,"High",IF(E669&gt;=Analysis!$B$5,"Mid","Low"))</f>
        <v>Low</v>
      </c>
      <c r="W669" s="39" t="str">
        <f t="shared" si="217"/>
        <v>2023-05</v>
      </c>
      <c r="X669" s="40">
        <f t="shared" si="218"/>
        <v>45077</v>
      </c>
      <c r="Y669" s="39" t="str">
        <f t="shared" si="219"/>
        <v>2023-Q2</v>
      </c>
      <c r="Z669" s="39" t="str">
        <f t="shared" si="220"/>
        <v>Wed</v>
      </c>
      <c r="AA669" s="39">
        <f t="shared" si="221"/>
        <v>3</v>
      </c>
      <c r="AB669" s="39">
        <f t="shared" si="222"/>
        <v>21</v>
      </c>
      <c r="AC669" s="39" t="str">
        <f t="shared" si="223"/>
        <v>Weekday</v>
      </c>
      <c r="AD669" s="39">
        <f t="shared" ca="1" si="224"/>
        <v>1256</v>
      </c>
      <c r="AE669" s="39">
        <f t="shared" ca="1" si="225"/>
        <v>41</v>
      </c>
      <c r="AF669" s="39" t="str">
        <f t="shared" si="226"/>
        <v>BOB</v>
      </c>
      <c r="AG669" s="39" t="str">
        <f t="shared" si="227"/>
        <v>NR-230517-0668</v>
      </c>
      <c r="AH669" s="39" t="str">
        <f>IF(AND(OR(Filter!$B$4="All",D669=Filter!$B$4),OR(Filter!$B$5="All",M669=Filter!$B$5),E669&gt;=Filter!$B$6),MAX(AH$1:AH668)+1,"")</f>
        <v/>
      </c>
      <c r="AI669" s="39">
        <f t="shared" si="228"/>
        <v>45</v>
      </c>
      <c r="AJ669" s="42">
        <f t="shared" si="229"/>
        <v>0.28000000000000003</v>
      </c>
      <c r="AK669" s="41">
        <f t="shared" si="230"/>
        <v>586.17999999999995</v>
      </c>
      <c r="AL669" s="39">
        <f>RANK(E669,$E$2:$E$1001,0)+COUNTIF($E$2:E669,E669)-1</f>
        <v>786</v>
      </c>
    </row>
    <row r="670" spans="1:38" x14ac:dyDescent="0.2">
      <c r="A670" s="39">
        <v>1027</v>
      </c>
      <c r="B670" s="40">
        <v>45121</v>
      </c>
      <c r="C670" s="39" t="s">
        <v>66</v>
      </c>
      <c r="D670" s="39" t="s">
        <v>69</v>
      </c>
      <c r="E670" s="41">
        <v>6650.67</v>
      </c>
      <c r="F670" s="39">
        <v>22</v>
      </c>
      <c r="G670" s="39" t="s">
        <v>70</v>
      </c>
      <c r="H670" s="41">
        <v>3240.2</v>
      </c>
      <c r="I670" s="41">
        <v>3606.09</v>
      </c>
      <c r="J670" s="39" t="s">
        <v>143</v>
      </c>
      <c r="K670" s="42">
        <v>7.0000000000000007E-2</v>
      </c>
      <c r="L670" s="39" t="s">
        <v>68</v>
      </c>
      <c r="M670" s="39" t="s">
        <v>138</v>
      </c>
      <c r="N670" s="39" t="s">
        <v>144</v>
      </c>
      <c r="O670" s="43">
        <f t="shared" si="210"/>
        <v>79333.98</v>
      </c>
      <c r="P670" s="43">
        <f t="shared" si="211"/>
        <v>73780.600000000006</v>
      </c>
      <c r="Q670" s="43">
        <f t="shared" si="212"/>
        <v>71284.399999999994</v>
      </c>
      <c r="R670" s="43">
        <f t="shared" si="213"/>
        <v>2496.2000000000116</v>
      </c>
      <c r="S670" s="44">
        <f t="shared" si="214"/>
        <v>3.3832741940293405E-2</v>
      </c>
      <c r="T670" s="39" t="str">
        <f t="shared" si="215"/>
        <v>OK</v>
      </c>
      <c r="U670" s="39" t="str">
        <f t="shared" si="216"/>
        <v>0-9%</v>
      </c>
      <c r="V670" s="39" t="str">
        <f>IF(E670&gt;=Analysis!$B$4,"High",IF(E670&gt;=Analysis!$B$5,"Mid","Low"))</f>
        <v>Mid</v>
      </c>
      <c r="W670" s="39" t="str">
        <f t="shared" si="217"/>
        <v>2023-07</v>
      </c>
      <c r="X670" s="40">
        <f t="shared" si="218"/>
        <v>45138</v>
      </c>
      <c r="Y670" s="39" t="str">
        <f t="shared" si="219"/>
        <v>2023-Q3</v>
      </c>
      <c r="Z670" s="39" t="str">
        <f t="shared" si="220"/>
        <v>Fri</v>
      </c>
      <c r="AA670" s="39">
        <f t="shared" si="221"/>
        <v>5</v>
      </c>
      <c r="AB670" s="39">
        <f t="shared" si="222"/>
        <v>29</v>
      </c>
      <c r="AC670" s="39" t="str">
        <f t="shared" si="223"/>
        <v>Weekday</v>
      </c>
      <c r="AD670" s="39">
        <f t="shared" ca="1" si="224"/>
        <v>1198</v>
      </c>
      <c r="AE670" s="39">
        <f t="shared" ca="1" si="225"/>
        <v>39</v>
      </c>
      <c r="AF670" s="39" t="str">
        <f t="shared" si="226"/>
        <v>BOB</v>
      </c>
      <c r="AG670" s="39" t="str">
        <f t="shared" si="227"/>
        <v>SO-230714-0669</v>
      </c>
      <c r="AH670" s="39" t="str">
        <f>IF(AND(OR(Filter!$B$4="All",D670=Filter!$B$4),OR(Filter!$B$5="All",M670=Filter!$B$5),E670&gt;=Filter!$B$6),MAX(AH$1:AH669)+1,"")</f>
        <v/>
      </c>
      <c r="AI670" s="39">
        <f t="shared" si="228"/>
        <v>22</v>
      </c>
      <c r="AJ670" s="42">
        <f t="shared" si="229"/>
        <v>7.0000000000000007E-2</v>
      </c>
      <c r="AK670" s="41">
        <f t="shared" si="230"/>
        <v>3606.09</v>
      </c>
      <c r="AL670" s="39">
        <f>RANK(E670,$E$2:$E$1001,0)+COUNTIF($E$2:E670,E670)-1</f>
        <v>342</v>
      </c>
    </row>
    <row r="671" spans="1:38" x14ac:dyDescent="0.2">
      <c r="A671" s="39">
        <v>1066</v>
      </c>
      <c r="B671" s="40">
        <v>45152</v>
      </c>
      <c r="C671" s="39" t="s">
        <v>61</v>
      </c>
      <c r="D671" s="39" t="s">
        <v>69</v>
      </c>
      <c r="E671" s="41">
        <v>4891.49</v>
      </c>
      <c r="F671" s="39">
        <v>20</v>
      </c>
      <c r="G671" s="39" t="s">
        <v>65</v>
      </c>
      <c r="H671" s="41">
        <v>955.18</v>
      </c>
      <c r="I671" s="41">
        <v>1072.82</v>
      </c>
      <c r="J671" s="39" t="s">
        <v>143</v>
      </c>
      <c r="K671" s="42">
        <v>0.03</v>
      </c>
      <c r="L671" s="39" t="s">
        <v>63</v>
      </c>
      <c r="M671" s="39" t="s">
        <v>140</v>
      </c>
      <c r="N671" s="39" t="s">
        <v>150</v>
      </c>
      <c r="O671" s="43">
        <f t="shared" si="210"/>
        <v>21456.400000000001</v>
      </c>
      <c r="P671" s="43">
        <f t="shared" si="211"/>
        <v>20812.71</v>
      </c>
      <c r="Q671" s="43">
        <f t="shared" si="212"/>
        <v>19103.599999999999</v>
      </c>
      <c r="R671" s="43">
        <f t="shared" si="213"/>
        <v>1709.1100000000006</v>
      </c>
      <c r="S671" s="44">
        <f t="shared" si="214"/>
        <v>8.2118570815621836E-2</v>
      </c>
      <c r="T671" s="39" t="str">
        <f t="shared" si="215"/>
        <v>OK</v>
      </c>
      <c r="U671" s="39" t="str">
        <f t="shared" si="216"/>
        <v>0-9%</v>
      </c>
      <c r="V671" s="39" t="str">
        <f>IF(E671&gt;=Analysis!$B$4,"High",IF(E671&gt;=Analysis!$B$5,"Mid","Low"))</f>
        <v>Mid</v>
      </c>
      <c r="W671" s="39" t="str">
        <f t="shared" si="217"/>
        <v>2023-08</v>
      </c>
      <c r="X671" s="40">
        <f t="shared" si="218"/>
        <v>45169</v>
      </c>
      <c r="Y671" s="39" t="str">
        <f t="shared" si="219"/>
        <v>2023-Q3</v>
      </c>
      <c r="Z671" s="39" t="str">
        <f t="shared" si="220"/>
        <v>Mon</v>
      </c>
      <c r="AA671" s="39">
        <f t="shared" si="221"/>
        <v>1</v>
      </c>
      <c r="AB671" s="39">
        <f t="shared" si="222"/>
        <v>34</v>
      </c>
      <c r="AC671" s="39" t="str">
        <f t="shared" si="223"/>
        <v>Weekday</v>
      </c>
      <c r="AD671" s="39">
        <f t="shared" ca="1" si="224"/>
        <v>1167</v>
      </c>
      <c r="AE671" s="39">
        <f t="shared" ca="1" si="225"/>
        <v>38</v>
      </c>
      <c r="AF671" s="39" t="str">
        <f t="shared" si="226"/>
        <v>ALI</v>
      </c>
      <c r="AG671" s="39" t="str">
        <f t="shared" si="227"/>
        <v>SR-230814-0670</v>
      </c>
      <c r="AH671" s="39" t="str">
        <f>IF(AND(OR(Filter!$B$4="All",D671=Filter!$B$4),OR(Filter!$B$5="All",M671=Filter!$B$5),E671&gt;=Filter!$B$6),MAX(AH$1:AH670)+1,"")</f>
        <v/>
      </c>
      <c r="AI671" s="39">
        <f t="shared" si="228"/>
        <v>20</v>
      </c>
      <c r="AJ671" s="42">
        <f t="shared" si="229"/>
        <v>0.03</v>
      </c>
      <c r="AK671" s="41">
        <f t="shared" si="230"/>
        <v>1072.82</v>
      </c>
      <c r="AL671" s="39">
        <f>RANK(E671,$E$2:$E$1001,0)+COUNTIF($E$2:E671,E671)-1</f>
        <v>514</v>
      </c>
    </row>
    <row r="672" spans="1:38" x14ac:dyDescent="0.2">
      <c r="A672" s="39">
        <v>1005</v>
      </c>
      <c r="B672" s="40">
        <v>45258</v>
      </c>
      <c r="C672" s="39" t="s">
        <v>76</v>
      </c>
      <c r="D672" s="39" t="s">
        <v>74</v>
      </c>
      <c r="E672" s="41">
        <v>152.6</v>
      </c>
      <c r="F672" s="39">
        <v>43</v>
      </c>
      <c r="G672" s="39" t="s">
        <v>75</v>
      </c>
      <c r="H672" s="41">
        <v>1200.4000000000001</v>
      </c>
      <c r="I672" s="41">
        <v>1430.45</v>
      </c>
      <c r="J672" s="39" t="s">
        <v>143</v>
      </c>
      <c r="K672" s="42">
        <v>0.08</v>
      </c>
      <c r="L672" s="39" t="s">
        <v>63</v>
      </c>
      <c r="M672" s="39" t="s">
        <v>140</v>
      </c>
      <c r="N672" s="39" t="s">
        <v>154</v>
      </c>
      <c r="O672" s="43">
        <f t="shared" si="210"/>
        <v>61509.35</v>
      </c>
      <c r="P672" s="43">
        <f t="shared" si="211"/>
        <v>56588.6</v>
      </c>
      <c r="Q672" s="43">
        <f t="shared" si="212"/>
        <v>51617.2</v>
      </c>
      <c r="R672" s="43">
        <f t="shared" si="213"/>
        <v>4971.4000000000015</v>
      </c>
      <c r="S672" s="44">
        <f t="shared" si="214"/>
        <v>8.7851616756731948E-2</v>
      </c>
      <c r="T672" s="39" t="str">
        <f t="shared" si="215"/>
        <v>OK</v>
      </c>
      <c r="U672" s="39" t="str">
        <f t="shared" si="216"/>
        <v>0-9%</v>
      </c>
      <c r="V672" s="39" t="str">
        <f>IF(E672&gt;=Analysis!$B$4,"High",IF(E672&gt;=Analysis!$B$5,"Mid","Low"))</f>
        <v>Low</v>
      </c>
      <c r="W672" s="39" t="str">
        <f t="shared" si="217"/>
        <v>2023-11</v>
      </c>
      <c r="X672" s="40">
        <f t="shared" si="218"/>
        <v>45260</v>
      </c>
      <c r="Y672" s="39" t="str">
        <f t="shared" si="219"/>
        <v>2023-Q4</v>
      </c>
      <c r="Z672" s="39" t="str">
        <f t="shared" si="220"/>
        <v>Tue</v>
      </c>
      <c r="AA672" s="39">
        <f t="shared" si="221"/>
        <v>2</v>
      </c>
      <c r="AB672" s="39">
        <f t="shared" si="222"/>
        <v>49</v>
      </c>
      <c r="AC672" s="39" t="str">
        <f t="shared" si="223"/>
        <v>Weekday</v>
      </c>
      <c r="AD672" s="39">
        <f t="shared" ca="1" si="224"/>
        <v>1061</v>
      </c>
      <c r="AE672" s="39">
        <f t="shared" ca="1" si="225"/>
        <v>34</v>
      </c>
      <c r="AF672" s="39" t="str">
        <f t="shared" si="226"/>
        <v>DAV</v>
      </c>
      <c r="AG672" s="39" t="str">
        <f t="shared" si="227"/>
        <v>WR-231128-0671</v>
      </c>
      <c r="AH672" s="39" t="str">
        <f>IF(AND(OR(Filter!$B$4="All",D672=Filter!$B$4),OR(Filter!$B$5="All",M672=Filter!$B$5),E672&gt;=Filter!$B$6),MAX(AH$1:AH671)+1,"")</f>
        <v/>
      </c>
      <c r="AI672" s="39">
        <f t="shared" si="228"/>
        <v>43</v>
      </c>
      <c r="AJ672" s="42">
        <f t="shared" si="229"/>
        <v>0.08</v>
      </c>
      <c r="AK672" s="41">
        <f t="shared" si="230"/>
        <v>1430.45</v>
      </c>
      <c r="AL672" s="39">
        <f>RANK(E672,$E$2:$E$1001,0)+COUNTIF($E$2:E672,E672)-1</f>
        <v>995</v>
      </c>
    </row>
    <row r="673" spans="1:38" x14ac:dyDescent="0.2">
      <c r="A673" s="39">
        <v>1029</v>
      </c>
      <c r="B673" s="40">
        <v>45096</v>
      </c>
      <c r="C673" s="39" t="s">
        <v>79</v>
      </c>
      <c r="D673" s="39" t="s">
        <v>69</v>
      </c>
      <c r="E673" s="41">
        <v>8064.5</v>
      </c>
      <c r="F673" s="39">
        <v>27</v>
      </c>
      <c r="G673" s="39" t="s">
        <v>70</v>
      </c>
      <c r="H673" s="41">
        <v>3196.38</v>
      </c>
      <c r="I673" s="41">
        <v>3596.64</v>
      </c>
      <c r="J673" s="39" t="s">
        <v>143</v>
      </c>
      <c r="K673" s="42">
        <v>0.01</v>
      </c>
      <c r="L673" s="39" t="s">
        <v>68</v>
      </c>
      <c r="M673" s="39" t="s">
        <v>140</v>
      </c>
      <c r="N673" s="39" t="s">
        <v>147</v>
      </c>
      <c r="O673" s="43">
        <f t="shared" si="210"/>
        <v>97109.28</v>
      </c>
      <c r="P673" s="43">
        <f t="shared" si="211"/>
        <v>96138.19</v>
      </c>
      <c r="Q673" s="43">
        <f t="shared" si="212"/>
        <v>86302.26</v>
      </c>
      <c r="R673" s="43">
        <f t="shared" si="213"/>
        <v>9835.9300000000076</v>
      </c>
      <c r="S673" s="44">
        <f t="shared" si="214"/>
        <v>0.10231033057726599</v>
      </c>
      <c r="T673" s="39" t="str">
        <f t="shared" si="215"/>
        <v>OK</v>
      </c>
      <c r="U673" s="39" t="str">
        <f t="shared" si="216"/>
        <v>0-9%</v>
      </c>
      <c r="V673" s="39" t="str">
        <f>IF(E673&gt;=Analysis!$B$4,"High",IF(E673&gt;=Analysis!$B$5,"Mid","Low"))</f>
        <v>High</v>
      </c>
      <c r="W673" s="39" t="str">
        <f t="shared" si="217"/>
        <v>2023-06</v>
      </c>
      <c r="X673" s="40">
        <f t="shared" si="218"/>
        <v>45107</v>
      </c>
      <c r="Y673" s="39" t="str">
        <f t="shared" si="219"/>
        <v>2023-Q2</v>
      </c>
      <c r="Z673" s="39" t="str">
        <f t="shared" si="220"/>
        <v>Mon</v>
      </c>
      <c r="AA673" s="39">
        <f t="shared" si="221"/>
        <v>1</v>
      </c>
      <c r="AB673" s="39">
        <f t="shared" si="222"/>
        <v>26</v>
      </c>
      <c r="AC673" s="39" t="str">
        <f t="shared" si="223"/>
        <v>Weekday</v>
      </c>
      <c r="AD673" s="39">
        <f t="shared" ca="1" si="224"/>
        <v>1223</v>
      </c>
      <c r="AE673" s="39">
        <f t="shared" ca="1" si="225"/>
        <v>40</v>
      </c>
      <c r="AF673" s="39" t="str">
        <f t="shared" si="226"/>
        <v>EVE</v>
      </c>
      <c r="AG673" s="39" t="str">
        <f t="shared" si="227"/>
        <v>SR-230619-0672</v>
      </c>
      <c r="AH673" s="39" t="str">
        <f>IF(AND(OR(Filter!$B$4="All",D673=Filter!$B$4),OR(Filter!$B$5="All",M673=Filter!$B$5),E673&gt;=Filter!$B$6),MAX(AH$1:AH672)+1,"")</f>
        <v/>
      </c>
      <c r="AI673" s="39">
        <f t="shared" si="228"/>
        <v>27</v>
      </c>
      <c r="AJ673" s="42">
        <f t="shared" si="229"/>
        <v>0.01</v>
      </c>
      <c r="AK673" s="41">
        <f t="shared" si="230"/>
        <v>3596.64</v>
      </c>
      <c r="AL673" s="39">
        <f>RANK(E673,$E$2:$E$1001,0)+COUNTIF($E$2:E673,E673)-1</f>
        <v>185</v>
      </c>
    </row>
    <row r="674" spans="1:38" x14ac:dyDescent="0.2">
      <c r="A674" s="39">
        <v>1037</v>
      </c>
      <c r="B674" s="40">
        <v>44935</v>
      </c>
      <c r="C674" s="39" t="s">
        <v>71</v>
      </c>
      <c r="D674" s="39" t="s">
        <v>64</v>
      </c>
      <c r="E674" s="41">
        <v>7750.81</v>
      </c>
      <c r="F674" s="39">
        <v>41</v>
      </c>
      <c r="G674" s="39" t="s">
        <v>60</v>
      </c>
      <c r="H674" s="41">
        <v>4965.07</v>
      </c>
      <c r="I674" s="41">
        <v>5243.13</v>
      </c>
      <c r="J674" s="39" t="s">
        <v>143</v>
      </c>
      <c r="K674" s="42">
        <v>0.01</v>
      </c>
      <c r="L674" s="39" t="s">
        <v>73</v>
      </c>
      <c r="M674" s="39" t="s">
        <v>138</v>
      </c>
      <c r="N674" s="39" t="s">
        <v>160</v>
      </c>
      <c r="O674" s="43">
        <f t="shared" si="210"/>
        <v>214968.33</v>
      </c>
      <c r="P674" s="43">
        <f t="shared" si="211"/>
        <v>212818.65</v>
      </c>
      <c r="Q674" s="43">
        <f t="shared" si="212"/>
        <v>203567.87</v>
      </c>
      <c r="R674" s="43">
        <f t="shared" si="213"/>
        <v>9250.7799999999988</v>
      </c>
      <c r="S674" s="44">
        <f t="shared" si="214"/>
        <v>4.3467900956988492E-2</v>
      </c>
      <c r="T674" s="39" t="str">
        <f t="shared" si="215"/>
        <v>OK</v>
      </c>
      <c r="U674" s="39" t="str">
        <f t="shared" si="216"/>
        <v>0-9%</v>
      </c>
      <c r="V674" s="39" t="str">
        <f>IF(E674&gt;=Analysis!$B$4,"High",IF(E674&gt;=Analysis!$B$5,"Mid","Low"))</f>
        <v>High</v>
      </c>
      <c r="W674" s="39" t="str">
        <f t="shared" si="217"/>
        <v>2023-01</v>
      </c>
      <c r="X674" s="40">
        <f t="shared" si="218"/>
        <v>44957</v>
      </c>
      <c r="Y674" s="39" t="str">
        <f t="shared" si="219"/>
        <v>2023-Q1</v>
      </c>
      <c r="Z674" s="39" t="str">
        <f t="shared" si="220"/>
        <v>Mon</v>
      </c>
      <c r="AA674" s="39">
        <f t="shared" si="221"/>
        <v>1</v>
      </c>
      <c r="AB674" s="39">
        <f t="shared" si="222"/>
        <v>3</v>
      </c>
      <c r="AC674" s="39" t="str">
        <f t="shared" si="223"/>
        <v>Weekday</v>
      </c>
      <c r="AD674" s="39">
        <f t="shared" ca="1" si="224"/>
        <v>1384</v>
      </c>
      <c r="AE674" s="39">
        <f t="shared" ca="1" si="225"/>
        <v>45</v>
      </c>
      <c r="AF674" s="39" t="str">
        <f t="shared" si="226"/>
        <v>CHA</v>
      </c>
      <c r="AG674" s="39" t="str">
        <f t="shared" si="227"/>
        <v>NO-230109-0673</v>
      </c>
      <c r="AH674" s="39" t="str">
        <f>IF(AND(OR(Filter!$B$4="All",D674=Filter!$B$4),OR(Filter!$B$5="All",M674=Filter!$B$5),E674&gt;=Filter!$B$6),MAX(AH$1:AH673)+1,"")</f>
        <v/>
      </c>
      <c r="AI674" s="39">
        <f t="shared" si="228"/>
        <v>41</v>
      </c>
      <c r="AJ674" s="42">
        <f t="shared" si="229"/>
        <v>0.01</v>
      </c>
      <c r="AK674" s="41">
        <f t="shared" si="230"/>
        <v>5243.13</v>
      </c>
      <c r="AL674" s="39">
        <f>RANK(E674,$E$2:$E$1001,0)+COUNTIF($E$2:E674,E674)-1</f>
        <v>223</v>
      </c>
    </row>
    <row r="675" spans="1:38" x14ac:dyDescent="0.2">
      <c r="A675" s="39">
        <v>1038</v>
      </c>
      <c r="B675" s="40">
        <v>44966</v>
      </c>
      <c r="C675" s="39" t="s">
        <v>61</v>
      </c>
      <c r="D675" s="39" t="s">
        <v>59</v>
      </c>
      <c r="E675" s="41">
        <v>5529.35</v>
      </c>
      <c r="F675" s="39">
        <v>16</v>
      </c>
      <c r="G675" s="39" t="s">
        <v>75</v>
      </c>
      <c r="H675" s="41">
        <v>3899.7</v>
      </c>
      <c r="I675" s="41">
        <v>4228.18</v>
      </c>
      <c r="J675" s="39" t="s">
        <v>143</v>
      </c>
      <c r="K675" s="42">
        <v>0.27</v>
      </c>
      <c r="L675" s="39" t="s">
        <v>68</v>
      </c>
      <c r="M675" s="39" t="s">
        <v>140</v>
      </c>
      <c r="N675" s="39" t="s">
        <v>159</v>
      </c>
      <c r="O675" s="43">
        <f t="shared" si="210"/>
        <v>67650.880000000005</v>
      </c>
      <c r="P675" s="43">
        <f t="shared" si="211"/>
        <v>49385.14</v>
      </c>
      <c r="Q675" s="43">
        <f t="shared" si="212"/>
        <v>62395.199999999997</v>
      </c>
      <c r="R675" s="43">
        <f t="shared" si="213"/>
        <v>-13010.059999999998</v>
      </c>
      <c r="S675" s="44">
        <f t="shared" si="214"/>
        <v>-0.26344078400911686</v>
      </c>
      <c r="T675" s="39" t="str">
        <f t="shared" si="215"/>
        <v>Loss</v>
      </c>
      <c r="U675" s="39" t="str">
        <f t="shared" si="216"/>
        <v>20%+</v>
      </c>
      <c r="V675" s="39" t="str">
        <f>IF(E675&gt;=Analysis!$B$4,"High",IF(E675&gt;=Analysis!$B$5,"Mid","Low"))</f>
        <v>Mid</v>
      </c>
      <c r="W675" s="39" t="str">
        <f t="shared" si="217"/>
        <v>2023-02</v>
      </c>
      <c r="X675" s="40">
        <f t="shared" si="218"/>
        <v>44985</v>
      </c>
      <c r="Y675" s="39" t="str">
        <f t="shared" si="219"/>
        <v>2023-Q1</v>
      </c>
      <c r="Z675" s="39" t="str">
        <f t="shared" si="220"/>
        <v>Thu</v>
      </c>
      <c r="AA675" s="39">
        <f t="shared" si="221"/>
        <v>4</v>
      </c>
      <c r="AB675" s="39">
        <f t="shared" si="222"/>
        <v>7</v>
      </c>
      <c r="AC675" s="39" t="str">
        <f t="shared" si="223"/>
        <v>Weekday</v>
      </c>
      <c r="AD675" s="39">
        <f t="shared" ca="1" si="224"/>
        <v>1353</v>
      </c>
      <c r="AE675" s="39">
        <f t="shared" ca="1" si="225"/>
        <v>44</v>
      </c>
      <c r="AF675" s="39" t="str">
        <f t="shared" si="226"/>
        <v>ALI</v>
      </c>
      <c r="AG675" s="39" t="str">
        <f t="shared" si="227"/>
        <v>ER-230209-0674</v>
      </c>
      <c r="AH675" s="39" t="str">
        <f>IF(AND(OR(Filter!$B$4="All",D675=Filter!$B$4),OR(Filter!$B$5="All",M675=Filter!$B$5),E675&gt;=Filter!$B$6),MAX(AH$1:AH674)+1,"")</f>
        <v/>
      </c>
      <c r="AI675" s="39">
        <f t="shared" si="228"/>
        <v>16</v>
      </c>
      <c r="AJ675" s="42">
        <f t="shared" si="229"/>
        <v>0.27</v>
      </c>
      <c r="AK675" s="41">
        <f t="shared" si="230"/>
        <v>4228.18</v>
      </c>
      <c r="AL675" s="39">
        <f>RANK(E675,$E$2:$E$1001,0)+COUNTIF($E$2:E675,E675)-1</f>
        <v>453</v>
      </c>
    </row>
    <row r="676" spans="1:38" x14ac:dyDescent="0.2">
      <c r="A676" s="39">
        <v>1083</v>
      </c>
      <c r="B676" s="40">
        <v>44951</v>
      </c>
      <c r="C676" s="39" t="s">
        <v>76</v>
      </c>
      <c r="D676" s="39" t="s">
        <v>59</v>
      </c>
      <c r="E676" s="41">
        <v>757.99</v>
      </c>
      <c r="F676" s="39">
        <v>34</v>
      </c>
      <c r="G676" s="39" t="s">
        <v>60</v>
      </c>
      <c r="H676" s="41">
        <v>1167.9100000000001</v>
      </c>
      <c r="I676" s="41">
        <v>1547.26</v>
      </c>
      <c r="J676" s="39" t="s">
        <v>143</v>
      </c>
      <c r="K676" s="42">
        <v>0.11</v>
      </c>
      <c r="L676" s="39" t="s">
        <v>63</v>
      </c>
      <c r="M676" s="39" t="s">
        <v>138</v>
      </c>
      <c r="N676" s="39" t="s">
        <v>157</v>
      </c>
      <c r="O676" s="43">
        <f t="shared" si="210"/>
        <v>52606.84</v>
      </c>
      <c r="P676" s="43">
        <f t="shared" si="211"/>
        <v>46820.09</v>
      </c>
      <c r="Q676" s="43">
        <f t="shared" si="212"/>
        <v>39708.94</v>
      </c>
      <c r="R676" s="43">
        <f t="shared" si="213"/>
        <v>7111.1499999999942</v>
      </c>
      <c r="S676" s="44">
        <f t="shared" si="214"/>
        <v>0.15188245046090246</v>
      </c>
      <c r="T676" s="39" t="str">
        <f t="shared" si="215"/>
        <v>OK</v>
      </c>
      <c r="U676" s="39" t="str">
        <f t="shared" si="216"/>
        <v>10-19%</v>
      </c>
      <c r="V676" s="39" t="str">
        <f>IF(E676&gt;=Analysis!$B$4,"High",IF(E676&gt;=Analysis!$B$5,"Mid","Low"))</f>
        <v>Low</v>
      </c>
      <c r="W676" s="39" t="str">
        <f t="shared" si="217"/>
        <v>2023-01</v>
      </c>
      <c r="X676" s="40">
        <f t="shared" si="218"/>
        <v>44957</v>
      </c>
      <c r="Y676" s="39" t="str">
        <f t="shared" si="219"/>
        <v>2023-Q1</v>
      </c>
      <c r="Z676" s="39" t="str">
        <f t="shared" si="220"/>
        <v>Wed</v>
      </c>
      <c r="AA676" s="39">
        <f t="shared" si="221"/>
        <v>3</v>
      </c>
      <c r="AB676" s="39">
        <f t="shared" si="222"/>
        <v>5</v>
      </c>
      <c r="AC676" s="39" t="str">
        <f t="shared" si="223"/>
        <v>Weekday</v>
      </c>
      <c r="AD676" s="39">
        <f t="shared" ca="1" si="224"/>
        <v>1368</v>
      </c>
      <c r="AE676" s="39">
        <f t="shared" ca="1" si="225"/>
        <v>44</v>
      </c>
      <c r="AF676" s="39" t="str">
        <f t="shared" si="226"/>
        <v>DAV</v>
      </c>
      <c r="AG676" s="39" t="str">
        <f t="shared" si="227"/>
        <v>EO-230125-0675</v>
      </c>
      <c r="AH676" s="39" t="str">
        <f>IF(AND(OR(Filter!$B$4="All",D676=Filter!$B$4),OR(Filter!$B$5="All",M676=Filter!$B$5),E676&gt;=Filter!$B$6),MAX(AH$1:AH675)+1,"")</f>
        <v/>
      </c>
      <c r="AI676" s="39">
        <f t="shared" si="228"/>
        <v>34</v>
      </c>
      <c r="AJ676" s="42">
        <f t="shared" si="229"/>
        <v>0.11</v>
      </c>
      <c r="AK676" s="41">
        <f t="shared" si="230"/>
        <v>1547.26</v>
      </c>
      <c r="AL676" s="39">
        <f>RANK(E676,$E$2:$E$1001,0)+COUNTIF($E$2:E676,E676)-1</f>
        <v>935</v>
      </c>
    </row>
    <row r="677" spans="1:38" x14ac:dyDescent="0.2">
      <c r="A677" s="39">
        <v>1008</v>
      </c>
      <c r="B677" s="40">
        <v>45187</v>
      </c>
      <c r="C677" s="39" t="s">
        <v>71</v>
      </c>
      <c r="D677" s="39" t="s">
        <v>69</v>
      </c>
      <c r="E677" s="41">
        <v>7688.5</v>
      </c>
      <c r="F677" s="39">
        <v>32</v>
      </c>
      <c r="G677" s="39" t="s">
        <v>70</v>
      </c>
      <c r="H677" s="41">
        <v>921.32</v>
      </c>
      <c r="I677" s="41">
        <v>1236.0999999999999</v>
      </c>
      <c r="J677" s="39" t="s">
        <v>143</v>
      </c>
      <c r="K677" s="42">
        <v>0.12</v>
      </c>
      <c r="L677" s="39" t="s">
        <v>73</v>
      </c>
      <c r="M677" s="39" t="s">
        <v>138</v>
      </c>
      <c r="N677" s="39" t="s">
        <v>151</v>
      </c>
      <c r="O677" s="43">
        <f t="shared" si="210"/>
        <v>39555.199999999997</v>
      </c>
      <c r="P677" s="43">
        <f t="shared" si="211"/>
        <v>34808.58</v>
      </c>
      <c r="Q677" s="43">
        <f t="shared" si="212"/>
        <v>29482.240000000002</v>
      </c>
      <c r="R677" s="43">
        <f t="shared" si="213"/>
        <v>5326.34</v>
      </c>
      <c r="S677" s="44">
        <f t="shared" si="214"/>
        <v>0.15301802026971512</v>
      </c>
      <c r="T677" s="39" t="str">
        <f t="shared" si="215"/>
        <v>OK</v>
      </c>
      <c r="U677" s="39" t="str">
        <f t="shared" si="216"/>
        <v>10-19%</v>
      </c>
      <c r="V677" s="39" t="str">
        <f>IF(E677&gt;=Analysis!$B$4,"High",IF(E677&gt;=Analysis!$B$5,"Mid","Low"))</f>
        <v>High</v>
      </c>
      <c r="W677" s="39" t="str">
        <f t="shared" si="217"/>
        <v>2023-09</v>
      </c>
      <c r="X677" s="40">
        <f t="shared" si="218"/>
        <v>45199</v>
      </c>
      <c r="Y677" s="39" t="str">
        <f t="shared" si="219"/>
        <v>2023-Q3</v>
      </c>
      <c r="Z677" s="39" t="str">
        <f t="shared" si="220"/>
        <v>Mon</v>
      </c>
      <c r="AA677" s="39">
        <f t="shared" si="221"/>
        <v>1</v>
      </c>
      <c r="AB677" s="39">
        <f t="shared" si="222"/>
        <v>39</v>
      </c>
      <c r="AC677" s="39" t="str">
        <f t="shared" si="223"/>
        <v>Weekday</v>
      </c>
      <c r="AD677" s="39">
        <f t="shared" ca="1" si="224"/>
        <v>1132</v>
      </c>
      <c r="AE677" s="39">
        <f t="shared" ca="1" si="225"/>
        <v>37</v>
      </c>
      <c r="AF677" s="39" t="str">
        <f t="shared" si="226"/>
        <v>CHA</v>
      </c>
      <c r="AG677" s="39" t="str">
        <f t="shared" si="227"/>
        <v>SO-230918-0676</v>
      </c>
      <c r="AH677" s="39" t="str">
        <f>IF(AND(OR(Filter!$B$4="All",D677=Filter!$B$4),OR(Filter!$B$5="All",M677=Filter!$B$5),E677&gt;=Filter!$B$6),MAX(AH$1:AH676)+1,"")</f>
        <v/>
      </c>
      <c r="AI677" s="39">
        <f t="shared" si="228"/>
        <v>32</v>
      </c>
      <c r="AJ677" s="42">
        <f t="shared" si="229"/>
        <v>0.12</v>
      </c>
      <c r="AK677" s="41">
        <f t="shared" si="230"/>
        <v>1236.0999999999999</v>
      </c>
      <c r="AL677" s="39">
        <f>RANK(E677,$E$2:$E$1001,0)+COUNTIF($E$2:E677,E677)-1</f>
        <v>228</v>
      </c>
    </row>
    <row r="678" spans="1:38" x14ac:dyDescent="0.2">
      <c r="A678" s="39">
        <v>1065</v>
      </c>
      <c r="B678" s="40">
        <v>45152</v>
      </c>
      <c r="C678" s="39" t="s">
        <v>66</v>
      </c>
      <c r="D678" s="39" t="s">
        <v>74</v>
      </c>
      <c r="E678" s="41">
        <v>5878.76</v>
      </c>
      <c r="F678" s="39">
        <v>26</v>
      </c>
      <c r="G678" s="39" t="s">
        <v>60</v>
      </c>
      <c r="H678" s="41">
        <v>4337.8500000000004</v>
      </c>
      <c r="I678" s="41">
        <v>4612.49</v>
      </c>
      <c r="J678" s="39" t="s">
        <v>137</v>
      </c>
      <c r="K678" s="42">
        <v>0.01</v>
      </c>
      <c r="L678" s="39" t="s">
        <v>68</v>
      </c>
      <c r="M678" s="39" t="s">
        <v>140</v>
      </c>
      <c r="N678" s="39" t="s">
        <v>141</v>
      </c>
      <c r="O678" s="43">
        <f t="shared" si="210"/>
        <v>119924.74</v>
      </c>
      <c r="P678" s="43">
        <f t="shared" si="211"/>
        <v>118725.49</v>
      </c>
      <c r="Q678" s="43">
        <f t="shared" si="212"/>
        <v>112784.1</v>
      </c>
      <c r="R678" s="43">
        <f t="shared" si="213"/>
        <v>5941.3899999999994</v>
      </c>
      <c r="S678" s="44">
        <f t="shared" si="214"/>
        <v>5.0043086787849848E-2</v>
      </c>
      <c r="T678" s="39" t="str">
        <f t="shared" si="215"/>
        <v>OK</v>
      </c>
      <c r="U678" s="39" t="str">
        <f t="shared" si="216"/>
        <v>0-9%</v>
      </c>
      <c r="V678" s="39" t="str">
        <f>IF(E678&gt;=Analysis!$B$4,"High",IF(E678&gt;=Analysis!$B$5,"Mid","Low"))</f>
        <v>Mid</v>
      </c>
      <c r="W678" s="39" t="str">
        <f t="shared" si="217"/>
        <v>2023-08</v>
      </c>
      <c r="X678" s="40">
        <f t="shared" si="218"/>
        <v>45169</v>
      </c>
      <c r="Y678" s="39" t="str">
        <f t="shared" si="219"/>
        <v>2023-Q3</v>
      </c>
      <c r="Z678" s="39" t="str">
        <f t="shared" si="220"/>
        <v>Mon</v>
      </c>
      <c r="AA678" s="39">
        <f t="shared" si="221"/>
        <v>1</v>
      </c>
      <c r="AB678" s="39">
        <f t="shared" si="222"/>
        <v>34</v>
      </c>
      <c r="AC678" s="39" t="str">
        <f t="shared" si="223"/>
        <v>Weekday</v>
      </c>
      <c r="AD678" s="39">
        <f t="shared" ca="1" si="224"/>
        <v>1167</v>
      </c>
      <c r="AE678" s="39">
        <f t="shared" ca="1" si="225"/>
        <v>38</v>
      </c>
      <c r="AF678" s="39" t="str">
        <f t="shared" si="226"/>
        <v>BOB</v>
      </c>
      <c r="AG678" s="39" t="str">
        <f t="shared" si="227"/>
        <v>WR-230814-0677</v>
      </c>
      <c r="AH678" s="39" t="str">
        <f>IF(AND(OR(Filter!$B$4="All",D678=Filter!$B$4),OR(Filter!$B$5="All",M678=Filter!$B$5),E678&gt;=Filter!$B$6),MAX(AH$1:AH677)+1,"")</f>
        <v/>
      </c>
      <c r="AI678" s="39">
        <f t="shared" si="228"/>
        <v>26</v>
      </c>
      <c r="AJ678" s="42">
        <f t="shared" si="229"/>
        <v>0.01</v>
      </c>
      <c r="AK678" s="41">
        <f t="shared" si="230"/>
        <v>4612.49</v>
      </c>
      <c r="AL678" s="39">
        <f>RANK(E678,$E$2:$E$1001,0)+COUNTIF($E$2:E678,E678)-1</f>
        <v>419</v>
      </c>
    </row>
    <row r="679" spans="1:38" x14ac:dyDescent="0.2">
      <c r="A679" s="39">
        <v>1086</v>
      </c>
      <c r="B679" s="40">
        <v>45050</v>
      </c>
      <c r="C679" s="39" t="s">
        <v>66</v>
      </c>
      <c r="D679" s="39" t="s">
        <v>74</v>
      </c>
      <c r="E679" s="41">
        <v>7841.4</v>
      </c>
      <c r="F679" s="39">
        <v>25</v>
      </c>
      <c r="G679" s="39" t="s">
        <v>70</v>
      </c>
      <c r="H679" s="41">
        <v>2248.71</v>
      </c>
      <c r="I679" s="41">
        <v>2626.02</v>
      </c>
      <c r="J679" s="39" t="s">
        <v>143</v>
      </c>
      <c r="K679" s="42">
        <v>0.08</v>
      </c>
      <c r="L679" s="39" t="s">
        <v>63</v>
      </c>
      <c r="M679" s="39" t="s">
        <v>138</v>
      </c>
      <c r="N679" s="39" t="s">
        <v>141</v>
      </c>
      <c r="O679" s="43">
        <f t="shared" si="210"/>
        <v>65650.5</v>
      </c>
      <c r="P679" s="43">
        <f t="shared" si="211"/>
        <v>60398.46</v>
      </c>
      <c r="Q679" s="43">
        <f t="shared" si="212"/>
        <v>56217.75</v>
      </c>
      <c r="R679" s="43">
        <f t="shared" si="213"/>
        <v>4180.7099999999991</v>
      </c>
      <c r="S679" s="44">
        <f t="shared" si="214"/>
        <v>6.9218817830785734E-2</v>
      </c>
      <c r="T679" s="39" t="str">
        <f t="shared" si="215"/>
        <v>OK</v>
      </c>
      <c r="U679" s="39" t="str">
        <f t="shared" si="216"/>
        <v>0-9%</v>
      </c>
      <c r="V679" s="39" t="str">
        <f>IF(E679&gt;=Analysis!$B$4,"High",IF(E679&gt;=Analysis!$B$5,"Mid","Low"))</f>
        <v>High</v>
      </c>
      <c r="W679" s="39" t="str">
        <f t="shared" si="217"/>
        <v>2023-05</v>
      </c>
      <c r="X679" s="40">
        <f t="shared" si="218"/>
        <v>45077</v>
      </c>
      <c r="Y679" s="39" t="str">
        <f t="shared" si="219"/>
        <v>2023-Q2</v>
      </c>
      <c r="Z679" s="39" t="str">
        <f t="shared" si="220"/>
        <v>Thu</v>
      </c>
      <c r="AA679" s="39">
        <f t="shared" si="221"/>
        <v>4</v>
      </c>
      <c r="AB679" s="39">
        <f t="shared" si="222"/>
        <v>19</v>
      </c>
      <c r="AC679" s="39" t="str">
        <f t="shared" si="223"/>
        <v>Weekday</v>
      </c>
      <c r="AD679" s="39">
        <f t="shared" ca="1" si="224"/>
        <v>1269</v>
      </c>
      <c r="AE679" s="39">
        <f t="shared" ca="1" si="225"/>
        <v>41</v>
      </c>
      <c r="AF679" s="39" t="str">
        <f t="shared" si="226"/>
        <v>BOB</v>
      </c>
      <c r="AG679" s="39" t="str">
        <f t="shared" si="227"/>
        <v>WO-230504-0678</v>
      </c>
      <c r="AH679" s="39" t="str">
        <f>IF(AND(OR(Filter!$B$4="All",D679=Filter!$B$4),OR(Filter!$B$5="All",M679=Filter!$B$5),E679&gt;=Filter!$B$6),MAX(AH$1:AH678)+1,"")</f>
        <v/>
      </c>
      <c r="AI679" s="39">
        <f t="shared" si="228"/>
        <v>25</v>
      </c>
      <c r="AJ679" s="42">
        <f t="shared" si="229"/>
        <v>0.08</v>
      </c>
      <c r="AK679" s="41">
        <f t="shared" si="230"/>
        <v>2626.02</v>
      </c>
      <c r="AL679" s="39">
        <f>RANK(E679,$E$2:$E$1001,0)+COUNTIF($E$2:E679,E679)-1</f>
        <v>212</v>
      </c>
    </row>
    <row r="680" spans="1:38" x14ac:dyDescent="0.2">
      <c r="A680" s="39">
        <v>1017</v>
      </c>
      <c r="B680" s="40">
        <v>44964</v>
      </c>
      <c r="C680" s="39" t="s">
        <v>71</v>
      </c>
      <c r="D680" s="39" t="s">
        <v>74</v>
      </c>
      <c r="E680" s="41">
        <v>7542.3</v>
      </c>
      <c r="F680" s="39">
        <v>2</v>
      </c>
      <c r="G680" s="39" t="s">
        <v>70</v>
      </c>
      <c r="H680" s="41">
        <v>728.41</v>
      </c>
      <c r="I680" s="41">
        <v>1094.92</v>
      </c>
      <c r="J680" s="39" t="s">
        <v>143</v>
      </c>
      <c r="K680" s="42">
        <v>0.24</v>
      </c>
      <c r="L680" s="39" t="s">
        <v>68</v>
      </c>
      <c r="M680" s="39" t="s">
        <v>140</v>
      </c>
      <c r="N680" s="39" t="s">
        <v>146</v>
      </c>
      <c r="O680" s="43">
        <f t="shared" si="210"/>
        <v>2189.84</v>
      </c>
      <c r="P680" s="43">
        <f t="shared" si="211"/>
        <v>1664.28</v>
      </c>
      <c r="Q680" s="43">
        <f t="shared" si="212"/>
        <v>1456.82</v>
      </c>
      <c r="R680" s="43">
        <f t="shared" si="213"/>
        <v>207.46000000000004</v>
      </c>
      <c r="S680" s="44">
        <f t="shared" si="214"/>
        <v>0.12465450525152021</v>
      </c>
      <c r="T680" s="39" t="str">
        <f t="shared" si="215"/>
        <v>OK</v>
      </c>
      <c r="U680" s="39" t="str">
        <f t="shared" si="216"/>
        <v>20%+</v>
      </c>
      <c r="V680" s="39" t="str">
        <f>IF(E680&gt;=Analysis!$B$4,"High",IF(E680&gt;=Analysis!$B$5,"Mid","Low"))</f>
        <v>High</v>
      </c>
      <c r="W680" s="39" t="str">
        <f t="shared" si="217"/>
        <v>2023-02</v>
      </c>
      <c r="X680" s="40">
        <f t="shared" si="218"/>
        <v>44985</v>
      </c>
      <c r="Y680" s="39" t="str">
        <f t="shared" si="219"/>
        <v>2023-Q1</v>
      </c>
      <c r="Z680" s="39" t="str">
        <f t="shared" si="220"/>
        <v>Tue</v>
      </c>
      <c r="AA680" s="39">
        <f t="shared" si="221"/>
        <v>2</v>
      </c>
      <c r="AB680" s="39">
        <f t="shared" si="222"/>
        <v>7</v>
      </c>
      <c r="AC680" s="39" t="str">
        <f t="shared" si="223"/>
        <v>Weekday</v>
      </c>
      <c r="AD680" s="39">
        <f t="shared" ca="1" si="224"/>
        <v>1355</v>
      </c>
      <c r="AE680" s="39">
        <f t="shared" ca="1" si="225"/>
        <v>44</v>
      </c>
      <c r="AF680" s="39" t="str">
        <f t="shared" si="226"/>
        <v>CHA</v>
      </c>
      <c r="AG680" s="39" t="str">
        <f t="shared" si="227"/>
        <v>WR-230207-0679</v>
      </c>
      <c r="AH680" s="39" t="str">
        <f>IF(AND(OR(Filter!$B$4="All",D680=Filter!$B$4),OR(Filter!$B$5="All",M680=Filter!$B$5),E680&gt;=Filter!$B$6),MAX(AH$1:AH679)+1,"")</f>
        <v/>
      </c>
      <c r="AI680" s="39">
        <f t="shared" si="228"/>
        <v>2</v>
      </c>
      <c r="AJ680" s="42">
        <f t="shared" si="229"/>
        <v>0.24</v>
      </c>
      <c r="AK680" s="41">
        <f t="shared" si="230"/>
        <v>1094.92</v>
      </c>
      <c r="AL680" s="39">
        <f>RANK(E680,$E$2:$E$1001,0)+COUNTIF($E$2:E680,E680)-1</f>
        <v>245</v>
      </c>
    </row>
    <row r="681" spans="1:38" x14ac:dyDescent="0.2">
      <c r="A681" s="39">
        <v>1071</v>
      </c>
      <c r="B681" s="40">
        <v>45254</v>
      </c>
      <c r="C681" s="39" t="s">
        <v>61</v>
      </c>
      <c r="D681" s="39" t="s">
        <v>74</v>
      </c>
      <c r="E681" s="41">
        <v>8049.72</v>
      </c>
      <c r="F681" s="39">
        <v>12</v>
      </c>
      <c r="G681" s="39" t="s">
        <v>70</v>
      </c>
      <c r="H681" s="41">
        <v>4317.95</v>
      </c>
      <c r="I681" s="41">
        <v>4636.59</v>
      </c>
      <c r="J681" s="39" t="s">
        <v>143</v>
      </c>
      <c r="K681" s="42">
        <v>0.18</v>
      </c>
      <c r="L681" s="39" t="s">
        <v>73</v>
      </c>
      <c r="M681" s="39" t="s">
        <v>140</v>
      </c>
      <c r="N681" s="39" t="s">
        <v>158</v>
      </c>
      <c r="O681" s="43">
        <f t="shared" si="210"/>
        <v>55639.08</v>
      </c>
      <c r="P681" s="43">
        <f t="shared" si="211"/>
        <v>45624.05</v>
      </c>
      <c r="Q681" s="43">
        <f t="shared" si="212"/>
        <v>51815.4</v>
      </c>
      <c r="R681" s="43">
        <f t="shared" si="213"/>
        <v>-6191.3499999999985</v>
      </c>
      <c r="S681" s="44">
        <f t="shared" si="214"/>
        <v>-0.13570364752800329</v>
      </c>
      <c r="T681" s="39" t="str">
        <f t="shared" si="215"/>
        <v>Loss</v>
      </c>
      <c r="U681" s="39" t="str">
        <f t="shared" si="216"/>
        <v>10-19%</v>
      </c>
      <c r="V681" s="39" t="str">
        <f>IF(E681&gt;=Analysis!$B$4,"High",IF(E681&gt;=Analysis!$B$5,"Mid","Low"))</f>
        <v>High</v>
      </c>
      <c r="W681" s="39" t="str">
        <f t="shared" si="217"/>
        <v>2023-11</v>
      </c>
      <c r="X681" s="40">
        <f t="shared" si="218"/>
        <v>45260</v>
      </c>
      <c r="Y681" s="39" t="str">
        <f t="shared" si="219"/>
        <v>2023-Q4</v>
      </c>
      <c r="Z681" s="39" t="str">
        <f t="shared" si="220"/>
        <v>Fri</v>
      </c>
      <c r="AA681" s="39">
        <f t="shared" si="221"/>
        <v>5</v>
      </c>
      <c r="AB681" s="39">
        <f t="shared" si="222"/>
        <v>48</v>
      </c>
      <c r="AC681" s="39" t="str">
        <f t="shared" si="223"/>
        <v>Weekday</v>
      </c>
      <c r="AD681" s="39">
        <f t="shared" ca="1" si="224"/>
        <v>1065</v>
      </c>
      <c r="AE681" s="39">
        <f t="shared" ca="1" si="225"/>
        <v>35</v>
      </c>
      <c r="AF681" s="39" t="str">
        <f t="shared" si="226"/>
        <v>ALI</v>
      </c>
      <c r="AG681" s="39" t="str">
        <f t="shared" si="227"/>
        <v>WR-231124-0680</v>
      </c>
      <c r="AH681" s="39" t="str">
        <f>IF(AND(OR(Filter!$B$4="All",D681=Filter!$B$4),OR(Filter!$B$5="All",M681=Filter!$B$5),E681&gt;=Filter!$B$6),MAX(AH$1:AH680)+1,"")</f>
        <v/>
      </c>
      <c r="AI681" s="39">
        <f t="shared" si="228"/>
        <v>12</v>
      </c>
      <c r="AJ681" s="42">
        <f t="shared" si="229"/>
        <v>0.18</v>
      </c>
      <c r="AK681" s="41">
        <f t="shared" si="230"/>
        <v>4636.59</v>
      </c>
      <c r="AL681" s="39">
        <f>RANK(E681,$E$2:$E$1001,0)+COUNTIF($E$2:E681,E681)-1</f>
        <v>190</v>
      </c>
    </row>
    <row r="682" spans="1:38" x14ac:dyDescent="0.2">
      <c r="A682" s="39">
        <v>1089</v>
      </c>
      <c r="B682" s="40">
        <v>45177</v>
      </c>
      <c r="C682" s="39" t="s">
        <v>66</v>
      </c>
      <c r="D682" s="39" t="s">
        <v>74</v>
      </c>
      <c r="E682" s="41">
        <v>5228.28</v>
      </c>
      <c r="F682" s="39">
        <v>40</v>
      </c>
      <c r="G682" s="39" t="s">
        <v>75</v>
      </c>
      <c r="H682" s="41">
        <v>4089.66</v>
      </c>
      <c r="I682" s="41">
        <v>4275.96</v>
      </c>
      <c r="J682" s="39" t="s">
        <v>143</v>
      </c>
      <c r="K682" s="42">
        <v>0.23</v>
      </c>
      <c r="L682" s="39" t="s">
        <v>73</v>
      </c>
      <c r="M682" s="39" t="s">
        <v>138</v>
      </c>
      <c r="N682" s="39" t="s">
        <v>141</v>
      </c>
      <c r="O682" s="43">
        <f t="shared" si="210"/>
        <v>171038.4</v>
      </c>
      <c r="P682" s="43">
        <f t="shared" si="211"/>
        <v>131699.57</v>
      </c>
      <c r="Q682" s="43">
        <f t="shared" si="212"/>
        <v>163586.4</v>
      </c>
      <c r="R682" s="43">
        <f t="shared" si="213"/>
        <v>-31886.829999999987</v>
      </c>
      <c r="S682" s="44">
        <f t="shared" si="214"/>
        <v>-0.24211795072679421</v>
      </c>
      <c r="T682" s="39" t="str">
        <f t="shared" si="215"/>
        <v>Loss</v>
      </c>
      <c r="U682" s="39" t="str">
        <f t="shared" si="216"/>
        <v>20%+</v>
      </c>
      <c r="V682" s="39" t="str">
        <f>IF(E682&gt;=Analysis!$B$4,"High",IF(E682&gt;=Analysis!$B$5,"Mid","Low"))</f>
        <v>Mid</v>
      </c>
      <c r="W682" s="39" t="str">
        <f t="shared" si="217"/>
        <v>2023-09</v>
      </c>
      <c r="X682" s="40">
        <f t="shared" si="218"/>
        <v>45199</v>
      </c>
      <c r="Y682" s="39" t="str">
        <f t="shared" si="219"/>
        <v>2023-Q3</v>
      </c>
      <c r="Z682" s="39" t="str">
        <f t="shared" si="220"/>
        <v>Fri</v>
      </c>
      <c r="AA682" s="39">
        <f t="shared" si="221"/>
        <v>5</v>
      </c>
      <c r="AB682" s="39">
        <f t="shared" si="222"/>
        <v>37</v>
      </c>
      <c r="AC682" s="39" t="str">
        <f t="shared" si="223"/>
        <v>Weekday</v>
      </c>
      <c r="AD682" s="39">
        <f t="shared" ca="1" si="224"/>
        <v>1142</v>
      </c>
      <c r="AE682" s="39">
        <f t="shared" ca="1" si="225"/>
        <v>37</v>
      </c>
      <c r="AF682" s="39" t="str">
        <f t="shared" si="226"/>
        <v>BOB</v>
      </c>
      <c r="AG682" s="39" t="str">
        <f t="shared" si="227"/>
        <v>WO-230908-0681</v>
      </c>
      <c r="AH682" s="39" t="str">
        <f>IF(AND(OR(Filter!$B$4="All",D682=Filter!$B$4),OR(Filter!$B$5="All",M682=Filter!$B$5),E682&gt;=Filter!$B$6),MAX(AH$1:AH681)+1,"")</f>
        <v/>
      </c>
      <c r="AI682" s="39">
        <f t="shared" si="228"/>
        <v>40</v>
      </c>
      <c r="AJ682" s="42">
        <f t="shared" si="229"/>
        <v>0.23</v>
      </c>
      <c r="AK682" s="41">
        <f t="shared" si="230"/>
        <v>4275.96</v>
      </c>
      <c r="AL682" s="39">
        <f>RANK(E682,$E$2:$E$1001,0)+COUNTIF($E$2:E682,E682)-1</f>
        <v>478</v>
      </c>
    </row>
    <row r="683" spans="1:38" x14ac:dyDescent="0.2">
      <c r="A683" s="39">
        <v>1045</v>
      </c>
      <c r="B683" s="40">
        <v>45102</v>
      </c>
      <c r="C683" s="39" t="s">
        <v>79</v>
      </c>
      <c r="D683" s="39" t="s">
        <v>69</v>
      </c>
      <c r="E683" s="41">
        <v>1489.21</v>
      </c>
      <c r="F683" s="39">
        <v>9</v>
      </c>
      <c r="G683" s="39" t="s">
        <v>60</v>
      </c>
      <c r="H683" s="41">
        <v>4920.34</v>
      </c>
      <c r="I683" s="41">
        <v>5129.1899999999996</v>
      </c>
      <c r="J683" s="39" t="s">
        <v>137</v>
      </c>
      <c r="K683" s="42">
        <v>0.13</v>
      </c>
      <c r="L683" s="39" t="s">
        <v>73</v>
      </c>
      <c r="M683" s="39" t="s">
        <v>138</v>
      </c>
      <c r="N683" s="39" t="s">
        <v>147</v>
      </c>
      <c r="O683" s="43">
        <f t="shared" si="210"/>
        <v>46162.71</v>
      </c>
      <c r="P683" s="43">
        <f t="shared" si="211"/>
        <v>40161.56</v>
      </c>
      <c r="Q683" s="43">
        <f t="shared" si="212"/>
        <v>44283.06</v>
      </c>
      <c r="R683" s="43">
        <f t="shared" si="213"/>
        <v>-4121.5</v>
      </c>
      <c r="S683" s="44">
        <f t="shared" si="214"/>
        <v>-0.10262300568005825</v>
      </c>
      <c r="T683" s="39" t="str">
        <f t="shared" si="215"/>
        <v>Loss</v>
      </c>
      <c r="U683" s="39" t="str">
        <f t="shared" si="216"/>
        <v>10-19%</v>
      </c>
      <c r="V683" s="39" t="str">
        <f>IF(E683&gt;=Analysis!$B$4,"High",IF(E683&gt;=Analysis!$B$5,"Mid","Low"))</f>
        <v>Low</v>
      </c>
      <c r="W683" s="39" t="str">
        <f t="shared" si="217"/>
        <v>2023-06</v>
      </c>
      <c r="X683" s="40">
        <f t="shared" si="218"/>
        <v>45107</v>
      </c>
      <c r="Y683" s="39" t="str">
        <f t="shared" si="219"/>
        <v>2023-Q2</v>
      </c>
      <c r="Z683" s="39" t="str">
        <f t="shared" si="220"/>
        <v>Sun</v>
      </c>
      <c r="AA683" s="39">
        <f t="shared" si="221"/>
        <v>7</v>
      </c>
      <c r="AB683" s="39">
        <f t="shared" si="222"/>
        <v>26</v>
      </c>
      <c r="AC683" s="39" t="str">
        <f t="shared" si="223"/>
        <v>Weekend</v>
      </c>
      <c r="AD683" s="39">
        <f t="shared" ca="1" si="224"/>
        <v>1217</v>
      </c>
      <c r="AE683" s="39">
        <f t="shared" ca="1" si="225"/>
        <v>39</v>
      </c>
      <c r="AF683" s="39" t="str">
        <f t="shared" si="226"/>
        <v>EVE</v>
      </c>
      <c r="AG683" s="39" t="str">
        <f t="shared" si="227"/>
        <v>SO-230625-0682</v>
      </c>
      <c r="AH683" s="39" t="str">
        <f>IF(AND(OR(Filter!$B$4="All",D683=Filter!$B$4),OR(Filter!$B$5="All",M683=Filter!$B$5),E683&gt;=Filter!$B$6),MAX(AH$1:AH682)+1,"")</f>
        <v/>
      </c>
      <c r="AI683" s="39">
        <f t="shared" si="228"/>
        <v>9</v>
      </c>
      <c r="AJ683" s="42">
        <f t="shared" si="229"/>
        <v>0.13</v>
      </c>
      <c r="AK683" s="41">
        <f t="shared" si="230"/>
        <v>5129.1899999999996</v>
      </c>
      <c r="AL683" s="39">
        <f>RANK(E683,$E$2:$E$1001,0)+COUNTIF($E$2:E683,E683)-1</f>
        <v>871</v>
      </c>
    </row>
    <row r="684" spans="1:38" x14ac:dyDescent="0.2">
      <c r="A684" s="39">
        <v>1004</v>
      </c>
      <c r="B684" s="40">
        <v>45016</v>
      </c>
      <c r="C684" s="39" t="s">
        <v>71</v>
      </c>
      <c r="D684" s="39" t="s">
        <v>59</v>
      </c>
      <c r="E684" s="41">
        <v>6744.46</v>
      </c>
      <c r="F684" s="39">
        <v>12</v>
      </c>
      <c r="G684" s="39" t="s">
        <v>60</v>
      </c>
      <c r="H684" s="41">
        <v>4553.2299999999996</v>
      </c>
      <c r="I684" s="41">
        <v>5038.74</v>
      </c>
      <c r="J684" s="39" t="s">
        <v>143</v>
      </c>
      <c r="K684" s="42">
        <v>0.09</v>
      </c>
      <c r="L684" s="39" t="s">
        <v>73</v>
      </c>
      <c r="M684" s="39" t="s">
        <v>140</v>
      </c>
      <c r="N684" s="39" t="s">
        <v>145</v>
      </c>
      <c r="O684" s="43">
        <f t="shared" si="210"/>
        <v>60464.88</v>
      </c>
      <c r="P684" s="43">
        <f t="shared" si="211"/>
        <v>55023.040000000001</v>
      </c>
      <c r="Q684" s="43">
        <f t="shared" si="212"/>
        <v>54638.76</v>
      </c>
      <c r="R684" s="43">
        <f t="shared" si="213"/>
        <v>384.27999999999884</v>
      </c>
      <c r="S684" s="44">
        <f t="shared" si="214"/>
        <v>6.9839834367566534E-3</v>
      </c>
      <c r="T684" s="39" t="str">
        <f t="shared" si="215"/>
        <v>OK</v>
      </c>
      <c r="U684" s="39" t="str">
        <f t="shared" si="216"/>
        <v>0-9%</v>
      </c>
      <c r="V684" s="39" t="str">
        <f>IF(E684&gt;=Analysis!$B$4,"High",IF(E684&gt;=Analysis!$B$5,"Mid","Low"))</f>
        <v>Mid</v>
      </c>
      <c r="W684" s="39" t="str">
        <f t="shared" si="217"/>
        <v>2023-03</v>
      </c>
      <c r="X684" s="40">
        <f t="shared" si="218"/>
        <v>45016</v>
      </c>
      <c r="Y684" s="39" t="str">
        <f t="shared" si="219"/>
        <v>2023-Q1</v>
      </c>
      <c r="Z684" s="39" t="str">
        <f t="shared" si="220"/>
        <v>Fri</v>
      </c>
      <c r="AA684" s="39">
        <f t="shared" si="221"/>
        <v>5</v>
      </c>
      <c r="AB684" s="39">
        <f t="shared" si="222"/>
        <v>14</v>
      </c>
      <c r="AC684" s="39" t="str">
        <f t="shared" si="223"/>
        <v>Weekday</v>
      </c>
      <c r="AD684" s="39">
        <f t="shared" ca="1" si="224"/>
        <v>1303</v>
      </c>
      <c r="AE684" s="39">
        <f t="shared" ca="1" si="225"/>
        <v>42</v>
      </c>
      <c r="AF684" s="39" t="str">
        <f t="shared" si="226"/>
        <v>CHA</v>
      </c>
      <c r="AG684" s="39" t="str">
        <f t="shared" si="227"/>
        <v>ER-230331-0683</v>
      </c>
      <c r="AH684" s="39" t="str">
        <f>IF(AND(OR(Filter!$B$4="All",D684=Filter!$B$4),OR(Filter!$B$5="All",M684=Filter!$B$5),E684&gt;=Filter!$B$6),MAX(AH$1:AH683)+1,"")</f>
        <v/>
      </c>
      <c r="AI684" s="39">
        <f t="shared" si="228"/>
        <v>12</v>
      </c>
      <c r="AJ684" s="42">
        <f t="shared" si="229"/>
        <v>0.09</v>
      </c>
      <c r="AK684" s="41">
        <f t="shared" si="230"/>
        <v>5038.74</v>
      </c>
      <c r="AL684" s="39">
        <f>RANK(E684,$E$2:$E$1001,0)+COUNTIF($E$2:E684,E684)-1</f>
        <v>332</v>
      </c>
    </row>
    <row r="685" spans="1:38" x14ac:dyDescent="0.2">
      <c r="A685" s="39">
        <v>1036</v>
      </c>
      <c r="B685" s="40">
        <v>44963</v>
      </c>
      <c r="C685" s="39" t="s">
        <v>71</v>
      </c>
      <c r="D685" s="39" t="s">
        <v>59</v>
      </c>
      <c r="E685" s="41">
        <v>6242.69</v>
      </c>
      <c r="F685" s="39">
        <v>26</v>
      </c>
      <c r="G685" s="39" t="s">
        <v>65</v>
      </c>
      <c r="H685" s="41">
        <v>4266.3599999999997</v>
      </c>
      <c r="I685" s="41">
        <v>4331.43</v>
      </c>
      <c r="J685" s="39" t="s">
        <v>137</v>
      </c>
      <c r="K685" s="42">
        <v>0.14000000000000001</v>
      </c>
      <c r="L685" s="39" t="s">
        <v>73</v>
      </c>
      <c r="M685" s="39" t="s">
        <v>140</v>
      </c>
      <c r="N685" s="39" t="s">
        <v>145</v>
      </c>
      <c r="O685" s="43">
        <f t="shared" si="210"/>
        <v>112617.18</v>
      </c>
      <c r="P685" s="43">
        <f t="shared" si="211"/>
        <v>96850.77</v>
      </c>
      <c r="Q685" s="43">
        <f t="shared" si="212"/>
        <v>110925.36</v>
      </c>
      <c r="R685" s="43">
        <f t="shared" si="213"/>
        <v>-14074.589999999997</v>
      </c>
      <c r="S685" s="44">
        <f t="shared" si="214"/>
        <v>-0.14532243780818671</v>
      </c>
      <c r="T685" s="39" t="str">
        <f t="shared" si="215"/>
        <v>Loss</v>
      </c>
      <c r="U685" s="39" t="str">
        <f t="shared" si="216"/>
        <v>10-19%</v>
      </c>
      <c r="V685" s="39" t="str">
        <f>IF(E685&gt;=Analysis!$B$4,"High",IF(E685&gt;=Analysis!$B$5,"Mid","Low"))</f>
        <v>Mid</v>
      </c>
      <c r="W685" s="39" t="str">
        <f t="shared" si="217"/>
        <v>2023-02</v>
      </c>
      <c r="X685" s="40">
        <f t="shared" si="218"/>
        <v>44985</v>
      </c>
      <c r="Y685" s="39" t="str">
        <f t="shared" si="219"/>
        <v>2023-Q1</v>
      </c>
      <c r="Z685" s="39" t="str">
        <f t="shared" si="220"/>
        <v>Mon</v>
      </c>
      <c r="AA685" s="39">
        <f t="shared" si="221"/>
        <v>1</v>
      </c>
      <c r="AB685" s="39">
        <f t="shared" si="222"/>
        <v>7</v>
      </c>
      <c r="AC685" s="39" t="str">
        <f t="shared" si="223"/>
        <v>Weekday</v>
      </c>
      <c r="AD685" s="39">
        <f t="shared" ca="1" si="224"/>
        <v>1356</v>
      </c>
      <c r="AE685" s="39">
        <f t="shared" ca="1" si="225"/>
        <v>44</v>
      </c>
      <c r="AF685" s="39" t="str">
        <f t="shared" si="226"/>
        <v>CHA</v>
      </c>
      <c r="AG685" s="39" t="str">
        <f t="shared" si="227"/>
        <v>ER-230206-0684</v>
      </c>
      <c r="AH685" s="39" t="str">
        <f>IF(AND(OR(Filter!$B$4="All",D685=Filter!$B$4),OR(Filter!$B$5="All",M685=Filter!$B$5),E685&gt;=Filter!$B$6),MAX(AH$1:AH684)+1,"")</f>
        <v/>
      </c>
      <c r="AI685" s="39">
        <f t="shared" si="228"/>
        <v>26</v>
      </c>
      <c r="AJ685" s="42">
        <f t="shared" si="229"/>
        <v>0.14000000000000001</v>
      </c>
      <c r="AK685" s="41">
        <f t="shared" si="230"/>
        <v>4331.43</v>
      </c>
      <c r="AL685" s="39">
        <f>RANK(E685,$E$2:$E$1001,0)+COUNTIF($E$2:E685,E685)-1</f>
        <v>387</v>
      </c>
    </row>
    <row r="686" spans="1:38" x14ac:dyDescent="0.2">
      <c r="A686" s="39">
        <v>1070</v>
      </c>
      <c r="B686" s="40">
        <v>45242</v>
      </c>
      <c r="C686" s="39" t="s">
        <v>66</v>
      </c>
      <c r="D686" s="39" t="s">
        <v>69</v>
      </c>
      <c r="E686" s="41">
        <v>7448.31</v>
      </c>
      <c r="F686" s="39">
        <v>9</v>
      </c>
      <c r="G686" s="39" t="s">
        <v>65</v>
      </c>
      <c r="H686" s="41">
        <v>310.24</v>
      </c>
      <c r="I686" s="41">
        <v>451.81</v>
      </c>
      <c r="J686" s="39" t="s">
        <v>137</v>
      </c>
      <c r="K686" s="42">
        <v>0.1</v>
      </c>
      <c r="L686" s="39" t="s">
        <v>68</v>
      </c>
      <c r="M686" s="39" t="s">
        <v>140</v>
      </c>
      <c r="N686" s="39" t="s">
        <v>144</v>
      </c>
      <c r="O686" s="43">
        <f t="shared" si="210"/>
        <v>4066.29</v>
      </c>
      <c r="P686" s="43">
        <f t="shared" si="211"/>
        <v>3659.66</v>
      </c>
      <c r="Q686" s="43">
        <f t="shared" si="212"/>
        <v>2792.16</v>
      </c>
      <c r="R686" s="43">
        <f t="shared" si="213"/>
        <v>867.5</v>
      </c>
      <c r="S686" s="44">
        <f t="shared" si="214"/>
        <v>0.23704387839307478</v>
      </c>
      <c r="T686" s="39" t="str">
        <f t="shared" si="215"/>
        <v>OK</v>
      </c>
      <c r="U686" s="39" t="str">
        <f t="shared" si="216"/>
        <v>10-19%</v>
      </c>
      <c r="V686" s="39" t="str">
        <f>IF(E686&gt;=Analysis!$B$4,"High",IF(E686&gt;=Analysis!$B$5,"Mid","Low"))</f>
        <v>Mid</v>
      </c>
      <c r="W686" s="39" t="str">
        <f t="shared" si="217"/>
        <v>2023-11</v>
      </c>
      <c r="X686" s="40">
        <f t="shared" si="218"/>
        <v>45260</v>
      </c>
      <c r="Y686" s="39" t="str">
        <f t="shared" si="219"/>
        <v>2023-Q4</v>
      </c>
      <c r="Z686" s="39" t="str">
        <f t="shared" si="220"/>
        <v>Sun</v>
      </c>
      <c r="AA686" s="39">
        <f t="shared" si="221"/>
        <v>7</v>
      </c>
      <c r="AB686" s="39">
        <f t="shared" si="222"/>
        <v>46</v>
      </c>
      <c r="AC686" s="39" t="str">
        <f t="shared" si="223"/>
        <v>Weekend</v>
      </c>
      <c r="AD686" s="39">
        <f t="shared" ca="1" si="224"/>
        <v>1077</v>
      </c>
      <c r="AE686" s="39">
        <f t="shared" ca="1" si="225"/>
        <v>35</v>
      </c>
      <c r="AF686" s="39" t="str">
        <f t="shared" si="226"/>
        <v>BOB</v>
      </c>
      <c r="AG686" s="39" t="str">
        <f t="shared" si="227"/>
        <v>SR-231112-0685</v>
      </c>
      <c r="AH686" s="39" t="str">
        <f>IF(AND(OR(Filter!$B$4="All",D686=Filter!$B$4),OR(Filter!$B$5="All",M686=Filter!$B$5),E686&gt;=Filter!$B$6),MAX(AH$1:AH685)+1,"")</f>
        <v/>
      </c>
      <c r="AI686" s="39">
        <f t="shared" si="228"/>
        <v>9</v>
      </c>
      <c r="AJ686" s="42">
        <f t="shared" si="229"/>
        <v>0.1</v>
      </c>
      <c r="AK686" s="41">
        <f t="shared" si="230"/>
        <v>451.81</v>
      </c>
      <c r="AL686" s="39">
        <f>RANK(E686,$E$2:$E$1001,0)+COUNTIF($E$2:E686,E686)-1</f>
        <v>254</v>
      </c>
    </row>
    <row r="687" spans="1:38" x14ac:dyDescent="0.2">
      <c r="A687" s="39">
        <v>1031</v>
      </c>
      <c r="B687" s="40">
        <v>45102</v>
      </c>
      <c r="C687" s="39" t="s">
        <v>61</v>
      </c>
      <c r="D687" s="39" t="s">
        <v>74</v>
      </c>
      <c r="E687" s="41">
        <v>1781.82</v>
      </c>
      <c r="F687" s="39">
        <v>10</v>
      </c>
      <c r="G687" s="39" t="s">
        <v>65</v>
      </c>
      <c r="H687" s="41">
        <v>566.86</v>
      </c>
      <c r="I687" s="41">
        <v>818.14</v>
      </c>
      <c r="J687" s="39" t="s">
        <v>137</v>
      </c>
      <c r="K687" s="42">
        <v>0.25</v>
      </c>
      <c r="L687" s="39" t="s">
        <v>73</v>
      </c>
      <c r="M687" s="39" t="s">
        <v>140</v>
      </c>
      <c r="N687" s="39" t="s">
        <v>158</v>
      </c>
      <c r="O687" s="43">
        <f t="shared" si="210"/>
        <v>8181.4</v>
      </c>
      <c r="P687" s="43">
        <f t="shared" si="211"/>
        <v>6136.05</v>
      </c>
      <c r="Q687" s="43">
        <f t="shared" si="212"/>
        <v>5668.6</v>
      </c>
      <c r="R687" s="43">
        <f t="shared" si="213"/>
        <v>467.44999999999982</v>
      </c>
      <c r="S687" s="44">
        <f t="shared" si="214"/>
        <v>7.6180930729052049E-2</v>
      </c>
      <c r="T687" s="39" t="str">
        <f t="shared" si="215"/>
        <v>OK</v>
      </c>
      <c r="U687" s="39" t="str">
        <f t="shared" si="216"/>
        <v>20%+</v>
      </c>
      <c r="V687" s="39" t="str">
        <f>IF(E687&gt;=Analysis!$B$4,"High",IF(E687&gt;=Analysis!$B$5,"Mid","Low"))</f>
        <v>Low</v>
      </c>
      <c r="W687" s="39" t="str">
        <f t="shared" si="217"/>
        <v>2023-06</v>
      </c>
      <c r="X687" s="40">
        <f t="shared" si="218"/>
        <v>45107</v>
      </c>
      <c r="Y687" s="39" t="str">
        <f t="shared" si="219"/>
        <v>2023-Q2</v>
      </c>
      <c r="Z687" s="39" t="str">
        <f t="shared" si="220"/>
        <v>Sun</v>
      </c>
      <c r="AA687" s="39">
        <f t="shared" si="221"/>
        <v>7</v>
      </c>
      <c r="AB687" s="39">
        <f t="shared" si="222"/>
        <v>26</v>
      </c>
      <c r="AC687" s="39" t="str">
        <f t="shared" si="223"/>
        <v>Weekend</v>
      </c>
      <c r="AD687" s="39">
        <f t="shared" ca="1" si="224"/>
        <v>1217</v>
      </c>
      <c r="AE687" s="39">
        <f t="shared" ca="1" si="225"/>
        <v>39</v>
      </c>
      <c r="AF687" s="39" t="str">
        <f t="shared" si="226"/>
        <v>ALI</v>
      </c>
      <c r="AG687" s="39" t="str">
        <f t="shared" si="227"/>
        <v>WR-230625-0686</v>
      </c>
      <c r="AH687" s="39" t="str">
        <f>IF(AND(OR(Filter!$B$4="All",D687=Filter!$B$4),OR(Filter!$B$5="All",M687=Filter!$B$5),E687&gt;=Filter!$B$6),MAX(AH$1:AH686)+1,"")</f>
        <v/>
      </c>
      <c r="AI687" s="39">
        <f t="shared" si="228"/>
        <v>10</v>
      </c>
      <c r="AJ687" s="42">
        <f t="shared" si="229"/>
        <v>0.25</v>
      </c>
      <c r="AK687" s="41">
        <f t="shared" si="230"/>
        <v>818.14</v>
      </c>
      <c r="AL687" s="39">
        <f>RANK(E687,$E$2:$E$1001,0)+COUNTIF($E$2:E687,E687)-1</f>
        <v>838</v>
      </c>
    </row>
    <row r="688" spans="1:38" x14ac:dyDescent="0.2">
      <c r="A688" s="39">
        <v>1019</v>
      </c>
      <c r="B688" s="40">
        <v>45210</v>
      </c>
      <c r="C688" s="39" t="s">
        <v>79</v>
      </c>
      <c r="D688" s="39" t="s">
        <v>69</v>
      </c>
      <c r="E688" s="41">
        <v>2030.25</v>
      </c>
      <c r="F688" s="39">
        <v>32</v>
      </c>
      <c r="G688" s="39" t="s">
        <v>65</v>
      </c>
      <c r="H688" s="41">
        <v>2866.47</v>
      </c>
      <c r="I688" s="41">
        <v>3286.47</v>
      </c>
      <c r="J688" s="39" t="s">
        <v>143</v>
      </c>
      <c r="K688" s="42">
        <v>0.09</v>
      </c>
      <c r="L688" s="39" t="s">
        <v>73</v>
      </c>
      <c r="M688" s="39" t="s">
        <v>138</v>
      </c>
      <c r="N688" s="39" t="s">
        <v>147</v>
      </c>
      <c r="O688" s="43">
        <f t="shared" si="210"/>
        <v>105167.03999999999</v>
      </c>
      <c r="P688" s="43">
        <f t="shared" si="211"/>
        <v>95702.01</v>
      </c>
      <c r="Q688" s="43">
        <f t="shared" si="212"/>
        <v>91727.039999999994</v>
      </c>
      <c r="R688" s="43">
        <f t="shared" si="213"/>
        <v>3974.9700000000012</v>
      </c>
      <c r="S688" s="44">
        <f t="shared" si="214"/>
        <v>4.1534864314762054E-2</v>
      </c>
      <c r="T688" s="39" t="str">
        <f t="shared" si="215"/>
        <v>OK</v>
      </c>
      <c r="U688" s="39" t="str">
        <f t="shared" si="216"/>
        <v>0-9%</v>
      </c>
      <c r="V688" s="39" t="str">
        <f>IF(E688&gt;=Analysis!$B$4,"High",IF(E688&gt;=Analysis!$B$5,"Mid","Low"))</f>
        <v>Low</v>
      </c>
      <c r="W688" s="39" t="str">
        <f t="shared" si="217"/>
        <v>2023-10</v>
      </c>
      <c r="X688" s="40">
        <f t="shared" si="218"/>
        <v>45230</v>
      </c>
      <c r="Y688" s="39" t="str">
        <f t="shared" si="219"/>
        <v>2023-Q4</v>
      </c>
      <c r="Z688" s="39" t="str">
        <f t="shared" si="220"/>
        <v>Wed</v>
      </c>
      <c r="AA688" s="39">
        <f t="shared" si="221"/>
        <v>3</v>
      </c>
      <c r="AB688" s="39">
        <f t="shared" si="222"/>
        <v>42</v>
      </c>
      <c r="AC688" s="39" t="str">
        <f t="shared" si="223"/>
        <v>Weekday</v>
      </c>
      <c r="AD688" s="39">
        <f t="shared" ca="1" si="224"/>
        <v>1109</v>
      </c>
      <c r="AE688" s="39">
        <f t="shared" ca="1" si="225"/>
        <v>36</v>
      </c>
      <c r="AF688" s="39" t="str">
        <f t="shared" si="226"/>
        <v>EVE</v>
      </c>
      <c r="AG688" s="39" t="str">
        <f t="shared" si="227"/>
        <v>SO-231011-0687</v>
      </c>
      <c r="AH688" s="39" t="str">
        <f>IF(AND(OR(Filter!$B$4="All",D688=Filter!$B$4),OR(Filter!$B$5="All",M688=Filter!$B$5),E688&gt;=Filter!$B$6),MAX(AH$1:AH687)+1,"")</f>
        <v/>
      </c>
      <c r="AI688" s="39">
        <f t="shared" si="228"/>
        <v>32</v>
      </c>
      <c r="AJ688" s="42">
        <f t="shared" si="229"/>
        <v>0.09</v>
      </c>
      <c r="AK688" s="41">
        <f t="shared" si="230"/>
        <v>3286.47</v>
      </c>
      <c r="AL688" s="39">
        <f>RANK(E688,$E$2:$E$1001,0)+COUNTIF($E$2:E688,E688)-1</f>
        <v>816</v>
      </c>
    </row>
    <row r="689" spans="1:38" x14ac:dyDescent="0.2">
      <c r="A689" s="39">
        <v>1061</v>
      </c>
      <c r="B689" s="40">
        <v>45007</v>
      </c>
      <c r="C689" s="39" t="s">
        <v>61</v>
      </c>
      <c r="D689" s="39" t="s">
        <v>59</v>
      </c>
      <c r="E689" s="41">
        <v>8915.0499999999993</v>
      </c>
      <c r="F689" s="39">
        <v>34</v>
      </c>
      <c r="G689" s="39" t="s">
        <v>60</v>
      </c>
      <c r="H689" s="41">
        <v>2680.82</v>
      </c>
      <c r="I689" s="41">
        <v>2771.02</v>
      </c>
      <c r="J689" s="39" t="s">
        <v>143</v>
      </c>
      <c r="K689" s="42">
        <v>0.2</v>
      </c>
      <c r="L689" s="39" t="s">
        <v>63</v>
      </c>
      <c r="M689" s="39" t="s">
        <v>138</v>
      </c>
      <c r="N689" s="39" t="s">
        <v>159</v>
      </c>
      <c r="O689" s="43">
        <f t="shared" si="210"/>
        <v>94214.68</v>
      </c>
      <c r="P689" s="43">
        <f t="shared" si="211"/>
        <v>75371.740000000005</v>
      </c>
      <c r="Q689" s="43">
        <f t="shared" si="212"/>
        <v>91147.88</v>
      </c>
      <c r="R689" s="43">
        <f t="shared" si="213"/>
        <v>-15776.14</v>
      </c>
      <c r="S689" s="44">
        <f t="shared" si="214"/>
        <v>-0.20931107600806348</v>
      </c>
      <c r="T689" s="39" t="str">
        <f t="shared" si="215"/>
        <v>Loss</v>
      </c>
      <c r="U689" s="39" t="str">
        <f t="shared" si="216"/>
        <v>20%+</v>
      </c>
      <c r="V689" s="39" t="str">
        <f>IF(E689&gt;=Analysis!$B$4,"High",IF(E689&gt;=Analysis!$B$5,"Mid","Low"))</f>
        <v>High</v>
      </c>
      <c r="W689" s="39" t="str">
        <f t="shared" si="217"/>
        <v>2023-03</v>
      </c>
      <c r="X689" s="40">
        <f t="shared" si="218"/>
        <v>45016</v>
      </c>
      <c r="Y689" s="39" t="str">
        <f t="shared" si="219"/>
        <v>2023-Q1</v>
      </c>
      <c r="Z689" s="39" t="str">
        <f t="shared" si="220"/>
        <v>Wed</v>
      </c>
      <c r="AA689" s="39">
        <f t="shared" si="221"/>
        <v>3</v>
      </c>
      <c r="AB689" s="39">
        <f t="shared" si="222"/>
        <v>13</v>
      </c>
      <c r="AC689" s="39" t="str">
        <f t="shared" si="223"/>
        <v>Weekday</v>
      </c>
      <c r="AD689" s="39">
        <f t="shared" ca="1" si="224"/>
        <v>1312</v>
      </c>
      <c r="AE689" s="39">
        <f t="shared" ca="1" si="225"/>
        <v>43</v>
      </c>
      <c r="AF689" s="39" t="str">
        <f t="shared" si="226"/>
        <v>ALI</v>
      </c>
      <c r="AG689" s="39" t="str">
        <f t="shared" si="227"/>
        <v>EO-230322-0688</v>
      </c>
      <c r="AH689" s="39" t="str">
        <f>IF(AND(OR(Filter!$B$4="All",D689=Filter!$B$4),OR(Filter!$B$5="All",M689=Filter!$B$5),E689&gt;=Filter!$B$6),MAX(AH$1:AH688)+1,"")</f>
        <v/>
      </c>
      <c r="AI689" s="39">
        <f t="shared" si="228"/>
        <v>34</v>
      </c>
      <c r="AJ689" s="42">
        <f t="shared" si="229"/>
        <v>0.2</v>
      </c>
      <c r="AK689" s="41">
        <f t="shared" si="230"/>
        <v>2771.02</v>
      </c>
      <c r="AL689" s="39">
        <f>RANK(E689,$E$2:$E$1001,0)+COUNTIF($E$2:E689,E689)-1</f>
        <v>99</v>
      </c>
    </row>
    <row r="690" spans="1:38" x14ac:dyDescent="0.2">
      <c r="A690" s="39">
        <v>1054</v>
      </c>
      <c r="B690" s="40">
        <v>45040</v>
      </c>
      <c r="C690" s="39" t="s">
        <v>76</v>
      </c>
      <c r="D690" s="39" t="s">
        <v>64</v>
      </c>
      <c r="E690" s="41">
        <v>7524.78</v>
      </c>
      <c r="F690" s="39">
        <v>48</v>
      </c>
      <c r="G690" s="39" t="s">
        <v>70</v>
      </c>
      <c r="H690" s="41">
        <v>2316.92</v>
      </c>
      <c r="I690" s="41">
        <v>2462.63</v>
      </c>
      <c r="J690" s="39" t="s">
        <v>143</v>
      </c>
      <c r="K690" s="42">
        <v>0.04</v>
      </c>
      <c r="L690" s="39" t="s">
        <v>73</v>
      </c>
      <c r="M690" s="39" t="s">
        <v>138</v>
      </c>
      <c r="N690" s="39" t="s">
        <v>152</v>
      </c>
      <c r="O690" s="43">
        <f t="shared" si="210"/>
        <v>118206.24</v>
      </c>
      <c r="P690" s="43">
        <f t="shared" si="211"/>
        <v>113477.99</v>
      </c>
      <c r="Q690" s="43">
        <f t="shared" si="212"/>
        <v>111212.16</v>
      </c>
      <c r="R690" s="43">
        <f t="shared" si="213"/>
        <v>2265.8300000000017</v>
      </c>
      <c r="S690" s="44">
        <f t="shared" si="214"/>
        <v>1.9967131952196206E-2</v>
      </c>
      <c r="T690" s="39" t="str">
        <f t="shared" si="215"/>
        <v>OK</v>
      </c>
      <c r="U690" s="39" t="str">
        <f t="shared" si="216"/>
        <v>0-9%</v>
      </c>
      <c r="V690" s="39" t="str">
        <f>IF(E690&gt;=Analysis!$B$4,"High",IF(E690&gt;=Analysis!$B$5,"Mid","Low"))</f>
        <v>High</v>
      </c>
      <c r="W690" s="39" t="str">
        <f t="shared" si="217"/>
        <v>2023-04</v>
      </c>
      <c r="X690" s="40">
        <f t="shared" si="218"/>
        <v>45046</v>
      </c>
      <c r="Y690" s="39" t="str">
        <f t="shared" si="219"/>
        <v>2023-Q2</v>
      </c>
      <c r="Z690" s="39" t="str">
        <f t="shared" si="220"/>
        <v>Mon</v>
      </c>
      <c r="AA690" s="39">
        <f t="shared" si="221"/>
        <v>1</v>
      </c>
      <c r="AB690" s="39">
        <f t="shared" si="222"/>
        <v>18</v>
      </c>
      <c r="AC690" s="39" t="str">
        <f t="shared" si="223"/>
        <v>Weekday</v>
      </c>
      <c r="AD690" s="39">
        <f t="shared" ca="1" si="224"/>
        <v>1279</v>
      </c>
      <c r="AE690" s="39">
        <f t="shared" ca="1" si="225"/>
        <v>42</v>
      </c>
      <c r="AF690" s="39" t="str">
        <f t="shared" si="226"/>
        <v>DAV</v>
      </c>
      <c r="AG690" s="39" t="str">
        <f t="shared" si="227"/>
        <v>NO-230424-0689</v>
      </c>
      <c r="AH690" s="39" t="str">
        <f>IF(AND(OR(Filter!$B$4="All",D690=Filter!$B$4),OR(Filter!$B$5="All",M690=Filter!$B$5),E690&gt;=Filter!$B$6),MAX(AH$1:AH689)+1,"")</f>
        <v/>
      </c>
      <c r="AI690" s="39">
        <f t="shared" si="228"/>
        <v>48</v>
      </c>
      <c r="AJ690" s="42">
        <f t="shared" si="229"/>
        <v>0.04</v>
      </c>
      <c r="AK690" s="41">
        <f t="shared" si="230"/>
        <v>2462.63</v>
      </c>
      <c r="AL690" s="39">
        <f>RANK(E690,$E$2:$E$1001,0)+COUNTIF($E$2:E690,E690)-1</f>
        <v>248</v>
      </c>
    </row>
    <row r="691" spans="1:38" x14ac:dyDescent="0.2">
      <c r="A691" s="39">
        <v>1039</v>
      </c>
      <c r="B691" s="40">
        <v>44966</v>
      </c>
      <c r="C691" s="39" t="s">
        <v>76</v>
      </c>
      <c r="D691" s="39" t="s">
        <v>69</v>
      </c>
      <c r="E691" s="41">
        <v>9091.4599999999991</v>
      </c>
      <c r="F691" s="39">
        <v>20</v>
      </c>
      <c r="G691" s="39" t="s">
        <v>70</v>
      </c>
      <c r="H691" s="41">
        <v>2014.11</v>
      </c>
      <c r="I691" s="41">
        <v>2056.35</v>
      </c>
      <c r="J691" s="39" t="s">
        <v>137</v>
      </c>
      <c r="K691" s="42">
        <v>0.21</v>
      </c>
      <c r="L691" s="39" t="s">
        <v>63</v>
      </c>
      <c r="M691" s="39" t="s">
        <v>140</v>
      </c>
      <c r="N691" s="39" t="s">
        <v>142</v>
      </c>
      <c r="O691" s="43">
        <f t="shared" si="210"/>
        <v>41127</v>
      </c>
      <c r="P691" s="43">
        <f t="shared" si="211"/>
        <v>32490.33</v>
      </c>
      <c r="Q691" s="43">
        <f t="shared" si="212"/>
        <v>40282.199999999997</v>
      </c>
      <c r="R691" s="43">
        <f t="shared" si="213"/>
        <v>-7791.8699999999953</v>
      </c>
      <c r="S691" s="44">
        <f t="shared" si="214"/>
        <v>-0.23982120218538855</v>
      </c>
      <c r="T691" s="39" t="str">
        <f t="shared" si="215"/>
        <v>Loss</v>
      </c>
      <c r="U691" s="39" t="str">
        <f t="shared" si="216"/>
        <v>20%+</v>
      </c>
      <c r="V691" s="39" t="str">
        <f>IF(E691&gt;=Analysis!$B$4,"High",IF(E691&gt;=Analysis!$B$5,"Mid","Low"))</f>
        <v>High</v>
      </c>
      <c r="W691" s="39" t="str">
        <f t="shared" si="217"/>
        <v>2023-02</v>
      </c>
      <c r="X691" s="40">
        <f t="shared" si="218"/>
        <v>44985</v>
      </c>
      <c r="Y691" s="39" t="str">
        <f t="shared" si="219"/>
        <v>2023-Q1</v>
      </c>
      <c r="Z691" s="39" t="str">
        <f t="shared" si="220"/>
        <v>Thu</v>
      </c>
      <c r="AA691" s="39">
        <f t="shared" si="221"/>
        <v>4</v>
      </c>
      <c r="AB691" s="39">
        <f t="shared" si="222"/>
        <v>7</v>
      </c>
      <c r="AC691" s="39" t="str">
        <f t="shared" si="223"/>
        <v>Weekday</v>
      </c>
      <c r="AD691" s="39">
        <f t="shared" ca="1" si="224"/>
        <v>1353</v>
      </c>
      <c r="AE691" s="39">
        <f t="shared" ca="1" si="225"/>
        <v>44</v>
      </c>
      <c r="AF691" s="39" t="str">
        <f t="shared" si="226"/>
        <v>DAV</v>
      </c>
      <c r="AG691" s="39" t="str">
        <f t="shared" si="227"/>
        <v>SR-230209-0690</v>
      </c>
      <c r="AH691" s="39">
        <f>IF(AND(OR(Filter!$B$4="All",D691=Filter!$B$4),OR(Filter!$B$5="All",M691=Filter!$B$5),E691&gt;=Filter!$B$6),MAX(AH$1:AH690)+1,"")</f>
        <v>64</v>
      </c>
      <c r="AI691" s="39">
        <f t="shared" si="228"/>
        <v>20</v>
      </c>
      <c r="AJ691" s="42">
        <f t="shared" si="229"/>
        <v>0.21</v>
      </c>
      <c r="AK691" s="41">
        <f t="shared" si="230"/>
        <v>2056.35</v>
      </c>
      <c r="AL691" s="39">
        <f>RANK(E691,$E$2:$E$1001,0)+COUNTIF($E$2:E691,E691)-1</f>
        <v>84</v>
      </c>
    </row>
    <row r="692" spans="1:38" x14ac:dyDescent="0.2">
      <c r="A692" s="39">
        <v>1091</v>
      </c>
      <c r="B692" s="40">
        <v>45227</v>
      </c>
      <c r="C692" s="39" t="s">
        <v>66</v>
      </c>
      <c r="D692" s="39" t="s">
        <v>74</v>
      </c>
      <c r="E692" s="41">
        <v>7611.28</v>
      </c>
      <c r="F692" s="39">
        <v>39</v>
      </c>
      <c r="G692" s="39" t="s">
        <v>75</v>
      </c>
      <c r="H692" s="41">
        <v>2184.4899999999998</v>
      </c>
      <c r="I692" s="41">
        <v>2540.42</v>
      </c>
      <c r="J692" s="39" t="s">
        <v>137</v>
      </c>
      <c r="K692" s="42">
        <v>0.27</v>
      </c>
      <c r="L692" s="39" t="s">
        <v>63</v>
      </c>
      <c r="M692" s="39" t="s">
        <v>138</v>
      </c>
      <c r="N692" s="39" t="s">
        <v>141</v>
      </c>
      <c r="O692" s="43">
        <f t="shared" si="210"/>
        <v>99076.38</v>
      </c>
      <c r="P692" s="43">
        <f t="shared" si="211"/>
        <v>72325.759999999995</v>
      </c>
      <c r="Q692" s="43">
        <f t="shared" si="212"/>
        <v>85195.11</v>
      </c>
      <c r="R692" s="43">
        <f t="shared" si="213"/>
        <v>-12869.350000000006</v>
      </c>
      <c r="S692" s="44">
        <f t="shared" si="214"/>
        <v>-0.17793591107787884</v>
      </c>
      <c r="T692" s="39" t="str">
        <f t="shared" si="215"/>
        <v>Loss</v>
      </c>
      <c r="U692" s="39" t="str">
        <f t="shared" si="216"/>
        <v>20%+</v>
      </c>
      <c r="V692" s="39" t="str">
        <f>IF(E692&gt;=Analysis!$B$4,"High",IF(E692&gt;=Analysis!$B$5,"Mid","Low"))</f>
        <v>High</v>
      </c>
      <c r="W692" s="39" t="str">
        <f t="shared" si="217"/>
        <v>2023-10</v>
      </c>
      <c r="X692" s="40">
        <f t="shared" si="218"/>
        <v>45230</v>
      </c>
      <c r="Y692" s="39" t="str">
        <f t="shared" si="219"/>
        <v>2023-Q4</v>
      </c>
      <c r="Z692" s="39" t="str">
        <f t="shared" si="220"/>
        <v>Sat</v>
      </c>
      <c r="AA692" s="39">
        <f t="shared" si="221"/>
        <v>6</v>
      </c>
      <c r="AB692" s="39">
        <f t="shared" si="222"/>
        <v>44</v>
      </c>
      <c r="AC692" s="39" t="str">
        <f t="shared" si="223"/>
        <v>Weekend</v>
      </c>
      <c r="AD692" s="39">
        <f t="shared" ca="1" si="224"/>
        <v>1092</v>
      </c>
      <c r="AE692" s="39">
        <f t="shared" ca="1" si="225"/>
        <v>35</v>
      </c>
      <c r="AF692" s="39" t="str">
        <f t="shared" si="226"/>
        <v>BOB</v>
      </c>
      <c r="AG692" s="39" t="str">
        <f t="shared" si="227"/>
        <v>WO-231028-0691</v>
      </c>
      <c r="AH692" s="39" t="str">
        <f>IF(AND(OR(Filter!$B$4="All",D692=Filter!$B$4),OR(Filter!$B$5="All",M692=Filter!$B$5),E692&gt;=Filter!$B$6),MAX(AH$1:AH691)+1,"")</f>
        <v/>
      </c>
      <c r="AI692" s="39">
        <f t="shared" si="228"/>
        <v>39</v>
      </c>
      <c r="AJ692" s="42">
        <f t="shared" si="229"/>
        <v>0.27</v>
      </c>
      <c r="AK692" s="41">
        <f t="shared" si="230"/>
        <v>2540.42</v>
      </c>
      <c r="AL692" s="39">
        <f>RANK(E692,$E$2:$E$1001,0)+COUNTIF($E$2:E692,E692)-1</f>
        <v>240</v>
      </c>
    </row>
    <row r="693" spans="1:38" x14ac:dyDescent="0.2">
      <c r="A693" s="39">
        <v>1074</v>
      </c>
      <c r="B693" s="40">
        <v>45150</v>
      </c>
      <c r="C693" s="39" t="s">
        <v>66</v>
      </c>
      <c r="D693" s="39" t="s">
        <v>59</v>
      </c>
      <c r="E693" s="41">
        <v>6011.84</v>
      </c>
      <c r="F693" s="39">
        <v>2</v>
      </c>
      <c r="G693" s="39" t="s">
        <v>70</v>
      </c>
      <c r="H693" s="41">
        <v>2868.02</v>
      </c>
      <c r="I693" s="41">
        <v>2994.74</v>
      </c>
      <c r="J693" s="39" t="s">
        <v>137</v>
      </c>
      <c r="K693" s="42">
        <v>0.18</v>
      </c>
      <c r="L693" s="39" t="s">
        <v>63</v>
      </c>
      <c r="M693" s="39" t="s">
        <v>138</v>
      </c>
      <c r="N693" s="39" t="s">
        <v>153</v>
      </c>
      <c r="O693" s="43">
        <f t="shared" si="210"/>
        <v>5989.48</v>
      </c>
      <c r="P693" s="43">
        <f t="shared" si="211"/>
        <v>4911.37</v>
      </c>
      <c r="Q693" s="43">
        <f t="shared" si="212"/>
        <v>5736.04</v>
      </c>
      <c r="R693" s="43">
        <f t="shared" si="213"/>
        <v>-824.67000000000007</v>
      </c>
      <c r="S693" s="44">
        <f t="shared" si="214"/>
        <v>-0.16791037938497813</v>
      </c>
      <c r="T693" s="39" t="str">
        <f t="shared" si="215"/>
        <v>Loss</v>
      </c>
      <c r="U693" s="39" t="str">
        <f t="shared" si="216"/>
        <v>10-19%</v>
      </c>
      <c r="V693" s="39" t="str">
        <f>IF(E693&gt;=Analysis!$B$4,"High",IF(E693&gt;=Analysis!$B$5,"Mid","Low"))</f>
        <v>Mid</v>
      </c>
      <c r="W693" s="39" t="str">
        <f t="shared" si="217"/>
        <v>2023-08</v>
      </c>
      <c r="X693" s="40">
        <f t="shared" si="218"/>
        <v>45169</v>
      </c>
      <c r="Y693" s="39" t="str">
        <f t="shared" si="219"/>
        <v>2023-Q3</v>
      </c>
      <c r="Z693" s="39" t="str">
        <f t="shared" si="220"/>
        <v>Sat</v>
      </c>
      <c r="AA693" s="39">
        <f t="shared" si="221"/>
        <v>6</v>
      </c>
      <c r="AB693" s="39">
        <f t="shared" si="222"/>
        <v>33</v>
      </c>
      <c r="AC693" s="39" t="str">
        <f t="shared" si="223"/>
        <v>Weekend</v>
      </c>
      <c r="AD693" s="39">
        <f t="shared" ca="1" si="224"/>
        <v>1169</v>
      </c>
      <c r="AE693" s="39">
        <f t="shared" ca="1" si="225"/>
        <v>38</v>
      </c>
      <c r="AF693" s="39" t="str">
        <f t="shared" si="226"/>
        <v>BOB</v>
      </c>
      <c r="AG693" s="39" t="str">
        <f t="shared" si="227"/>
        <v>EO-230812-0692</v>
      </c>
      <c r="AH693" s="39" t="str">
        <f>IF(AND(OR(Filter!$B$4="All",D693=Filter!$B$4),OR(Filter!$B$5="All",M693=Filter!$B$5),E693&gt;=Filter!$B$6),MAX(AH$1:AH692)+1,"")</f>
        <v/>
      </c>
      <c r="AI693" s="39">
        <f t="shared" si="228"/>
        <v>2</v>
      </c>
      <c r="AJ693" s="42">
        <f t="shared" si="229"/>
        <v>0.18</v>
      </c>
      <c r="AK693" s="41">
        <f t="shared" si="230"/>
        <v>2994.74</v>
      </c>
      <c r="AL693" s="39">
        <f>RANK(E693,$E$2:$E$1001,0)+COUNTIF($E$2:E693,E693)-1</f>
        <v>405</v>
      </c>
    </row>
    <row r="694" spans="1:38" x14ac:dyDescent="0.2">
      <c r="A694" s="39">
        <v>1090</v>
      </c>
      <c r="B694" s="40">
        <v>45244</v>
      </c>
      <c r="C694" s="39" t="s">
        <v>66</v>
      </c>
      <c r="D694" s="39" t="s">
        <v>59</v>
      </c>
      <c r="E694" s="41">
        <v>6575.91</v>
      </c>
      <c r="F694" s="39">
        <v>1</v>
      </c>
      <c r="G694" s="39" t="s">
        <v>60</v>
      </c>
      <c r="H694" s="41">
        <v>60.28</v>
      </c>
      <c r="I694" s="41">
        <v>260.73</v>
      </c>
      <c r="J694" s="39" t="s">
        <v>137</v>
      </c>
      <c r="K694" s="42">
        <v>0.17</v>
      </c>
      <c r="L694" s="39" t="s">
        <v>68</v>
      </c>
      <c r="M694" s="39" t="s">
        <v>138</v>
      </c>
      <c r="N694" s="39" t="s">
        <v>153</v>
      </c>
      <c r="O694" s="43">
        <f t="shared" si="210"/>
        <v>260.73</v>
      </c>
      <c r="P694" s="43">
        <f t="shared" si="211"/>
        <v>216.41</v>
      </c>
      <c r="Q694" s="43">
        <f t="shared" si="212"/>
        <v>60.28</v>
      </c>
      <c r="R694" s="43">
        <f t="shared" si="213"/>
        <v>156.13</v>
      </c>
      <c r="S694" s="44">
        <f t="shared" si="214"/>
        <v>0.7214546462732776</v>
      </c>
      <c r="T694" s="39" t="str">
        <f t="shared" si="215"/>
        <v>OK</v>
      </c>
      <c r="U694" s="39" t="str">
        <f t="shared" si="216"/>
        <v>10-19%</v>
      </c>
      <c r="V694" s="39" t="str">
        <f>IF(E694&gt;=Analysis!$B$4,"High",IF(E694&gt;=Analysis!$B$5,"Mid","Low"))</f>
        <v>Mid</v>
      </c>
      <c r="W694" s="39" t="str">
        <f t="shared" si="217"/>
        <v>2023-11</v>
      </c>
      <c r="X694" s="40">
        <f t="shared" si="218"/>
        <v>45260</v>
      </c>
      <c r="Y694" s="39" t="str">
        <f t="shared" si="219"/>
        <v>2023-Q4</v>
      </c>
      <c r="Z694" s="39" t="str">
        <f t="shared" si="220"/>
        <v>Tue</v>
      </c>
      <c r="AA694" s="39">
        <f t="shared" si="221"/>
        <v>2</v>
      </c>
      <c r="AB694" s="39">
        <f t="shared" si="222"/>
        <v>47</v>
      </c>
      <c r="AC694" s="39" t="str">
        <f t="shared" si="223"/>
        <v>Weekday</v>
      </c>
      <c r="AD694" s="39">
        <f t="shared" ca="1" si="224"/>
        <v>1075</v>
      </c>
      <c r="AE694" s="39">
        <f t="shared" ca="1" si="225"/>
        <v>35</v>
      </c>
      <c r="AF694" s="39" t="str">
        <f t="shared" si="226"/>
        <v>BOB</v>
      </c>
      <c r="AG694" s="39" t="str">
        <f t="shared" si="227"/>
        <v>EO-231114-0693</v>
      </c>
      <c r="AH694" s="39" t="str">
        <f>IF(AND(OR(Filter!$B$4="All",D694=Filter!$B$4),OR(Filter!$B$5="All",M694=Filter!$B$5),E694&gt;=Filter!$B$6),MAX(AH$1:AH693)+1,"")</f>
        <v/>
      </c>
      <c r="AI694" s="39">
        <f t="shared" si="228"/>
        <v>1</v>
      </c>
      <c r="AJ694" s="42">
        <f t="shared" si="229"/>
        <v>0.17</v>
      </c>
      <c r="AK694" s="41">
        <f t="shared" si="230"/>
        <v>260.73</v>
      </c>
      <c r="AL694" s="39">
        <f>RANK(E694,$E$2:$E$1001,0)+COUNTIF($E$2:E694,E694)-1</f>
        <v>354</v>
      </c>
    </row>
    <row r="695" spans="1:38" x14ac:dyDescent="0.2">
      <c r="A695" s="39">
        <v>1019</v>
      </c>
      <c r="B695" s="40">
        <v>45275</v>
      </c>
      <c r="C695" s="39" t="s">
        <v>76</v>
      </c>
      <c r="D695" s="39" t="s">
        <v>59</v>
      </c>
      <c r="E695" s="41">
        <v>8902.3700000000008</v>
      </c>
      <c r="F695" s="39">
        <v>36</v>
      </c>
      <c r="G695" s="39" t="s">
        <v>60</v>
      </c>
      <c r="H695" s="41">
        <v>1340.51</v>
      </c>
      <c r="I695" s="41">
        <v>1567.92</v>
      </c>
      <c r="J695" s="39" t="s">
        <v>143</v>
      </c>
      <c r="K695" s="42">
        <v>0.28999999999999998</v>
      </c>
      <c r="L695" s="39" t="s">
        <v>68</v>
      </c>
      <c r="M695" s="39" t="s">
        <v>138</v>
      </c>
      <c r="N695" s="39" t="s">
        <v>157</v>
      </c>
      <c r="O695" s="43">
        <f t="shared" si="210"/>
        <v>56445.120000000003</v>
      </c>
      <c r="P695" s="43">
        <f t="shared" si="211"/>
        <v>40076.04</v>
      </c>
      <c r="Q695" s="43">
        <f t="shared" si="212"/>
        <v>48258.36</v>
      </c>
      <c r="R695" s="43">
        <f t="shared" si="213"/>
        <v>-8182.32</v>
      </c>
      <c r="S695" s="44">
        <f t="shared" si="214"/>
        <v>-0.20416987307129147</v>
      </c>
      <c r="T695" s="39" t="str">
        <f t="shared" si="215"/>
        <v>Loss</v>
      </c>
      <c r="U695" s="39" t="str">
        <f t="shared" si="216"/>
        <v>20%+</v>
      </c>
      <c r="V695" s="39" t="str">
        <f>IF(E695&gt;=Analysis!$B$4,"High",IF(E695&gt;=Analysis!$B$5,"Mid","Low"))</f>
        <v>High</v>
      </c>
      <c r="W695" s="39" t="str">
        <f t="shared" si="217"/>
        <v>2023-12</v>
      </c>
      <c r="X695" s="40">
        <f t="shared" si="218"/>
        <v>45291</v>
      </c>
      <c r="Y695" s="39" t="str">
        <f t="shared" si="219"/>
        <v>2023-Q4</v>
      </c>
      <c r="Z695" s="39" t="str">
        <f t="shared" si="220"/>
        <v>Fri</v>
      </c>
      <c r="AA695" s="39">
        <f t="shared" si="221"/>
        <v>5</v>
      </c>
      <c r="AB695" s="39">
        <f t="shared" si="222"/>
        <v>51</v>
      </c>
      <c r="AC695" s="39" t="str">
        <f t="shared" si="223"/>
        <v>Weekday</v>
      </c>
      <c r="AD695" s="39">
        <f t="shared" ca="1" si="224"/>
        <v>1044</v>
      </c>
      <c r="AE695" s="39">
        <f t="shared" ca="1" si="225"/>
        <v>34</v>
      </c>
      <c r="AF695" s="39" t="str">
        <f t="shared" si="226"/>
        <v>DAV</v>
      </c>
      <c r="AG695" s="39" t="str">
        <f t="shared" si="227"/>
        <v>EO-231215-0694</v>
      </c>
      <c r="AH695" s="39" t="str">
        <f>IF(AND(OR(Filter!$B$4="All",D695=Filter!$B$4),OR(Filter!$B$5="All",M695=Filter!$B$5),E695&gt;=Filter!$B$6),MAX(AH$1:AH694)+1,"")</f>
        <v/>
      </c>
      <c r="AI695" s="39">
        <f t="shared" si="228"/>
        <v>36</v>
      </c>
      <c r="AJ695" s="42">
        <f t="shared" si="229"/>
        <v>0.28999999999999998</v>
      </c>
      <c r="AK695" s="41">
        <f t="shared" si="230"/>
        <v>1567.92</v>
      </c>
      <c r="AL695" s="39">
        <f>RANK(E695,$E$2:$E$1001,0)+COUNTIF($E$2:E695,E695)-1</f>
        <v>103</v>
      </c>
    </row>
    <row r="696" spans="1:38" x14ac:dyDescent="0.2">
      <c r="A696" s="39">
        <v>1039</v>
      </c>
      <c r="B696" s="40">
        <v>45041</v>
      </c>
      <c r="C696" s="39" t="s">
        <v>61</v>
      </c>
      <c r="D696" s="39" t="s">
        <v>59</v>
      </c>
      <c r="E696" s="41">
        <v>5830.19</v>
      </c>
      <c r="F696" s="39">
        <v>24</v>
      </c>
      <c r="G696" s="39" t="s">
        <v>60</v>
      </c>
      <c r="H696" s="41">
        <v>2615.48</v>
      </c>
      <c r="I696" s="41">
        <v>3062.22</v>
      </c>
      <c r="J696" s="39" t="s">
        <v>143</v>
      </c>
      <c r="K696" s="42">
        <v>0.19</v>
      </c>
      <c r="L696" s="39" t="s">
        <v>63</v>
      </c>
      <c r="M696" s="39" t="s">
        <v>140</v>
      </c>
      <c r="N696" s="39" t="s">
        <v>159</v>
      </c>
      <c r="O696" s="43">
        <f t="shared" si="210"/>
        <v>73493.279999999999</v>
      </c>
      <c r="P696" s="43">
        <f t="shared" si="211"/>
        <v>59529.56</v>
      </c>
      <c r="Q696" s="43">
        <f t="shared" si="212"/>
        <v>62771.519999999997</v>
      </c>
      <c r="R696" s="43">
        <f t="shared" si="213"/>
        <v>-3241.9599999999991</v>
      </c>
      <c r="S696" s="44">
        <f t="shared" si="214"/>
        <v>-5.4459666760513586E-2</v>
      </c>
      <c r="T696" s="39" t="str">
        <f t="shared" si="215"/>
        <v>Loss</v>
      </c>
      <c r="U696" s="39" t="str">
        <f t="shared" si="216"/>
        <v>10-19%</v>
      </c>
      <c r="V696" s="39" t="str">
        <f>IF(E696&gt;=Analysis!$B$4,"High",IF(E696&gt;=Analysis!$B$5,"Mid","Low"))</f>
        <v>Mid</v>
      </c>
      <c r="W696" s="39" t="str">
        <f t="shared" si="217"/>
        <v>2023-04</v>
      </c>
      <c r="X696" s="40">
        <f t="shared" si="218"/>
        <v>45046</v>
      </c>
      <c r="Y696" s="39" t="str">
        <f t="shared" si="219"/>
        <v>2023-Q2</v>
      </c>
      <c r="Z696" s="39" t="str">
        <f t="shared" si="220"/>
        <v>Tue</v>
      </c>
      <c r="AA696" s="39">
        <f t="shared" si="221"/>
        <v>2</v>
      </c>
      <c r="AB696" s="39">
        <f t="shared" si="222"/>
        <v>18</v>
      </c>
      <c r="AC696" s="39" t="str">
        <f t="shared" si="223"/>
        <v>Weekday</v>
      </c>
      <c r="AD696" s="39">
        <f t="shared" ca="1" si="224"/>
        <v>1278</v>
      </c>
      <c r="AE696" s="39">
        <f t="shared" ca="1" si="225"/>
        <v>41</v>
      </c>
      <c r="AF696" s="39" t="str">
        <f t="shared" si="226"/>
        <v>ALI</v>
      </c>
      <c r="AG696" s="39" t="str">
        <f t="shared" si="227"/>
        <v>ER-230425-0695</v>
      </c>
      <c r="AH696" s="39" t="str">
        <f>IF(AND(OR(Filter!$B$4="All",D696=Filter!$B$4),OR(Filter!$B$5="All",M696=Filter!$B$5),E696&gt;=Filter!$B$6),MAX(AH$1:AH695)+1,"")</f>
        <v/>
      </c>
      <c r="AI696" s="39">
        <f t="shared" si="228"/>
        <v>24</v>
      </c>
      <c r="AJ696" s="42">
        <f t="shared" si="229"/>
        <v>0.19</v>
      </c>
      <c r="AK696" s="41">
        <f t="shared" si="230"/>
        <v>3062.22</v>
      </c>
      <c r="AL696" s="39">
        <f>RANK(E696,$E$2:$E$1001,0)+COUNTIF($E$2:E696,E696)-1</f>
        <v>427</v>
      </c>
    </row>
    <row r="697" spans="1:38" x14ac:dyDescent="0.2">
      <c r="A697" s="39">
        <v>1067</v>
      </c>
      <c r="B697" s="40">
        <v>45112</v>
      </c>
      <c r="C697" s="39" t="s">
        <v>61</v>
      </c>
      <c r="D697" s="39" t="s">
        <v>74</v>
      </c>
      <c r="E697" s="41">
        <v>6360.67</v>
      </c>
      <c r="F697" s="39">
        <v>27</v>
      </c>
      <c r="G697" s="39" t="s">
        <v>75</v>
      </c>
      <c r="H697" s="41">
        <v>3624.97</v>
      </c>
      <c r="I697" s="41">
        <v>3836.52</v>
      </c>
      <c r="J697" s="39" t="s">
        <v>143</v>
      </c>
      <c r="K697" s="42">
        <v>0.08</v>
      </c>
      <c r="L697" s="39" t="s">
        <v>68</v>
      </c>
      <c r="M697" s="39" t="s">
        <v>138</v>
      </c>
      <c r="N697" s="39" t="s">
        <v>158</v>
      </c>
      <c r="O697" s="43">
        <f t="shared" si="210"/>
        <v>103586.04</v>
      </c>
      <c r="P697" s="43">
        <f t="shared" si="211"/>
        <v>95299.16</v>
      </c>
      <c r="Q697" s="43">
        <f t="shared" si="212"/>
        <v>97874.19</v>
      </c>
      <c r="R697" s="43">
        <f t="shared" si="213"/>
        <v>-2575.0299999999988</v>
      </c>
      <c r="S697" s="44">
        <f t="shared" si="214"/>
        <v>-2.7020490002220364E-2</v>
      </c>
      <c r="T697" s="39" t="str">
        <f t="shared" si="215"/>
        <v>Loss</v>
      </c>
      <c r="U697" s="39" t="str">
        <f t="shared" si="216"/>
        <v>0-9%</v>
      </c>
      <c r="V697" s="39" t="str">
        <f>IF(E697&gt;=Analysis!$B$4,"High",IF(E697&gt;=Analysis!$B$5,"Mid","Low"))</f>
        <v>Mid</v>
      </c>
      <c r="W697" s="39" t="str">
        <f t="shared" si="217"/>
        <v>2023-07</v>
      </c>
      <c r="X697" s="40">
        <f t="shared" si="218"/>
        <v>45138</v>
      </c>
      <c r="Y697" s="39" t="str">
        <f t="shared" si="219"/>
        <v>2023-Q3</v>
      </c>
      <c r="Z697" s="39" t="str">
        <f t="shared" si="220"/>
        <v>Wed</v>
      </c>
      <c r="AA697" s="39">
        <f t="shared" si="221"/>
        <v>3</v>
      </c>
      <c r="AB697" s="39">
        <f t="shared" si="222"/>
        <v>28</v>
      </c>
      <c r="AC697" s="39" t="str">
        <f t="shared" si="223"/>
        <v>Weekday</v>
      </c>
      <c r="AD697" s="39">
        <f t="shared" ca="1" si="224"/>
        <v>1207</v>
      </c>
      <c r="AE697" s="39">
        <f t="shared" ca="1" si="225"/>
        <v>39</v>
      </c>
      <c r="AF697" s="39" t="str">
        <f t="shared" si="226"/>
        <v>ALI</v>
      </c>
      <c r="AG697" s="39" t="str">
        <f t="shared" si="227"/>
        <v>WO-230705-0696</v>
      </c>
      <c r="AH697" s="39" t="str">
        <f>IF(AND(OR(Filter!$B$4="All",D697=Filter!$B$4),OR(Filter!$B$5="All",M697=Filter!$B$5),E697&gt;=Filter!$B$6),MAX(AH$1:AH696)+1,"")</f>
        <v/>
      </c>
      <c r="AI697" s="39">
        <f t="shared" si="228"/>
        <v>27</v>
      </c>
      <c r="AJ697" s="42">
        <f t="shared" si="229"/>
        <v>0.08</v>
      </c>
      <c r="AK697" s="41">
        <f t="shared" si="230"/>
        <v>3836.52</v>
      </c>
      <c r="AL697" s="39">
        <f>RANK(E697,$E$2:$E$1001,0)+COUNTIF($E$2:E697,E697)-1</f>
        <v>371</v>
      </c>
    </row>
    <row r="698" spans="1:38" x14ac:dyDescent="0.2">
      <c r="A698" s="39">
        <v>1045</v>
      </c>
      <c r="B698" s="40">
        <v>45249</v>
      </c>
      <c r="C698" s="39" t="s">
        <v>66</v>
      </c>
      <c r="D698" s="39" t="s">
        <v>64</v>
      </c>
      <c r="E698" s="41">
        <v>1649.12</v>
      </c>
      <c r="F698" s="39">
        <v>2</v>
      </c>
      <c r="G698" s="39" t="s">
        <v>65</v>
      </c>
      <c r="H698" s="41">
        <v>912.08</v>
      </c>
      <c r="I698" s="41">
        <v>993.24</v>
      </c>
      <c r="J698" s="39" t="s">
        <v>137</v>
      </c>
      <c r="K698" s="42">
        <v>0.09</v>
      </c>
      <c r="L698" s="39" t="s">
        <v>73</v>
      </c>
      <c r="M698" s="39" t="s">
        <v>138</v>
      </c>
      <c r="N698" s="39" t="s">
        <v>139</v>
      </c>
      <c r="O698" s="43">
        <f t="shared" si="210"/>
        <v>1986.48</v>
      </c>
      <c r="P698" s="43">
        <f t="shared" si="211"/>
        <v>1807.7</v>
      </c>
      <c r="Q698" s="43">
        <f t="shared" si="212"/>
        <v>1824.16</v>
      </c>
      <c r="R698" s="43">
        <f t="shared" si="213"/>
        <v>-16.460000000000036</v>
      </c>
      <c r="S698" s="44">
        <f t="shared" si="214"/>
        <v>-9.1054931681141989E-3</v>
      </c>
      <c r="T698" s="39" t="str">
        <f t="shared" si="215"/>
        <v>Loss</v>
      </c>
      <c r="U698" s="39" t="str">
        <f t="shared" si="216"/>
        <v>0-9%</v>
      </c>
      <c r="V698" s="39" t="str">
        <f>IF(E698&gt;=Analysis!$B$4,"High",IF(E698&gt;=Analysis!$B$5,"Mid","Low"))</f>
        <v>Low</v>
      </c>
      <c r="W698" s="39" t="str">
        <f t="shared" si="217"/>
        <v>2023-11</v>
      </c>
      <c r="X698" s="40">
        <f t="shared" si="218"/>
        <v>45260</v>
      </c>
      <c r="Y698" s="39" t="str">
        <f t="shared" si="219"/>
        <v>2023-Q4</v>
      </c>
      <c r="Z698" s="39" t="str">
        <f t="shared" si="220"/>
        <v>Sun</v>
      </c>
      <c r="AA698" s="39">
        <f t="shared" si="221"/>
        <v>7</v>
      </c>
      <c r="AB698" s="39">
        <f t="shared" si="222"/>
        <v>47</v>
      </c>
      <c r="AC698" s="39" t="str">
        <f t="shared" si="223"/>
        <v>Weekend</v>
      </c>
      <c r="AD698" s="39">
        <f t="shared" ca="1" si="224"/>
        <v>1070</v>
      </c>
      <c r="AE698" s="39">
        <f t="shared" ca="1" si="225"/>
        <v>35</v>
      </c>
      <c r="AF698" s="39" t="str">
        <f t="shared" si="226"/>
        <v>BOB</v>
      </c>
      <c r="AG698" s="39" t="str">
        <f t="shared" si="227"/>
        <v>NO-231119-0697</v>
      </c>
      <c r="AH698" s="39" t="str">
        <f>IF(AND(OR(Filter!$B$4="All",D698=Filter!$B$4),OR(Filter!$B$5="All",M698=Filter!$B$5),E698&gt;=Filter!$B$6),MAX(AH$1:AH697)+1,"")</f>
        <v/>
      </c>
      <c r="AI698" s="39">
        <f t="shared" si="228"/>
        <v>2</v>
      </c>
      <c r="AJ698" s="42">
        <f t="shared" si="229"/>
        <v>0.09</v>
      </c>
      <c r="AK698" s="41">
        <f t="shared" si="230"/>
        <v>993.24</v>
      </c>
      <c r="AL698" s="39">
        <f>RANK(E698,$E$2:$E$1001,0)+COUNTIF($E$2:E698,E698)-1</f>
        <v>854</v>
      </c>
    </row>
    <row r="699" spans="1:38" x14ac:dyDescent="0.2">
      <c r="A699" s="39">
        <v>1013</v>
      </c>
      <c r="B699" s="40">
        <v>44982</v>
      </c>
      <c r="C699" s="39" t="s">
        <v>79</v>
      </c>
      <c r="D699" s="39" t="s">
        <v>59</v>
      </c>
      <c r="E699" s="41">
        <v>4791.82</v>
      </c>
      <c r="F699" s="39">
        <v>31</v>
      </c>
      <c r="G699" s="39" t="s">
        <v>70</v>
      </c>
      <c r="H699" s="41">
        <v>2757.06</v>
      </c>
      <c r="I699" s="41">
        <v>3023.97</v>
      </c>
      <c r="J699" s="39" t="s">
        <v>137</v>
      </c>
      <c r="K699" s="42">
        <v>0.21</v>
      </c>
      <c r="L699" s="39" t="s">
        <v>68</v>
      </c>
      <c r="M699" s="39" t="s">
        <v>138</v>
      </c>
      <c r="N699" s="39" t="s">
        <v>155</v>
      </c>
      <c r="O699" s="43">
        <f t="shared" si="210"/>
        <v>93743.07</v>
      </c>
      <c r="P699" s="43">
        <f t="shared" si="211"/>
        <v>74057.03</v>
      </c>
      <c r="Q699" s="43">
        <f t="shared" si="212"/>
        <v>85468.86</v>
      </c>
      <c r="R699" s="43">
        <f t="shared" si="213"/>
        <v>-11411.830000000002</v>
      </c>
      <c r="S699" s="44">
        <f t="shared" si="214"/>
        <v>-0.1540951615261914</v>
      </c>
      <c r="T699" s="39" t="str">
        <f t="shared" si="215"/>
        <v>Loss</v>
      </c>
      <c r="U699" s="39" t="str">
        <f t="shared" si="216"/>
        <v>20%+</v>
      </c>
      <c r="V699" s="39" t="str">
        <f>IF(E699&gt;=Analysis!$B$4,"High",IF(E699&gt;=Analysis!$B$5,"Mid","Low"))</f>
        <v>Mid</v>
      </c>
      <c r="W699" s="39" t="str">
        <f t="shared" si="217"/>
        <v>2023-02</v>
      </c>
      <c r="X699" s="40">
        <f t="shared" si="218"/>
        <v>44985</v>
      </c>
      <c r="Y699" s="39" t="str">
        <f t="shared" si="219"/>
        <v>2023-Q1</v>
      </c>
      <c r="Z699" s="39" t="str">
        <f t="shared" si="220"/>
        <v>Sat</v>
      </c>
      <c r="AA699" s="39">
        <f t="shared" si="221"/>
        <v>6</v>
      </c>
      <c r="AB699" s="39">
        <f t="shared" si="222"/>
        <v>9</v>
      </c>
      <c r="AC699" s="39" t="str">
        <f t="shared" si="223"/>
        <v>Weekend</v>
      </c>
      <c r="AD699" s="39">
        <f t="shared" ca="1" si="224"/>
        <v>1337</v>
      </c>
      <c r="AE699" s="39">
        <f t="shared" ca="1" si="225"/>
        <v>43</v>
      </c>
      <c r="AF699" s="39" t="str">
        <f t="shared" si="226"/>
        <v>EVE</v>
      </c>
      <c r="AG699" s="39" t="str">
        <f t="shared" si="227"/>
        <v>EO-230225-0698</v>
      </c>
      <c r="AH699" s="39" t="str">
        <f>IF(AND(OR(Filter!$B$4="All",D699=Filter!$B$4),OR(Filter!$B$5="All",M699=Filter!$B$5),E699&gt;=Filter!$B$6),MAX(AH$1:AH698)+1,"")</f>
        <v/>
      </c>
      <c r="AI699" s="39">
        <f t="shared" si="228"/>
        <v>31</v>
      </c>
      <c r="AJ699" s="42">
        <f t="shared" si="229"/>
        <v>0.21</v>
      </c>
      <c r="AK699" s="41">
        <f t="shared" si="230"/>
        <v>3023.97</v>
      </c>
      <c r="AL699" s="39">
        <f>RANK(E699,$E$2:$E$1001,0)+COUNTIF($E$2:E699,E699)-1</f>
        <v>521</v>
      </c>
    </row>
    <row r="700" spans="1:38" x14ac:dyDescent="0.2">
      <c r="A700" s="39">
        <v>1092</v>
      </c>
      <c r="B700" s="40">
        <v>44966</v>
      </c>
      <c r="C700" s="39" t="s">
        <v>61</v>
      </c>
      <c r="D700" s="39" t="s">
        <v>69</v>
      </c>
      <c r="E700" s="41">
        <v>7192.33</v>
      </c>
      <c r="F700" s="39">
        <v>14</v>
      </c>
      <c r="G700" s="39" t="s">
        <v>60</v>
      </c>
      <c r="H700" s="41">
        <v>3586.58</v>
      </c>
      <c r="I700" s="41">
        <v>4068.43</v>
      </c>
      <c r="J700" s="39" t="s">
        <v>143</v>
      </c>
      <c r="K700" s="42">
        <v>0.22</v>
      </c>
      <c r="L700" s="39" t="s">
        <v>73</v>
      </c>
      <c r="M700" s="39" t="s">
        <v>138</v>
      </c>
      <c r="N700" s="39" t="s">
        <v>150</v>
      </c>
      <c r="O700" s="43">
        <f t="shared" si="210"/>
        <v>56958.02</v>
      </c>
      <c r="P700" s="43">
        <f t="shared" si="211"/>
        <v>44427.26</v>
      </c>
      <c r="Q700" s="43">
        <f t="shared" si="212"/>
        <v>50212.12</v>
      </c>
      <c r="R700" s="43">
        <f t="shared" si="213"/>
        <v>-5784.8600000000006</v>
      </c>
      <c r="S700" s="44">
        <f t="shared" si="214"/>
        <v>-0.13020969557879555</v>
      </c>
      <c r="T700" s="39" t="str">
        <f t="shared" si="215"/>
        <v>Loss</v>
      </c>
      <c r="U700" s="39" t="str">
        <f t="shared" si="216"/>
        <v>20%+</v>
      </c>
      <c r="V700" s="39" t="str">
        <f>IF(E700&gt;=Analysis!$B$4,"High",IF(E700&gt;=Analysis!$B$5,"Mid","Low"))</f>
        <v>Mid</v>
      </c>
      <c r="W700" s="39" t="str">
        <f t="shared" si="217"/>
        <v>2023-02</v>
      </c>
      <c r="X700" s="40">
        <f t="shared" si="218"/>
        <v>44985</v>
      </c>
      <c r="Y700" s="39" t="str">
        <f t="shared" si="219"/>
        <v>2023-Q1</v>
      </c>
      <c r="Z700" s="39" t="str">
        <f t="shared" si="220"/>
        <v>Thu</v>
      </c>
      <c r="AA700" s="39">
        <f t="shared" si="221"/>
        <v>4</v>
      </c>
      <c r="AB700" s="39">
        <f t="shared" si="222"/>
        <v>7</v>
      </c>
      <c r="AC700" s="39" t="str">
        <f t="shared" si="223"/>
        <v>Weekday</v>
      </c>
      <c r="AD700" s="39">
        <f t="shared" ca="1" si="224"/>
        <v>1353</v>
      </c>
      <c r="AE700" s="39">
        <f t="shared" ca="1" si="225"/>
        <v>44</v>
      </c>
      <c r="AF700" s="39" t="str">
        <f t="shared" si="226"/>
        <v>ALI</v>
      </c>
      <c r="AG700" s="39" t="str">
        <f t="shared" si="227"/>
        <v>SO-230209-0699</v>
      </c>
      <c r="AH700" s="39" t="str">
        <f>IF(AND(OR(Filter!$B$4="All",D700=Filter!$B$4),OR(Filter!$B$5="All",M700=Filter!$B$5),E700&gt;=Filter!$B$6),MAX(AH$1:AH699)+1,"")</f>
        <v/>
      </c>
      <c r="AI700" s="39">
        <f t="shared" si="228"/>
        <v>14</v>
      </c>
      <c r="AJ700" s="42">
        <f t="shared" si="229"/>
        <v>0.22</v>
      </c>
      <c r="AK700" s="41">
        <f t="shared" si="230"/>
        <v>4068.43</v>
      </c>
      <c r="AL700" s="39">
        <f>RANK(E700,$E$2:$E$1001,0)+COUNTIF($E$2:E700,E700)-1</f>
        <v>278</v>
      </c>
    </row>
    <row r="701" spans="1:38" x14ac:dyDescent="0.2">
      <c r="A701" s="39">
        <v>1058</v>
      </c>
      <c r="B701" s="40">
        <v>45280</v>
      </c>
      <c r="C701" s="39" t="s">
        <v>76</v>
      </c>
      <c r="D701" s="39" t="s">
        <v>64</v>
      </c>
      <c r="E701" s="41">
        <v>2782.33</v>
      </c>
      <c r="F701" s="39">
        <v>2</v>
      </c>
      <c r="G701" s="39" t="s">
        <v>60</v>
      </c>
      <c r="H701" s="41">
        <v>2250.91</v>
      </c>
      <c r="I701" s="41">
        <v>2558.6799999999998</v>
      </c>
      <c r="J701" s="39" t="s">
        <v>143</v>
      </c>
      <c r="K701" s="42">
        <v>0.09</v>
      </c>
      <c r="L701" s="39" t="s">
        <v>73</v>
      </c>
      <c r="M701" s="39" t="s">
        <v>140</v>
      </c>
      <c r="N701" s="39" t="s">
        <v>152</v>
      </c>
      <c r="O701" s="43">
        <f t="shared" si="210"/>
        <v>5117.3599999999997</v>
      </c>
      <c r="P701" s="43">
        <f t="shared" si="211"/>
        <v>4656.8</v>
      </c>
      <c r="Q701" s="43">
        <f t="shared" si="212"/>
        <v>4501.82</v>
      </c>
      <c r="R701" s="43">
        <f t="shared" si="213"/>
        <v>154.98000000000047</v>
      </c>
      <c r="S701" s="44">
        <f t="shared" si="214"/>
        <v>3.3280364198591407E-2</v>
      </c>
      <c r="T701" s="39" t="str">
        <f t="shared" si="215"/>
        <v>OK</v>
      </c>
      <c r="U701" s="39" t="str">
        <f t="shared" si="216"/>
        <v>0-9%</v>
      </c>
      <c r="V701" s="39" t="str">
        <f>IF(E701&gt;=Analysis!$B$4,"High",IF(E701&gt;=Analysis!$B$5,"Mid","Low"))</f>
        <v>Mid</v>
      </c>
      <c r="W701" s="39" t="str">
        <f t="shared" si="217"/>
        <v>2023-12</v>
      </c>
      <c r="X701" s="40">
        <f t="shared" si="218"/>
        <v>45291</v>
      </c>
      <c r="Y701" s="39" t="str">
        <f t="shared" si="219"/>
        <v>2023-Q4</v>
      </c>
      <c r="Z701" s="39" t="str">
        <f t="shared" si="220"/>
        <v>Wed</v>
      </c>
      <c r="AA701" s="39">
        <f t="shared" si="221"/>
        <v>3</v>
      </c>
      <c r="AB701" s="39">
        <f t="shared" si="222"/>
        <v>52</v>
      </c>
      <c r="AC701" s="39" t="str">
        <f t="shared" si="223"/>
        <v>Weekday</v>
      </c>
      <c r="AD701" s="39">
        <f t="shared" ca="1" si="224"/>
        <v>1039</v>
      </c>
      <c r="AE701" s="39">
        <f t="shared" ca="1" si="225"/>
        <v>34</v>
      </c>
      <c r="AF701" s="39" t="str">
        <f t="shared" si="226"/>
        <v>DAV</v>
      </c>
      <c r="AG701" s="39" t="str">
        <f t="shared" si="227"/>
        <v>NR-231220-0700</v>
      </c>
      <c r="AH701" s="39" t="str">
        <f>IF(AND(OR(Filter!$B$4="All",D701=Filter!$B$4),OR(Filter!$B$5="All",M701=Filter!$B$5),E701&gt;=Filter!$B$6),MAX(AH$1:AH700)+1,"")</f>
        <v/>
      </c>
      <c r="AI701" s="39">
        <f t="shared" si="228"/>
        <v>2</v>
      </c>
      <c r="AJ701" s="42">
        <f t="shared" si="229"/>
        <v>0.09</v>
      </c>
      <c r="AK701" s="41">
        <f t="shared" si="230"/>
        <v>2558.6799999999998</v>
      </c>
      <c r="AL701" s="39">
        <f>RANK(E701,$E$2:$E$1001,0)+COUNTIF($E$2:E701,E701)-1</f>
        <v>720</v>
      </c>
    </row>
    <row r="702" spans="1:38" x14ac:dyDescent="0.2">
      <c r="A702" s="39">
        <v>1020</v>
      </c>
      <c r="B702" s="40">
        <v>44966</v>
      </c>
      <c r="C702" s="39" t="s">
        <v>71</v>
      </c>
      <c r="D702" s="39" t="s">
        <v>59</v>
      </c>
      <c r="E702" s="41">
        <v>2102.3200000000002</v>
      </c>
      <c r="F702" s="39">
        <v>29</v>
      </c>
      <c r="G702" s="39" t="s">
        <v>65</v>
      </c>
      <c r="H702" s="41">
        <v>184.05</v>
      </c>
      <c r="I702" s="41">
        <v>675.91</v>
      </c>
      <c r="J702" s="39" t="s">
        <v>137</v>
      </c>
      <c r="K702" s="42">
        <v>0.1</v>
      </c>
      <c r="L702" s="39" t="s">
        <v>68</v>
      </c>
      <c r="M702" s="39" t="s">
        <v>140</v>
      </c>
      <c r="N702" s="39" t="s">
        <v>145</v>
      </c>
      <c r="O702" s="43">
        <f t="shared" si="210"/>
        <v>19601.39</v>
      </c>
      <c r="P702" s="43">
        <f t="shared" si="211"/>
        <v>17641.25</v>
      </c>
      <c r="Q702" s="43">
        <f t="shared" si="212"/>
        <v>5337.45</v>
      </c>
      <c r="R702" s="43">
        <f t="shared" si="213"/>
        <v>12303.8</v>
      </c>
      <c r="S702" s="44">
        <f t="shared" si="214"/>
        <v>0.69744490894919575</v>
      </c>
      <c r="T702" s="39" t="str">
        <f t="shared" si="215"/>
        <v>OK</v>
      </c>
      <c r="U702" s="39" t="str">
        <f t="shared" si="216"/>
        <v>10-19%</v>
      </c>
      <c r="V702" s="39" t="str">
        <f>IF(E702&gt;=Analysis!$B$4,"High",IF(E702&gt;=Analysis!$B$5,"Mid","Low"))</f>
        <v>Low</v>
      </c>
      <c r="W702" s="39" t="str">
        <f t="shared" si="217"/>
        <v>2023-02</v>
      </c>
      <c r="X702" s="40">
        <f t="shared" si="218"/>
        <v>44985</v>
      </c>
      <c r="Y702" s="39" t="str">
        <f t="shared" si="219"/>
        <v>2023-Q1</v>
      </c>
      <c r="Z702" s="39" t="str">
        <f t="shared" si="220"/>
        <v>Thu</v>
      </c>
      <c r="AA702" s="39">
        <f t="shared" si="221"/>
        <v>4</v>
      </c>
      <c r="AB702" s="39">
        <f t="shared" si="222"/>
        <v>7</v>
      </c>
      <c r="AC702" s="39" t="str">
        <f t="shared" si="223"/>
        <v>Weekday</v>
      </c>
      <c r="AD702" s="39">
        <f t="shared" ca="1" si="224"/>
        <v>1353</v>
      </c>
      <c r="AE702" s="39">
        <f t="shared" ca="1" si="225"/>
        <v>44</v>
      </c>
      <c r="AF702" s="39" t="str">
        <f t="shared" si="226"/>
        <v>CHA</v>
      </c>
      <c r="AG702" s="39" t="str">
        <f t="shared" si="227"/>
        <v>ER-230209-0701</v>
      </c>
      <c r="AH702" s="39" t="str">
        <f>IF(AND(OR(Filter!$B$4="All",D702=Filter!$B$4),OR(Filter!$B$5="All",M702=Filter!$B$5),E702&gt;=Filter!$B$6),MAX(AH$1:AH701)+1,"")</f>
        <v/>
      </c>
      <c r="AI702" s="39">
        <f t="shared" si="228"/>
        <v>29</v>
      </c>
      <c r="AJ702" s="42">
        <f t="shared" si="229"/>
        <v>0.1</v>
      </c>
      <c r="AK702" s="41">
        <f t="shared" si="230"/>
        <v>675.91</v>
      </c>
      <c r="AL702" s="39">
        <f>RANK(E702,$E$2:$E$1001,0)+COUNTIF($E$2:E702,E702)-1</f>
        <v>805</v>
      </c>
    </row>
    <row r="703" spans="1:38" x14ac:dyDescent="0.2">
      <c r="A703" s="39">
        <v>1092</v>
      </c>
      <c r="B703" s="40">
        <v>45273</v>
      </c>
      <c r="C703" s="39" t="s">
        <v>71</v>
      </c>
      <c r="D703" s="39" t="s">
        <v>64</v>
      </c>
      <c r="E703" s="41">
        <v>3206.89</v>
      </c>
      <c r="F703" s="39">
        <v>15</v>
      </c>
      <c r="G703" s="39" t="s">
        <v>60</v>
      </c>
      <c r="H703" s="41">
        <v>2273.88</v>
      </c>
      <c r="I703" s="41">
        <v>2696.02</v>
      </c>
      <c r="J703" s="39" t="s">
        <v>143</v>
      </c>
      <c r="K703" s="42">
        <v>0.3</v>
      </c>
      <c r="L703" s="39" t="s">
        <v>68</v>
      </c>
      <c r="M703" s="39" t="s">
        <v>138</v>
      </c>
      <c r="N703" s="39" t="s">
        <v>160</v>
      </c>
      <c r="O703" s="43">
        <f t="shared" si="210"/>
        <v>40440.300000000003</v>
      </c>
      <c r="P703" s="43">
        <f t="shared" si="211"/>
        <v>28308.21</v>
      </c>
      <c r="Q703" s="43">
        <f t="shared" si="212"/>
        <v>34108.199999999997</v>
      </c>
      <c r="R703" s="43">
        <f t="shared" si="213"/>
        <v>-5799.989999999998</v>
      </c>
      <c r="S703" s="44">
        <f t="shared" si="214"/>
        <v>-0.20488720410085973</v>
      </c>
      <c r="T703" s="39" t="str">
        <f t="shared" si="215"/>
        <v>Loss</v>
      </c>
      <c r="U703" s="39" t="str">
        <f t="shared" si="216"/>
        <v>20%+</v>
      </c>
      <c r="V703" s="39" t="str">
        <f>IF(E703&gt;=Analysis!$B$4,"High",IF(E703&gt;=Analysis!$B$5,"Mid","Low"))</f>
        <v>Mid</v>
      </c>
      <c r="W703" s="39" t="str">
        <f t="shared" si="217"/>
        <v>2023-12</v>
      </c>
      <c r="X703" s="40">
        <f t="shared" si="218"/>
        <v>45291</v>
      </c>
      <c r="Y703" s="39" t="str">
        <f t="shared" si="219"/>
        <v>2023-Q4</v>
      </c>
      <c r="Z703" s="39" t="str">
        <f t="shared" si="220"/>
        <v>Wed</v>
      </c>
      <c r="AA703" s="39">
        <f t="shared" si="221"/>
        <v>3</v>
      </c>
      <c r="AB703" s="39">
        <f t="shared" si="222"/>
        <v>51</v>
      </c>
      <c r="AC703" s="39" t="str">
        <f t="shared" si="223"/>
        <v>Weekday</v>
      </c>
      <c r="AD703" s="39">
        <f t="shared" ca="1" si="224"/>
        <v>1046</v>
      </c>
      <c r="AE703" s="39">
        <f t="shared" ca="1" si="225"/>
        <v>34</v>
      </c>
      <c r="AF703" s="39" t="str">
        <f t="shared" si="226"/>
        <v>CHA</v>
      </c>
      <c r="AG703" s="39" t="str">
        <f t="shared" si="227"/>
        <v>NO-231213-0702</v>
      </c>
      <c r="AH703" s="39" t="str">
        <f>IF(AND(OR(Filter!$B$4="All",D703=Filter!$B$4),OR(Filter!$B$5="All",M703=Filter!$B$5),E703&gt;=Filter!$B$6),MAX(AH$1:AH702)+1,"")</f>
        <v/>
      </c>
      <c r="AI703" s="39">
        <f t="shared" si="228"/>
        <v>15</v>
      </c>
      <c r="AJ703" s="42">
        <f t="shared" si="229"/>
        <v>0.3</v>
      </c>
      <c r="AK703" s="41">
        <f t="shared" si="230"/>
        <v>2696.02</v>
      </c>
      <c r="AL703" s="39">
        <f>RANK(E703,$E$2:$E$1001,0)+COUNTIF($E$2:E703,E703)-1</f>
        <v>673</v>
      </c>
    </row>
    <row r="704" spans="1:38" x14ac:dyDescent="0.2">
      <c r="A704" s="39">
        <v>1072</v>
      </c>
      <c r="B704" s="40">
        <v>45163</v>
      </c>
      <c r="C704" s="39" t="s">
        <v>71</v>
      </c>
      <c r="D704" s="39" t="s">
        <v>69</v>
      </c>
      <c r="E704" s="41">
        <v>2490.86</v>
      </c>
      <c r="F704" s="39">
        <v>12</v>
      </c>
      <c r="G704" s="39" t="s">
        <v>70</v>
      </c>
      <c r="H704" s="41">
        <v>1517.4</v>
      </c>
      <c r="I704" s="41">
        <v>1545.02</v>
      </c>
      <c r="J704" s="39" t="s">
        <v>143</v>
      </c>
      <c r="K704" s="42">
        <v>0.03</v>
      </c>
      <c r="L704" s="39" t="s">
        <v>63</v>
      </c>
      <c r="M704" s="39" t="s">
        <v>140</v>
      </c>
      <c r="N704" s="39" t="s">
        <v>151</v>
      </c>
      <c r="O704" s="43">
        <f t="shared" si="210"/>
        <v>18540.240000000002</v>
      </c>
      <c r="P704" s="43">
        <f t="shared" si="211"/>
        <v>17984.03</v>
      </c>
      <c r="Q704" s="43">
        <f t="shared" si="212"/>
        <v>18208.8</v>
      </c>
      <c r="R704" s="43">
        <f t="shared" si="213"/>
        <v>-224.77000000000044</v>
      </c>
      <c r="S704" s="44">
        <f t="shared" si="214"/>
        <v>-1.2498311001483008E-2</v>
      </c>
      <c r="T704" s="39" t="str">
        <f t="shared" si="215"/>
        <v>Loss</v>
      </c>
      <c r="U704" s="39" t="str">
        <f t="shared" si="216"/>
        <v>0-9%</v>
      </c>
      <c r="V704" s="39" t="str">
        <f>IF(E704&gt;=Analysis!$B$4,"High",IF(E704&gt;=Analysis!$B$5,"Mid","Low"))</f>
        <v>Low</v>
      </c>
      <c r="W704" s="39" t="str">
        <f t="shared" si="217"/>
        <v>2023-08</v>
      </c>
      <c r="X704" s="40">
        <f t="shared" si="218"/>
        <v>45169</v>
      </c>
      <c r="Y704" s="39" t="str">
        <f t="shared" si="219"/>
        <v>2023-Q3</v>
      </c>
      <c r="Z704" s="39" t="str">
        <f t="shared" si="220"/>
        <v>Fri</v>
      </c>
      <c r="AA704" s="39">
        <f t="shared" si="221"/>
        <v>5</v>
      </c>
      <c r="AB704" s="39">
        <f t="shared" si="222"/>
        <v>35</v>
      </c>
      <c r="AC704" s="39" t="str">
        <f t="shared" si="223"/>
        <v>Weekday</v>
      </c>
      <c r="AD704" s="39">
        <f t="shared" ca="1" si="224"/>
        <v>1156</v>
      </c>
      <c r="AE704" s="39">
        <f t="shared" ca="1" si="225"/>
        <v>37</v>
      </c>
      <c r="AF704" s="39" t="str">
        <f t="shared" si="226"/>
        <v>CHA</v>
      </c>
      <c r="AG704" s="39" t="str">
        <f t="shared" si="227"/>
        <v>SR-230825-0703</v>
      </c>
      <c r="AH704" s="39" t="str">
        <f>IF(AND(OR(Filter!$B$4="All",D704=Filter!$B$4),OR(Filter!$B$5="All",M704=Filter!$B$5),E704&gt;=Filter!$B$6),MAX(AH$1:AH703)+1,"")</f>
        <v/>
      </c>
      <c r="AI704" s="39">
        <f t="shared" si="228"/>
        <v>12</v>
      </c>
      <c r="AJ704" s="42">
        <f t="shared" si="229"/>
        <v>0.03</v>
      </c>
      <c r="AK704" s="41">
        <f t="shared" si="230"/>
        <v>1545.02</v>
      </c>
      <c r="AL704" s="39">
        <f>RANK(E704,$E$2:$E$1001,0)+COUNTIF($E$2:E704,E704)-1</f>
        <v>759</v>
      </c>
    </row>
    <row r="705" spans="1:38" x14ac:dyDescent="0.2">
      <c r="A705" s="39">
        <v>1061</v>
      </c>
      <c r="B705" s="40">
        <v>45215</v>
      </c>
      <c r="C705" s="39" t="s">
        <v>79</v>
      </c>
      <c r="D705" s="39" t="s">
        <v>59</v>
      </c>
      <c r="E705" s="41">
        <v>2227.64</v>
      </c>
      <c r="F705" s="39">
        <v>37</v>
      </c>
      <c r="G705" s="39" t="s">
        <v>75</v>
      </c>
      <c r="H705" s="41">
        <v>4651.7700000000004</v>
      </c>
      <c r="I705" s="41">
        <v>4984.3900000000003</v>
      </c>
      <c r="J705" s="39" t="s">
        <v>137</v>
      </c>
      <c r="K705" s="42">
        <v>0.12</v>
      </c>
      <c r="L705" s="39" t="s">
        <v>68</v>
      </c>
      <c r="M705" s="39" t="s">
        <v>140</v>
      </c>
      <c r="N705" s="39" t="s">
        <v>155</v>
      </c>
      <c r="O705" s="43">
        <f t="shared" si="210"/>
        <v>184422.43</v>
      </c>
      <c r="P705" s="43">
        <f t="shared" si="211"/>
        <v>162291.74</v>
      </c>
      <c r="Q705" s="43">
        <f t="shared" si="212"/>
        <v>172115.49</v>
      </c>
      <c r="R705" s="43">
        <f t="shared" si="213"/>
        <v>-9823.75</v>
      </c>
      <c r="S705" s="44">
        <f t="shared" si="214"/>
        <v>-6.0531423225852407E-2</v>
      </c>
      <c r="T705" s="39" t="str">
        <f t="shared" si="215"/>
        <v>Loss</v>
      </c>
      <c r="U705" s="39" t="str">
        <f t="shared" si="216"/>
        <v>10-19%</v>
      </c>
      <c r="V705" s="39" t="str">
        <f>IF(E705&gt;=Analysis!$B$4,"High",IF(E705&gt;=Analysis!$B$5,"Mid","Low"))</f>
        <v>Low</v>
      </c>
      <c r="W705" s="39" t="str">
        <f t="shared" si="217"/>
        <v>2023-10</v>
      </c>
      <c r="X705" s="40">
        <f t="shared" si="218"/>
        <v>45230</v>
      </c>
      <c r="Y705" s="39" t="str">
        <f t="shared" si="219"/>
        <v>2023-Q4</v>
      </c>
      <c r="Z705" s="39" t="str">
        <f t="shared" si="220"/>
        <v>Mon</v>
      </c>
      <c r="AA705" s="39">
        <f t="shared" si="221"/>
        <v>1</v>
      </c>
      <c r="AB705" s="39">
        <f t="shared" si="222"/>
        <v>43</v>
      </c>
      <c r="AC705" s="39" t="str">
        <f t="shared" si="223"/>
        <v>Weekday</v>
      </c>
      <c r="AD705" s="39">
        <f t="shared" ca="1" si="224"/>
        <v>1104</v>
      </c>
      <c r="AE705" s="39">
        <f t="shared" ca="1" si="225"/>
        <v>36</v>
      </c>
      <c r="AF705" s="39" t="str">
        <f t="shared" si="226"/>
        <v>EVE</v>
      </c>
      <c r="AG705" s="39" t="str">
        <f t="shared" si="227"/>
        <v>ER-231016-0704</v>
      </c>
      <c r="AH705" s="39" t="str">
        <f>IF(AND(OR(Filter!$B$4="All",D705=Filter!$B$4),OR(Filter!$B$5="All",M705=Filter!$B$5),E705&gt;=Filter!$B$6),MAX(AH$1:AH704)+1,"")</f>
        <v/>
      </c>
      <c r="AI705" s="39">
        <f t="shared" si="228"/>
        <v>37</v>
      </c>
      <c r="AJ705" s="42">
        <f t="shared" si="229"/>
        <v>0.12</v>
      </c>
      <c r="AK705" s="41">
        <f t="shared" si="230"/>
        <v>4984.3900000000003</v>
      </c>
      <c r="AL705" s="39">
        <f>RANK(E705,$E$2:$E$1001,0)+COUNTIF($E$2:E705,E705)-1</f>
        <v>788</v>
      </c>
    </row>
    <row r="706" spans="1:38" x14ac:dyDescent="0.2">
      <c r="A706" s="39">
        <v>1039</v>
      </c>
      <c r="B706" s="40">
        <v>45188</v>
      </c>
      <c r="C706" s="39" t="s">
        <v>66</v>
      </c>
      <c r="D706" s="39" t="s">
        <v>69</v>
      </c>
      <c r="E706" s="41">
        <v>4306.0200000000004</v>
      </c>
      <c r="F706" s="39">
        <v>28</v>
      </c>
      <c r="G706" s="39" t="s">
        <v>60</v>
      </c>
      <c r="H706" s="41">
        <v>666.84</v>
      </c>
      <c r="I706" s="41">
        <v>817.36</v>
      </c>
      <c r="J706" s="39" t="s">
        <v>137</v>
      </c>
      <c r="K706" s="42">
        <v>0.02</v>
      </c>
      <c r="L706" s="39" t="s">
        <v>68</v>
      </c>
      <c r="M706" s="39" t="s">
        <v>140</v>
      </c>
      <c r="N706" s="39" t="s">
        <v>144</v>
      </c>
      <c r="O706" s="43">
        <f t="shared" ref="O706:O769" si="231">ROUND(F706*I706,2)</f>
        <v>22886.080000000002</v>
      </c>
      <c r="P706" s="43">
        <f t="shared" ref="P706:P769" si="232">ROUND(F706*I706*(1-K706),2)</f>
        <v>22428.36</v>
      </c>
      <c r="Q706" s="43">
        <f t="shared" ref="Q706:Q769" si="233">ROUND(F706*H706,2)</f>
        <v>18671.52</v>
      </c>
      <c r="R706" s="43">
        <f t="shared" ref="R706:R769" si="234">P706-Q706</f>
        <v>3756.84</v>
      </c>
      <c r="S706" s="44">
        <f t="shared" ref="S706:S769" si="235">IF(P706=0,0,R706/P706)</f>
        <v>0.16750399940075869</v>
      </c>
      <c r="T706" s="39" t="str">
        <f t="shared" ref="T706:T769" si="236">IF(R706&lt;0,"Loss","OK")</f>
        <v>OK</v>
      </c>
      <c r="U706" s="39" t="str">
        <f t="shared" ref="U706:U769" si="237">IF(K706&lt;0.1,"0-9%",IF(K706&lt;0.2,"10-19%","20%+"))</f>
        <v>0-9%</v>
      </c>
      <c r="V706" s="39" t="str">
        <f>IF(E706&gt;=Analysis!$B$4,"High",IF(E706&gt;=Analysis!$B$5,"Mid","Low"))</f>
        <v>Mid</v>
      </c>
      <c r="W706" s="39" t="str">
        <f t="shared" ref="W706:W769" si="238">TEXT(B706,"yyyy-mm")</f>
        <v>2023-09</v>
      </c>
      <c r="X706" s="40">
        <f t="shared" ref="X706:X769" si="239">EOMONTH(B706,0)</f>
        <v>45199</v>
      </c>
      <c r="Y706" s="39" t="str">
        <f t="shared" ref="Y706:Y769" si="240">YEAR(B706)&amp;"-Q"&amp;ROUNDUP(MONTH(B706)/3,0)</f>
        <v>2023-Q3</v>
      </c>
      <c r="Z706" s="39" t="str">
        <f t="shared" ref="Z706:Z769" si="241">TEXT(B706,"ddd")</f>
        <v>Tue</v>
      </c>
      <c r="AA706" s="39">
        <f t="shared" ref="AA706:AA769" si="242">WEEKDAY(B706,2)</f>
        <v>2</v>
      </c>
      <c r="AB706" s="39">
        <f t="shared" ref="AB706:AB769" si="243">WEEKNUM(B706,2)</f>
        <v>39</v>
      </c>
      <c r="AC706" s="39" t="str">
        <f t="shared" ref="AC706:AC769" si="244">IF(AA706&gt;5,"Weekend","Weekday")</f>
        <v>Weekday</v>
      </c>
      <c r="AD706" s="39">
        <f t="shared" ref="AD706:AD769" ca="1" si="245">TODAY()-B706</f>
        <v>1131</v>
      </c>
      <c r="AE706" s="39">
        <f t="shared" ref="AE706:AE769" ca="1" si="246">DATEDIF(B706,TODAY(),"M")</f>
        <v>37</v>
      </c>
      <c r="AF706" s="39" t="str">
        <f t="shared" ref="AF706:AF769" si="247">UPPER(LEFT(C706,3))</f>
        <v>BOB</v>
      </c>
      <c r="AG706" s="39" t="str">
        <f t="shared" ref="AG706:AG769" si="248">UPPER(LEFT(D706,1))&amp;UPPER(LEFT(M706,1))&amp;"-"&amp;TEXT(B706,"yymmdd")&amp;"-"&amp;TEXT(ROW()-1,"0000")</f>
        <v>SR-230919-0705</v>
      </c>
      <c r="AH706" s="39" t="str">
        <f>IF(AND(OR(Filter!$B$4="All",D706=Filter!$B$4),OR(Filter!$B$5="All",M706=Filter!$B$5),E706&gt;=Filter!$B$6),MAX(AH$1:AH705)+1,"")</f>
        <v/>
      </c>
      <c r="AI706" s="39">
        <f t="shared" ref="AI706:AI769" si="249">F706</f>
        <v>28</v>
      </c>
      <c r="AJ706" s="42">
        <f t="shared" ref="AJ706:AJ769" si="250">K706</f>
        <v>0.02</v>
      </c>
      <c r="AK706" s="41">
        <f t="shared" ref="AK706:AK769" si="251">I706</f>
        <v>817.36</v>
      </c>
      <c r="AL706" s="39">
        <f>RANK(E706,$E$2:$E$1001,0)+COUNTIF($E$2:E706,E706)-1</f>
        <v>569</v>
      </c>
    </row>
    <row r="707" spans="1:38" x14ac:dyDescent="0.2">
      <c r="A707" s="39">
        <v>1001</v>
      </c>
      <c r="B707" s="40">
        <v>45142</v>
      </c>
      <c r="C707" s="39" t="s">
        <v>76</v>
      </c>
      <c r="D707" s="39" t="s">
        <v>74</v>
      </c>
      <c r="E707" s="41">
        <v>9087.6</v>
      </c>
      <c r="F707" s="39">
        <v>20</v>
      </c>
      <c r="G707" s="39" t="s">
        <v>70</v>
      </c>
      <c r="H707" s="41">
        <v>3279.76</v>
      </c>
      <c r="I707" s="41">
        <v>3563.97</v>
      </c>
      <c r="J707" s="39" t="s">
        <v>137</v>
      </c>
      <c r="K707" s="42">
        <v>0.25</v>
      </c>
      <c r="L707" s="39" t="s">
        <v>68</v>
      </c>
      <c r="M707" s="39" t="s">
        <v>140</v>
      </c>
      <c r="N707" s="39" t="s">
        <v>154</v>
      </c>
      <c r="O707" s="43">
        <f t="shared" si="231"/>
        <v>71279.399999999994</v>
      </c>
      <c r="P707" s="43">
        <f t="shared" si="232"/>
        <v>53459.55</v>
      </c>
      <c r="Q707" s="43">
        <f t="shared" si="233"/>
        <v>65595.199999999997</v>
      </c>
      <c r="R707" s="43">
        <f t="shared" si="234"/>
        <v>-12135.649999999994</v>
      </c>
      <c r="S707" s="44">
        <f t="shared" si="235"/>
        <v>-0.2270062131087896</v>
      </c>
      <c r="T707" s="39" t="str">
        <f t="shared" si="236"/>
        <v>Loss</v>
      </c>
      <c r="U707" s="39" t="str">
        <f t="shared" si="237"/>
        <v>20%+</v>
      </c>
      <c r="V707" s="39" t="str">
        <f>IF(E707&gt;=Analysis!$B$4,"High",IF(E707&gt;=Analysis!$B$5,"Mid","Low"))</f>
        <v>High</v>
      </c>
      <c r="W707" s="39" t="str">
        <f t="shared" si="238"/>
        <v>2023-08</v>
      </c>
      <c r="X707" s="40">
        <f t="shared" si="239"/>
        <v>45169</v>
      </c>
      <c r="Y707" s="39" t="str">
        <f t="shared" si="240"/>
        <v>2023-Q3</v>
      </c>
      <c r="Z707" s="39" t="str">
        <f t="shared" si="241"/>
        <v>Fri</v>
      </c>
      <c r="AA707" s="39">
        <f t="shared" si="242"/>
        <v>5</v>
      </c>
      <c r="AB707" s="39">
        <f t="shared" si="243"/>
        <v>32</v>
      </c>
      <c r="AC707" s="39" t="str">
        <f t="shared" si="244"/>
        <v>Weekday</v>
      </c>
      <c r="AD707" s="39">
        <f t="shared" ca="1" si="245"/>
        <v>1177</v>
      </c>
      <c r="AE707" s="39">
        <f t="shared" ca="1" si="246"/>
        <v>38</v>
      </c>
      <c r="AF707" s="39" t="str">
        <f t="shared" si="247"/>
        <v>DAV</v>
      </c>
      <c r="AG707" s="39" t="str">
        <f t="shared" si="248"/>
        <v>WR-230804-0706</v>
      </c>
      <c r="AH707" s="39">
        <f>IF(AND(OR(Filter!$B$4="All",D707=Filter!$B$4),OR(Filter!$B$5="All",M707=Filter!$B$5),E707&gt;=Filter!$B$6),MAX(AH$1:AH706)+1,"")</f>
        <v>65</v>
      </c>
      <c r="AI707" s="39">
        <f t="shared" si="249"/>
        <v>20</v>
      </c>
      <c r="AJ707" s="42">
        <f t="shared" si="250"/>
        <v>0.25</v>
      </c>
      <c r="AK707" s="41">
        <f t="shared" si="251"/>
        <v>3563.97</v>
      </c>
      <c r="AL707" s="39">
        <f>RANK(E707,$E$2:$E$1001,0)+COUNTIF($E$2:E707,E707)-1</f>
        <v>86</v>
      </c>
    </row>
    <row r="708" spans="1:38" x14ac:dyDescent="0.2">
      <c r="A708" s="39">
        <v>1003</v>
      </c>
      <c r="B708" s="40">
        <v>45073</v>
      </c>
      <c r="C708" s="39" t="s">
        <v>79</v>
      </c>
      <c r="D708" s="39" t="s">
        <v>59</v>
      </c>
      <c r="E708" s="41">
        <v>5119.8900000000003</v>
      </c>
      <c r="F708" s="39">
        <v>39</v>
      </c>
      <c r="G708" s="39" t="s">
        <v>60</v>
      </c>
      <c r="H708" s="41">
        <v>310.95999999999998</v>
      </c>
      <c r="I708" s="41">
        <v>457.84</v>
      </c>
      <c r="J708" s="39" t="s">
        <v>143</v>
      </c>
      <c r="K708" s="42">
        <v>0.03</v>
      </c>
      <c r="L708" s="39" t="s">
        <v>73</v>
      </c>
      <c r="M708" s="39" t="s">
        <v>138</v>
      </c>
      <c r="N708" s="39" t="s">
        <v>155</v>
      </c>
      <c r="O708" s="43">
        <f t="shared" si="231"/>
        <v>17855.759999999998</v>
      </c>
      <c r="P708" s="43">
        <f t="shared" si="232"/>
        <v>17320.09</v>
      </c>
      <c r="Q708" s="43">
        <f t="shared" si="233"/>
        <v>12127.44</v>
      </c>
      <c r="R708" s="43">
        <f t="shared" si="234"/>
        <v>5192.6499999999996</v>
      </c>
      <c r="S708" s="44">
        <f t="shared" si="235"/>
        <v>0.29980502410784238</v>
      </c>
      <c r="T708" s="39" t="str">
        <f t="shared" si="236"/>
        <v>OK</v>
      </c>
      <c r="U708" s="39" t="str">
        <f t="shared" si="237"/>
        <v>0-9%</v>
      </c>
      <c r="V708" s="39" t="str">
        <f>IF(E708&gt;=Analysis!$B$4,"High",IF(E708&gt;=Analysis!$B$5,"Mid","Low"))</f>
        <v>Mid</v>
      </c>
      <c r="W708" s="39" t="str">
        <f t="shared" si="238"/>
        <v>2023-05</v>
      </c>
      <c r="X708" s="40">
        <f t="shared" si="239"/>
        <v>45077</v>
      </c>
      <c r="Y708" s="39" t="str">
        <f t="shared" si="240"/>
        <v>2023-Q2</v>
      </c>
      <c r="Z708" s="39" t="str">
        <f t="shared" si="241"/>
        <v>Sat</v>
      </c>
      <c r="AA708" s="39">
        <f t="shared" si="242"/>
        <v>6</v>
      </c>
      <c r="AB708" s="39">
        <f t="shared" si="243"/>
        <v>22</v>
      </c>
      <c r="AC708" s="39" t="str">
        <f t="shared" si="244"/>
        <v>Weekend</v>
      </c>
      <c r="AD708" s="39">
        <f t="shared" ca="1" si="245"/>
        <v>1246</v>
      </c>
      <c r="AE708" s="39">
        <f t="shared" ca="1" si="246"/>
        <v>40</v>
      </c>
      <c r="AF708" s="39" t="str">
        <f t="shared" si="247"/>
        <v>EVE</v>
      </c>
      <c r="AG708" s="39" t="str">
        <f t="shared" si="248"/>
        <v>EO-230527-0707</v>
      </c>
      <c r="AH708" s="39" t="str">
        <f>IF(AND(OR(Filter!$B$4="All",D708=Filter!$B$4),OR(Filter!$B$5="All",M708=Filter!$B$5),E708&gt;=Filter!$B$6),MAX(AH$1:AH707)+1,"")</f>
        <v/>
      </c>
      <c r="AI708" s="39">
        <f t="shared" si="249"/>
        <v>39</v>
      </c>
      <c r="AJ708" s="42">
        <f t="shared" si="250"/>
        <v>0.03</v>
      </c>
      <c r="AK708" s="41">
        <f t="shared" si="251"/>
        <v>457.84</v>
      </c>
      <c r="AL708" s="39">
        <f>RANK(E708,$E$2:$E$1001,0)+COUNTIF($E$2:E708,E708)-1</f>
        <v>487</v>
      </c>
    </row>
    <row r="709" spans="1:38" x14ac:dyDescent="0.2">
      <c r="A709" s="39">
        <v>1077</v>
      </c>
      <c r="B709" s="40">
        <v>45262</v>
      </c>
      <c r="C709" s="39" t="s">
        <v>76</v>
      </c>
      <c r="D709" s="39" t="s">
        <v>59</v>
      </c>
      <c r="E709" s="41">
        <v>1960.41</v>
      </c>
      <c r="F709" s="39">
        <v>24</v>
      </c>
      <c r="G709" s="39" t="s">
        <v>65</v>
      </c>
      <c r="H709" s="41">
        <v>2258.54</v>
      </c>
      <c r="I709" s="41">
        <v>2439.4899999999998</v>
      </c>
      <c r="J709" s="39" t="s">
        <v>137</v>
      </c>
      <c r="K709" s="42">
        <v>0.2</v>
      </c>
      <c r="L709" s="39" t="s">
        <v>73</v>
      </c>
      <c r="M709" s="39" t="s">
        <v>140</v>
      </c>
      <c r="N709" s="39" t="s">
        <v>157</v>
      </c>
      <c r="O709" s="43">
        <f t="shared" si="231"/>
        <v>58547.76</v>
      </c>
      <c r="P709" s="43">
        <f t="shared" si="232"/>
        <v>46838.21</v>
      </c>
      <c r="Q709" s="43">
        <f t="shared" si="233"/>
        <v>54204.959999999999</v>
      </c>
      <c r="R709" s="43">
        <f t="shared" si="234"/>
        <v>-7366.75</v>
      </c>
      <c r="S709" s="44">
        <f t="shared" si="235"/>
        <v>-0.15728077567439064</v>
      </c>
      <c r="T709" s="39" t="str">
        <f t="shared" si="236"/>
        <v>Loss</v>
      </c>
      <c r="U709" s="39" t="str">
        <f t="shared" si="237"/>
        <v>20%+</v>
      </c>
      <c r="V709" s="39" t="str">
        <f>IF(E709&gt;=Analysis!$B$4,"High",IF(E709&gt;=Analysis!$B$5,"Mid","Low"))</f>
        <v>Low</v>
      </c>
      <c r="W709" s="39" t="str">
        <f t="shared" si="238"/>
        <v>2023-12</v>
      </c>
      <c r="X709" s="40">
        <f t="shared" si="239"/>
        <v>45291</v>
      </c>
      <c r="Y709" s="39" t="str">
        <f t="shared" si="240"/>
        <v>2023-Q4</v>
      </c>
      <c r="Z709" s="39" t="str">
        <f t="shared" si="241"/>
        <v>Sat</v>
      </c>
      <c r="AA709" s="39">
        <f t="shared" si="242"/>
        <v>6</v>
      </c>
      <c r="AB709" s="39">
        <f t="shared" si="243"/>
        <v>49</v>
      </c>
      <c r="AC709" s="39" t="str">
        <f t="shared" si="244"/>
        <v>Weekend</v>
      </c>
      <c r="AD709" s="39">
        <f t="shared" ca="1" si="245"/>
        <v>1057</v>
      </c>
      <c r="AE709" s="39">
        <f t="shared" ca="1" si="246"/>
        <v>34</v>
      </c>
      <c r="AF709" s="39" t="str">
        <f t="shared" si="247"/>
        <v>DAV</v>
      </c>
      <c r="AG709" s="39" t="str">
        <f t="shared" si="248"/>
        <v>ER-231202-0708</v>
      </c>
      <c r="AH709" s="39" t="str">
        <f>IF(AND(OR(Filter!$B$4="All",D709=Filter!$B$4),OR(Filter!$B$5="All",M709=Filter!$B$5),E709&gt;=Filter!$B$6),MAX(AH$1:AH708)+1,"")</f>
        <v/>
      </c>
      <c r="AI709" s="39">
        <f t="shared" si="249"/>
        <v>24</v>
      </c>
      <c r="AJ709" s="42">
        <f t="shared" si="250"/>
        <v>0.2</v>
      </c>
      <c r="AK709" s="41">
        <f t="shared" si="251"/>
        <v>2439.4899999999998</v>
      </c>
      <c r="AL709" s="39">
        <f>RANK(E709,$E$2:$E$1001,0)+COUNTIF($E$2:E709,E709)-1</f>
        <v>822</v>
      </c>
    </row>
    <row r="710" spans="1:38" x14ac:dyDescent="0.2">
      <c r="A710" s="39">
        <v>1092</v>
      </c>
      <c r="B710" s="40">
        <v>45094</v>
      </c>
      <c r="C710" s="39" t="s">
        <v>76</v>
      </c>
      <c r="D710" s="39" t="s">
        <v>59</v>
      </c>
      <c r="E710" s="41">
        <v>862.02</v>
      </c>
      <c r="F710" s="39">
        <v>21</v>
      </c>
      <c r="G710" s="39" t="s">
        <v>60</v>
      </c>
      <c r="H710" s="41">
        <v>2792.2</v>
      </c>
      <c r="I710" s="41">
        <v>3254.55</v>
      </c>
      <c r="J710" s="39" t="s">
        <v>143</v>
      </c>
      <c r="K710" s="42">
        <v>0.02</v>
      </c>
      <c r="L710" s="39" t="s">
        <v>73</v>
      </c>
      <c r="M710" s="39" t="s">
        <v>140</v>
      </c>
      <c r="N710" s="39" t="s">
        <v>157</v>
      </c>
      <c r="O710" s="43">
        <f t="shared" si="231"/>
        <v>68345.55</v>
      </c>
      <c r="P710" s="43">
        <f t="shared" si="232"/>
        <v>66978.64</v>
      </c>
      <c r="Q710" s="43">
        <f t="shared" si="233"/>
        <v>58636.2</v>
      </c>
      <c r="R710" s="43">
        <f t="shared" si="234"/>
        <v>8342.4400000000023</v>
      </c>
      <c r="S710" s="44">
        <f t="shared" si="235"/>
        <v>0.12455373832612908</v>
      </c>
      <c r="T710" s="39" t="str">
        <f t="shared" si="236"/>
        <v>OK</v>
      </c>
      <c r="U710" s="39" t="str">
        <f t="shared" si="237"/>
        <v>0-9%</v>
      </c>
      <c r="V710" s="39" t="str">
        <f>IF(E710&gt;=Analysis!$B$4,"High",IF(E710&gt;=Analysis!$B$5,"Mid","Low"))</f>
        <v>Low</v>
      </c>
      <c r="W710" s="39" t="str">
        <f t="shared" si="238"/>
        <v>2023-06</v>
      </c>
      <c r="X710" s="40">
        <f t="shared" si="239"/>
        <v>45107</v>
      </c>
      <c r="Y710" s="39" t="str">
        <f t="shared" si="240"/>
        <v>2023-Q2</v>
      </c>
      <c r="Z710" s="39" t="str">
        <f t="shared" si="241"/>
        <v>Sat</v>
      </c>
      <c r="AA710" s="39">
        <f t="shared" si="242"/>
        <v>6</v>
      </c>
      <c r="AB710" s="39">
        <f t="shared" si="243"/>
        <v>25</v>
      </c>
      <c r="AC710" s="39" t="str">
        <f t="shared" si="244"/>
        <v>Weekend</v>
      </c>
      <c r="AD710" s="39">
        <f t="shared" ca="1" si="245"/>
        <v>1225</v>
      </c>
      <c r="AE710" s="39">
        <f t="shared" ca="1" si="246"/>
        <v>40</v>
      </c>
      <c r="AF710" s="39" t="str">
        <f t="shared" si="247"/>
        <v>DAV</v>
      </c>
      <c r="AG710" s="39" t="str">
        <f t="shared" si="248"/>
        <v>ER-230617-0709</v>
      </c>
      <c r="AH710" s="39" t="str">
        <f>IF(AND(OR(Filter!$B$4="All",D710=Filter!$B$4),OR(Filter!$B$5="All",M710=Filter!$B$5),E710&gt;=Filter!$B$6),MAX(AH$1:AH709)+1,"")</f>
        <v/>
      </c>
      <c r="AI710" s="39">
        <f t="shared" si="249"/>
        <v>21</v>
      </c>
      <c r="AJ710" s="42">
        <f t="shared" si="250"/>
        <v>0.02</v>
      </c>
      <c r="AK710" s="41">
        <f t="shared" si="251"/>
        <v>3254.55</v>
      </c>
      <c r="AL710" s="39">
        <f>RANK(E710,$E$2:$E$1001,0)+COUNTIF($E$2:E710,E710)-1</f>
        <v>915</v>
      </c>
    </row>
    <row r="711" spans="1:38" x14ac:dyDescent="0.2">
      <c r="A711" s="39">
        <v>1062</v>
      </c>
      <c r="B711" s="40">
        <v>45018</v>
      </c>
      <c r="C711" s="39" t="s">
        <v>66</v>
      </c>
      <c r="D711" s="39" t="s">
        <v>59</v>
      </c>
      <c r="E711" s="41">
        <v>6991.95</v>
      </c>
      <c r="F711" s="39">
        <v>10</v>
      </c>
      <c r="G711" s="39" t="s">
        <v>60</v>
      </c>
      <c r="H711" s="41">
        <v>1524.88</v>
      </c>
      <c r="I711" s="41">
        <v>1636.14</v>
      </c>
      <c r="J711" s="39" t="s">
        <v>143</v>
      </c>
      <c r="K711" s="42">
        <v>0.2</v>
      </c>
      <c r="L711" s="39" t="s">
        <v>63</v>
      </c>
      <c r="M711" s="39" t="s">
        <v>138</v>
      </c>
      <c r="N711" s="39" t="s">
        <v>153</v>
      </c>
      <c r="O711" s="43">
        <f t="shared" si="231"/>
        <v>16361.4</v>
      </c>
      <c r="P711" s="43">
        <f t="shared" si="232"/>
        <v>13089.12</v>
      </c>
      <c r="Q711" s="43">
        <f t="shared" si="233"/>
        <v>15248.8</v>
      </c>
      <c r="R711" s="43">
        <f t="shared" si="234"/>
        <v>-2159.6799999999985</v>
      </c>
      <c r="S711" s="44">
        <f t="shared" si="235"/>
        <v>-0.16499810529661263</v>
      </c>
      <c r="T711" s="39" t="str">
        <f t="shared" si="236"/>
        <v>Loss</v>
      </c>
      <c r="U711" s="39" t="str">
        <f t="shared" si="237"/>
        <v>20%+</v>
      </c>
      <c r="V711" s="39" t="str">
        <f>IF(E711&gt;=Analysis!$B$4,"High",IF(E711&gt;=Analysis!$B$5,"Mid","Low"))</f>
        <v>Mid</v>
      </c>
      <c r="W711" s="39" t="str">
        <f t="shared" si="238"/>
        <v>2023-04</v>
      </c>
      <c r="X711" s="40">
        <f t="shared" si="239"/>
        <v>45046</v>
      </c>
      <c r="Y711" s="39" t="str">
        <f t="shared" si="240"/>
        <v>2023-Q2</v>
      </c>
      <c r="Z711" s="39" t="str">
        <f t="shared" si="241"/>
        <v>Sun</v>
      </c>
      <c r="AA711" s="39">
        <f t="shared" si="242"/>
        <v>7</v>
      </c>
      <c r="AB711" s="39">
        <f t="shared" si="243"/>
        <v>14</v>
      </c>
      <c r="AC711" s="39" t="str">
        <f t="shared" si="244"/>
        <v>Weekend</v>
      </c>
      <c r="AD711" s="39">
        <f t="shared" ca="1" si="245"/>
        <v>1301</v>
      </c>
      <c r="AE711" s="39">
        <f t="shared" ca="1" si="246"/>
        <v>42</v>
      </c>
      <c r="AF711" s="39" t="str">
        <f t="shared" si="247"/>
        <v>BOB</v>
      </c>
      <c r="AG711" s="39" t="str">
        <f t="shared" si="248"/>
        <v>EO-230402-0710</v>
      </c>
      <c r="AH711" s="39" t="str">
        <f>IF(AND(OR(Filter!$B$4="All",D711=Filter!$B$4),OR(Filter!$B$5="All",M711=Filter!$B$5),E711&gt;=Filter!$B$6),MAX(AH$1:AH710)+1,"")</f>
        <v/>
      </c>
      <c r="AI711" s="39">
        <f t="shared" si="249"/>
        <v>10</v>
      </c>
      <c r="AJ711" s="42">
        <f t="shared" si="250"/>
        <v>0.2</v>
      </c>
      <c r="AK711" s="41">
        <f t="shared" si="251"/>
        <v>1636.14</v>
      </c>
      <c r="AL711" s="39">
        <f>RANK(E711,$E$2:$E$1001,0)+COUNTIF($E$2:E711,E711)-1</f>
        <v>304</v>
      </c>
    </row>
    <row r="712" spans="1:38" x14ac:dyDescent="0.2">
      <c r="A712" s="39">
        <v>1063</v>
      </c>
      <c r="B712" s="40">
        <v>45279</v>
      </c>
      <c r="C712" s="39" t="s">
        <v>71</v>
      </c>
      <c r="D712" s="39" t="s">
        <v>74</v>
      </c>
      <c r="E712" s="41">
        <v>3889.71</v>
      </c>
      <c r="F712" s="39">
        <v>46</v>
      </c>
      <c r="G712" s="39" t="s">
        <v>75</v>
      </c>
      <c r="H712" s="41">
        <v>2302.62</v>
      </c>
      <c r="I712" s="41">
        <v>2740.93</v>
      </c>
      <c r="J712" s="39" t="s">
        <v>137</v>
      </c>
      <c r="K712" s="42">
        <v>0.25</v>
      </c>
      <c r="L712" s="39" t="s">
        <v>63</v>
      </c>
      <c r="M712" s="39" t="s">
        <v>138</v>
      </c>
      <c r="N712" s="39" t="s">
        <v>146</v>
      </c>
      <c r="O712" s="43">
        <f t="shared" si="231"/>
        <v>126082.78</v>
      </c>
      <c r="P712" s="43">
        <f t="shared" si="232"/>
        <v>94562.09</v>
      </c>
      <c r="Q712" s="43">
        <f t="shared" si="233"/>
        <v>105920.52</v>
      </c>
      <c r="R712" s="43">
        <f t="shared" si="234"/>
        <v>-11358.430000000008</v>
      </c>
      <c r="S712" s="44">
        <f t="shared" si="235"/>
        <v>-0.12011610572482068</v>
      </c>
      <c r="T712" s="39" t="str">
        <f t="shared" si="236"/>
        <v>Loss</v>
      </c>
      <c r="U712" s="39" t="str">
        <f t="shared" si="237"/>
        <v>20%+</v>
      </c>
      <c r="V712" s="39" t="str">
        <f>IF(E712&gt;=Analysis!$B$4,"High",IF(E712&gt;=Analysis!$B$5,"Mid","Low"))</f>
        <v>Mid</v>
      </c>
      <c r="W712" s="39" t="str">
        <f t="shared" si="238"/>
        <v>2023-12</v>
      </c>
      <c r="X712" s="40">
        <f t="shared" si="239"/>
        <v>45291</v>
      </c>
      <c r="Y712" s="39" t="str">
        <f t="shared" si="240"/>
        <v>2023-Q4</v>
      </c>
      <c r="Z712" s="39" t="str">
        <f t="shared" si="241"/>
        <v>Tue</v>
      </c>
      <c r="AA712" s="39">
        <f t="shared" si="242"/>
        <v>2</v>
      </c>
      <c r="AB712" s="39">
        <f t="shared" si="243"/>
        <v>52</v>
      </c>
      <c r="AC712" s="39" t="str">
        <f t="shared" si="244"/>
        <v>Weekday</v>
      </c>
      <c r="AD712" s="39">
        <f t="shared" ca="1" si="245"/>
        <v>1040</v>
      </c>
      <c r="AE712" s="39">
        <f t="shared" ca="1" si="246"/>
        <v>34</v>
      </c>
      <c r="AF712" s="39" t="str">
        <f t="shared" si="247"/>
        <v>CHA</v>
      </c>
      <c r="AG712" s="39" t="str">
        <f t="shared" si="248"/>
        <v>WO-231219-0711</v>
      </c>
      <c r="AH712" s="39" t="str">
        <f>IF(AND(OR(Filter!$B$4="All",D712=Filter!$B$4),OR(Filter!$B$5="All",M712=Filter!$B$5),E712&gt;=Filter!$B$6),MAX(AH$1:AH711)+1,"")</f>
        <v/>
      </c>
      <c r="AI712" s="39">
        <f t="shared" si="249"/>
        <v>46</v>
      </c>
      <c r="AJ712" s="42">
        <f t="shared" si="250"/>
        <v>0.25</v>
      </c>
      <c r="AK712" s="41">
        <f t="shared" si="251"/>
        <v>2740.93</v>
      </c>
      <c r="AL712" s="39">
        <f>RANK(E712,$E$2:$E$1001,0)+COUNTIF($E$2:E712,E712)-1</f>
        <v>608</v>
      </c>
    </row>
    <row r="713" spans="1:38" x14ac:dyDescent="0.2">
      <c r="A713" s="39">
        <v>1025</v>
      </c>
      <c r="B713" s="40">
        <v>44985</v>
      </c>
      <c r="C713" s="39" t="s">
        <v>66</v>
      </c>
      <c r="D713" s="39" t="s">
        <v>59</v>
      </c>
      <c r="E713" s="41">
        <v>8236.1299999999992</v>
      </c>
      <c r="F713" s="39">
        <v>14</v>
      </c>
      <c r="G713" s="39" t="s">
        <v>65</v>
      </c>
      <c r="H713" s="41">
        <v>859.59</v>
      </c>
      <c r="I713" s="41">
        <v>884.51</v>
      </c>
      <c r="J713" s="39" t="s">
        <v>143</v>
      </c>
      <c r="K713" s="42">
        <v>0.12</v>
      </c>
      <c r="L713" s="39" t="s">
        <v>63</v>
      </c>
      <c r="M713" s="39" t="s">
        <v>138</v>
      </c>
      <c r="N713" s="39" t="s">
        <v>153</v>
      </c>
      <c r="O713" s="43">
        <f t="shared" si="231"/>
        <v>12383.14</v>
      </c>
      <c r="P713" s="43">
        <f t="shared" si="232"/>
        <v>10897.16</v>
      </c>
      <c r="Q713" s="43">
        <f t="shared" si="233"/>
        <v>12034.26</v>
      </c>
      <c r="R713" s="43">
        <f t="shared" si="234"/>
        <v>-1137.1000000000004</v>
      </c>
      <c r="S713" s="44">
        <f t="shared" si="235"/>
        <v>-0.10434828891197342</v>
      </c>
      <c r="T713" s="39" t="str">
        <f t="shared" si="236"/>
        <v>Loss</v>
      </c>
      <c r="U713" s="39" t="str">
        <f t="shared" si="237"/>
        <v>10-19%</v>
      </c>
      <c r="V713" s="39" t="str">
        <f>IF(E713&gt;=Analysis!$B$4,"High",IF(E713&gt;=Analysis!$B$5,"Mid","Low"))</f>
        <v>High</v>
      </c>
      <c r="W713" s="39" t="str">
        <f t="shared" si="238"/>
        <v>2023-02</v>
      </c>
      <c r="X713" s="40">
        <f t="shared" si="239"/>
        <v>44985</v>
      </c>
      <c r="Y713" s="39" t="str">
        <f t="shared" si="240"/>
        <v>2023-Q1</v>
      </c>
      <c r="Z713" s="39" t="str">
        <f t="shared" si="241"/>
        <v>Tue</v>
      </c>
      <c r="AA713" s="39">
        <f t="shared" si="242"/>
        <v>2</v>
      </c>
      <c r="AB713" s="39">
        <f t="shared" si="243"/>
        <v>10</v>
      </c>
      <c r="AC713" s="39" t="str">
        <f t="shared" si="244"/>
        <v>Weekday</v>
      </c>
      <c r="AD713" s="39">
        <f t="shared" ca="1" si="245"/>
        <v>1334</v>
      </c>
      <c r="AE713" s="39">
        <f t="shared" ca="1" si="246"/>
        <v>43</v>
      </c>
      <c r="AF713" s="39" t="str">
        <f t="shared" si="247"/>
        <v>BOB</v>
      </c>
      <c r="AG713" s="39" t="str">
        <f t="shared" si="248"/>
        <v>EO-230228-0712</v>
      </c>
      <c r="AH713" s="39" t="str">
        <f>IF(AND(OR(Filter!$B$4="All",D713=Filter!$B$4),OR(Filter!$B$5="All",M713=Filter!$B$5),E713&gt;=Filter!$B$6),MAX(AH$1:AH712)+1,"")</f>
        <v/>
      </c>
      <c r="AI713" s="39">
        <f t="shared" si="249"/>
        <v>14</v>
      </c>
      <c r="AJ713" s="42">
        <f t="shared" si="250"/>
        <v>0.12</v>
      </c>
      <c r="AK713" s="41">
        <f t="shared" si="251"/>
        <v>884.51</v>
      </c>
      <c r="AL713" s="39">
        <f>RANK(E713,$E$2:$E$1001,0)+COUNTIF($E$2:E713,E713)-1</f>
        <v>169</v>
      </c>
    </row>
    <row r="714" spans="1:38" x14ac:dyDescent="0.2">
      <c r="A714" s="39">
        <v>1056</v>
      </c>
      <c r="B714" s="40">
        <v>44985</v>
      </c>
      <c r="C714" s="39" t="s">
        <v>79</v>
      </c>
      <c r="D714" s="39" t="s">
        <v>64</v>
      </c>
      <c r="E714" s="41">
        <v>6629.16</v>
      </c>
      <c r="F714" s="39">
        <v>37</v>
      </c>
      <c r="G714" s="39" t="s">
        <v>65</v>
      </c>
      <c r="H714" s="41">
        <v>1555.41</v>
      </c>
      <c r="I714" s="41">
        <v>1609.94</v>
      </c>
      <c r="J714" s="39" t="s">
        <v>137</v>
      </c>
      <c r="K714" s="42">
        <v>0.16</v>
      </c>
      <c r="L714" s="39" t="s">
        <v>73</v>
      </c>
      <c r="M714" s="39" t="s">
        <v>138</v>
      </c>
      <c r="N714" s="39" t="s">
        <v>148</v>
      </c>
      <c r="O714" s="43">
        <f t="shared" si="231"/>
        <v>59567.78</v>
      </c>
      <c r="P714" s="43">
        <f t="shared" si="232"/>
        <v>50036.94</v>
      </c>
      <c r="Q714" s="43">
        <f t="shared" si="233"/>
        <v>57550.17</v>
      </c>
      <c r="R714" s="43">
        <f t="shared" si="234"/>
        <v>-7513.2299999999959</v>
      </c>
      <c r="S714" s="44">
        <f t="shared" si="235"/>
        <v>-0.15015366647121098</v>
      </c>
      <c r="T714" s="39" t="str">
        <f t="shared" si="236"/>
        <v>Loss</v>
      </c>
      <c r="U714" s="39" t="str">
        <f t="shared" si="237"/>
        <v>10-19%</v>
      </c>
      <c r="V714" s="39" t="str">
        <f>IF(E714&gt;=Analysis!$B$4,"High",IF(E714&gt;=Analysis!$B$5,"Mid","Low"))</f>
        <v>Mid</v>
      </c>
      <c r="W714" s="39" t="str">
        <f t="shared" si="238"/>
        <v>2023-02</v>
      </c>
      <c r="X714" s="40">
        <f t="shared" si="239"/>
        <v>44985</v>
      </c>
      <c r="Y714" s="39" t="str">
        <f t="shared" si="240"/>
        <v>2023-Q1</v>
      </c>
      <c r="Z714" s="39" t="str">
        <f t="shared" si="241"/>
        <v>Tue</v>
      </c>
      <c r="AA714" s="39">
        <f t="shared" si="242"/>
        <v>2</v>
      </c>
      <c r="AB714" s="39">
        <f t="shared" si="243"/>
        <v>10</v>
      </c>
      <c r="AC714" s="39" t="str">
        <f t="shared" si="244"/>
        <v>Weekday</v>
      </c>
      <c r="AD714" s="39">
        <f t="shared" ca="1" si="245"/>
        <v>1334</v>
      </c>
      <c r="AE714" s="39">
        <f t="shared" ca="1" si="246"/>
        <v>43</v>
      </c>
      <c r="AF714" s="39" t="str">
        <f t="shared" si="247"/>
        <v>EVE</v>
      </c>
      <c r="AG714" s="39" t="str">
        <f t="shared" si="248"/>
        <v>NO-230228-0713</v>
      </c>
      <c r="AH714" s="39" t="str">
        <f>IF(AND(OR(Filter!$B$4="All",D714=Filter!$B$4),OR(Filter!$B$5="All",M714=Filter!$B$5),E714&gt;=Filter!$B$6),MAX(AH$1:AH713)+1,"")</f>
        <v/>
      </c>
      <c r="AI714" s="39">
        <f t="shared" si="249"/>
        <v>37</v>
      </c>
      <c r="AJ714" s="42">
        <f t="shared" si="250"/>
        <v>0.16</v>
      </c>
      <c r="AK714" s="41">
        <f t="shared" si="251"/>
        <v>1609.94</v>
      </c>
      <c r="AL714" s="39">
        <f>RANK(E714,$E$2:$E$1001,0)+COUNTIF($E$2:E714,E714)-1</f>
        <v>345</v>
      </c>
    </row>
    <row r="715" spans="1:38" x14ac:dyDescent="0.2">
      <c r="A715" s="39">
        <v>1033</v>
      </c>
      <c r="B715" s="40">
        <v>45230</v>
      </c>
      <c r="C715" s="39" t="s">
        <v>79</v>
      </c>
      <c r="D715" s="39" t="s">
        <v>59</v>
      </c>
      <c r="E715" s="41">
        <v>7982.79</v>
      </c>
      <c r="F715" s="39">
        <v>18</v>
      </c>
      <c r="G715" s="39" t="s">
        <v>75</v>
      </c>
      <c r="H715" s="41">
        <v>3124.48</v>
      </c>
      <c r="I715" s="41">
        <v>3553.27</v>
      </c>
      <c r="J715" s="39" t="s">
        <v>137</v>
      </c>
      <c r="K715" s="42">
        <v>0.12</v>
      </c>
      <c r="L715" s="39" t="s">
        <v>68</v>
      </c>
      <c r="M715" s="39" t="s">
        <v>140</v>
      </c>
      <c r="N715" s="39" t="s">
        <v>155</v>
      </c>
      <c r="O715" s="43">
        <f t="shared" si="231"/>
        <v>63958.86</v>
      </c>
      <c r="P715" s="43">
        <f t="shared" si="232"/>
        <v>56283.8</v>
      </c>
      <c r="Q715" s="43">
        <f t="shared" si="233"/>
        <v>56240.639999999999</v>
      </c>
      <c r="R715" s="43">
        <f t="shared" si="234"/>
        <v>43.160000000003492</v>
      </c>
      <c r="S715" s="44">
        <f t="shared" si="235"/>
        <v>7.6682811039772525E-4</v>
      </c>
      <c r="T715" s="39" t="str">
        <f t="shared" si="236"/>
        <v>OK</v>
      </c>
      <c r="U715" s="39" t="str">
        <f t="shared" si="237"/>
        <v>10-19%</v>
      </c>
      <c r="V715" s="39" t="str">
        <f>IF(E715&gt;=Analysis!$B$4,"High",IF(E715&gt;=Analysis!$B$5,"Mid","Low"))</f>
        <v>High</v>
      </c>
      <c r="W715" s="39" t="str">
        <f t="shared" si="238"/>
        <v>2023-10</v>
      </c>
      <c r="X715" s="40">
        <f t="shared" si="239"/>
        <v>45230</v>
      </c>
      <c r="Y715" s="39" t="str">
        <f t="shared" si="240"/>
        <v>2023-Q4</v>
      </c>
      <c r="Z715" s="39" t="str">
        <f t="shared" si="241"/>
        <v>Tue</v>
      </c>
      <c r="AA715" s="39">
        <f t="shared" si="242"/>
        <v>2</v>
      </c>
      <c r="AB715" s="39">
        <f t="shared" si="243"/>
        <v>45</v>
      </c>
      <c r="AC715" s="39" t="str">
        <f t="shared" si="244"/>
        <v>Weekday</v>
      </c>
      <c r="AD715" s="39">
        <f t="shared" ca="1" si="245"/>
        <v>1089</v>
      </c>
      <c r="AE715" s="39">
        <f t="shared" ca="1" si="246"/>
        <v>35</v>
      </c>
      <c r="AF715" s="39" t="str">
        <f t="shared" si="247"/>
        <v>EVE</v>
      </c>
      <c r="AG715" s="39" t="str">
        <f t="shared" si="248"/>
        <v>ER-231031-0714</v>
      </c>
      <c r="AH715" s="39" t="str">
        <f>IF(AND(OR(Filter!$B$4="All",D715=Filter!$B$4),OR(Filter!$B$5="All",M715=Filter!$B$5),E715&gt;=Filter!$B$6),MAX(AH$1:AH714)+1,"")</f>
        <v/>
      </c>
      <c r="AI715" s="39">
        <f t="shared" si="249"/>
        <v>18</v>
      </c>
      <c r="AJ715" s="42">
        <f t="shared" si="250"/>
        <v>0.12</v>
      </c>
      <c r="AK715" s="41">
        <f t="shared" si="251"/>
        <v>3553.27</v>
      </c>
      <c r="AL715" s="39">
        <f>RANK(E715,$E$2:$E$1001,0)+COUNTIF($E$2:E715,E715)-1</f>
        <v>197</v>
      </c>
    </row>
    <row r="716" spans="1:38" x14ac:dyDescent="0.2">
      <c r="A716" s="39">
        <v>1038</v>
      </c>
      <c r="B716" s="40">
        <v>45095</v>
      </c>
      <c r="C716" s="39" t="s">
        <v>79</v>
      </c>
      <c r="D716" s="39" t="s">
        <v>74</v>
      </c>
      <c r="E716" s="41">
        <v>2792.27</v>
      </c>
      <c r="F716" s="39">
        <v>24</v>
      </c>
      <c r="G716" s="39" t="s">
        <v>60</v>
      </c>
      <c r="H716" s="41">
        <v>1543.91</v>
      </c>
      <c r="I716" s="41">
        <v>1862.88</v>
      </c>
      <c r="J716" s="39" t="s">
        <v>143</v>
      </c>
      <c r="K716" s="42">
        <v>0.09</v>
      </c>
      <c r="L716" s="39" t="s">
        <v>63</v>
      </c>
      <c r="M716" s="39" t="s">
        <v>138</v>
      </c>
      <c r="N716" s="39" t="s">
        <v>149</v>
      </c>
      <c r="O716" s="43">
        <f t="shared" si="231"/>
        <v>44709.120000000003</v>
      </c>
      <c r="P716" s="43">
        <f t="shared" si="232"/>
        <v>40685.300000000003</v>
      </c>
      <c r="Q716" s="43">
        <f t="shared" si="233"/>
        <v>37053.839999999997</v>
      </c>
      <c r="R716" s="43">
        <f t="shared" si="234"/>
        <v>3631.4600000000064</v>
      </c>
      <c r="S716" s="44">
        <f t="shared" si="235"/>
        <v>8.9257299319410358E-2</v>
      </c>
      <c r="T716" s="39" t="str">
        <f t="shared" si="236"/>
        <v>OK</v>
      </c>
      <c r="U716" s="39" t="str">
        <f t="shared" si="237"/>
        <v>0-9%</v>
      </c>
      <c r="V716" s="39" t="str">
        <f>IF(E716&gt;=Analysis!$B$4,"High",IF(E716&gt;=Analysis!$B$5,"Mid","Low"))</f>
        <v>Mid</v>
      </c>
      <c r="W716" s="39" t="str">
        <f t="shared" si="238"/>
        <v>2023-06</v>
      </c>
      <c r="X716" s="40">
        <f t="shared" si="239"/>
        <v>45107</v>
      </c>
      <c r="Y716" s="39" t="str">
        <f t="shared" si="240"/>
        <v>2023-Q2</v>
      </c>
      <c r="Z716" s="39" t="str">
        <f t="shared" si="241"/>
        <v>Sun</v>
      </c>
      <c r="AA716" s="39">
        <f t="shared" si="242"/>
        <v>7</v>
      </c>
      <c r="AB716" s="39">
        <f t="shared" si="243"/>
        <v>25</v>
      </c>
      <c r="AC716" s="39" t="str">
        <f t="shared" si="244"/>
        <v>Weekend</v>
      </c>
      <c r="AD716" s="39">
        <f t="shared" ca="1" si="245"/>
        <v>1224</v>
      </c>
      <c r="AE716" s="39">
        <f t="shared" ca="1" si="246"/>
        <v>40</v>
      </c>
      <c r="AF716" s="39" t="str">
        <f t="shared" si="247"/>
        <v>EVE</v>
      </c>
      <c r="AG716" s="39" t="str">
        <f t="shared" si="248"/>
        <v>WO-230618-0715</v>
      </c>
      <c r="AH716" s="39" t="str">
        <f>IF(AND(OR(Filter!$B$4="All",D716=Filter!$B$4),OR(Filter!$B$5="All",M716=Filter!$B$5),E716&gt;=Filter!$B$6),MAX(AH$1:AH715)+1,"")</f>
        <v/>
      </c>
      <c r="AI716" s="39">
        <f t="shared" si="249"/>
        <v>24</v>
      </c>
      <c r="AJ716" s="42">
        <f t="shared" si="250"/>
        <v>0.09</v>
      </c>
      <c r="AK716" s="41">
        <f t="shared" si="251"/>
        <v>1862.88</v>
      </c>
      <c r="AL716" s="39">
        <f>RANK(E716,$E$2:$E$1001,0)+COUNTIF($E$2:E716,E716)-1</f>
        <v>718</v>
      </c>
    </row>
    <row r="717" spans="1:38" x14ac:dyDescent="0.2">
      <c r="A717" s="39">
        <v>1006</v>
      </c>
      <c r="B717" s="40">
        <v>45195</v>
      </c>
      <c r="C717" s="39" t="s">
        <v>66</v>
      </c>
      <c r="D717" s="39" t="s">
        <v>59</v>
      </c>
      <c r="E717" s="41">
        <v>6954.35</v>
      </c>
      <c r="F717" s="39">
        <v>14</v>
      </c>
      <c r="G717" s="39" t="s">
        <v>70</v>
      </c>
      <c r="H717" s="41">
        <v>4503.7299999999996</v>
      </c>
      <c r="I717" s="41">
        <v>4879.88</v>
      </c>
      <c r="J717" s="39" t="s">
        <v>143</v>
      </c>
      <c r="K717" s="42">
        <v>0.24</v>
      </c>
      <c r="L717" s="39" t="s">
        <v>63</v>
      </c>
      <c r="M717" s="39" t="s">
        <v>140</v>
      </c>
      <c r="N717" s="39" t="s">
        <v>153</v>
      </c>
      <c r="O717" s="43">
        <f t="shared" si="231"/>
        <v>68318.320000000007</v>
      </c>
      <c r="P717" s="43">
        <f t="shared" si="232"/>
        <v>51921.919999999998</v>
      </c>
      <c r="Q717" s="43">
        <f t="shared" si="233"/>
        <v>63052.22</v>
      </c>
      <c r="R717" s="43">
        <f t="shared" si="234"/>
        <v>-11130.300000000003</v>
      </c>
      <c r="S717" s="44">
        <f t="shared" si="235"/>
        <v>-0.21436610972783757</v>
      </c>
      <c r="T717" s="39" t="str">
        <f t="shared" si="236"/>
        <v>Loss</v>
      </c>
      <c r="U717" s="39" t="str">
        <f t="shared" si="237"/>
        <v>20%+</v>
      </c>
      <c r="V717" s="39" t="str">
        <f>IF(E717&gt;=Analysis!$B$4,"High",IF(E717&gt;=Analysis!$B$5,"Mid","Low"))</f>
        <v>Mid</v>
      </c>
      <c r="W717" s="39" t="str">
        <f t="shared" si="238"/>
        <v>2023-09</v>
      </c>
      <c r="X717" s="40">
        <f t="shared" si="239"/>
        <v>45199</v>
      </c>
      <c r="Y717" s="39" t="str">
        <f t="shared" si="240"/>
        <v>2023-Q3</v>
      </c>
      <c r="Z717" s="39" t="str">
        <f t="shared" si="241"/>
        <v>Tue</v>
      </c>
      <c r="AA717" s="39">
        <f t="shared" si="242"/>
        <v>2</v>
      </c>
      <c r="AB717" s="39">
        <f t="shared" si="243"/>
        <v>40</v>
      </c>
      <c r="AC717" s="39" t="str">
        <f t="shared" si="244"/>
        <v>Weekday</v>
      </c>
      <c r="AD717" s="39">
        <f t="shared" ca="1" si="245"/>
        <v>1124</v>
      </c>
      <c r="AE717" s="39">
        <f t="shared" ca="1" si="246"/>
        <v>36</v>
      </c>
      <c r="AF717" s="39" t="str">
        <f t="shared" si="247"/>
        <v>BOB</v>
      </c>
      <c r="AG717" s="39" t="str">
        <f t="shared" si="248"/>
        <v>ER-230926-0716</v>
      </c>
      <c r="AH717" s="39" t="str">
        <f>IF(AND(OR(Filter!$B$4="All",D717=Filter!$B$4),OR(Filter!$B$5="All",M717=Filter!$B$5),E717&gt;=Filter!$B$6),MAX(AH$1:AH716)+1,"")</f>
        <v/>
      </c>
      <c r="AI717" s="39">
        <f t="shared" si="249"/>
        <v>14</v>
      </c>
      <c r="AJ717" s="42">
        <f t="shared" si="250"/>
        <v>0.24</v>
      </c>
      <c r="AK717" s="41">
        <f t="shared" si="251"/>
        <v>4879.88</v>
      </c>
      <c r="AL717" s="39">
        <f>RANK(E717,$E$2:$E$1001,0)+COUNTIF($E$2:E717,E717)-1</f>
        <v>309</v>
      </c>
    </row>
    <row r="718" spans="1:38" x14ac:dyDescent="0.2">
      <c r="A718" s="39">
        <v>1058</v>
      </c>
      <c r="B718" s="40">
        <v>45289</v>
      </c>
      <c r="C718" s="39" t="s">
        <v>76</v>
      </c>
      <c r="D718" s="39" t="s">
        <v>64</v>
      </c>
      <c r="E718" s="41">
        <v>2714.21</v>
      </c>
      <c r="F718" s="39">
        <v>34</v>
      </c>
      <c r="G718" s="39" t="s">
        <v>65</v>
      </c>
      <c r="H718" s="41">
        <v>3160.61</v>
      </c>
      <c r="I718" s="41">
        <v>3273.22</v>
      </c>
      <c r="J718" s="39" t="s">
        <v>137</v>
      </c>
      <c r="K718" s="42">
        <v>0.08</v>
      </c>
      <c r="L718" s="39" t="s">
        <v>73</v>
      </c>
      <c r="M718" s="39" t="s">
        <v>140</v>
      </c>
      <c r="N718" s="39" t="s">
        <v>152</v>
      </c>
      <c r="O718" s="43">
        <f t="shared" si="231"/>
        <v>111289.48</v>
      </c>
      <c r="P718" s="43">
        <f t="shared" si="232"/>
        <v>102386.32</v>
      </c>
      <c r="Q718" s="43">
        <f t="shared" si="233"/>
        <v>107460.74</v>
      </c>
      <c r="R718" s="43">
        <f t="shared" si="234"/>
        <v>-5074.4199999999983</v>
      </c>
      <c r="S718" s="44">
        <f t="shared" si="235"/>
        <v>-4.9561503919664247E-2</v>
      </c>
      <c r="T718" s="39" t="str">
        <f t="shared" si="236"/>
        <v>Loss</v>
      </c>
      <c r="U718" s="39" t="str">
        <f t="shared" si="237"/>
        <v>0-9%</v>
      </c>
      <c r="V718" s="39" t="str">
        <f>IF(E718&gt;=Analysis!$B$4,"High",IF(E718&gt;=Analysis!$B$5,"Mid","Low"))</f>
        <v>Mid</v>
      </c>
      <c r="W718" s="39" t="str">
        <f t="shared" si="238"/>
        <v>2023-12</v>
      </c>
      <c r="X718" s="40">
        <f t="shared" si="239"/>
        <v>45291</v>
      </c>
      <c r="Y718" s="39" t="str">
        <f t="shared" si="240"/>
        <v>2023-Q4</v>
      </c>
      <c r="Z718" s="39" t="str">
        <f t="shared" si="241"/>
        <v>Fri</v>
      </c>
      <c r="AA718" s="39">
        <f t="shared" si="242"/>
        <v>5</v>
      </c>
      <c r="AB718" s="39">
        <f t="shared" si="243"/>
        <v>53</v>
      </c>
      <c r="AC718" s="39" t="str">
        <f t="shared" si="244"/>
        <v>Weekday</v>
      </c>
      <c r="AD718" s="39">
        <f t="shared" ca="1" si="245"/>
        <v>1030</v>
      </c>
      <c r="AE718" s="39">
        <f t="shared" ca="1" si="246"/>
        <v>33</v>
      </c>
      <c r="AF718" s="39" t="str">
        <f t="shared" si="247"/>
        <v>DAV</v>
      </c>
      <c r="AG718" s="39" t="str">
        <f t="shared" si="248"/>
        <v>NR-231229-0717</v>
      </c>
      <c r="AH718" s="39" t="str">
        <f>IF(AND(OR(Filter!$B$4="All",D718=Filter!$B$4),OR(Filter!$B$5="All",M718=Filter!$B$5),E718&gt;=Filter!$B$6),MAX(AH$1:AH717)+1,"")</f>
        <v/>
      </c>
      <c r="AI718" s="39">
        <f t="shared" si="249"/>
        <v>34</v>
      </c>
      <c r="AJ718" s="42">
        <f t="shared" si="250"/>
        <v>0.08</v>
      </c>
      <c r="AK718" s="41">
        <f t="shared" si="251"/>
        <v>3273.22</v>
      </c>
      <c r="AL718" s="39">
        <f>RANK(E718,$E$2:$E$1001,0)+COUNTIF($E$2:E718,E718)-1</f>
        <v>732</v>
      </c>
    </row>
    <row r="719" spans="1:38" x14ac:dyDescent="0.2">
      <c r="A719" s="39">
        <v>1044</v>
      </c>
      <c r="B719" s="40">
        <v>44971</v>
      </c>
      <c r="C719" s="39" t="s">
        <v>76</v>
      </c>
      <c r="D719" s="39" t="s">
        <v>74</v>
      </c>
      <c r="E719" s="41">
        <v>9396.7800000000007</v>
      </c>
      <c r="F719" s="39">
        <v>12</v>
      </c>
      <c r="G719" s="39" t="s">
        <v>65</v>
      </c>
      <c r="H719" s="41">
        <v>2221.31</v>
      </c>
      <c r="I719" s="41">
        <v>2494.48</v>
      </c>
      <c r="J719" s="39" t="s">
        <v>137</v>
      </c>
      <c r="K719" s="42">
        <v>0.22</v>
      </c>
      <c r="L719" s="39" t="s">
        <v>63</v>
      </c>
      <c r="M719" s="39" t="s">
        <v>138</v>
      </c>
      <c r="N719" s="39" t="s">
        <v>154</v>
      </c>
      <c r="O719" s="43">
        <f t="shared" si="231"/>
        <v>29933.759999999998</v>
      </c>
      <c r="P719" s="43">
        <f t="shared" si="232"/>
        <v>23348.33</v>
      </c>
      <c r="Q719" s="43">
        <f t="shared" si="233"/>
        <v>26655.72</v>
      </c>
      <c r="R719" s="43">
        <f t="shared" si="234"/>
        <v>-3307.3899999999994</v>
      </c>
      <c r="S719" s="44">
        <f t="shared" si="235"/>
        <v>-0.14165424250899311</v>
      </c>
      <c r="T719" s="39" t="str">
        <f t="shared" si="236"/>
        <v>Loss</v>
      </c>
      <c r="U719" s="39" t="str">
        <f t="shared" si="237"/>
        <v>20%+</v>
      </c>
      <c r="V719" s="39" t="str">
        <f>IF(E719&gt;=Analysis!$B$4,"High",IF(E719&gt;=Analysis!$B$5,"Mid","Low"))</f>
        <v>High</v>
      </c>
      <c r="W719" s="39" t="str">
        <f t="shared" si="238"/>
        <v>2023-02</v>
      </c>
      <c r="X719" s="40">
        <f t="shared" si="239"/>
        <v>44985</v>
      </c>
      <c r="Y719" s="39" t="str">
        <f t="shared" si="240"/>
        <v>2023-Q1</v>
      </c>
      <c r="Z719" s="39" t="str">
        <f t="shared" si="241"/>
        <v>Tue</v>
      </c>
      <c r="AA719" s="39">
        <f t="shared" si="242"/>
        <v>2</v>
      </c>
      <c r="AB719" s="39">
        <f t="shared" si="243"/>
        <v>8</v>
      </c>
      <c r="AC719" s="39" t="str">
        <f t="shared" si="244"/>
        <v>Weekday</v>
      </c>
      <c r="AD719" s="39">
        <f t="shared" ca="1" si="245"/>
        <v>1348</v>
      </c>
      <c r="AE719" s="39">
        <f t="shared" ca="1" si="246"/>
        <v>44</v>
      </c>
      <c r="AF719" s="39" t="str">
        <f t="shared" si="247"/>
        <v>DAV</v>
      </c>
      <c r="AG719" s="39" t="str">
        <f t="shared" si="248"/>
        <v>WO-230214-0718</v>
      </c>
      <c r="AH719" s="39">
        <f>IF(AND(OR(Filter!$B$4="All",D719=Filter!$B$4),OR(Filter!$B$5="All",M719=Filter!$B$5),E719&gt;=Filter!$B$6),MAX(AH$1:AH718)+1,"")</f>
        <v>66</v>
      </c>
      <c r="AI719" s="39">
        <f t="shared" si="249"/>
        <v>12</v>
      </c>
      <c r="AJ719" s="42">
        <f t="shared" si="250"/>
        <v>0.22</v>
      </c>
      <c r="AK719" s="41">
        <f t="shared" si="251"/>
        <v>2494.48</v>
      </c>
      <c r="AL719" s="39">
        <f>RANK(E719,$E$2:$E$1001,0)+COUNTIF($E$2:E719,E719)-1</f>
        <v>63</v>
      </c>
    </row>
    <row r="720" spans="1:38" x14ac:dyDescent="0.2">
      <c r="A720" s="39">
        <v>1045</v>
      </c>
      <c r="B720" s="40">
        <v>45271</v>
      </c>
      <c r="C720" s="39" t="s">
        <v>61</v>
      </c>
      <c r="D720" s="39" t="s">
        <v>74</v>
      </c>
      <c r="E720" s="41">
        <v>6400.11</v>
      </c>
      <c r="F720" s="39">
        <v>22</v>
      </c>
      <c r="G720" s="39" t="s">
        <v>60</v>
      </c>
      <c r="H720" s="41">
        <v>241.85</v>
      </c>
      <c r="I720" s="41">
        <v>613.09</v>
      </c>
      <c r="J720" s="39" t="s">
        <v>137</v>
      </c>
      <c r="K720" s="42">
        <v>0.06</v>
      </c>
      <c r="L720" s="39" t="s">
        <v>68</v>
      </c>
      <c r="M720" s="39" t="s">
        <v>138</v>
      </c>
      <c r="N720" s="39" t="s">
        <v>158</v>
      </c>
      <c r="O720" s="43">
        <f t="shared" si="231"/>
        <v>13487.98</v>
      </c>
      <c r="P720" s="43">
        <f t="shared" si="232"/>
        <v>12678.7</v>
      </c>
      <c r="Q720" s="43">
        <f t="shared" si="233"/>
        <v>5320.7</v>
      </c>
      <c r="R720" s="43">
        <f t="shared" si="234"/>
        <v>7358.0000000000009</v>
      </c>
      <c r="S720" s="44">
        <f t="shared" si="235"/>
        <v>0.58034341060203332</v>
      </c>
      <c r="T720" s="39" t="str">
        <f t="shared" si="236"/>
        <v>OK</v>
      </c>
      <c r="U720" s="39" t="str">
        <f t="shared" si="237"/>
        <v>0-9%</v>
      </c>
      <c r="V720" s="39" t="str">
        <f>IF(E720&gt;=Analysis!$B$4,"High",IF(E720&gt;=Analysis!$B$5,"Mid","Low"))</f>
        <v>Mid</v>
      </c>
      <c r="W720" s="39" t="str">
        <f t="shared" si="238"/>
        <v>2023-12</v>
      </c>
      <c r="X720" s="40">
        <f t="shared" si="239"/>
        <v>45291</v>
      </c>
      <c r="Y720" s="39" t="str">
        <f t="shared" si="240"/>
        <v>2023-Q4</v>
      </c>
      <c r="Z720" s="39" t="str">
        <f t="shared" si="241"/>
        <v>Mon</v>
      </c>
      <c r="AA720" s="39">
        <f t="shared" si="242"/>
        <v>1</v>
      </c>
      <c r="AB720" s="39">
        <f t="shared" si="243"/>
        <v>51</v>
      </c>
      <c r="AC720" s="39" t="str">
        <f t="shared" si="244"/>
        <v>Weekday</v>
      </c>
      <c r="AD720" s="39">
        <f t="shared" ca="1" si="245"/>
        <v>1048</v>
      </c>
      <c r="AE720" s="39">
        <f t="shared" ca="1" si="246"/>
        <v>34</v>
      </c>
      <c r="AF720" s="39" t="str">
        <f t="shared" si="247"/>
        <v>ALI</v>
      </c>
      <c r="AG720" s="39" t="str">
        <f t="shared" si="248"/>
        <v>WO-231211-0719</v>
      </c>
      <c r="AH720" s="39" t="str">
        <f>IF(AND(OR(Filter!$B$4="All",D720=Filter!$B$4),OR(Filter!$B$5="All",M720=Filter!$B$5),E720&gt;=Filter!$B$6),MAX(AH$1:AH719)+1,"")</f>
        <v/>
      </c>
      <c r="AI720" s="39">
        <f t="shared" si="249"/>
        <v>22</v>
      </c>
      <c r="AJ720" s="42">
        <f t="shared" si="250"/>
        <v>0.06</v>
      </c>
      <c r="AK720" s="41">
        <f t="shared" si="251"/>
        <v>613.09</v>
      </c>
      <c r="AL720" s="39">
        <f>RANK(E720,$E$2:$E$1001,0)+COUNTIF($E$2:E720,E720)-1</f>
        <v>367</v>
      </c>
    </row>
    <row r="721" spans="1:38" x14ac:dyDescent="0.2">
      <c r="A721" s="39">
        <v>1032</v>
      </c>
      <c r="B721" s="40">
        <v>45107</v>
      </c>
      <c r="C721" s="39" t="s">
        <v>79</v>
      </c>
      <c r="D721" s="39" t="s">
        <v>64</v>
      </c>
      <c r="E721" s="41">
        <v>3312.67</v>
      </c>
      <c r="F721" s="39">
        <v>6</v>
      </c>
      <c r="G721" s="39" t="s">
        <v>60</v>
      </c>
      <c r="H721" s="41">
        <v>2522.7600000000002</v>
      </c>
      <c r="I721" s="41">
        <v>2840.14</v>
      </c>
      <c r="J721" s="39" t="s">
        <v>137</v>
      </c>
      <c r="K721" s="42">
        <v>7.0000000000000007E-2</v>
      </c>
      <c r="L721" s="39" t="s">
        <v>73</v>
      </c>
      <c r="M721" s="39" t="s">
        <v>140</v>
      </c>
      <c r="N721" s="39" t="s">
        <v>148</v>
      </c>
      <c r="O721" s="43">
        <f t="shared" si="231"/>
        <v>17040.84</v>
      </c>
      <c r="P721" s="43">
        <f t="shared" si="232"/>
        <v>15847.98</v>
      </c>
      <c r="Q721" s="43">
        <f t="shared" si="233"/>
        <v>15136.56</v>
      </c>
      <c r="R721" s="43">
        <f t="shared" si="234"/>
        <v>711.42000000000007</v>
      </c>
      <c r="S721" s="44">
        <f t="shared" si="235"/>
        <v>4.4890263617192859E-2</v>
      </c>
      <c r="T721" s="39" t="str">
        <f t="shared" si="236"/>
        <v>OK</v>
      </c>
      <c r="U721" s="39" t="str">
        <f t="shared" si="237"/>
        <v>0-9%</v>
      </c>
      <c r="V721" s="39" t="str">
        <f>IF(E721&gt;=Analysis!$B$4,"High",IF(E721&gt;=Analysis!$B$5,"Mid","Low"))</f>
        <v>Mid</v>
      </c>
      <c r="W721" s="39" t="str">
        <f t="shared" si="238"/>
        <v>2023-06</v>
      </c>
      <c r="X721" s="40">
        <f t="shared" si="239"/>
        <v>45107</v>
      </c>
      <c r="Y721" s="39" t="str">
        <f t="shared" si="240"/>
        <v>2023-Q2</v>
      </c>
      <c r="Z721" s="39" t="str">
        <f t="shared" si="241"/>
        <v>Fri</v>
      </c>
      <c r="AA721" s="39">
        <f t="shared" si="242"/>
        <v>5</v>
      </c>
      <c r="AB721" s="39">
        <f t="shared" si="243"/>
        <v>27</v>
      </c>
      <c r="AC721" s="39" t="str">
        <f t="shared" si="244"/>
        <v>Weekday</v>
      </c>
      <c r="AD721" s="39">
        <f t="shared" ca="1" si="245"/>
        <v>1212</v>
      </c>
      <c r="AE721" s="39">
        <f t="shared" ca="1" si="246"/>
        <v>39</v>
      </c>
      <c r="AF721" s="39" t="str">
        <f t="shared" si="247"/>
        <v>EVE</v>
      </c>
      <c r="AG721" s="39" t="str">
        <f t="shared" si="248"/>
        <v>NR-230630-0720</v>
      </c>
      <c r="AH721" s="39" t="str">
        <f>IF(AND(OR(Filter!$B$4="All",D721=Filter!$B$4),OR(Filter!$B$5="All",M721=Filter!$B$5),E721&gt;=Filter!$B$6),MAX(AH$1:AH720)+1,"")</f>
        <v/>
      </c>
      <c r="AI721" s="39">
        <f t="shared" si="249"/>
        <v>6</v>
      </c>
      <c r="AJ721" s="42">
        <f t="shared" si="250"/>
        <v>7.0000000000000007E-2</v>
      </c>
      <c r="AK721" s="41">
        <f t="shared" si="251"/>
        <v>2840.14</v>
      </c>
      <c r="AL721" s="39">
        <f>RANK(E721,$E$2:$E$1001,0)+COUNTIF($E$2:E721,E721)-1</f>
        <v>667</v>
      </c>
    </row>
    <row r="722" spans="1:38" x14ac:dyDescent="0.2">
      <c r="A722" s="39">
        <v>1045</v>
      </c>
      <c r="B722" s="40">
        <v>45096</v>
      </c>
      <c r="C722" s="39" t="s">
        <v>76</v>
      </c>
      <c r="D722" s="39" t="s">
        <v>64</v>
      </c>
      <c r="E722" s="41">
        <v>2768.17</v>
      </c>
      <c r="F722" s="39">
        <v>36</v>
      </c>
      <c r="G722" s="39" t="s">
        <v>65</v>
      </c>
      <c r="H722" s="41">
        <v>3835.64</v>
      </c>
      <c r="I722" s="41">
        <v>4076.77</v>
      </c>
      <c r="J722" s="39" t="s">
        <v>137</v>
      </c>
      <c r="K722" s="42">
        <v>0.1</v>
      </c>
      <c r="L722" s="39" t="s">
        <v>73</v>
      </c>
      <c r="M722" s="39" t="s">
        <v>140</v>
      </c>
      <c r="N722" s="39" t="s">
        <v>152</v>
      </c>
      <c r="O722" s="43">
        <f t="shared" si="231"/>
        <v>146763.72</v>
      </c>
      <c r="P722" s="43">
        <f t="shared" si="232"/>
        <v>132087.35</v>
      </c>
      <c r="Q722" s="43">
        <f t="shared" si="233"/>
        <v>138083.04</v>
      </c>
      <c r="R722" s="43">
        <f t="shared" si="234"/>
        <v>-5995.6900000000023</v>
      </c>
      <c r="S722" s="44">
        <f t="shared" si="235"/>
        <v>-4.5391856222416468E-2</v>
      </c>
      <c r="T722" s="39" t="str">
        <f t="shared" si="236"/>
        <v>Loss</v>
      </c>
      <c r="U722" s="39" t="str">
        <f t="shared" si="237"/>
        <v>10-19%</v>
      </c>
      <c r="V722" s="39" t="str">
        <f>IF(E722&gt;=Analysis!$B$4,"High",IF(E722&gt;=Analysis!$B$5,"Mid","Low"))</f>
        <v>Mid</v>
      </c>
      <c r="W722" s="39" t="str">
        <f t="shared" si="238"/>
        <v>2023-06</v>
      </c>
      <c r="X722" s="40">
        <f t="shared" si="239"/>
        <v>45107</v>
      </c>
      <c r="Y722" s="39" t="str">
        <f t="shared" si="240"/>
        <v>2023-Q2</v>
      </c>
      <c r="Z722" s="39" t="str">
        <f t="shared" si="241"/>
        <v>Mon</v>
      </c>
      <c r="AA722" s="39">
        <f t="shared" si="242"/>
        <v>1</v>
      </c>
      <c r="AB722" s="39">
        <f t="shared" si="243"/>
        <v>26</v>
      </c>
      <c r="AC722" s="39" t="str">
        <f t="shared" si="244"/>
        <v>Weekday</v>
      </c>
      <c r="AD722" s="39">
        <f t="shared" ca="1" si="245"/>
        <v>1223</v>
      </c>
      <c r="AE722" s="39">
        <f t="shared" ca="1" si="246"/>
        <v>40</v>
      </c>
      <c r="AF722" s="39" t="str">
        <f t="shared" si="247"/>
        <v>DAV</v>
      </c>
      <c r="AG722" s="39" t="str">
        <f t="shared" si="248"/>
        <v>NR-230619-0721</v>
      </c>
      <c r="AH722" s="39" t="str">
        <f>IF(AND(OR(Filter!$B$4="All",D722=Filter!$B$4),OR(Filter!$B$5="All",M722=Filter!$B$5),E722&gt;=Filter!$B$6),MAX(AH$1:AH721)+1,"")</f>
        <v/>
      </c>
      <c r="AI722" s="39">
        <f t="shared" si="249"/>
        <v>36</v>
      </c>
      <c r="AJ722" s="42">
        <f t="shared" si="250"/>
        <v>0.1</v>
      </c>
      <c r="AK722" s="41">
        <f t="shared" si="251"/>
        <v>4076.77</v>
      </c>
      <c r="AL722" s="39">
        <f>RANK(E722,$E$2:$E$1001,0)+COUNTIF($E$2:E722,E722)-1</f>
        <v>722</v>
      </c>
    </row>
    <row r="723" spans="1:38" x14ac:dyDescent="0.2">
      <c r="A723" s="39">
        <v>1061</v>
      </c>
      <c r="B723" s="40">
        <v>45282</v>
      </c>
      <c r="C723" s="39" t="s">
        <v>61</v>
      </c>
      <c r="D723" s="39" t="s">
        <v>64</v>
      </c>
      <c r="E723" s="41">
        <v>1990.17</v>
      </c>
      <c r="F723" s="39">
        <v>45</v>
      </c>
      <c r="G723" s="39" t="s">
        <v>60</v>
      </c>
      <c r="H723" s="41">
        <v>1364.51</v>
      </c>
      <c r="I723" s="41">
        <v>1844.8</v>
      </c>
      <c r="J723" s="39" t="s">
        <v>137</v>
      </c>
      <c r="K723" s="42">
        <v>0.18</v>
      </c>
      <c r="L723" s="39" t="s">
        <v>68</v>
      </c>
      <c r="M723" s="39" t="s">
        <v>138</v>
      </c>
      <c r="N723" s="39" t="s">
        <v>156</v>
      </c>
      <c r="O723" s="43">
        <f t="shared" si="231"/>
        <v>83016</v>
      </c>
      <c r="P723" s="43">
        <f t="shared" si="232"/>
        <v>68073.119999999995</v>
      </c>
      <c r="Q723" s="43">
        <f t="shared" si="233"/>
        <v>61402.95</v>
      </c>
      <c r="R723" s="43">
        <f t="shared" si="234"/>
        <v>6670.1699999999983</v>
      </c>
      <c r="S723" s="44">
        <f t="shared" si="235"/>
        <v>9.7985372199775753E-2</v>
      </c>
      <c r="T723" s="39" t="str">
        <f t="shared" si="236"/>
        <v>OK</v>
      </c>
      <c r="U723" s="39" t="str">
        <f t="shared" si="237"/>
        <v>10-19%</v>
      </c>
      <c r="V723" s="39" t="str">
        <f>IF(E723&gt;=Analysis!$B$4,"High",IF(E723&gt;=Analysis!$B$5,"Mid","Low"))</f>
        <v>Low</v>
      </c>
      <c r="W723" s="39" t="str">
        <f t="shared" si="238"/>
        <v>2023-12</v>
      </c>
      <c r="X723" s="40">
        <f t="shared" si="239"/>
        <v>45291</v>
      </c>
      <c r="Y723" s="39" t="str">
        <f t="shared" si="240"/>
        <v>2023-Q4</v>
      </c>
      <c r="Z723" s="39" t="str">
        <f t="shared" si="241"/>
        <v>Fri</v>
      </c>
      <c r="AA723" s="39">
        <f t="shared" si="242"/>
        <v>5</v>
      </c>
      <c r="AB723" s="39">
        <f t="shared" si="243"/>
        <v>52</v>
      </c>
      <c r="AC723" s="39" t="str">
        <f t="shared" si="244"/>
        <v>Weekday</v>
      </c>
      <c r="AD723" s="39">
        <f t="shared" ca="1" si="245"/>
        <v>1037</v>
      </c>
      <c r="AE723" s="39">
        <f t="shared" ca="1" si="246"/>
        <v>34</v>
      </c>
      <c r="AF723" s="39" t="str">
        <f t="shared" si="247"/>
        <v>ALI</v>
      </c>
      <c r="AG723" s="39" t="str">
        <f t="shared" si="248"/>
        <v>NO-231222-0722</v>
      </c>
      <c r="AH723" s="39" t="str">
        <f>IF(AND(OR(Filter!$B$4="All",D723=Filter!$B$4),OR(Filter!$B$5="All",M723=Filter!$B$5),E723&gt;=Filter!$B$6),MAX(AH$1:AH722)+1,"")</f>
        <v/>
      </c>
      <c r="AI723" s="39">
        <f t="shared" si="249"/>
        <v>45</v>
      </c>
      <c r="AJ723" s="42">
        <f t="shared" si="250"/>
        <v>0.18</v>
      </c>
      <c r="AK723" s="41">
        <f t="shared" si="251"/>
        <v>1844.8</v>
      </c>
      <c r="AL723" s="39">
        <f>RANK(E723,$E$2:$E$1001,0)+COUNTIF($E$2:E723,E723)-1</f>
        <v>819</v>
      </c>
    </row>
    <row r="724" spans="1:38" x14ac:dyDescent="0.2">
      <c r="A724" s="39">
        <v>1047</v>
      </c>
      <c r="B724" s="40">
        <v>45117</v>
      </c>
      <c r="C724" s="39" t="s">
        <v>76</v>
      </c>
      <c r="D724" s="39" t="s">
        <v>64</v>
      </c>
      <c r="E724" s="41">
        <v>6976.95</v>
      </c>
      <c r="F724" s="39">
        <v>36</v>
      </c>
      <c r="G724" s="39" t="s">
        <v>70</v>
      </c>
      <c r="H724" s="41">
        <v>4043.53</v>
      </c>
      <c r="I724" s="41">
        <v>4384.8500000000004</v>
      </c>
      <c r="J724" s="39" t="s">
        <v>143</v>
      </c>
      <c r="K724" s="42">
        <v>0.14000000000000001</v>
      </c>
      <c r="L724" s="39" t="s">
        <v>68</v>
      </c>
      <c r="M724" s="39" t="s">
        <v>138</v>
      </c>
      <c r="N724" s="39" t="s">
        <v>152</v>
      </c>
      <c r="O724" s="43">
        <f t="shared" si="231"/>
        <v>157854.6</v>
      </c>
      <c r="P724" s="43">
        <f t="shared" si="232"/>
        <v>135754.96</v>
      </c>
      <c r="Q724" s="43">
        <f t="shared" si="233"/>
        <v>145567.07999999999</v>
      </c>
      <c r="R724" s="43">
        <f t="shared" si="234"/>
        <v>-9812.1199999999953</v>
      </c>
      <c r="S724" s="44">
        <f t="shared" si="235"/>
        <v>-7.2278169431157405E-2</v>
      </c>
      <c r="T724" s="39" t="str">
        <f t="shared" si="236"/>
        <v>Loss</v>
      </c>
      <c r="U724" s="39" t="str">
        <f t="shared" si="237"/>
        <v>10-19%</v>
      </c>
      <c r="V724" s="39" t="str">
        <f>IF(E724&gt;=Analysis!$B$4,"High",IF(E724&gt;=Analysis!$B$5,"Mid","Low"))</f>
        <v>Mid</v>
      </c>
      <c r="W724" s="39" t="str">
        <f t="shared" si="238"/>
        <v>2023-07</v>
      </c>
      <c r="X724" s="40">
        <f t="shared" si="239"/>
        <v>45138</v>
      </c>
      <c r="Y724" s="39" t="str">
        <f t="shared" si="240"/>
        <v>2023-Q3</v>
      </c>
      <c r="Z724" s="39" t="str">
        <f t="shared" si="241"/>
        <v>Mon</v>
      </c>
      <c r="AA724" s="39">
        <f t="shared" si="242"/>
        <v>1</v>
      </c>
      <c r="AB724" s="39">
        <f t="shared" si="243"/>
        <v>29</v>
      </c>
      <c r="AC724" s="39" t="str">
        <f t="shared" si="244"/>
        <v>Weekday</v>
      </c>
      <c r="AD724" s="39">
        <f t="shared" ca="1" si="245"/>
        <v>1202</v>
      </c>
      <c r="AE724" s="39">
        <f t="shared" ca="1" si="246"/>
        <v>39</v>
      </c>
      <c r="AF724" s="39" t="str">
        <f t="shared" si="247"/>
        <v>DAV</v>
      </c>
      <c r="AG724" s="39" t="str">
        <f t="shared" si="248"/>
        <v>NO-230710-0723</v>
      </c>
      <c r="AH724" s="39" t="str">
        <f>IF(AND(OR(Filter!$B$4="All",D724=Filter!$B$4),OR(Filter!$B$5="All",M724=Filter!$B$5),E724&gt;=Filter!$B$6),MAX(AH$1:AH723)+1,"")</f>
        <v/>
      </c>
      <c r="AI724" s="39">
        <f t="shared" si="249"/>
        <v>36</v>
      </c>
      <c r="AJ724" s="42">
        <f t="shared" si="250"/>
        <v>0.14000000000000001</v>
      </c>
      <c r="AK724" s="41">
        <f t="shared" si="251"/>
        <v>4384.8500000000004</v>
      </c>
      <c r="AL724" s="39">
        <f>RANK(E724,$E$2:$E$1001,0)+COUNTIF($E$2:E724,E724)-1</f>
        <v>305</v>
      </c>
    </row>
    <row r="725" spans="1:38" x14ac:dyDescent="0.2">
      <c r="A725" s="39">
        <v>1021</v>
      </c>
      <c r="B725" s="40">
        <v>45081</v>
      </c>
      <c r="C725" s="39" t="s">
        <v>79</v>
      </c>
      <c r="D725" s="39" t="s">
        <v>64</v>
      </c>
      <c r="E725" s="41">
        <v>2265.2800000000002</v>
      </c>
      <c r="F725" s="39">
        <v>22</v>
      </c>
      <c r="G725" s="39" t="s">
        <v>65</v>
      </c>
      <c r="H725" s="41">
        <v>1296.44</v>
      </c>
      <c r="I725" s="41">
        <v>1751.24</v>
      </c>
      <c r="J725" s="39" t="s">
        <v>143</v>
      </c>
      <c r="K725" s="42">
        <v>0.22</v>
      </c>
      <c r="L725" s="39" t="s">
        <v>68</v>
      </c>
      <c r="M725" s="39" t="s">
        <v>138</v>
      </c>
      <c r="N725" s="39" t="s">
        <v>148</v>
      </c>
      <c r="O725" s="43">
        <f t="shared" si="231"/>
        <v>38527.279999999999</v>
      </c>
      <c r="P725" s="43">
        <f t="shared" si="232"/>
        <v>30051.279999999999</v>
      </c>
      <c r="Q725" s="43">
        <f t="shared" si="233"/>
        <v>28521.68</v>
      </c>
      <c r="R725" s="43">
        <f t="shared" si="234"/>
        <v>1529.5999999999985</v>
      </c>
      <c r="S725" s="44">
        <f t="shared" si="235"/>
        <v>5.0899662177451295E-2</v>
      </c>
      <c r="T725" s="39" t="str">
        <f t="shared" si="236"/>
        <v>OK</v>
      </c>
      <c r="U725" s="39" t="str">
        <f t="shared" si="237"/>
        <v>20%+</v>
      </c>
      <c r="V725" s="39" t="str">
        <f>IF(E725&gt;=Analysis!$B$4,"High",IF(E725&gt;=Analysis!$B$5,"Mid","Low"))</f>
        <v>Low</v>
      </c>
      <c r="W725" s="39" t="str">
        <f t="shared" si="238"/>
        <v>2023-06</v>
      </c>
      <c r="X725" s="40">
        <f t="shared" si="239"/>
        <v>45107</v>
      </c>
      <c r="Y725" s="39" t="str">
        <f t="shared" si="240"/>
        <v>2023-Q2</v>
      </c>
      <c r="Z725" s="39" t="str">
        <f t="shared" si="241"/>
        <v>Sun</v>
      </c>
      <c r="AA725" s="39">
        <f t="shared" si="242"/>
        <v>7</v>
      </c>
      <c r="AB725" s="39">
        <f t="shared" si="243"/>
        <v>23</v>
      </c>
      <c r="AC725" s="39" t="str">
        <f t="shared" si="244"/>
        <v>Weekend</v>
      </c>
      <c r="AD725" s="39">
        <f t="shared" ca="1" si="245"/>
        <v>1238</v>
      </c>
      <c r="AE725" s="39">
        <f t="shared" ca="1" si="246"/>
        <v>40</v>
      </c>
      <c r="AF725" s="39" t="str">
        <f t="shared" si="247"/>
        <v>EVE</v>
      </c>
      <c r="AG725" s="39" t="str">
        <f t="shared" si="248"/>
        <v>NO-230604-0724</v>
      </c>
      <c r="AH725" s="39" t="str">
        <f>IF(AND(OR(Filter!$B$4="All",D725=Filter!$B$4),OR(Filter!$B$5="All",M725=Filter!$B$5),E725&gt;=Filter!$B$6),MAX(AH$1:AH724)+1,"")</f>
        <v/>
      </c>
      <c r="AI725" s="39">
        <f t="shared" si="249"/>
        <v>22</v>
      </c>
      <c r="AJ725" s="42">
        <f t="shared" si="250"/>
        <v>0.22</v>
      </c>
      <c r="AK725" s="41">
        <f t="shared" si="251"/>
        <v>1751.24</v>
      </c>
      <c r="AL725" s="39">
        <f>RANK(E725,$E$2:$E$1001,0)+COUNTIF($E$2:E725,E725)-1</f>
        <v>783</v>
      </c>
    </row>
    <row r="726" spans="1:38" x14ac:dyDescent="0.2">
      <c r="A726" s="39">
        <v>1080</v>
      </c>
      <c r="B726" s="40">
        <v>45114</v>
      </c>
      <c r="C726" s="39" t="s">
        <v>71</v>
      </c>
      <c r="D726" s="39" t="s">
        <v>74</v>
      </c>
      <c r="E726" s="41">
        <v>5993.5</v>
      </c>
      <c r="F726" s="39">
        <v>14</v>
      </c>
      <c r="G726" s="39" t="s">
        <v>70</v>
      </c>
      <c r="H726" s="41">
        <v>4127.54</v>
      </c>
      <c r="I726" s="41">
        <v>4495.13</v>
      </c>
      <c r="J726" s="39" t="s">
        <v>143</v>
      </c>
      <c r="K726" s="42">
        <v>0.06</v>
      </c>
      <c r="L726" s="39" t="s">
        <v>63</v>
      </c>
      <c r="M726" s="39" t="s">
        <v>140</v>
      </c>
      <c r="N726" s="39" t="s">
        <v>146</v>
      </c>
      <c r="O726" s="43">
        <f t="shared" si="231"/>
        <v>62931.82</v>
      </c>
      <c r="P726" s="43">
        <f t="shared" si="232"/>
        <v>59155.91</v>
      </c>
      <c r="Q726" s="43">
        <f t="shared" si="233"/>
        <v>57785.56</v>
      </c>
      <c r="R726" s="43">
        <f t="shared" si="234"/>
        <v>1370.3500000000058</v>
      </c>
      <c r="S726" s="44">
        <f t="shared" si="235"/>
        <v>2.3165056542955823E-2</v>
      </c>
      <c r="T726" s="39" t="str">
        <f t="shared" si="236"/>
        <v>OK</v>
      </c>
      <c r="U726" s="39" t="str">
        <f t="shared" si="237"/>
        <v>0-9%</v>
      </c>
      <c r="V726" s="39" t="str">
        <f>IF(E726&gt;=Analysis!$B$4,"High",IF(E726&gt;=Analysis!$B$5,"Mid","Low"))</f>
        <v>Mid</v>
      </c>
      <c r="W726" s="39" t="str">
        <f t="shared" si="238"/>
        <v>2023-07</v>
      </c>
      <c r="X726" s="40">
        <f t="shared" si="239"/>
        <v>45138</v>
      </c>
      <c r="Y726" s="39" t="str">
        <f t="shared" si="240"/>
        <v>2023-Q3</v>
      </c>
      <c r="Z726" s="39" t="str">
        <f t="shared" si="241"/>
        <v>Fri</v>
      </c>
      <c r="AA726" s="39">
        <f t="shared" si="242"/>
        <v>5</v>
      </c>
      <c r="AB726" s="39">
        <f t="shared" si="243"/>
        <v>28</v>
      </c>
      <c r="AC726" s="39" t="str">
        <f t="shared" si="244"/>
        <v>Weekday</v>
      </c>
      <c r="AD726" s="39">
        <f t="shared" ca="1" si="245"/>
        <v>1205</v>
      </c>
      <c r="AE726" s="39">
        <f t="shared" ca="1" si="246"/>
        <v>39</v>
      </c>
      <c r="AF726" s="39" t="str">
        <f t="shared" si="247"/>
        <v>CHA</v>
      </c>
      <c r="AG726" s="39" t="str">
        <f t="shared" si="248"/>
        <v>WR-230707-0725</v>
      </c>
      <c r="AH726" s="39" t="str">
        <f>IF(AND(OR(Filter!$B$4="All",D726=Filter!$B$4),OR(Filter!$B$5="All",M726=Filter!$B$5),E726&gt;=Filter!$B$6),MAX(AH$1:AH725)+1,"")</f>
        <v/>
      </c>
      <c r="AI726" s="39">
        <f t="shared" si="249"/>
        <v>14</v>
      </c>
      <c r="AJ726" s="42">
        <f t="shared" si="250"/>
        <v>0.06</v>
      </c>
      <c r="AK726" s="41">
        <f t="shared" si="251"/>
        <v>4495.13</v>
      </c>
      <c r="AL726" s="39">
        <f>RANK(E726,$E$2:$E$1001,0)+COUNTIF($E$2:E726,E726)-1</f>
        <v>407</v>
      </c>
    </row>
    <row r="727" spans="1:38" x14ac:dyDescent="0.2">
      <c r="A727" s="39">
        <v>1085</v>
      </c>
      <c r="B727" s="40">
        <v>44933</v>
      </c>
      <c r="C727" s="39" t="s">
        <v>79</v>
      </c>
      <c r="D727" s="39" t="s">
        <v>74</v>
      </c>
      <c r="E727" s="41">
        <v>2719.89</v>
      </c>
      <c r="F727" s="39">
        <v>16</v>
      </c>
      <c r="G727" s="39" t="s">
        <v>70</v>
      </c>
      <c r="H727" s="41">
        <v>472.08</v>
      </c>
      <c r="I727" s="41">
        <v>842.46</v>
      </c>
      <c r="J727" s="39" t="s">
        <v>143</v>
      </c>
      <c r="K727" s="42">
        <v>0</v>
      </c>
      <c r="L727" s="39" t="s">
        <v>68</v>
      </c>
      <c r="M727" s="39" t="s">
        <v>140</v>
      </c>
      <c r="N727" s="39" t="s">
        <v>149</v>
      </c>
      <c r="O727" s="43">
        <f t="shared" si="231"/>
        <v>13479.36</v>
      </c>
      <c r="P727" s="43">
        <f t="shared" si="232"/>
        <v>13479.36</v>
      </c>
      <c r="Q727" s="43">
        <f t="shared" si="233"/>
        <v>7553.28</v>
      </c>
      <c r="R727" s="43">
        <f t="shared" si="234"/>
        <v>5926.0800000000008</v>
      </c>
      <c r="S727" s="44">
        <f t="shared" si="235"/>
        <v>0.439641051207179</v>
      </c>
      <c r="T727" s="39" t="str">
        <f t="shared" si="236"/>
        <v>OK</v>
      </c>
      <c r="U727" s="39" t="str">
        <f t="shared" si="237"/>
        <v>0-9%</v>
      </c>
      <c r="V727" s="39" t="str">
        <f>IF(E727&gt;=Analysis!$B$4,"High",IF(E727&gt;=Analysis!$B$5,"Mid","Low"))</f>
        <v>Mid</v>
      </c>
      <c r="W727" s="39" t="str">
        <f t="shared" si="238"/>
        <v>2023-01</v>
      </c>
      <c r="X727" s="40">
        <f t="shared" si="239"/>
        <v>44957</v>
      </c>
      <c r="Y727" s="39" t="str">
        <f t="shared" si="240"/>
        <v>2023-Q1</v>
      </c>
      <c r="Z727" s="39" t="str">
        <f t="shared" si="241"/>
        <v>Sat</v>
      </c>
      <c r="AA727" s="39">
        <f t="shared" si="242"/>
        <v>6</v>
      </c>
      <c r="AB727" s="39">
        <f t="shared" si="243"/>
        <v>2</v>
      </c>
      <c r="AC727" s="39" t="str">
        <f t="shared" si="244"/>
        <v>Weekend</v>
      </c>
      <c r="AD727" s="39">
        <f t="shared" ca="1" si="245"/>
        <v>1386</v>
      </c>
      <c r="AE727" s="39">
        <f t="shared" ca="1" si="246"/>
        <v>45</v>
      </c>
      <c r="AF727" s="39" t="str">
        <f t="shared" si="247"/>
        <v>EVE</v>
      </c>
      <c r="AG727" s="39" t="str">
        <f t="shared" si="248"/>
        <v>WR-230107-0726</v>
      </c>
      <c r="AH727" s="39" t="str">
        <f>IF(AND(OR(Filter!$B$4="All",D727=Filter!$B$4),OR(Filter!$B$5="All",M727=Filter!$B$5),E727&gt;=Filter!$B$6),MAX(AH$1:AH726)+1,"")</f>
        <v/>
      </c>
      <c r="AI727" s="39">
        <f t="shared" si="249"/>
        <v>16</v>
      </c>
      <c r="AJ727" s="42">
        <f t="shared" si="250"/>
        <v>0</v>
      </c>
      <c r="AK727" s="41">
        <f t="shared" si="251"/>
        <v>842.46</v>
      </c>
      <c r="AL727" s="39">
        <f>RANK(E727,$E$2:$E$1001,0)+COUNTIF($E$2:E727,E727)-1</f>
        <v>730</v>
      </c>
    </row>
    <row r="728" spans="1:38" x14ac:dyDescent="0.2">
      <c r="A728" s="39">
        <v>1075</v>
      </c>
      <c r="B728" s="40">
        <v>45059</v>
      </c>
      <c r="C728" s="39" t="s">
        <v>66</v>
      </c>
      <c r="D728" s="39" t="s">
        <v>59</v>
      </c>
      <c r="E728" s="41">
        <v>6653.49</v>
      </c>
      <c r="F728" s="39">
        <v>36</v>
      </c>
      <c r="G728" s="39" t="s">
        <v>60</v>
      </c>
      <c r="H728" s="41">
        <v>4337.6099999999997</v>
      </c>
      <c r="I728" s="41">
        <v>4386.82</v>
      </c>
      <c r="J728" s="39" t="s">
        <v>137</v>
      </c>
      <c r="K728" s="42">
        <v>0.23</v>
      </c>
      <c r="L728" s="39" t="s">
        <v>73</v>
      </c>
      <c r="M728" s="39" t="s">
        <v>138</v>
      </c>
      <c r="N728" s="39" t="s">
        <v>153</v>
      </c>
      <c r="O728" s="43">
        <f t="shared" si="231"/>
        <v>157925.51999999999</v>
      </c>
      <c r="P728" s="43">
        <f t="shared" si="232"/>
        <v>121602.65</v>
      </c>
      <c r="Q728" s="43">
        <f t="shared" si="233"/>
        <v>156153.96</v>
      </c>
      <c r="R728" s="43">
        <f t="shared" si="234"/>
        <v>-34551.31</v>
      </c>
      <c r="S728" s="44">
        <f t="shared" si="235"/>
        <v>-0.28413287045964869</v>
      </c>
      <c r="T728" s="39" t="str">
        <f t="shared" si="236"/>
        <v>Loss</v>
      </c>
      <c r="U728" s="39" t="str">
        <f t="shared" si="237"/>
        <v>20%+</v>
      </c>
      <c r="V728" s="39" t="str">
        <f>IF(E728&gt;=Analysis!$B$4,"High",IF(E728&gt;=Analysis!$B$5,"Mid","Low"))</f>
        <v>Mid</v>
      </c>
      <c r="W728" s="39" t="str">
        <f t="shared" si="238"/>
        <v>2023-05</v>
      </c>
      <c r="X728" s="40">
        <f t="shared" si="239"/>
        <v>45077</v>
      </c>
      <c r="Y728" s="39" t="str">
        <f t="shared" si="240"/>
        <v>2023-Q2</v>
      </c>
      <c r="Z728" s="39" t="str">
        <f t="shared" si="241"/>
        <v>Sat</v>
      </c>
      <c r="AA728" s="39">
        <f t="shared" si="242"/>
        <v>6</v>
      </c>
      <c r="AB728" s="39">
        <f t="shared" si="243"/>
        <v>20</v>
      </c>
      <c r="AC728" s="39" t="str">
        <f t="shared" si="244"/>
        <v>Weekend</v>
      </c>
      <c r="AD728" s="39">
        <f t="shared" ca="1" si="245"/>
        <v>1260</v>
      </c>
      <c r="AE728" s="39">
        <f t="shared" ca="1" si="246"/>
        <v>41</v>
      </c>
      <c r="AF728" s="39" t="str">
        <f t="shared" si="247"/>
        <v>BOB</v>
      </c>
      <c r="AG728" s="39" t="str">
        <f t="shared" si="248"/>
        <v>EO-230513-0727</v>
      </c>
      <c r="AH728" s="39" t="str">
        <f>IF(AND(OR(Filter!$B$4="All",D728=Filter!$B$4),OR(Filter!$B$5="All",M728=Filter!$B$5),E728&gt;=Filter!$B$6),MAX(AH$1:AH727)+1,"")</f>
        <v/>
      </c>
      <c r="AI728" s="39">
        <f t="shared" si="249"/>
        <v>36</v>
      </c>
      <c r="AJ728" s="42">
        <f t="shared" si="250"/>
        <v>0.23</v>
      </c>
      <c r="AK728" s="41">
        <f t="shared" si="251"/>
        <v>4386.82</v>
      </c>
      <c r="AL728" s="39">
        <f>RANK(E728,$E$2:$E$1001,0)+COUNTIF($E$2:E728,E728)-1</f>
        <v>341</v>
      </c>
    </row>
    <row r="729" spans="1:38" x14ac:dyDescent="0.2">
      <c r="A729" s="39">
        <v>1036</v>
      </c>
      <c r="B729" s="40">
        <v>45161</v>
      </c>
      <c r="C729" s="39" t="s">
        <v>76</v>
      </c>
      <c r="D729" s="39" t="s">
        <v>59</v>
      </c>
      <c r="E729" s="41">
        <v>8167.9</v>
      </c>
      <c r="F729" s="39">
        <v>25</v>
      </c>
      <c r="G729" s="39" t="s">
        <v>70</v>
      </c>
      <c r="H729" s="41">
        <v>2520.9699999999998</v>
      </c>
      <c r="I729" s="41">
        <v>2707.11</v>
      </c>
      <c r="J729" s="39" t="s">
        <v>143</v>
      </c>
      <c r="K729" s="42">
        <v>0.25</v>
      </c>
      <c r="L729" s="39" t="s">
        <v>68</v>
      </c>
      <c r="M729" s="39" t="s">
        <v>140</v>
      </c>
      <c r="N729" s="39" t="s">
        <v>157</v>
      </c>
      <c r="O729" s="43">
        <f t="shared" si="231"/>
        <v>67677.75</v>
      </c>
      <c r="P729" s="43">
        <f t="shared" si="232"/>
        <v>50758.31</v>
      </c>
      <c r="Q729" s="43">
        <f t="shared" si="233"/>
        <v>63024.25</v>
      </c>
      <c r="R729" s="43">
        <f t="shared" si="234"/>
        <v>-12265.940000000002</v>
      </c>
      <c r="S729" s="44">
        <f t="shared" si="235"/>
        <v>-0.24165382968818314</v>
      </c>
      <c r="T729" s="39" t="str">
        <f t="shared" si="236"/>
        <v>Loss</v>
      </c>
      <c r="U729" s="39" t="str">
        <f t="shared" si="237"/>
        <v>20%+</v>
      </c>
      <c r="V729" s="39" t="str">
        <f>IF(E729&gt;=Analysis!$B$4,"High",IF(E729&gt;=Analysis!$B$5,"Mid","Low"))</f>
        <v>High</v>
      </c>
      <c r="W729" s="39" t="str">
        <f t="shared" si="238"/>
        <v>2023-08</v>
      </c>
      <c r="X729" s="40">
        <f t="shared" si="239"/>
        <v>45169</v>
      </c>
      <c r="Y729" s="39" t="str">
        <f t="shared" si="240"/>
        <v>2023-Q3</v>
      </c>
      <c r="Z729" s="39" t="str">
        <f t="shared" si="241"/>
        <v>Wed</v>
      </c>
      <c r="AA729" s="39">
        <f t="shared" si="242"/>
        <v>3</v>
      </c>
      <c r="AB729" s="39">
        <f t="shared" si="243"/>
        <v>35</v>
      </c>
      <c r="AC729" s="39" t="str">
        <f t="shared" si="244"/>
        <v>Weekday</v>
      </c>
      <c r="AD729" s="39">
        <f t="shared" ca="1" si="245"/>
        <v>1158</v>
      </c>
      <c r="AE729" s="39">
        <f t="shared" ca="1" si="246"/>
        <v>38</v>
      </c>
      <c r="AF729" s="39" t="str">
        <f t="shared" si="247"/>
        <v>DAV</v>
      </c>
      <c r="AG729" s="39" t="str">
        <f t="shared" si="248"/>
        <v>ER-230823-0728</v>
      </c>
      <c r="AH729" s="39" t="str">
        <f>IF(AND(OR(Filter!$B$4="All",D729=Filter!$B$4),OR(Filter!$B$5="All",M729=Filter!$B$5),E729&gt;=Filter!$B$6),MAX(AH$1:AH728)+1,"")</f>
        <v/>
      </c>
      <c r="AI729" s="39">
        <f t="shared" si="249"/>
        <v>25</v>
      </c>
      <c r="AJ729" s="42">
        <f t="shared" si="250"/>
        <v>0.25</v>
      </c>
      <c r="AK729" s="41">
        <f t="shared" si="251"/>
        <v>2707.11</v>
      </c>
      <c r="AL729" s="39">
        <f>RANK(E729,$E$2:$E$1001,0)+COUNTIF($E$2:E729,E729)-1</f>
        <v>174</v>
      </c>
    </row>
    <row r="730" spans="1:38" x14ac:dyDescent="0.2">
      <c r="A730" s="39">
        <v>1099</v>
      </c>
      <c r="B730" s="40">
        <v>44971</v>
      </c>
      <c r="C730" s="39" t="s">
        <v>76</v>
      </c>
      <c r="D730" s="39" t="s">
        <v>69</v>
      </c>
      <c r="E730" s="41">
        <v>7802.45</v>
      </c>
      <c r="F730" s="39">
        <v>32</v>
      </c>
      <c r="G730" s="39" t="s">
        <v>60</v>
      </c>
      <c r="H730" s="41">
        <v>1517.86</v>
      </c>
      <c r="I730" s="41">
        <v>1948.46</v>
      </c>
      <c r="J730" s="39" t="s">
        <v>143</v>
      </c>
      <c r="K730" s="42">
        <v>0.02</v>
      </c>
      <c r="L730" s="39" t="s">
        <v>73</v>
      </c>
      <c r="M730" s="39" t="s">
        <v>138</v>
      </c>
      <c r="N730" s="39" t="s">
        <v>142</v>
      </c>
      <c r="O730" s="43">
        <f t="shared" si="231"/>
        <v>62350.720000000001</v>
      </c>
      <c r="P730" s="43">
        <f t="shared" si="232"/>
        <v>61103.71</v>
      </c>
      <c r="Q730" s="43">
        <f t="shared" si="233"/>
        <v>48571.519999999997</v>
      </c>
      <c r="R730" s="43">
        <f t="shared" si="234"/>
        <v>12532.190000000002</v>
      </c>
      <c r="S730" s="44">
        <f t="shared" si="235"/>
        <v>0.20509703911595553</v>
      </c>
      <c r="T730" s="39" t="str">
        <f t="shared" si="236"/>
        <v>OK</v>
      </c>
      <c r="U730" s="39" t="str">
        <f t="shared" si="237"/>
        <v>0-9%</v>
      </c>
      <c r="V730" s="39" t="str">
        <f>IF(E730&gt;=Analysis!$B$4,"High",IF(E730&gt;=Analysis!$B$5,"Mid","Low"))</f>
        <v>High</v>
      </c>
      <c r="W730" s="39" t="str">
        <f t="shared" si="238"/>
        <v>2023-02</v>
      </c>
      <c r="X730" s="40">
        <f t="shared" si="239"/>
        <v>44985</v>
      </c>
      <c r="Y730" s="39" t="str">
        <f t="shared" si="240"/>
        <v>2023-Q1</v>
      </c>
      <c r="Z730" s="39" t="str">
        <f t="shared" si="241"/>
        <v>Tue</v>
      </c>
      <c r="AA730" s="39">
        <f t="shared" si="242"/>
        <v>2</v>
      </c>
      <c r="AB730" s="39">
        <f t="shared" si="243"/>
        <v>8</v>
      </c>
      <c r="AC730" s="39" t="str">
        <f t="shared" si="244"/>
        <v>Weekday</v>
      </c>
      <c r="AD730" s="39">
        <f t="shared" ca="1" si="245"/>
        <v>1348</v>
      </c>
      <c r="AE730" s="39">
        <f t="shared" ca="1" si="246"/>
        <v>44</v>
      </c>
      <c r="AF730" s="39" t="str">
        <f t="shared" si="247"/>
        <v>DAV</v>
      </c>
      <c r="AG730" s="39" t="str">
        <f t="shared" si="248"/>
        <v>SO-230214-0729</v>
      </c>
      <c r="AH730" s="39" t="str">
        <f>IF(AND(OR(Filter!$B$4="All",D730=Filter!$B$4),OR(Filter!$B$5="All",M730=Filter!$B$5),E730&gt;=Filter!$B$6),MAX(AH$1:AH729)+1,"")</f>
        <v/>
      </c>
      <c r="AI730" s="39">
        <f t="shared" si="249"/>
        <v>32</v>
      </c>
      <c r="AJ730" s="42">
        <f t="shared" si="250"/>
        <v>0.02</v>
      </c>
      <c r="AK730" s="41">
        <f t="shared" si="251"/>
        <v>1948.46</v>
      </c>
      <c r="AL730" s="39">
        <f>RANK(E730,$E$2:$E$1001,0)+COUNTIF($E$2:E730,E730)-1</f>
        <v>218</v>
      </c>
    </row>
    <row r="731" spans="1:38" x14ac:dyDescent="0.2">
      <c r="A731" s="39">
        <v>1019</v>
      </c>
      <c r="B731" s="40">
        <v>45240</v>
      </c>
      <c r="C731" s="39" t="s">
        <v>66</v>
      </c>
      <c r="D731" s="39" t="s">
        <v>59</v>
      </c>
      <c r="E731" s="41">
        <v>7632.43</v>
      </c>
      <c r="F731" s="39">
        <v>33</v>
      </c>
      <c r="G731" s="39" t="s">
        <v>75</v>
      </c>
      <c r="H731" s="41">
        <v>1362.31</v>
      </c>
      <c r="I731" s="41">
        <v>1486.29</v>
      </c>
      <c r="J731" s="39" t="s">
        <v>137</v>
      </c>
      <c r="K731" s="42">
        <v>0.18</v>
      </c>
      <c r="L731" s="39" t="s">
        <v>73</v>
      </c>
      <c r="M731" s="39" t="s">
        <v>140</v>
      </c>
      <c r="N731" s="39" t="s">
        <v>153</v>
      </c>
      <c r="O731" s="43">
        <f t="shared" si="231"/>
        <v>49047.57</v>
      </c>
      <c r="P731" s="43">
        <f t="shared" si="232"/>
        <v>40219.01</v>
      </c>
      <c r="Q731" s="43">
        <f t="shared" si="233"/>
        <v>44956.23</v>
      </c>
      <c r="R731" s="43">
        <f t="shared" si="234"/>
        <v>-4737.2200000000012</v>
      </c>
      <c r="S731" s="44">
        <f t="shared" si="235"/>
        <v>-0.11778559442412931</v>
      </c>
      <c r="T731" s="39" t="str">
        <f t="shared" si="236"/>
        <v>Loss</v>
      </c>
      <c r="U731" s="39" t="str">
        <f t="shared" si="237"/>
        <v>10-19%</v>
      </c>
      <c r="V731" s="39" t="str">
        <f>IF(E731&gt;=Analysis!$B$4,"High",IF(E731&gt;=Analysis!$B$5,"Mid","Low"))</f>
        <v>High</v>
      </c>
      <c r="W731" s="39" t="str">
        <f t="shared" si="238"/>
        <v>2023-11</v>
      </c>
      <c r="X731" s="40">
        <f t="shared" si="239"/>
        <v>45260</v>
      </c>
      <c r="Y731" s="39" t="str">
        <f t="shared" si="240"/>
        <v>2023-Q4</v>
      </c>
      <c r="Z731" s="39" t="str">
        <f t="shared" si="241"/>
        <v>Fri</v>
      </c>
      <c r="AA731" s="39">
        <f t="shared" si="242"/>
        <v>5</v>
      </c>
      <c r="AB731" s="39">
        <f t="shared" si="243"/>
        <v>46</v>
      </c>
      <c r="AC731" s="39" t="str">
        <f t="shared" si="244"/>
        <v>Weekday</v>
      </c>
      <c r="AD731" s="39">
        <f t="shared" ca="1" si="245"/>
        <v>1079</v>
      </c>
      <c r="AE731" s="39">
        <f t="shared" ca="1" si="246"/>
        <v>35</v>
      </c>
      <c r="AF731" s="39" t="str">
        <f t="shared" si="247"/>
        <v>BOB</v>
      </c>
      <c r="AG731" s="39" t="str">
        <f t="shared" si="248"/>
        <v>ER-231110-0730</v>
      </c>
      <c r="AH731" s="39" t="str">
        <f>IF(AND(OR(Filter!$B$4="All",D731=Filter!$B$4),OR(Filter!$B$5="All",M731=Filter!$B$5),E731&gt;=Filter!$B$6),MAX(AH$1:AH730)+1,"")</f>
        <v/>
      </c>
      <c r="AI731" s="39">
        <f t="shared" si="249"/>
        <v>33</v>
      </c>
      <c r="AJ731" s="42">
        <f t="shared" si="250"/>
        <v>0.18</v>
      </c>
      <c r="AK731" s="41">
        <f t="shared" si="251"/>
        <v>1486.29</v>
      </c>
      <c r="AL731" s="39">
        <f>RANK(E731,$E$2:$E$1001,0)+COUNTIF($E$2:E731,E731)-1</f>
        <v>235</v>
      </c>
    </row>
    <row r="732" spans="1:38" x14ac:dyDescent="0.2">
      <c r="A732" s="39">
        <v>1020</v>
      </c>
      <c r="B732" s="40">
        <v>45175</v>
      </c>
      <c r="C732" s="39" t="s">
        <v>66</v>
      </c>
      <c r="D732" s="39" t="s">
        <v>59</v>
      </c>
      <c r="E732" s="41">
        <v>1958.45</v>
      </c>
      <c r="F732" s="39">
        <v>45</v>
      </c>
      <c r="G732" s="39" t="s">
        <v>60</v>
      </c>
      <c r="H732" s="41">
        <v>2188.4499999999998</v>
      </c>
      <c r="I732" s="41">
        <v>2255.0500000000002</v>
      </c>
      <c r="J732" s="39" t="s">
        <v>143</v>
      </c>
      <c r="K732" s="42">
        <v>0.11</v>
      </c>
      <c r="L732" s="39" t="s">
        <v>63</v>
      </c>
      <c r="M732" s="39" t="s">
        <v>140</v>
      </c>
      <c r="N732" s="39" t="s">
        <v>153</v>
      </c>
      <c r="O732" s="43">
        <f t="shared" si="231"/>
        <v>101477.25</v>
      </c>
      <c r="P732" s="43">
        <f t="shared" si="232"/>
        <v>90314.75</v>
      </c>
      <c r="Q732" s="43">
        <f t="shared" si="233"/>
        <v>98480.25</v>
      </c>
      <c r="R732" s="43">
        <f t="shared" si="234"/>
        <v>-8165.5</v>
      </c>
      <c r="S732" s="44">
        <f t="shared" si="235"/>
        <v>-9.0411588361812442E-2</v>
      </c>
      <c r="T732" s="39" t="str">
        <f t="shared" si="236"/>
        <v>Loss</v>
      </c>
      <c r="U732" s="39" t="str">
        <f t="shared" si="237"/>
        <v>10-19%</v>
      </c>
      <c r="V732" s="39" t="str">
        <f>IF(E732&gt;=Analysis!$B$4,"High",IF(E732&gt;=Analysis!$B$5,"Mid","Low"))</f>
        <v>Low</v>
      </c>
      <c r="W732" s="39" t="str">
        <f t="shared" si="238"/>
        <v>2023-09</v>
      </c>
      <c r="X732" s="40">
        <f t="shared" si="239"/>
        <v>45199</v>
      </c>
      <c r="Y732" s="39" t="str">
        <f t="shared" si="240"/>
        <v>2023-Q3</v>
      </c>
      <c r="Z732" s="39" t="str">
        <f t="shared" si="241"/>
        <v>Wed</v>
      </c>
      <c r="AA732" s="39">
        <f t="shared" si="242"/>
        <v>3</v>
      </c>
      <c r="AB732" s="39">
        <f t="shared" si="243"/>
        <v>37</v>
      </c>
      <c r="AC732" s="39" t="str">
        <f t="shared" si="244"/>
        <v>Weekday</v>
      </c>
      <c r="AD732" s="39">
        <f t="shared" ca="1" si="245"/>
        <v>1144</v>
      </c>
      <c r="AE732" s="39">
        <f t="shared" ca="1" si="246"/>
        <v>37</v>
      </c>
      <c r="AF732" s="39" t="str">
        <f t="shared" si="247"/>
        <v>BOB</v>
      </c>
      <c r="AG732" s="39" t="str">
        <f t="shared" si="248"/>
        <v>ER-230906-0731</v>
      </c>
      <c r="AH732" s="39" t="str">
        <f>IF(AND(OR(Filter!$B$4="All",D732=Filter!$B$4),OR(Filter!$B$5="All",M732=Filter!$B$5),E732&gt;=Filter!$B$6),MAX(AH$1:AH731)+1,"")</f>
        <v/>
      </c>
      <c r="AI732" s="39">
        <f t="shared" si="249"/>
        <v>45</v>
      </c>
      <c r="AJ732" s="42">
        <f t="shared" si="250"/>
        <v>0.11</v>
      </c>
      <c r="AK732" s="41">
        <f t="shared" si="251"/>
        <v>2255.0500000000002</v>
      </c>
      <c r="AL732" s="39">
        <f>RANK(E732,$E$2:$E$1001,0)+COUNTIF($E$2:E732,E732)-1</f>
        <v>823</v>
      </c>
    </row>
    <row r="733" spans="1:38" x14ac:dyDescent="0.2">
      <c r="A733" s="39">
        <v>1057</v>
      </c>
      <c r="B733" s="40">
        <v>44957</v>
      </c>
      <c r="C733" s="39" t="s">
        <v>71</v>
      </c>
      <c r="D733" s="39" t="s">
        <v>64</v>
      </c>
      <c r="E733" s="41">
        <v>975.01</v>
      </c>
      <c r="F733" s="39">
        <v>36</v>
      </c>
      <c r="G733" s="39" t="s">
        <v>70</v>
      </c>
      <c r="H733" s="41">
        <v>4995.3</v>
      </c>
      <c r="I733" s="41">
        <v>5165.09</v>
      </c>
      <c r="J733" s="39" t="s">
        <v>137</v>
      </c>
      <c r="K733" s="42">
        <v>0.24</v>
      </c>
      <c r="L733" s="39" t="s">
        <v>68</v>
      </c>
      <c r="M733" s="39" t="s">
        <v>138</v>
      </c>
      <c r="N733" s="39" t="s">
        <v>160</v>
      </c>
      <c r="O733" s="43">
        <f t="shared" si="231"/>
        <v>185943.24</v>
      </c>
      <c r="P733" s="43">
        <f t="shared" si="232"/>
        <v>141316.85999999999</v>
      </c>
      <c r="Q733" s="43">
        <f t="shared" si="233"/>
        <v>179830.8</v>
      </c>
      <c r="R733" s="43">
        <f t="shared" si="234"/>
        <v>-38513.94</v>
      </c>
      <c r="S733" s="44">
        <f t="shared" si="235"/>
        <v>-0.27253605833019506</v>
      </c>
      <c r="T733" s="39" t="str">
        <f t="shared" si="236"/>
        <v>Loss</v>
      </c>
      <c r="U733" s="39" t="str">
        <f t="shared" si="237"/>
        <v>20%+</v>
      </c>
      <c r="V733" s="39" t="str">
        <f>IF(E733&gt;=Analysis!$B$4,"High",IF(E733&gt;=Analysis!$B$5,"Mid","Low"))</f>
        <v>Low</v>
      </c>
      <c r="W733" s="39" t="str">
        <f t="shared" si="238"/>
        <v>2023-01</v>
      </c>
      <c r="X733" s="40">
        <f t="shared" si="239"/>
        <v>44957</v>
      </c>
      <c r="Y733" s="39" t="str">
        <f t="shared" si="240"/>
        <v>2023-Q1</v>
      </c>
      <c r="Z733" s="39" t="str">
        <f t="shared" si="241"/>
        <v>Tue</v>
      </c>
      <c r="AA733" s="39">
        <f t="shared" si="242"/>
        <v>2</v>
      </c>
      <c r="AB733" s="39">
        <f t="shared" si="243"/>
        <v>6</v>
      </c>
      <c r="AC733" s="39" t="str">
        <f t="shared" si="244"/>
        <v>Weekday</v>
      </c>
      <c r="AD733" s="39">
        <f t="shared" ca="1" si="245"/>
        <v>1362</v>
      </c>
      <c r="AE733" s="39">
        <f t="shared" ca="1" si="246"/>
        <v>44</v>
      </c>
      <c r="AF733" s="39" t="str">
        <f t="shared" si="247"/>
        <v>CHA</v>
      </c>
      <c r="AG733" s="39" t="str">
        <f t="shared" si="248"/>
        <v>NO-230131-0732</v>
      </c>
      <c r="AH733" s="39" t="str">
        <f>IF(AND(OR(Filter!$B$4="All",D733=Filter!$B$4),OR(Filter!$B$5="All",M733=Filter!$B$5),E733&gt;=Filter!$B$6),MAX(AH$1:AH732)+1,"")</f>
        <v/>
      </c>
      <c r="AI733" s="39">
        <f t="shared" si="249"/>
        <v>36</v>
      </c>
      <c r="AJ733" s="42">
        <f t="shared" si="250"/>
        <v>0.24</v>
      </c>
      <c r="AK733" s="41">
        <f t="shared" si="251"/>
        <v>5165.09</v>
      </c>
      <c r="AL733" s="39">
        <f>RANK(E733,$E$2:$E$1001,0)+COUNTIF($E$2:E733,E733)-1</f>
        <v>905</v>
      </c>
    </row>
    <row r="734" spans="1:38" x14ac:dyDescent="0.2">
      <c r="A734" s="39">
        <v>1018</v>
      </c>
      <c r="B734" s="40">
        <v>44949</v>
      </c>
      <c r="C734" s="39" t="s">
        <v>76</v>
      </c>
      <c r="D734" s="39" t="s">
        <v>64</v>
      </c>
      <c r="E734" s="41">
        <v>7019.59</v>
      </c>
      <c r="F734" s="39">
        <v>20</v>
      </c>
      <c r="G734" s="39" t="s">
        <v>75</v>
      </c>
      <c r="H734" s="41">
        <v>1140.6199999999999</v>
      </c>
      <c r="I734" s="41">
        <v>1258.6300000000001</v>
      </c>
      <c r="J734" s="39" t="s">
        <v>137</v>
      </c>
      <c r="K734" s="42">
        <v>0.26</v>
      </c>
      <c r="L734" s="39" t="s">
        <v>63</v>
      </c>
      <c r="M734" s="39" t="s">
        <v>138</v>
      </c>
      <c r="N734" s="39" t="s">
        <v>152</v>
      </c>
      <c r="O734" s="43">
        <f t="shared" si="231"/>
        <v>25172.6</v>
      </c>
      <c r="P734" s="43">
        <f t="shared" si="232"/>
        <v>18627.72</v>
      </c>
      <c r="Q734" s="43">
        <f t="shared" si="233"/>
        <v>22812.400000000001</v>
      </c>
      <c r="R734" s="43">
        <f t="shared" si="234"/>
        <v>-4184.68</v>
      </c>
      <c r="S734" s="44">
        <f t="shared" si="235"/>
        <v>-0.224647997715233</v>
      </c>
      <c r="T734" s="39" t="str">
        <f t="shared" si="236"/>
        <v>Loss</v>
      </c>
      <c r="U734" s="39" t="str">
        <f t="shared" si="237"/>
        <v>20%+</v>
      </c>
      <c r="V734" s="39" t="str">
        <f>IF(E734&gt;=Analysis!$B$4,"High",IF(E734&gt;=Analysis!$B$5,"Mid","Low"))</f>
        <v>Mid</v>
      </c>
      <c r="W734" s="39" t="str">
        <f t="shared" si="238"/>
        <v>2023-01</v>
      </c>
      <c r="X734" s="40">
        <f t="shared" si="239"/>
        <v>44957</v>
      </c>
      <c r="Y734" s="39" t="str">
        <f t="shared" si="240"/>
        <v>2023-Q1</v>
      </c>
      <c r="Z734" s="39" t="str">
        <f t="shared" si="241"/>
        <v>Mon</v>
      </c>
      <c r="AA734" s="39">
        <f t="shared" si="242"/>
        <v>1</v>
      </c>
      <c r="AB734" s="39">
        <f t="shared" si="243"/>
        <v>5</v>
      </c>
      <c r="AC734" s="39" t="str">
        <f t="shared" si="244"/>
        <v>Weekday</v>
      </c>
      <c r="AD734" s="39">
        <f t="shared" ca="1" si="245"/>
        <v>1370</v>
      </c>
      <c r="AE734" s="39">
        <f t="shared" ca="1" si="246"/>
        <v>45</v>
      </c>
      <c r="AF734" s="39" t="str">
        <f t="shared" si="247"/>
        <v>DAV</v>
      </c>
      <c r="AG734" s="39" t="str">
        <f t="shared" si="248"/>
        <v>NO-230123-0733</v>
      </c>
      <c r="AH734" s="39" t="str">
        <f>IF(AND(OR(Filter!$B$4="All",D734=Filter!$B$4),OR(Filter!$B$5="All",M734=Filter!$B$5),E734&gt;=Filter!$B$6),MAX(AH$1:AH733)+1,"")</f>
        <v/>
      </c>
      <c r="AI734" s="39">
        <f t="shared" si="249"/>
        <v>20</v>
      </c>
      <c r="AJ734" s="42">
        <f t="shared" si="250"/>
        <v>0.26</v>
      </c>
      <c r="AK734" s="41">
        <f t="shared" si="251"/>
        <v>1258.6300000000001</v>
      </c>
      <c r="AL734" s="39">
        <f>RANK(E734,$E$2:$E$1001,0)+COUNTIF($E$2:E734,E734)-1</f>
        <v>300</v>
      </c>
    </row>
    <row r="735" spans="1:38" x14ac:dyDescent="0.2">
      <c r="A735" s="39">
        <v>1047</v>
      </c>
      <c r="B735" s="40">
        <v>45086</v>
      </c>
      <c r="C735" s="39" t="s">
        <v>76</v>
      </c>
      <c r="D735" s="39" t="s">
        <v>59</v>
      </c>
      <c r="E735" s="41">
        <v>3746.64</v>
      </c>
      <c r="F735" s="39">
        <v>18</v>
      </c>
      <c r="G735" s="39" t="s">
        <v>60</v>
      </c>
      <c r="H735" s="41">
        <v>560.91999999999996</v>
      </c>
      <c r="I735" s="41">
        <v>1024.31</v>
      </c>
      <c r="J735" s="39" t="s">
        <v>137</v>
      </c>
      <c r="K735" s="42">
        <v>0.26</v>
      </c>
      <c r="L735" s="39" t="s">
        <v>68</v>
      </c>
      <c r="M735" s="39" t="s">
        <v>138</v>
      </c>
      <c r="N735" s="39" t="s">
        <v>157</v>
      </c>
      <c r="O735" s="43">
        <f t="shared" si="231"/>
        <v>18437.580000000002</v>
      </c>
      <c r="P735" s="43">
        <f t="shared" si="232"/>
        <v>13643.81</v>
      </c>
      <c r="Q735" s="43">
        <f t="shared" si="233"/>
        <v>10096.56</v>
      </c>
      <c r="R735" s="43">
        <f t="shared" si="234"/>
        <v>3547.25</v>
      </c>
      <c r="S735" s="44">
        <f t="shared" si="235"/>
        <v>0.25998969496057189</v>
      </c>
      <c r="T735" s="39" t="str">
        <f t="shared" si="236"/>
        <v>OK</v>
      </c>
      <c r="U735" s="39" t="str">
        <f t="shared" si="237"/>
        <v>20%+</v>
      </c>
      <c r="V735" s="39" t="str">
        <f>IF(E735&gt;=Analysis!$B$4,"High",IF(E735&gt;=Analysis!$B$5,"Mid","Low"))</f>
        <v>Mid</v>
      </c>
      <c r="W735" s="39" t="str">
        <f t="shared" si="238"/>
        <v>2023-06</v>
      </c>
      <c r="X735" s="40">
        <f t="shared" si="239"/>
        <v>45107</v>
      </c>
      <c r="Y735" s="39" t="str">
        <f t="shared" si="240"/>
        <v>2023-Q2</v>
      </c>
      <c r="Z735" s="39" t="str">
        <f t="shared" si="241"/>
        <v>Fri</v>
      </c>
      <c r="AA735" s="39">
        <f t="shared" si="242"/>
        <v>5</v>
      </c>
      <c r="AB735" s="39">
        <f t="shared" si="243"/>
        <v>24</v>
      </c>
      <c r="AC735" s="39" t="str">
        <f t="shared" si="244"/>
        <v>Weekday</v>
      </c>
      <c r="AD735" s="39">
        <f t="shared" ca="1" si="245"/>
        <v>1233</v>
      </c>
      <c r="AE735" s="39">
        <f t="shared" ca="1" si="246"/>
        <v>40</v>
      </c>
      <c r="AF735" s="39" t="str">
        <f t="shared" si="247"/>
        <v>DAV</v>
      </c>
      <c r="AG735" s="39" t="str">
        <f t="shared" si="248"/>
        <v>EO-230609-0734</v>
      </c>
      <c r="AH735" s="39" t="str">
        <f>IF(AND(OR(Filter!$B$4="All",D735=Filter!$B$4),OR(Filter!$B$5="All",M735=Filter!$B$5),E735&gt;=Filter!$B$6),MAX(AH$1:AH734)+1,"")</f>
        <v/>
      </c>
      <c r="AI735" s="39">
        <f t="shared" si="249"/>
        <v>18</v>
      </c>
      <c r="AJ735" s="42">
        <f t="shared" si="250"/>
        <v>0.26</v>
      </c>
      <c r="AK735" s="41">
        <f t="shared" si="251"/>
        <v>1024.31</v>
      </c>
      <c r="AL735" s="39">
        <f>RANK(E735,$E$2:$E$1001,0)+COUNTIF($E$2:E735,E735)-1</f>
        <v>627</v>
      </c>
    </row>
    <row r="736" spans="1:38" x14ac:dyDescent="0.2">
      <c r="A736" s="39">
        <v>1049</v>
      </c>
      <c r="B736" s="40">
        <v>45289</v>
      </c>
      <c r="C736" s="39" t="s">
        <v>71</v>
      </c>
      <c r="D736" s="39" t="s">
        <v>69</v>
      </c>
      <c r="E736" s="41">
        <v>4380.2299999999996</v>
      </c>
      <c r="F736" s="39">
        <v>38</v>
      </c>
      <c r="G736" s="39" t="s">
        <v>70</v>
      </c>
      <c r="H736" s="41">
        <v>2945.92</v>
      </c>
      <c r="I736" s="41">
        <v>3381.22</v>
      </c>
      <c r="J736" s="39" t="s">
        <v>137</v>
      </c>
      <c r="K736" s="42">
        <v>0.23</v>
      </c>
      <c r="L736" s="39" t="s">
        <v>68</v>
      </c>
      <c r="M736" s="39" t="s">
        <v>140</v>
      </c>
      <c r="N736" s="39" t="s">
        <v>151</v>
      </c>
      <c r="O736" s="43">
        <f t="shared" si="231"/>
        <v>128486.36</v>
      </c>
      <c r="P736" s="43">
        <f t="shared" si="232"/>
        <v>98934.5</v>
      </c>
      <c r="Q736" s="43">
        <f t="shared" si="233"/>
        <v>111944.96000000001</v>
      </c>
      <c r="R736" s="43">
        <f t="shared" si="234"/>
        <v>-13010.460000000006</v>
      </c>
      <c r="S736" s="44">
        <f t="shared" si="235"/>
        <v>-0.1315057942376017</v>
      </c>
      <c r="T736" s="39" t="str">
        <f t="shared" si="236"/>
        <v>Loss</v>
      </c>
      <c r="U736" s="39" t="str">
        <f t="shared" si="237"/>
        <v>20%+</v>
      </c>
      <c r="V736" s="39" t="str">
        <f>IF(E736&gt;=Analysis!$B$4,"High",IF(E736&gt;=Analysis!$B$5,"Mid","Low"))</f>
        <v>Mid</v>
      </c>
      <c r="W736" s="39" t="str">
        <f t="shared" si="238"/>
        <v>2023-12</v>
      </c>
      <c r="X736" s="40">
        <f t="shared" si="239"/>
        <v>45291</v>
      </c>
      <c r="Y736" s="39" t="str">
        <f t="shared" si="240"/>
        <v>2023-Q4</v>
      </c>
      <c r="Z736" s="39" t="str">
        <f t="shared" si="241"/>
        <v>Fri</v>
      </c>
      <c r="AA736" s="39">
        <f t="shared" si="242"/>
        <v>5</v>
      </c>
      <c r="AB736" s="39">
        <f t="shared" si="243"/>
        <v>53</v>
      </c>
      <c r="AC736" s="39" t="str">
        <f t="shared" si="244"/>
        <v>Weekday</v>
      </c>
      <c r="AD736" s="39">
        <f t="shared" ca="1" si="245"/>
        <v>1030</v>
      </c>
      <c r="AE736" s="39">
        <f t="shared" ca="1" si="246"/>
        <v>33</v>
      </c>
      <c r="AF736" s="39" t="str">
        <f t="shared" si="247"/>
        <v>CHA</v>
      </c>
      <c r="AG736" s="39" t="str">
        <f t="shared" si="248"/>
        <v>SR-231229-0735</v>
      </c>
      <c r="AH736" s="39" t="str">
        <f>IF(AND(OR(Filter!$B$4="All",D736=Filter!$B$4),OR(Filter!$B$5="All",M736=Filter!$B$5),E736&gt;=Filter!$B$6),MAX(AH$1:AH735)+1,"")</f>
        <v/>
      </c>
      <c r="AI736" s="39">
        <f t="shared" si="249"/>
        <v>38</v>
      </c>
      <c r="AJ736" s="42">
        <f t="shared" si="250"/>
        <v>0.23</v>
      </c>
      <c r="AK736" s="41">
        <f t="shared" si="251"/>
        <v>3381.22</v>
      </c>
      <c r="AL736" s="39">
        <f>RANK(E736,$E$2:$E$1001,0)+COUNTIF($E$2:E736,E736)-1</f>
        <v>563</v>
      </c>
    </row>
    <row r="737" spans="1:38" x14ac:dyDescent="0.2">
      <c r="A737" s="39">
        <v>1014</v>
      </c>
      <c r="B737" s="40">
        <v>45084</v>
      </c>
      <c r="C737" s="39" t="s">
        <v>61</v>
      </c>
      <c r="D737" s="39" t="s">
        <v>64</v>
      </c>
      <c r="E737" s="41">
        <v>408.38</v>
      </c>
      <c r="F737" s="39">
        <v>3</v>
      </c>
      <c r="G737" s="39" t="s">
        <v>65</v>
      </c>
      <c r="H737" s="41">
        <v>2468.29</v>
      </c>
      <c r="I737" s="41">
        <v>2723.13</v>
      </c>
      <c r="J737" s="39" t="s">
        <v>137</v>
      </c>
      <c r="K737" s="42">
        <v>0.08</v>
      </c>
      <c r="L737" s="39" t="s">
        <v>68</v>
      </c>
      <c r="M737" s="39" t="s">
        <v>140</v>
      </c>
      <c r="N737" s="39" t="s">
        <v>156</v>
      </c>
      <c r="O737" s="43">
        <f t="shared" si="231"/>
        <v>8169.39</v>
      </c>
      <c r="P737" s="43">
        <f t="shared" si="232"/>
        <v>7515.84</v>
      </c>
      <c r="Q737" s="43">
        <f t="shared" si="233"/>
        <v>7404.87</v>
      </c>
      <c r="R737" s="43">
        <f t="shared" si="234"/>
        <v>110.97000000000025</v>
      </c>
      <c r="S737" s="44">
        <f t="shared" si="235"/>
        <v>1.4764816707114608E-2</v>
      </c>
      <c r="T737" s="39" t="str">
        <f t="shared" si="236"/>
        <v>OK</v>
      </c>
      <c r="U737" s="39" t="str">
        <f t="shared" si="237"/>
        <v>0-9%</v>
      </c>
      <c r="V737" s="39" t="str">
        <f>IF(E737&gt;=Analysis!$B$4,"High",IF(E737&gt;=Analysis!$B$5,"Mid","Low"))</f>
        <v>Low</v>
      </c>
      <c r="W737" s="39" t="str">
        <f t="shared" si="238"/>
        <v>2023-06</v>
      </c>
      <c r="X737" s="40">
        <f t="shared" si="239"/>
        <v>45107</v>
      </c>
      <c r="Y737" s="39" t="str">
        <f t="shared" si="240"/>
        <v>2023-Q2</v>
      </c>
      <c r="Z737" s="39" t="str">
        <f t="shared" si="241"/>
        <v>Wed</v>
      </c>
      <c r="AA737" s="39">
        <f t="shared" si="242"/>
        <v>3</v>
      </c>
      <c r="AB737" s="39">
        <f t="shared" si="243"/>
        <v>24</v>
      </c>
      <c r="AC737" s="39" t="str">
        <f t="shared" si="244"/>
        <v>Weekday</v>
      </c>
      <c r="AD737" s="39">
        <f t="shared" ca="1" si="245"/>
        <v>1235</v>
      </c>
      <c r="AE737" s="39">
        <f t="shared" ca="1" si="246"/>
        <v>40</v>
      </c>
      <c r="AF737" s="39" t="str">
        <f t="shared" si="247"/>
        <v>ALI</v>
      </c>
      <c r="AG737" s="39" t="str">
        <f t="shared" si="248"/>
        <v>NR-230607-0736</v>
      </c>
      <c r="AH737" s="39" t="str">
        <f>IF(AND(OR(Filter!$B$4="All",D737=Filter!$B$4),OR(Filter!$B$5="All",M737=Filter!$B$5),E737&gt;=Filter!$B$6),MAX(AH$1:AH736)+1,"")</f>
        <v/>
      </c>
      <c r="AI737" s="39">
        <f t="shared" si="249"/>
        <v>3</v>
      </c>
      <c r="AJ737" s="42">
        <f t="shared" si="250"/>
        <v>0.08</v>
      </c>
      <c r="AK737" s="41">
        <f t="shared" si="251"/>
        <v>2723.13</v>
      </c>
      <c r="AL737" s="39">
        <f>RANK(E737,$E$2:$E$1001,0)+COUNTIF($E$2:E737,E737)-1</f>
        <v>967</v>
      </c>
    </row>
    <row r="738" spans="1:38" x14ac:dyDescent="0.2">
      <c r="A738" s="39">
        <v>1015</v>
      </c>
      <c r="B738" s="40">
        <v>44965</v>
      </c>
      <c r="C738" s="39" t="s">
        <v>71</v>
      </c>
      <c r="D738" s="39" t="s">
        <v>59</v>
      </c>
      <c r="E738" s="41">
        <v>2669.81</v>
      </c>
      <c r="F738" s="39">
        <v>23</v>
      </c>
      <c r="G738" s="39" t="s">
        <v>65</v>
      </c>
      <c r="H738" s="41">
        <v>2644.77</v>
      </c>
      <c r="I738" s="41">
        <v>2684.83</v>
      </c>
      <c r="J738" s="39" t="s">
        <v>143</v>
      </c>
      <c r="K738" s="42">
        <v>0.24</v>
      </c>
      <c r="L738" s="39" t="s">
        <v>68</v>
      </c>
      <c r="M738" s="39" t="s">
        <v>138</v>
      </c>
      <c r="N738" s="39" t="s">
        <v>145</v>
      </c>
      <c r="O738" s="43">
        <f t="shared" si="231"/>
        <v>61751.09</v>
      </c>
      <c r="P738" s="43">
        <f t="shared" si="232"/>
        <v>46930.83</v>
      </c>
      <c r="Q738" s="43">
        <f t="shared" si="233"/>
        <v>60829.71</v>
      </c>
      <c r="R738" s="43">
        <f t="shared" si="234"/>
        <v>-13898.879999999997</v>
      </c>
      <c r="S738" s="44">
        <f t="shared" si="235"/>
        <v>-0.29615670551746043</v>
      </c>
      <c r="T738" s="39" t="str">
        <f t="shared" si="236"/>
        <v>Loss</v>
      </c>
      <c r="U738" s="39" t="str">
        <f t="shared" si="237"/>
        <v>20%+</v>
      </c>
      <c r="V738" s="39" t="str">
        <f>IF(E738&gt;=Analysis!$B$4,"High",IF(E738&gt;=Analysis!$B$5,"Mid","Low"))</f>
        <v>Mid</v>
      </c>
      <c r="W738" s="39" t="str">
        <f t="shared" si="238"/>
        <v>2023-02</v>
      </c>
      <c r="X738" s="40">
        <f t="shared" si="239"/>
        <v>44985</v>
      </c>
      <c r="Y738" s="39" t="str">
        <f t="shared" si="240"/>
        <v>2023-Q1</v>
      </c>
      <c r="Z738" s="39" t="str">
        <f t="shared" si="241"/>
        <v>Wed</v>
      </c>
      <c r="AA738" s="39">
        <f t="shared" si="242"/>
        <v>3</v>
      </c>
      <c r="AB738" s="39">
        <f t="shared" si="243"/>
        <v>7</v>
      </c>
      <c r="AC738" s="39" t="str">
        <f t="shared" si="244"/>
        <v>Weekday</v>
      </c>
      <c r="AD738" s="39">
        <f t="shared" ca="1" si="245"/>
        <v>1354</v>
      </c>
      <c r="AE738" s="39">
        <f t="shared" ca="1" si="246"/>
        <v>44</v>
      </c>
      <c r="AF738" s="39" t="str">
        <f t="shared" si="247"/>
        <v>CHA</v>
      </c>
      <c r="AG738" s="39" t="str">
        <f t="shared" si="248"/>
        <v>EO-230208-0737</v>
      </c>
      <c r="AH738" s="39" t="str">
        <f>IF(AND(OR(Filter!$B$4="All",D738=Filter!$B$4),OR(Filter!$B$5="All",M738=Filter!$B$5),E738&gt;=Filter!$B$6),MAX(AH$1:AH737)+1,"")</f>
        <v/>
      </c>
      <c r="AI738" s="39">
        <f t="shared" si="249"/>
        <v>23</v>
      </c>
      <c r="AJ738" s="42">
        <f t="shared" si="250"/>
        <v>0.24</v>
      </c>
      <c r="AK738" s="41">
        <f t="shared" si="251"/>
        <v>2684.83</v>
      </c>
      <c r="AL738" s="39">
        <f>RANK(E738,$E$2:$E$1001,0)+COUNTIF($E$2:E738,E738)-1</f>
        <v>736</v>
      </c>
    </row>
    <row r="739" spans="1:38" x14ac:dyDescent="0.2">
      <c r="A739" s="39">
        <v>1031</v>
      </c>
      <c r="B739" s="40">
        <v>45008</v>
      </c>
      <c r="C739" s="39" t="s">
        <v>79</v>
      </c>
      <c r="D739" s="39" t="s">
        <v>59</v>
      </c>
      <c r="E739" s="41">
        <v>433.4</v>
      </c>
      <c r="F739" s="39">
        <v>32</v>
      </c>
      <c r="G739" s="39" t="s">
        <v>60</v>
      </c>
      <c r="H739" s="41">
        <v>3351.33</v>
      </c>
      <c r="I739" s="41">
        <v>3711.47</v>
      </c>
      <c r="J739" s="39" t="s">
        <v>143</v>
      </c>
      <c r="K739" s="42">
        <v>0.16</v>
      </c>
      <c r="L739" s="39" t="s">
        <v>68</v>
      </c>
      <c r="M739" s="39" t="s">
        <v>140</v>
      </c>
      <c r="N739" s="39" t="s">
        <v>155</v>
      </c>
      <c r="O739" s="43">
        <f t="shared" si="231"/>
        <v>118767.03999999999</v>
      </c>
      <c r="P739" s="43">
        <f t="shared" si="232"/>
        <v>99764.31</v>
      </c>
      <c r="Q739" s="43">
        <f t="shared" si="233"/>
        <v>107242.56</v>
      </c>
      <c r="R739" s="43">
        <f t="shared" si="234"/>
        <v>-7478.25</v>
      </c>
      <c r="S739" s="44">
        <f t="shared" si="235"/>
        <v>-7.495917127076808E-2</v>
      </c>
      <c r="T739" s="39" t="str">
        <f t="shared" si="236"/>
        <v>Loss</v>
      </c>
      <c r="U739" s="39" t="str">
        <f t="shared" si="237"/>
        <v>10-19%</v>
      </c>
      <c r="V739" s="39" t="str">
        <f>IF(E739&gt;=Analysis!$B$4,"High",IF(E739&gt;=Analysis!$B$5,"Mid","Low"))</f>
        <v>Low</v>
      </c>
      <c r="W739" s="39" t="str">
        <f t="shared" si="238"/>
        <v>2023-03</v>
      </c>
      <c r="X739" s="40">
        <f t="shared" si="239"/>
        <v>45016</v>
      </c>
      <c r="Y739" s="39" t="str">
        <f t="shared" si="240"/>
        <v>2023-Q1</v>
      </c>
      <c r="Z739" s="39" t="str">
        <f t="shared" si="241"/>
        <v>Thu</v>
      </c>
      <c r="AA739" s="39">
        <f t="shared" si="242"/>
        <v>4</v>
      </c>
      <c r="AB739" s="39">
        <f t="shared" si="243"/>
        <v>13</v>
      </c>
      <c r="AC739" s="39" t="str">
        <f t="shared" si="244"/>
        <v>Weekday</v>
      </c>
      <c r="AD739" s="39">
        <f t="shared" ca="1" si="245"/>
        <v>1311</v>
      </c>
      <c r="AE739" s="39">
        <f t="shared" ca="1" si="246"/>
        <v>43</v>
      </c>
      <c r="AF739" s="39" t="str">
        <f t="shared" si="247"/>
        <v>EVE</v>
      </c>
      <c r="AG739" s="39" t="str">
        <f t="shared" si="248"/>
        <v>ER-230323-0738</v>
      </c>
      <c r="AH739" s="39" t="str">
        <f>IF(AND(OR(Filter!$B$4="All",D739=Filter!$B$4),OR(Filter!$B$5="All",M739=Filter!$B$5),E739&gt;=Filter!$B$6),MAX(AH$1:AH738)+1,"")</f>
        <v/>
      </c>
      <c r="AI739" s="39">
        <f t="shared" si="249"/>
        <v>32</v>
      </c>
      <c r="AJ739" s="42">
        <f t="shared" si="250"/>
        <v>0.16</v>
      </c>
      <c r="AK739" s="41">
        <f t="shared" si="251"/>
        <v>3711.47</v>
      </c>
      <c r="AL739" s="39">
        <f>RANK(E739,$E$2:$E$1001,0)+COUNTIF($E$2:E739,E739)-1</f>
        <v>965</v>
      </c>
    </row>
    <row r="740" spans="1:38" x14ac:dyDescent="0.2">
      <c r="A740" s="39">
        <v>1001</v>
      </c>
      <c r="B740" s="40">
        <v>45282</v>
      </c>
      <c r="C740" s="39" t="s">
        <v>76</v>
      </c>
      <c r="D740" s="39" t="s">
        <v>74</v>
      </c>
      <c r="E740" s="41">
        <v>8803.94</v>
      </c>
      <c r="F740" s="39">
        <v>45</v>
      </c>
      <c r="G740" s="39" t="s">
        <v>60</v>
      </c>
      <c r="H740" s="41">
        <v>1372.36</v>
      </c>
      <c r="I740" s="41">
        <v>1687.83</v>
      </c>
      <c r="J740" s="39" t="s">
        <v>143</v>
      </c>
      <c r="K740" s="42">
        <v>0.02</v>
      </c>
      <c r="L740" s="39" t="s">
        <v>73</v>
      </c>
      <c r="M740" s="39" t="s">
        <v>138</v>
      </c>
      <c r="N740" s="39" t="s">
        <v>154</v>
      </c>
      <c r="O740" s="43">
        <f t="shared" si="231"/>
        <v>75952.350000000006</v>
      </c>
      <c r="P740" s="43">
        <f t="shared" si="232"/>
        <v>74433.3</v>
      </c>
      <c r="Q740" s="43">
        <f t="shared" si="233"/>
        <v>61756.2</v>
      </c>
      <c r="R740" s="43">
        <f t="shared" si="234"/>
        <v>12677.100000000006</v>
      </c>
      <c r="S740" s="44">
        <f t="shared" si="235"/>
        <v>0.1703148993797132</v>
      </c>
      <c r="T740" s="39" t="str">
        <f t="shared" si="236"/>
        <v>OK</v>
      </c>
      <c r="U740" s="39" t="str">
        <f t="shared" si="237"/>
        <v>0-9%</v>
      </c>
      <c r="V740" s="39" t="str">
        <f>IF(E740&gt;=Analysis!$B$4,"High",IF(E740&gt;=Analysis!$B$5,"Mid","Low"))</f>
        <v>High</v>
      </c>
      <c r="W740" s="39" t="str">
        <f t="shared" si="238"/>
        <v>2023-12</v>
      </c>
      <c r="X740" s="40">
        <f t="shared" si="239"/>
        <v>45291</v>
      </c>
      <c r="Y740" s="39" t="str">
        <f t="shared" si="240"/>
        <v>2023-Q4</v>
      </c>
      <c r="Z740" s="39" t="str">
        <f t="shared" si="241"/>
        <v>Fri</v>
      </c>
      <c r="AA740" s="39">
        <f t="shared" si="242"/>
        <v>5</v>
      </c>
      <c r="AB740" s="39">
        <f t="shared" si="243"/>
        <v>52</v>
      </c>
      <c r="AC740" s="39" t="str">
        <f t="shared" si="244"/>
        <v>Weekday</v>
      </c>
      <c r="AD740" s="39">
        <f t="shared" ca="1" si="245"/>
        <v>1037</v>
      </c>
      <c r="AE740" s="39">
        <f t="shared" ca="1" si="246"/>
        <v>34</v>
      </c>
      <c r="AF740" s="39" t="str">
        <f t="shared" si="247"/>
        <v>DAV</v>
      </c>
      <c r="AG740" s="39" t="str">
        <f t="shared" si="248"/>
        <v>WO-231222-0739</v>
      </c>
      <c r="AH740" s="39" t="str">
        <f>IF(AND(OR(Filter!$B$4="All",D740=Filter!$B$4),OR(Filter!$B$5="All",M740=Filter!$B$5),E740&gt;=Filter!$B$6),MAX(AH$1:AH739)+1,"")</f>
        <v/>
      </c>
      <c r="AI740" s="39">
        <f t="shared" si="249"/>
        <v>45</v>
      </c>
      <c r="AJ740" s="42">
        <f t="shared" si="250"/>
        <v>0.02</v>
      </c>
      <c r="AK740" s="41">
        <f t="shared" si="251"/>
        <v>1687.83</v>
      </c>
      <c r="AL740" s="39">
        <f>RANK(E740,$E$2:$E$1001,0)+COUNTIF($E$2:E740,E740)-1</f>
        <v>112</v>
      </c>
    </row>
    <row r="741" spans="1:38" x14ac:dyDescent="0.2">
      <c r="A741" s="39">
        <v>1054</v>
      </c>
      <c r="B741" s="40">
        <v>45184</v>
      </c>
      <c r="C741" s="39" t="s">
        <v>66</v>
      </c>
      <c r="D741" s="39" t="s">
        <v>69</v>
      </c>
      <c r="E741" s="41">
        <v>2509.63</v>
      </c>
      <c r="F741" s="39">
        <v>16</v>
      </c>
      <c r="G741" s="39" t="s">
        <v>65</v>
      </c>
      <c r="H741" s="41">
        <v>4557.79</v>
      </c>
      <c r="I741" s="41">
        <v>5043.3599999999997</v>
      </c>
      <c r="J741" s="39" t="s">
        <v>137</v>
      </c>
      <c r="K741" s="42">
        <v>0.14000000000000001</v>
      </c>
      <c r="L741" s="39" t="s">
        <v>73</v>
      </c>
      <c r="M741" s="39" t="s">
        <v>140</v>
      </c>
      <c r="N741" s="39" t="s">
        <v>144</v>
      </c>
      <c r="O741" s="43">
        <f t="shared" si="231"/>
        <v>80693.759999999995</v>
      </c>
      <c r="P741" s="43">
        <f t="shared" si="232"/>
        <v>69396.63</v>
      </c>
      <c r="Q741" s="43">
        <f t="shared" si="233"/>
        <v>72924.639999999999</v>
      </c>
      <c r="R741" s="43">
        <f t="shared" si="234"/>
        <v>-3528.0099999999948</v>
      </c>
      <c r="S741" s="44">
        <f t="shared" si="235"/>
        <v>-5.0838347625814025E-2</v>
      </c>
      <c r="T741" s="39" t="str">
        <f t="shared" si="236"/>
        <v>Loss</v>
      </c>
      <c r="U741" s="39" t="str">
        <f t="shared" si="237"/>
        <v>10-19%</v>
      </c>
      <c r="V741" s="39" t="str">
        <f>IF(E741&gt;=Analysis!$B$4,"High",IF(E741&gt;=Analysis!$B$5,"Mid","Low"))</f>
        <v>Low</v>
      </c>
      <c r="W741" s="39" t="str">
        <f t="shared" si="238"/>
        <v>2023-09</v>
      </c>
      <c r="X741" s="40">
        <f t="shared" si="239"/>
        <v>45199</v>
      </c>
      <c r="Y741" s="39" t="str">
        <f t="shared" si="240"/>
        <v>2023-Q3</v>
      </c>
      <c r="Z741" s="39" t="str">
        <f t="shared" si="241"/>
        <v>Fri</v>
      </c>
      <c r="AA741" s="39">
        <f t="shared" si="242"/>
        <v>5</v>
      </c>
      <c r="AB741" s="39">
        <f t="shared" si="243"/>
        <v>38</v>
      </c>
      <c r="AC741" s="39" t="str">
        <f t="shared" si="244"/>
        <v>Weekday</v>
      </c>
      <c r="AD741" s="39">
        <f t="shared" ca="1" si="245"/>
        <v>1135</v>
      </c>
      <c r="AE741" s="39">
        <f t="shared" ca="1" si="246"/>
        <v>37</v>
      </c>
      <c r="AF741" s="39" t="str">
        <f t="shared" si="247"/>
        <v>BOB</v>
      </c>
      <c r="AG741" s="39" t="str">
        <f t="shared" si="248"/>
        <v>SR-230915-0740</v>
      </c>
      <c r="AH741" s="39" t="str">
        <f>IF(AND(OR(Filter!$B$4="All",D741=Filter!$B$4),OR(Filter!$B$5="All",M741=Filter!$B$5),E741&gt;=Filter!$B$6),MAX(AH$1:AH740)+1,"")</f>
        <v/>
      </c>
      <c r="AI741" s="39">
        <f t="shared" si="249"/>
        <v>16</v>
      </c>
      <c r="AJ741" s="42">
        <f t="shared" si="250"/>
        <v>0.14000000000000001</v>
      </c>
      <c r="AK741" s="41">
        <f t="shared" si="251"/>
        <v>5043.3599999999997</v>
      </c>
      <c r="AL741" s="39">
        <f>RANK(E741,$E$2:$E$1001,0)+COUNTIF($E$2:E741,E741)-1</f>
        <v>754</v>
      </c>
    </row>
    <row r="742" spans="1:38" x14ac:dyDescent="0.2">
      <c r="A742" s="39">
        <v>1003</v>
      </c>
      <c r="B742" s="40">
        <v>45132</v>
      </c>
      <c r="C742" s="39" t="s">
        <v>79</v>
      </c>
      <c r="D742" s="39" t="s">
        <v>74</v>
      </c>
      <c r="E742" s="41">
        <v>5617.64</v>
      </c>
      <c r="F742" s="39">
        <v>5</v>
      </c>
      <c r="G742" s="39" t="s">
        <v>70</v>
      </c>
      <c r="H742" s="41">
        <v>2206.58</v>
      </c>
      <c r="I742" s="41">
        <v>2490.4699999999998</v>
      </c>
      <c r="J742" s="39" t="s">
        <v>143</v>
      </c>
      <c r="K742" s="42">
        <v>0.28000000000000003</v>
      </c>
      <c r="L742" s="39" t="s">
        <v>68</v>
      </c>
      <c r="M742" s="39" t="s">
        <v>138</v>
      </c>
      <c r="N742" s="39" t="s">
        <v>149</v>
      </c>
      <c r="O742" s="43">
        <f t="shared" si="231"/>
        <v>12452.35</v>
      </c>
      <c r="P742" s="43">
        <f t="shared" si="232"/>
        <v>8965.69</v>
      </c>
      <c r="Q742" s="43">
        <f t="shared" si="233"/>
        <v>11032.9</v>
      </c>
      <c r="R742" s="43">
        <f t="shared" si="234"/>
        <v>-2067.2099999999991</v>
      </c>
      <c r="S742" s="44">
        <f t="shared" si="235"/>
        <v>-0.23056898019003547</v>
      </c>
      <c r="T742" s="39" t="str">
        <f t="shared" si="236"/>
        <v>Loss</v>
      </c>
      <c r="U742" s="39" t="str">
        <f t="shared" si="237"/>
        <v>20%+</v>
      </c>
      <c r="V742" s="39" t="str">
        <f>IF(E742&gt;=Analysis!$B$4,"High",IF(E742&gt;=Analysis!$B$5,"Mid","Low"))</f>
        <v>Mid</v>
      </c>
      <c r="W742" s="39" t="str">
        <f t="shared" si="238"/>
        <v>2023-07</v>
      </c>
      <c r="X742" s="40">
        <f t="shared" si="239"/>
        <v>45138</v>
      </c>
      <c r="Y742" s="39" t="str">
        <f t="shared" si="240"/>
        <v>2023-Q3</v>
      </c>
      <c r="Z742" s="39" t="str">
        <f t="shared" si="241"/>
        <v>Tue</v>
      </c>
      <c r="AA742" s="39">
        <f t="shared" si="242"/>
        <v>2</v>
      </c>
      <c r="AB742" s="39">
        <f t="shared" si="243"/>
        <v>31</v>
      </c>
      <c r="AC742" s="39" t="str">
        <f t="shared" si="244"/>
        <v>Weekday</v>
      </c>
      <c r="AD742" s="39">
        <f t="shared" ca="1" si="245"/>
        <v>1187</v>
      </c>
      <c r="AE742" s="39">
        <f t="shared" ca="1" si="246"/>
        <v>38</v>
      </c>
      <c r="AF742" s="39" t="str">
        <f t="shared" si="247"/>
        <v>EVE</v>
      </c>
      <c r="AG742" s="39" t="str">
        <f t="shared" si="248"/>
        <v>WO-230725-0741</v>
      </c>
      <c r="AH742" s="39" t="str">
        <f>IF(AND(OR(Filter!$B$4="All",D742=Filter!$B$4),OR(Filter!$B$5="All",M742=Filter!$B$5),E742&gt;=Filter!$B$6),MAX(AH$1:AH741)+1,"")</f>
        <v/>
      </c>
      <c r="AI742" s="39">
        <f t="shared" si="249"/>
        <v>5</v>
      </c>
      <c r="AJ742" s="42">
        <f t="shared" si="250"/>
        <v>0.28000000000000003</v>
      </c>
      <c r="AK742" s="41">
        <f t="shared" si="251"/>
        <v>2490.4699999999998</v>
      </c>
      <c r="AL742" s="39">
        <f>RANK(E742,$E$2:$E$1001,0)+COUNTIF($E$2:E742,E742)-1</f>
        <v>446</v>
      </c>
    </row>
    <row r="743" spans="1:38" x14ac:dyDescent="0.2">
      <c r="A743" s="39">
        <v>1016</v>
      </c>
      <c r="B743" s="40">
        <v>45003</v>
      </c>
      <c r="C743" s="39" t="s">
        <v>76</v>
      </c>
      <c r="D743" s="39" t="s">
        <v>69</v>
      </c>
      <c r="E743" s="41">
        <v>485.9</v>
      </c>
      <c r="F743" s="39">
        <v>4</v>
      </c>
      <c r="G743" s="39" t="s">
        <v>70</v>
      </c>
      <c r="H743" s="41">
        <v>688.98</v>
      </c>
      <c r="I743" s="41">
        <v>863.81</v>
      </c>
      <c r="J743" s="39" t="s">
        <v>143</v>
      </c>
      <c r="K743" s="42">
        <v>0.27</v>
      </c>
      <c r="L743" s="39" t="s">
        <v>73</v>
      </c>
      <c r="M743" s="39" t="s">
        <v>140</v>
      </c>
      <c r="N743" s="39" t="s">
        <v>142</v>
      </c>
      <c r="O743" s="43">
        <f t="shared" si="231"/>
        <v>3455.24</v>
      </c>
      <c r="P743" s="43">
        <f t="shared" si="232"/>
        <v>2522.33</v>
      </c>
      <c r="Q743" s="43">
        <f t="shared" si="233"/>
        <v>2755.92</v>
      </c>
      <c r="R743" s="43">
        <f t="shared" si="234"/>
        <v>-233.59000000000015</v>
      </c>
      <c r="S743" s="44">
        <f t="shared" si="235"/>
        <v>-9.2608818037290971E-2</v>
      </c>
      <c r="T743" s="39" t="str">
        <f t="shared" si="236"/>
        <v>Loss</v>
      </c>
      <c r="U743" s="39" t="str">
        <f t="shared" si="237"/>
        <v>20%+</v>
      </c>
      <c r="V743" s="39" t="str">
        <f>IF(E743&gt;=Analysis!$B$4,"High",IF(E743&gt;=Analysis!$B$5,"Mid","Low"))</f>
        <v>Low</v>
      </c>
      <c r="W743" s="39" t="str">
        <f t="shared" si="238"/>
        <v>2023-03</v>
      </c>
      <c r="X743" s="40">
        <f t="shared" si="239"/>
        <v>45016</v>
      </c>
      <c r="Y743" s="39" t="str">
        <f t="shared" si="240"/>
        <v>2023-Q1</v>
      </c>
      <c r="Z743" s="39" t="str">
        <f t="shared" si="241"/>
        <v>Sat</v>
      </c>
      <c r="AA743" s="39">
        <f t="shared" si="242"/>
        <v>6</v>
      </c>
      <c r="AB743" s="39">
        <f t="shared" si="243"/>
        <v>12</v>
      </c>
      <c r="AC743" s="39" t="str">
        <f t="shared" si="244"/>
        <v>Weekend</v>
      </c>
      <c r="AD743" s="39">
        <f t="shared" ca="1" si="245"/>
        <v>1316</v>
      </c>
      <c r="AE743" s="39">
        <f t="shared" ca="1" si="246"/>
        <v>43</v>
      </c>
      <c r="AF743" s="39" t="str">
        <f t="shared" si="247"/>
        <v>DAV</v>
      </c>
      <c r="AG743" s="39" t="str">
        <f t="shared" si="248"/>
        <v>SR-230318-0742</v>
      </c>
      <c r="AH743" s="39" t="str">
        <f>IF(AND(OR(Filter!$B$4="All",D743=Filter!$B$4),OR(Filter!$B$5="All",M743=Filter!$B$5),E743&gt;=Filter!$B$6),MAX(AH$1:AH742)+1,"")</f>
        <v/>
      </c>
      <c r="AI743" s="39">
        <f t="shared" si="249"/>
        <v>4</v>
      </c>
      <c r="AJ743" s="42">
        <f t="shared" si="250"/>
        <v>0.27</v>
      </c>
      <c r="AK743" s="41">
        <f t="shared" si="251"/>
        <v>863.81</v>
      </c>
      <c r="AL743" s="39">
        <f>RANK(E743,$E$2:$E$1001,0)+COUNTIF($E$2:E743,E743)-1</f>
        <v>960</v>
      </c>
    </row>
    <row r="744" spans="1:38" x14ac:dyDescent="0.2">
      <c r="A744" s="39">
        <v>1087</v>
      </c>
      <c r="B744" s="40">
        <v>44938</v>
      </c>
      <c r="C744" s="39" t="s">
        <v>71</v>
      </c>
      <c r="D744" s="39" t="s">
        <v>64</v>
      </c>
      <c r="E744" s="41">
        <v>6701.79</v>
      </c>
      <c r="F744" s="39">
        <v>21</v>
      </c>
      <c r="G744" s="39" t="s">
        <v>70</v>
      </c>
      <c r="H744" s="41">
        <v>3724.38</v>
      </c>
      <c r="I744" s="41">
        <v>3988.7</v>
      </c>
      <c r="J744" s="39" t="s">
        <v>143</v>
      </c>
      <c r="K744" s="42">
        <v>0.03</v>
      </c>
      <c r="L744" s="39" t="s">
        <v>63</v>
      </c>
      <c r="M744" s="39" t="s">
        <v>140</v>
      </c>
      <c r="N744" s="39" t="s">
        <v>160</v>
      </c>
      <c r="O744" s="43">
        <f t="shared" si="231"/>
        <v>83762.7</v>
      </c>
      <c r="P744" s="43">
        <f t="shared" si="232"/>
        <v>81249.820000000007</v>
      </c>
      <c r="Q744" s="43">
        <f t="shared" si="233"/>
        <v>78211.98</v>
      </c>
      <c r="R744" s="43">
        <f t="shared" si="234"/>
        <v>3037.8400000000111</v>
      </c>
      <c r="S744" s="44">
        <f t="shared" si="235"/>
        <v>3.7388882830755941E-2</v>
      </c>
      <c r="T744" s="39" t="str">
        <f t="shared" si="236"/>
        <v>OK</v>
      </c>
      <c r="U744" s="39" t="str">
        <f t="shared" si="237"/>
        <v>0-9%</v>
      </c>
      <c r="V744" s="39" t="str">
        <f>IF(E744&gt;=Analysis!$B$4,"High",IF(E744&gt;=Analysis!$B$5,"Mid","Low"))</f>
        <v>Mid</v>
      </c>
      <c r="W744" s="39" t="str">
        <f t="shared" si="238"/>
        <v>2023-01</v>
      </c>
      <c r="X744" s="40">
        <f t="shared" si="239"/>
        <v>44957</v>
      </c>
      <c r="Y744" s="39" t="str">
        <f t="shared" si="240"/>
        <v>2023-Q1</v>
      </c>
      <c r="Z744" s="39" t="str">
        <f t="shared" si="241"/>
        <v>Thu</v>
      </c>
      <c r="AA744" s="39">
        <f t="shared" si="242"/>
        <v>4</v>
      </c>
      <c r="AB744" s="39">
        <f t="shared" si="243"/>
        <v>3</v>
      </c>
      <c r="AC744" s="39" t="str">
        <f t="shared" si="244"/>
        <v>Weekday</v>
      </c>
      <c r="AD744" s="39">
        <f t="shared" ca="1" si="245"/>
        <v>1381</v>
      </c>
      <c r="AE744" s="39">
        <f t="shared" ca="1" si="246"/>
        <v>45</v>
      </c>
      <c r="AF744" s="39" t="str">
        <f t="shared" si="247"/>
        <v>CHA</v>
      </c>
      <c r="AG744" s="39" t="str">
        <f t="shared" si="248"/>
        <v>NR-230112-0743</v>
      </c>
      <c r="AH744" s="39" t="str">
        <f>IF(AND(OR(Filter!$B$4="All",D744=Filter!$B$4),OR(Filter!$B$5="All",M744=Filter!$B$5),E744&gt;=Filter!$B$6),MAX(AH$1:AH743)+1,"")</f>
        <v/>
      </c>
      <c r="AI744" s="39">
        <f t="shared" si="249"/>
        <v>21</v>
      </c>
      <c r="AJ744" s="42">
        <f t="shared" si="250"/>
        <v>0.03</v>
      </c>
      <c r="AK744" s="41">
        <f t="shared" si="251"/>
        <v>3988.7</v>
      </c>
      <c r="AL744" s="39">
        <f>RANK(E744,$E$2:$E$1001,0)+COUNTIF($E$2:E744,E744)-1</f>
        <v>335</v>
      </c>
    </row>
    <row r="745" spans="1:38" x14ac:dyDescent="0.2">
      <c r="A745" s="39">
        <v>1057</v>
      </c>
      <c r="B745" s="40">
        <v>45221</v>
      </c>
      <c r="C745" s="39" t="s">
        <v>79</v>
      </c>
      <c r="D745" s="39" t="s">
        <v>69</v>
      </c>
      <c r="E745" s="41">
        <v>3297.97</v>
      </c>
      <c r="F745" s="39">
        <v>40</v>
      </c>
      <c r="G745" s="39" t="s">
        <v>60</v>
      </c>
      <c r="H745" s="41">
        <v>3233.37</v>
      </c>
      <c r="I745" s="41">
        <v>3723.21</v>
      </c>
      <c r="J745" s="39" t="s">
        <v>143</v>
      </c>
      <c r="K745" s="42">
        <v>0.22</v>
      </c>
      <c r="L745" s="39" t="s">
        <v>63</v>
      </c>
      <c r="M745" s="39" t="s">
        <v>140</v>
      </c>
      <c r="N745" s="39" t="s">
        <v>147</v>
      </c>
      <c r="O745" s="43">
        <f t="shared" si="231"/>
        <v>148928.4</v>
      </c>
      <c r="P745" s="43">
        <f t="shared" si="232"/>
        <v>116164.15</v>
      </c>
      <c r="Q745" s="43">
        <f t="shared" si="233"/>
        <v>129334.8</v>
      </c>
      <c r="R745" s="43">
        <f t="shared" si="234"/>
        <v>-13170.650000000009</v>
      </c>
      <c r="S745" s="44">
        <f t="shared" si="235"/>
        <v>-0.11337964423619515</v>
      </c>
      <c r="T745" s="39" t="str">
        <f t="shared" si="236"/>
        <v>Loss</v>
      </c>
      <c r="U745" s="39" t="str">
        <f t="shared" si="237"/>
        <v>20%+</v>
      </c>
      <c r="V745" s="39" t="str">
        <f>IF(E745&gt;=Analysis!$B$4,"High",IF(E745&gt;=Analysis!$B$5,"Mid","Low"))</f>
        <v>Mid</v>
      </c>
      <c r="W745" s="39" t="str">
        <f t="shared" si="238"/>
        <v>2023-10</v>
      </c>
      <c r="X745" s="40">
        <f t="shared" si="239"/>
        <v>45230</v>
      </c>
      <c r="Y745" s="39" t="str">
        <f t="shared" si="240"/>
        <v>2023-Q4</v>
      </c>
      <c r="Z745" s="39" t="str">
        <f t="shared" si="241"/>
        <v>Sun</v>
      </c>
      <c r="AA745" s="39">
        <f t="shared" si="242"/>
        <v>7</v>
      </c>
      <c r="AB745" s="39">
        <f t="shared" si="243"/>
        <v>43</v>
      </c>
      <c r="AC745" s="39" t="str">
        <f t="shared" si="244"/>
        <v>Weekend</v>
      </c>
      <c r="AD745" s="39">
        <f t="shared" ca="1" si="245"/>
        <v>1098</v>
      </c>
      <c r="AE745" s="39">
        <f t="shared" ca="1" si="246"/>
        <v>36</v>
      </c>
      <c r="AF745" s="39" t="str">
        <f t="shared" si="247"/>
        <v>EVE</v>
      </c>
      <c r="AG745" s="39" t="str">
        <f t="shared" si="248"/>
        <v>SR-231022-0744</v>
      </c>
      <c r="AH745" s="39" t="str">
        <f>IF(AND(OR(Filter!$B$4="All",D745=Filter!$B$4),OR(Filter!$B$5="All",M745=Filter!$B$5),E745&gt;=Filter!$B$6),MAX(AH$1:AH744)+1,"")</f>
        <v/>
      </c>
      <c r="AI745" s="39">
        <f t="shared" si="249"/>
        <v>40</v>
      </c>
      <c r="AJ745" s="42">
        <f t="shared" si="250"/>
        <v>0.22</v>
      </c>
      <c r="AK745" s="41">
        <f t="shared" si="251"/>
        <v>3723.21</v>
      </c>
      <c r="AL745" s="39">
        <f>RANK(E745,$E$2:$E$1001,0)+COUNTIF($E$2:E745,E745)-1</f>
        <v>668</v>
      </c>
    </row>
    <row r="746" spans="1:38" x14ac:dyDescent="0.2">
      <c r="A746" s="39">
        <v>1075</v>
      </c>
      <c r="B746" s="40">
        <v>45150</v>
      </c>
      <c r="C746" s="39" t="s">
        <v>76</v>
      </c>
      <c r="D746" s="39" t="s">
        <v>59</v>
      </c>
      <c r="E746" s="41">
        <v>8989.4</v>
      </c>
      <c r="F746" s="39">
        <v>14</v>
      </c>
      <c r="G746" s="39" t="s">
        <v>75</v>
      </c>
      <c r="H746" s="41">
        <v>1612.93</v>
      </c>
      <c r="I746" s="41">
        <v>1964.15</v>
      </c>
      <c r="J746" s="39" t="s">
        <v>137</v>
      </c>
      <c r="K746" s="42">
        <v>0.24</v>
      </c>
      <c r="L746" s="39" t="s">
        <v>63</v>
      </c>
      <c r="M746" s="39" t="s">
        <v>140</v>
      </c>
      <c r="N746" s="39" t="s">
        <v>157</v>
      </c>
      <c r="O746" s="43">
        <f t="shared" si="231"/>
        <v>27498.1</v>
      </c>
      <c r="P746" s="43">
        <f t="shared" si="232"/>
        <v>20898.560000000001</v>
      </c>
      <c r="Q746" s="43">
        <f t="shared" si="233"/>
        <v>22581.02</v>
      </c>
      <c r="R746" s="43">
        <f t="shared" si="234"/>
        <v>-1682.4599999999991</v>
      </c>
      <c r="S746" s="44">
        <f t="shared" si="235"/>
        <v>-8.0506025295522712E-2</v>
      </c>
      <c r="T746" s="39" t="str">
        <f t="shared" si="236"/>
        <v>Loss</v>
      </c>
      <c r="U746" s="39" t="str">
        <f t="shared" si="237"/>
        <v>20%+</v>
      </c>
      <c r="V746" s="39" t="str">
        <f>IF(E746&gt;=Analysis!$B$4,"High",IF(E746&gt;=Analysis!$B$5,"Mid","Low"))</f>
        <v>High</v>
      </c>
      <c r="W746" s="39" t="str">
        <f t="shared" si="238"/>
        <v>2023-08</v>
      </c>
      <c r="X746" s="40">
        <f t="shared" si="239"/>
        <v>45169</v>
      </c>
      <c r="Y746" s="39" t="str">
        <f t="shared" si="240"/>
        <v>2023-Q3</v>
      </c>
      <c r="Z746" s="39" t="str">
        <f t="shared" si="241"/>
        <v>Sat</v>
      </c>
      <c r="AA746" s="39">
        <f t="shared" si="242"/>
        <v>6</v>
      </c>
      <c r="AB746" s="39">
        <f t="shared" si="243"/>
        <v>33</v>
      </c>
      <c r="AC746" s="39" t="str">
        <f t="shared" si="244"/>
        <v>Weekend</v>
      </c>
      <c r="AD746" s="39">
        <f t="shared" ca="1" si="245"/>
        <v>1169</v>
      </c>
      <c r="AE746" s="39">
        <f t="shared" ca="1" si="246"/>
        <v>38</v>
      </c>
      <c r="AF746" s="39" t="str">
        <f t="shared" si="247"/>
        <v>DAV</v>
      </c>
      <c r="AG746" s="39" t="str">
        <f t="shared" si="248"/>
        <v>ER-230812-0745</v>
      </c>
      <c r="AH746" s="39" t="str">
        <f>IF(AND(OR(Filter!$B$4="All",D746=Filter!$B$4),OR(Filter!$B$5="All",M746=Filter!$B$5),E746&gt;=Filter!$B$6),MAX(AH$1:AH745)+1,"")</f>
        <v/>
      </c>
      <c r="AI746" s="39">
        <f t="shared" si="249"/>
        <v>14</v>
      </c>
      <c r="AJ746" s="42">
        <f t="shared" si="250"/>
        <v>0.24</v>
      </c>
      <c r="AK746" s="41">
        <f t="shared" si="251"/>
        <v>1964.15</v>
      </c>
      <c r="AL746" s="39">
        <f>RANK(E746,$E$2:$E$1001,0)+COUNTIF($E$2:E746,E746)-1</f>
        <v>92</v>
      </c>
    </row>
    <row r="747" spans="1:38" x14ac:dyDescent="0.2">
      <c r="A747" s="39">
        <v>1012</v>
      </c>
      <c r="B747" s="40">
        <v>44939</v>
      </c>
      <c r="C747" s="39" t="s">
        <v>61</v>
      </c>
      <c r="D747" s="39" t="s">
        <v>59</v>
      </c>
      <c r="E747" s="41">
        <v>8892.3700000000008</v>
      </c>
      <c r="F747" s="39">
        <v>39</v>
      </c>
      <c r="G747" s="39" t="s">
        <v>75</v>
      </c>
      <c r="H747" s="41">
        <v>3126.52</v>
      </c>
      <c r="I747" s="41">
        <v>3465.79</v>
      </c>
      <c r="J747" s="39" t="s">
        <v>143</v>
      </c>
      <c r="K747" s="42">
        <v>0.08</v>
      </c>
      <c r="L747" s="39" t="s">
        <v>68</v>
      </c>
      <c r="M747" s="39" t="s">
        <v>138</v>
      </c>
      <c r="N747" s="39" t="s">
        <v>159</v>
      </c>
      <c r="O747" s="43">
        <f t="shared" si="231"/>
        <v>135165.81</v>
      </c>
      <c r="P747" s="43">
        <f t="shared" si="232"/>
        <v>124352.55</v>
      </c>
      <c r="Q747" s="43">
        <f t="shared" si="233"/>
        <v>121934.28</v>
      </c>
      <c r="R747" s="43">
        <f t="shared" si="234"/>
        <v>2418.2700000000041</v>
      </c>
      <c r="S747" s="44">
        <f t="shared" si="235"/>
        <v>1.9446887096404568E-2</v>
      </c>
      <c r="T747" s="39" t="str">
        <f t="shared" si="236"/>
        <v>OK</v>
      </c>
      <c r="U747" s="39" t="str">
        <f t="shared" si="237"/>
        <v>0-9%</v>
      </c>
      <c r="V747" s="39" t="str">
        <f>IF(E747&gt;=Analysis!$B$4,"High",IF(E747&gt;=Analysis!$B$5,"Mid","Low"))</f>
        <v>High</v>
      </c>
      <c r="W747" s="39" t="str">
        <f t="shared" si="238"/>
        <v>2023-01</v>
      </c>
      <c r="X747" s="40">
        <f t="shared" si="239"/>
        <v>44957</v>
      </c>
      <c r="Y747" s="39" t="str">
        <f t="shared" si="240"/>
        <v>2023-Q1</v>
      </c>
      <c r="Z747" s="39" t="str">
        <f t="shared" si="241"/>
        <v>Fri</v>
      </c>
      <c r="AA747" s="39">
        <f t="shared" si="242"/>
        <v>5</v>
      </c>
      <c r="AB747" s="39">
        <f t="shared" si="243"/>
        <v>3</v>
      </c>
      <c r="AC747" s="39" t="str">
        <f t="shared" si="244"/>
        <v>Weekday</v>
      </c>
      <c r="AD747" s="39">
        <f t="shared" ca="1" si="245"/>
        <v>1380</v>
      </c>
      <c r="AE747" s="39">
        <f t="shared" ca="1" si="246"/>
        <v>45</v>
      </c>
      <c r="AF747" s="39" t="str">
        <f t="shared" si="247"/>
        <v>ALI</v>
      </c>
      <c r="AG747" s="39" t="str">
        <f t="shared" si="248"/>
        <v>EO-230113-0746</v>
      </c>
      <c r="AH747" s="39" t="str">
        <f>IF(AND(OR(Filter!$B$4="All",D747=Filter!$B$4),OR(Filter!$B$5="All",M747=Filter!$B$5),E747&gt;=Filter!$B$6),MAX(AH$1:AH746)+1,"")</f>
        <v/>
      </c>
      <c r="AI747" s="39">
        <f t="shared" si="249"/>
        <v>39</v>
      </c>
      <c r="AJ747" s="42">
        <f t="shared" si="250"/>
        <v>0.08</v>
      </c>
      <c r="AK747" s="41">
        <f t="shared" si="251"/>
        <v>3465.79</v>
      </c>
      <c r="AL747" s="39">
        <f>RANK(E747,$E$2:$E$1001,0)+COUNTIF($E$2:E747,E747)-1</f>
        <v>104</v>
      </c>
    </row>
    <row r="748" spans="1:38" x14ac:dyDescent="0.2">
      <c r="A748" s="39">
        <v>1074</v>
      </c>
      <c r="B748" s="40">
        <v>44972</v>
      </c>
      <c r="C748" s="39" t="s">
        <v>61</v>
      </c>
      <c r="D748" s="39" t="s">
        <v>69</v>
      </c>
      <c r="E748" s="41">
        <v>3320.38</v>
      </c>
      <c r="F748" s="39">
        <v>31</v>
      </c>
      <c r="G748" s="39" t="s">
        <v>75</v>
      </c>
      <c r="H748" s="41">
        <v>1138.32</v>
      </c>
      <c r="I748" s="41">
        <v>1266.25</v>
      </c>
      <c r="J748" s="39" t="s">
        <v>137</v>
      </c>
      <c r="K748" s="42">
        <v>0.14000000000000001</v>
      </c>
      <c r="L748" s="39" t="s">
        <v>68</v>
      </c>
      <c r="M748" s="39" t="s">
        <v>140</v>
      </c>
      <c r="N748" s="39" t="s">
        <v>150</v>
      </c>
      <c r="O748" s="43">
        <f t="shared" si="231"/>
        <v>39253.75</v>
      </c>
      <c r="P748" s="43">
        <f t="shared" si="232"/>
        <v>33758.230000000003</v>
      </c>
      <c r="Q748" s="43">
        <f t="shared" si="233"/>
        <v>35287.919999999998</v>
      </c>
      <c r="R748" s="43">
        <f t="shared" si="234"/>
        <v>-1529.6899999999951</v>
      </c>
      <c r="S748" s="44">
        <f t="shared" si="235"/>
        <v>-4.5313098465174118E-2</v>
      </c>
      <c r="T748" s="39" t="str">
        <f t="shared" si="236"/>
        <v>Loss</v>
      </c>
      <c r="U748" s="39" t="str">
        <f t="shared" si="237"/>
        <v>10-19%</v>
      </c>
      <c r="V748" s="39" t="str">
        <f>IF(E748&gt;=Analysis!$B$4,"High",IF(E748&gt;=Analysis!$B$5,"Mid","Low"))</f>
        <v>Mid</v>
      </c>
      <c r="W748" s="39" t="str">
        <f t="shared" si="238"/>
        <v>2023-02</v>
      </c>
      <c r="X748" s="40">
        <f t="shared" si="239"/>
        <v>44985</v>
      </c>
      <c r="Y748" s="39" t="str">
        <f t="shared" si="240"/>
        <v>2023-Q1</v>
      </c>
      <c r="Z748" s="39" t="str">
        <f t="shared" si="241"/>
        <v>Wed</v>
      </c>
      <c r="AA748" s="39">
        <f t="shared" si="242"/>
        <v>3</v>
      </c>
      <c r="AB748" s="39">
        <f t="shared" si="243"/>
        <v>8</v>
      </c>
      <c r="AC748" s="39" t="str">
        <f t="shared" si="244"/>
        <v>Weekday</v>
      </c>
      <c r="AD748" s="39">
        <f t="shared" ca="1" si="245"/>
        <v>1347</v>
      </c>
      <c r="AE748" s="39">
        <f t="shared" ca="1" si="246"/>
        <v>44</v>
      </c>
      <c r="AF748" s="39" t="str">
        <f t="shared" si="247"/>
        <v>ALI</v>
      </c>
      <c r="AG748" s="39" t="str">
        <f t="shared" si="248"/>
        <v>SR-230215-0747</v>
      </c>
      <c r="AH748" s="39" t="str">
        <f>IF(AND(OR(Filter!$B$4="All",D748=Filter!$B$4),OR(Filter!$B$5="All",M748=Filter!$B$5),E748&gt;=Filter!$B$6),MAX(AH$1:AH747)+1,"")</f>
        <v/>
      </c>
      <c r="AI748" s="39">
        <f t="shared" si="249"/>
        <v>31</v>
      </c>
      <c r="AJ748" s="42">
        <f t="shared" si="250"/>
        <v>0.14000000000000001</v>
      </c>
      <c r="AK748" s="41">
        <f t="shared" si="251"/>
        <v>1266.25</v>
      </c>
      <c r="AL748" s="39">
        <f>RANK(E748,$E$2:$E$1001,0)+COUNTIF($E$2:E748,E748)-1</f>
        <v>666</v>
      </c>
    </row>
    <row r="749" spans="1:38" x14ac:dyDescent="0.2">
      <c r="A749" s="39">
        <v>1096</v>
      </c>
      <c r="B749" s="40">
        <v>45081</v>
      </c>
      <c r="C749" s="39" t="s">
        <v>66</v>
      </c>
      <c r="D749" s="39" t="s">
        <v>69</v>
      </c>
      <c r="E749" s="41">
        <v>9019.51</v>
      </c>
      <c r="F749" s="39">
        <v>14</v>
      </c>
      <c r="G749" s="39" t="s">
        <v>75</v>
      </c>
      <c r="H749" s="41">
        <v>2251.9499999999998</v>
      </c>
      <c r="I749" s="41">
        <v>2626.32</v>
      </c>
      <c r="J749" s="39" t="s">
        <v>137</v>
      </c>
      <c r="K749" s="42">
        <v>0.21</v>
      </c>
      <c r="L749" s="39" t="s">
        <v>73</v>
      </c>
      <c r="M749" s="39" t="s">
        <v>138</v>
      </c>
      <c r="N749" s="39" t="s">
        <v>144</v>
      </c>
      <c r="O749" s="43">
        <f t="shared" si="231"/>
        <v>36768.480000000003</v>
      </c>
      <c r="P749" s="43">
        <f t="shared" si="232"/>
        <v>29047.1</v>
      </c>
      <c r="Q749" s="43">
        <f t="shared" si="233"/>
        <v>31527.3</v>
      </c>
      <c r="R749" s="43">
        <f t="shared" si="234"/>
        <v>-2480.2000000000007</v>
      </c>
      <c r="S749" s="44">
        <f t="shared" si="235"/>
        <v>-8.5385460166419402E-2</v>
      </c>
      <c r="T749" s="39" t="str">
        <f t="shared" si="236"/>
        <v>Loss</v>
      </c>
      <c r="U749" s="39" t="str">
        <f t="shared" si="237"/>
        <v>20%+</v>
      </c>
      <c r="V749" s="39" t="str">
        <f>IF(E749&gt;=Analysis!$B$4,"High",IF(E749&gt;=Analysis!$B$5,"Mid","Low"))</f>
        <v>High</v>
      </c>
      <c r="W749" s="39" t="str">
        <f t="shared" si="238"/>
        <v>2023-06</v>
      </c>
      <c r="X749" s="40">
        <f t="shared" si="239"/>
        <v>45107</v>
      </c>
      <c r="Y749" s="39" t="str">
        <f t="shared" si="240"/>
        <v>2023-Q2</v>
      </c>
      <c r="Z749" s="39" t="str">
        <f t="shared" si="241"/>
        <v>Sun</v>
      </c>
      <c r="AA749" s="39">
        <f t="shared" si="242"/>
        <v>7</v>
      </c>
      <c r="AB749" s="39">
        <f t="shared" si="243"/>
        <v>23</v>
      </c>
      <c r="AC749" s="39" t="str">
        <f t="shared" si="244"/>
        <v>Weekend</v>
      </c>
      <c r="AD749" s="39">
        <f t="shared" ca="1" si="245"/>
        <v>1238</v>
      </c>
      <c r="AE749" s="39">
        <f t="shared" ca="1" si="246"/>
        <v>40</v>
      </c>
      <c r="AF749" s="39" t="str">
        <f t="shared" si="247"/>
        <v>BOB</v>
      </c>
      <c r="AG749" s="39" t="str">
        <f t="shared" si="248"/>
        <v>SO-230604-0748</v>
      </c>
      <c r="AH749" s="39">
        <f>IF(AND(OR(Filter!$B$4="All",D749=Filter!$B$4),OR(Filter!$B$5="All",M749=Filter!$B$5),E749&gt;=Filter!$B$6),MAX(AH$1:AH748)+1,"")</f>
        <v>67</v>
      </c>
      <c r="AI749" s="39">
        <f t="shared" si="249"/>
        <v>14</v>
      </c>
      <c r="AJ749" s="42">
        <f t="shared" si="250"/>
        <v>0.21</v>
      </c>
      <c r="AK749" s="41">
        <f t="shared" si="251"/>
        <v>2626.32</v>
      </c>
      <c r="AL749" s="39">
        <f>RANK(E749,$E$2:$E$1001,0)+COUNTIF($E$2:E749,E749)-1</f>
        <v>90</v>
      </c>
    </row>
    <row r="750" spans="1:38" x14ac:dyDescent="0.2">
      <c r="A750" s="39">
        <v>1016</v>
      </c>
      <c r="B750" s="40">
        <v>45039</v>
      </c>
      <c r="C750" s="39" t="s">
        <v>76</v>
      </c>
      <c r="D750" s="39" t="s">
        <v>69</v>
      </c>
      <c r="E750" s="41">
        <v>9961.9599999999991</v>
      </c>
      <c r="F750" s="39">
        <v>6</v>
      </c>
      <c r="G750" s="39" t="s">
        <v>75</v>
      </c>
      <c r="H750" s="41">
        <v>4502.09</v>
      </c>
      <c r="I750" s="41">
        <v>4879.72</v>
      </c>
      <c r="J750" s="39" t="s">
        <v>143</v>
      </c>
      <c r="K750" s="42">
        <v>0.13</v>
      </c>
      <c r="L750" s="39" t="s">
        <v>73</v>
      </c>
      <c r="M750" s="39" t="s">
        <v>138</v>
      </c>
      <c r="N750" s="39" t="s">
        <v>142</v>
      </c>
      <c r="O750" s="43">
        <f t="shared" si="231"/>
        <v>29278.32</v>
      </c>
      <c r="P750" s="43">
        <f t="shared" si="232"/>
        <v>25472.14</v>
      </c>
      <c r="Q750" s="43">
        <f t="shared" si="233"/>
        <v>27012.54</v>
      </c>
      <c r="R750" s="43">
        <f t="shared" si="234"/>
        <v>-1540.4000000000015</v>
      </c>
      <c r="S750" s="44">
        <f t="shared" si="235"/>
        <v>-6.0473913852546413E-2</v>
      </c>
      <c r="T750" s="39" t="str">
        <f t="shared" si="236"/>
        <v>Loss</v>
      </c>
      <c r="U750" s="39" t="str">
        <f t="shared" si="237"/>
        <v>10-19%</v>
      </c>
      <c r="V750" s="39" t="str">
        <f>IF(E750&gt;=Analysis!$B$4,"High",IF(E750&gt;=Analysis!$B$5,"Mid","Low"))</f>
        <v>High</v>
      </c>
      <c r="W750" s="39" t="str">
        <f t="shared" si="238"/>
        <v>2023-04</v>
      </c>
      <c r="X750" s="40">
        <f t="shared" si="239"/>
        <v>45046</v>
      </c>
      <c r="Y750" s="39" t="str">
        <f t="shared" si="240"/>
        <v>2023-Q2</v>
      </c>
      <c r="Z750" s="39" t="str">
        <f t="shared" si="241"/>
        <v>Sun</v>
      </c>
      <c r="AA750" s="39">
        <f t="shared" si="242"/>
        <v>7</v>
      </c>
      <c r="AB750" s="39">
        <f t="shared" si="243"/>
        <v>17</v>
      </c>
      <c r="AC750" s="39" t="str">
        <f t="shared" si="244"/>
        <v>Weekend</v>
      </c>
      <c r="AD750" s="39">
        <f t="shared" ca="1" si="245"/>
        <v>1280</v>
      </c>
      <c r="AE750" s="39">
        <f t="shared" ca="1" si="246"/>
        <v>42</v>
      </c>
      <c r="AF750" s="39" t="str">
        <f t="shared" si="247"/>
        <v>DAV</v>
      </c>
      <c r="AG750" s="39" t="str">
        <f t="shared" si="248"/>
        <v>SO-230423-0749</v>
      </c>
      <c r="AH750" s="39">
        <f>IF(AND(OR(Filter!$B$4="All",D750=Filter!$B$4),OR(Filter!$B$5="All",M750=Filter!$B$5),E750&gt;=Filter!$B$6),MAX(AH$1:AH749)+1,"")</f>
        <v>68</v>
      </c>
      <c r="AI750" s="39">
        <f t="shared" si="249"/>
        <v>6</v>
      </c>
      <c r="AJ750" s="42">
        <f t="shared" si="250"/>
        <v>0.13</v>
      </c>
      <c r="AK750" s="41">
        <f t="shared" si="251"/>
        <v>4879.72</v>
      </c>
      <c r="AL750" s="39">
        <f>RANK(E750,$E$2:$E$1001,0)+COUNTIF($E$2:E750,E750)-1</f>
        <v>5</v>
      </c>
    </row>
    <row r="751" spans="1:38" x14ac:dyDescent="0.2">
      <c r="A751" s="39">
        <v>1072</v>
      </c>
      <c r="B751" s="40">
        <v>45159</v>
      </c>
      <c r="C751" s="39" t="s">
        <v>61</v>
      </c>
      <c r="D751" s="39" t="s">
        <v>74</v>
      </c>
      <c r="E751" s="41">
        <v>8271.6200000000008</v>
      </c>
      <c r="F751" s="39">
        <v>12</v>
      </c>
      <c r="G751" s="39" t="s">
        <v>60</v>
      </c>
      <c r="H751" s="41">
        <v>710.99</v>
      </c>
      <c r="I751" s="41">
        <v>876.46</v>
      </c>
      <c r="J751" s="39" t="s">
        <v>137</v>
      </c>
      <c r="K751" s="42">
        <v>0.03</v>
      </c>
      <c r="L751" s="39" t="s">
        <v>73</v>
      </c>
      <c r="M751" s="39" t="s">
        <v>138</v>
      </c>
      <c r="N751" s="39" t="s">
        <v>158</v>
      </c>
      <c r="O751" s="43">
        <f t="shared" si="231"/>
        <v>10517.52</v>
      </c>
      <c r="P751" s="43">
        <f t="shared" si="232"/>
        <v>10201.99</v>
      </c>
      <c r="Q751" s="43">
        <f t="shared" si="233"/>
        <v>8531.8799999999992</v>
      </c>
      <c r="R751" s="43">
        <f t="shared" si="234"/>
        <v>1670.1100000000006</v>
      </c>
      <c r="S751" s="44">
        <f t="shared" si="235"/>
        <v>0.16370433611481688</v>
      </c>
      <c r="T751" s="39" t="str">
        <f t="shared" si="236"/>
        <v>OK</v>
      </c>
      <c r="U751" s="39" t="str">
        <f t="shared" si="237"/>
        <v>0-9%</v>
      </c>
      <c r="V751" s="39" t="str">
        <f>IF(E751&gt;=Analysis!$B$4,"High",IF(E751&gt;=Analysis!$B$5,"Mid","Low"))</f>
        <v>High</v>
      </c>
      <c r="W751" s="39" t="str">
        <f t="shared" si="238"/>
        <v>2023-08</v>
      </c>
      <c r="X751" s="40">
        <f t="shared" si="239"/>
        <v>45169</v>
      </c>
      <c r="Y751" s="39" t="str">
        <f t="shared" si="240"/>
        <v>2023-Q3</v>
      </c>
      <c r="Z751" s="39" t="str">
        <f t="shared" si="241"/>
        <v>Mon</v>
      </c>
      <c r="AA751" s="39">
        <f t="shared" si="242"/>
        <v>1</v>
      </c>
      <c r="AB751" s="39">
        <f t="shared" si="243"/>
        <v>35</v>
      </c>
      <c r="AC751" s="39" t="str">
        <f t="shared" si="244"/>
        <v>Weekday</v>
      </c>
      <c r="AD751" s="39">
        <f t="shared" ca="1" si="245"/>
        <v>1160</v>
      </c>
      <c r="AE751" s="39">
        <f t="shared" ca="1" si="246"/>
        <v>38</v>
      </c>
      <c r="AF751" s="39" t="str">
        <f t="shared" si="247"/>
        <v>ALI</v>
      </c>
      <c r="AG751" s="39" t="str">
        <f t="shared" si="248"/>
        <v>WO-230821-0750</v>
      </c>
      <c r="AH751" s="39" t="str">
        <f>IF(AND(OR(Filter!$B$4="All",D751=Filter!$B$4),OR(Filter!$B$5="All",M751=Filter!$B$5),E751&gt;=Filter!$B$6),MAX(AH$1:AH750)+1,"")</f>
        <v/>
      </c>
      <c r="AI751" s="39">
        <f t="shared" si="249"/>
        <v>12</v>
      </c>
      <c r="AJ751" s="42">
        <f t="shared" si="250"/>
        <v>0.03</v>
      </c>
      <c r="AK751" s="41">
        <f t="shared" si="251"/>
        <v>876.46</v>
      </c>
      <c r="AL751" s="39">
        <f>RANK(E751,$E$2:$E$1001,0)+COUNTIF($E$2:E751,E751)-1</f>
        <v>164</v>
      </c>
    </row>
    <row r="752" spans="1:38" x14ac:dyDescent="0.2">
      <c r="A752" s="39">
        <v>1076</v>
      </c>
      <c r="B752" s="40">
        <v>44943</v>
      </c>
      <c r="C752" s="39" t="s">
        <v>71</v>
      </c>
      <c r="D752" s="39" t="s">
        <v>69</v>
      </c>
      <c r="E752" s="41">
        <v>8464.23</v>
      </c>
      <c r="F752" s="39">
        <v>16</v>
      </c>
      <c r="G752" s="39" t="s">
        <v>60</v>
      </c>
      <c r="H752" s="41">
        <v>1964.15</v>
      </c>
      <c r="I752" s="41">
        <v>2211.17</v>
      </c>
      <c r="J752" s="39" t="s">
        <v>137</v>
      </c>
      <c r="K752" s="42">
        <v>0.21</v>
      </c>
      <c r="L752" s="39" t="s">
        <v>63</v>
      </c>
      <c r="M752" s="39" t="s">
        <v>138</v>
      </c>
      <c r="N752" s="39" t="s">
        <v>151</v>
      </c>
      <c r="O752" s="43">
        <f t="shared" si="231"/>
        <v>35378.720000000001</v>
      </c>
      <c r="P752" s="43">
        <f t="shared" si="232"/>
        <v>27949.19</v>
      </c>
      <c r="Q752" s="43">
        <f t="shared" si="233"/>
        <v>31426.400000000001</v>
      </c>
      <c r="R752" s="43">
        <f t="shared" si="234"/>
        <v>-3477.2100000000028</v>
      </c>
      <c r="S752" s="44">
        <f t="shared" si="235"/>
        <v>-0.12441183447534626</v>
      </c>
      <c r="T752" s="39" t="str">
        <f t="shared" si="236"/>
        <v>Loss</v>
      </c>
      <c r="U752" s="39" t="str">
        <f t="shared" si="237"/>
        <v>20%+</v>
      </c>
      <c r="V752" s="39" t="str">
        <f>IF(E752&gt;=Analysis!$B$4,"High",IF(E752&gt;=Analysis!$B$5,"Mid","Low"))</f>
        <v>High</v>
      </c>
      <c r="W752" s="39" t="str">
        <f t="shared" si="238"/>
        <v>2023-01</v>
      </c>
      <c r="X752" s="40">
        <f t="shared" si="239"/>
        <v>44957</v>
      </c>
      <c r="Y752" s="39" t="str">
        <f t="shared" si="240"/>
        <v>2023-Q1</v>
      </c>
      <c r="Z752" s="39" t="str">
        <f t="shared" si="241"/>
        <v>Tue</v>
      </c>
      <c r="AA752" s="39">
        <f t="shared" si="242"/>
        <v>2</v>
      </c>
      <c r="AB752" s="39">
        <f t="shared" si="243"/>
        <v>4</v>
      </c>
      <c r="AC752" s="39" t="str">
        <f t="shared" si="244"/>
        <v>Weekday</v>
      </c>
      <c r="AD752" s="39">
        <f t="shared" ca="1" si="245"/>
        <v>1376</v>
      </c>
      <c r="AE752" s="39">
        <f t="shared" ca="1" si="246"/>
        <v>45</v>
      </c>
      <c r="AF752" s="39" t="str">
        <f t="shared" si="247"/>
        <v>CHA</v>
      </c>
      <c r="AG752" s="39" t="str">
        <f t="shared" si="248"/>
        <v>SO-230117-0751</v>
      </c>
      <c r="AH752" s="39" t="str">
        <f>IF(AND(OR(Filter!$B$4="All",D752=Filter!$B$4),OR(Filter!$B$5="All",M752=Filter!$B$5),E752&gt;=Filter!$B$6),MAX(AH$1:AH751)+1,"")</f>
        <v/>
      </c>
      <c r="AI752" s="39">
        <f t="shared" si="249"/>
        <v>16</v>
      </c>
      <c r="AJ752" s="42">
        <f t="shared" si="250"/>
        <v>0.21</v>
      </c>
      <c r="AK752" s="41">
        <f t="shared" si="251"/>
        <v>2211.17</v>
      </c>
      <c r="AL752" s="39">
        <f>RANK(E752,$E$2:$E$1001,0)+COUNTIF($E$2:E752,E752)-1</f>
        <v>145</v>
      </c>
    </row>
    <row r="753" spans="1:38" x14ac:dyDescent="0.2">
      <c r="A753" s="39">
        <v>1024</v>
      </c>
      <c r="B753" s="40">
        <v>45286</v>
      </c>
      <c r="C753" s="39" t="s">
        <v>76</v>
      </c>
      <c r="D753" s="39" t="s">
        <v>64</v>
      </c>
      <c r="E753" s="41">
        <v>2565.19</v>
      </c>
      <c r="F753" s="39">
        <v>17</v>
      </c>
      <c r="G753" s="39" t="s">
        <v>75</v>
      </c>
      <c r="H753" s="41">
        <v>4114.66</v>
      </c>
      <c r="I753" s="41">
        <v>4269.0200000000004</v>
      </c>
      <c r="J753" s="39" t="s">
        <v>137</v>
      </c>
      <c r="K753" s="42">
        <v>0.27</v>
      </c>
      <c r="L753" s="39" t="s">
        <v>63</v>
      </c>
      <c r="M753" s="39" t="s">
        <v>140</v>
      </c>
      <c r="N753" s="39" t="s">
        <v>152</v>
      </c>
      <c r="O753" s="43">
        <f t="shared" si="231"/>
        <v>72573.34</v>
      </c>
      <c r="P753" s="43">
        <f t="shared" si="232"/>
        <v>52978.54</v>
      </c>
      <c r="Q753" s="43">
        <f t="shared" si="233"/>
        <v>69949.22</v>
      </c>
      <c r="R753" s="43">
        <f t="shared" si="234"/>
        <v>-16970.68</v>
      </c>
      <c r="S753" s="44">
        <f t="shared" si="235"/>
        <v>-0.32033121335544545</v>
      </c>
      <c r="T753" s="39" t="str">
        <f t="shared" si="236"/>
        <v>Loss</v>
      </c>
      <c r="U753" s="39" t="str">
        <f t="shared" si="237"/>
        <v>20%+</v>
      </c>
      <c r="V753" s="39" t="str">
        <f>IF(E753&gt;=Analysis!$B$4,"High",IF(E753&gt;=Analysis!$B$5,"Mid","Low"))</f>
        <v>Mid</v>
      </c>
      <c r="W753" s="39" t="str">
        <f t="shared" si="238"/>
        <v>2023-12</v>
      </c>
      <c r="X753" s="40">
        <f t="shared" si="239"/>
        <v>45291</v>
      </c>
      <c r="Y753" s="39" t="str">
        <f t="shared" si="240"/>
        <v>2023-Q4</v>
      </c>
      <c r="Z753" s="39" t="str">
        <f t="shared" si="241"/>
        <v>Tue</v>
      </c>
      <c r="AA753" s="39">
        <f t="shared" si="242"/>
        <v>2</v>
      </c>
      <c r="AB753" s="39">
        <f t="shared" si="243"/>
        <v>53</v>
      </c>
      <c r="AC753" s="39" t="str">
        <f t="shared" si="244"/>
        <v>Weekday</v>
      </c>
      <c r="AD753" s="39">
        <f t="shared" ca="1" si="245"/>
        <v>1033</v>
      </c>
      <c r="AE753" s="39">
        <f t="shared" ca="1" si="246"/>
        <v>33</v>
      </c>
      <c r="AF753" s="39" t="str">
        <f t="shared" si="247"/>
        <v>DAV</v>
      </c>
      <c r="AG753" s="39" t="str">
        <f t="shared" si="248"/>
        <v>NR-231226-0752</v>
      </c>
      <c r="AH753" s="39" t="str">
        <f>IF(AND(OR(Filter!$B$4="All",D753=Filter!$B$4),OR(Filter!$B$5="All",M753=Filter!$B$5),E753&gt;=Filter!$B$6),MAX(AH$1:AH752)+1,"")</f>
        <v/>
      </c>
      <c r="AI753" s="39">
        <f t="shared" si="249"/>
        <v>17</v>
      </c>
      <c r="AJ753" s="42">
        <f t="shared" si="250"/>
        <v>0.27</v>
      </c>
      <c r="AK753" s="41">
        <f t="shared" si="251"/>
        <v>4269.0200000000004</v>
      </c>
      <c r="AL753" s="39">
        <f>RANK(E753,$E$2:$E$1001,0)+COUNTIF($E$2:E753,E753)-1</f>
        <v>747</v>
      </c>
    </row>
    <row r="754" spans="1:38" x14ac:dyDescent="0.2">
      <c r="A754" s="39">
        <v>1028</v>
      </c>
      <c r="B754" s="40">
        <v>45149</v>
      </c>
      <c r="C754" s="39" t="s">
        <v>71</v>
      </c>
      <c r="D754" s="39" t="s">
        <v>74</v>
      </c>
      <c r="E754" s="41">
        <v>5809.35</v>
      </c>
      <c r="F754" s="39">
        <v>45</v>
      </c>
      <c r="G754" s="39" t="s">
        <v>60</v>
      </c>
      <c r="H754" s="41">
        <v>4848.9799999999996</v>
      </c>
      <c r="I754" s="41">
        <v>4985.75</v>
      </c>
      <c r="J754" s="39" t="s">
        <v>137</v>
      </c>
      <c r="K754" s="42">
        <v>0.2</v>
      </c>
      <c r="L754" s="39" t="s">
        <v>63</v>
      </c>
      <c r="M754" s="39" t="s">
        <v>138</v>
      </c>
      <c r="N754" s="39" t="s">
        <v>146</v>
      </c>
      <c r="O754" s="43">
        <f t="shared" si="231"/>
        <v>224358.75</v>
      </c>
      <c r="P754" s="43">
        <f t="shared" si="232"/>
        <v>179487</v>
      </c>
      <c r="Q754" s="43">
        <f t="shared" si="233"/>
        <v>218204.1</v>
      </c>
      <c r="R754" s="43">
        <f t="shared" si="234"/>
        <v>-38717.100000000006</v>
      </c>
      <c r="S754" s="44">
        <f t="shared" si="235"/>
        <v>-0.21570977285263002</v>
      </c>
      <c r="T754" s="39" t="str">
        <f t="shared" si="236"/>
        <v>Loss</v>
      </c>
      <c r="U754" s="39" t="str">
        <f t="shared" si="237"/>
        <v>20%+</v>
      </c>
      <c r="V754" s="39" t="str">
        <f>IF(E754&gt;=Analysis!$B$4,"High",IF(E754&gt;=Analysis!$B$5,"Mid","Low"))</f>
        <v>Mid</v>
      </c>
      <c r="W754" s="39" t="str">
        <f t="shared" si="238"/>
        <v>2023-08</v>
      </c>
      <c r="X754" s="40">
        <f t="shared" si="239"/>
        <v>45169</v>
      </c>
      <c r="Y754" s="39" t="str">
        <f t="shared" si="240"/>
        <v>2023-Q3</v>
      </c>
      <c r="Z754" s="39" t="str">
        <f t="shared" si="241"/>
        <v>Fri</v>
      </c>
      <c r="AA754" s="39">
        <f t="shared" si="242"/>
        <v>5</v>
      </c>
      <c r="AB754" s="39">
        <f t="shared" si="243"/>
        <v>33</v>
      </c>
      <c r="AC754" s="39" t="str">
        <f t="shared" si="244"/>
        <v>Weekday</v>
      </c>
      <c r="AD754" s="39">
        <f t="shared" ca="1" si="245"/>
        <v>1170</v>
      </c>
      <c r="AE754" s="39">
        <f t="shared" ca="1" si="246"/>
        <v>38</v>
      </c>
      <c r="AF754" s="39" t="str">
        <f t="shared" si="247"/>
        <v>CHA</v>
      </c>
      <c r="AG754" s="39" t="str">
        <f t="shared" si="248"/>
        <v>WO-230811-0753</v>
      </c>
      <c r="AH754" s="39" t="str">
        <f>IF(AND(OR(Filter!$B$4="All",D754=Filter!$B$4),OR(Filter!$B$5="All",M754=Filter!$B$5),E754&gt;=Filter!$B$6),MAX(AH$1:AH753)+1,"")</f>
        <v/>
      </c>
      <c r="AI754" s="39">
        <f t="shared" si="249"/>
        <v>45</v>
      </c>
      <c r="AJ754" s="42">
        <f t="shared" si="250"/>
        <v>0.2</v>
      </c>
      <c r="AK754" s="41">
        <f t="shared" si="251"/>
        <v>4985.75</v>
      </c>
      <c r="AL754" s="39">
        <f>RANK(E754,$E$2:$E$1001,0)+COUNTIF($E$2:E754,E754)-1</f>
        <v>430</v>
      </c>
    </row>
    <row r="755" spans="1:38" x14ac:dyDescent="0.2">
      <c r="A755" s="39">
        <v>1008</v>
      </c>
      <c r="B755" s="40">
        <v>45280</v>
      </c>
      <c r="C755" s="39" t="s">
        <v>71</v>
      </c>
      <c r="D755" s="39" t="s">
        <v>74</v>
      </c>
      <c r="E755" s="41">
        <v>765.83</v>
      </c>
      <c r="F755" s="39">
        <v>23</v>
      </c>
      <c r="G755" s="39" t="s">
        <v>60</v>
      </c>
      <c r="H755" s="41">
        <v>2296.9299999999998</v>
      </c>
      <c r="I755" s="41">
        <v>2319.62</v>
      </c>
      <c r="J755" s="39" t="s">
        <v>137</v>
      </c>
      <c r="K755" s="42">
        <v>0.23</v>
      </c>
      <c r="L755" s="39" t="s">
        <v>63</v>
      </c>
      <c r="M755" s="39" t="s">
        <v>140</v>
      </c>
      <c r="N755" s="39" t="s">
        <v>146</v>
      </c>
      <c r="O755" s="43">
        <f t="shared" si="231"/>
        <v>53351.26</v>
      </c>
      <c r="P755" s="43">
        <f t="shared" si="232"/>
        <v>41080.47</v>
      </c>
      <c r="Q755" s="43">
        <f t="shared" si="233"/>
        <v>52829.39</v>
      </c>
      <c r="R755" s="43">
        <f t="shared" si="234"/>
        <v>-11748.919999999998</v>
      </c>
      <c r="S755" s="44">
        <f t="shared" si="235"/>
        <v>-0.28599770158423204</v>
      </c>
      <c r="T755" s="39" t="str">
        <f t="shared" si="236"/>
        <v>Loss</v>
      </c>
      <c r="U755" s="39" t="str">
        <f t="shared" si="237"/>
        <v>20%+</v>
      </c>
      <c r="V755" s="39" t="str">
        <f>IF(E755&gt;=Analysis!$B$4,"High",IF(E755&gt;=Analysis!$B$5,"Mid","Low"))</f>
        <v>Low</v>
      </c>
      <c r="W755" s="39" t="str">
        <f t="shared" si="238"/>
        <v>2023-12</v>
      </c>
      <c r="X755" s="40">
        <f t="shared" si="239"/>
        <v>45291</v>
      </c>
      <c r="Y755" s="39" t="str">
        <f t="shared" si="240"/>
        <v>2023-Q4</v>
      </c>
      <c r="Z755" s="39" t="str">
        <f t="shared" si="241"/>
        <v>Wed</v>
      </c>
      <c r="AA755" s="39">
        <f t="shared" si="242"/>
        <v>3</v>
      </c>
      <c r="AB755" s="39">
        <f t="shared" si="243"/>
        <v>52</v>
      </c>
      <c r="AC755" s="39" t="str">
        <f t="shared" si="244"/>
        <v>Weekday</v>
      </c>
      <c r="AD755" s="39">
        <f t="shared" ca="1" si="245"/>
        <v>1039</v>
      </c>
      <c r="AE755" s="39">
        <f t="shared" ca="1" si="246"/>
        <v>34</v>
      </c>
      <c r="AF755" s="39" t="str">
        <f t="shared" si="247"/>
        <v>CHA</v>
      </c>
      <c r="AG755" s="39" t="str">
        <f t="shared" si="248"/>
        <v>WR-231220-0754</v>
      </c>
      <c r="AH755" s="39" t="str">
        <f>IF(AND(OR(Filter!$B$4="All",D755=Filter!$B$4),OR(Filter!$B$5="All",M755=Filter!$B$5),E755&gt;=Filter!$B$6),MAX(AH$1:AH754)+1,"")</f>
        <v/>
      </c>
      <c r="AI755" s="39">
        <f t="shared" si="249"/>
        <v>23</v>
      </c>
      <c r="AJ755" s="42">
        <f t="shared" si="250"/>
        <v>0.23</v>
      </c>
      <c r="AK755" s="41">
        <f t="shared" si="251"/>
        <v>2319.62</v>
      </c>
      <c r="AL755" s="39">
        <f>RANK(E755,$E$2:$E$1001,0)+COUNTIF($E$2:E755,E755)-1</f>
        <v>931</v>
      </c>
    </row>
    <row r="756" spans="1:38" x14ac:dyDescent="0.2">
      <c r="A756" s="39">
        <v>1092</v>
      </c>
      <c r="B756" s="40">
        <v>45114</v>
      </c>
      <c r="C756" s="39" t="s">
        <v>61</v>
      </c>
      <c r="D756" s="39" t="s">
        <v>69</v>
      </c>
      <c r="E756" s="41">
        <v>1039.69</v>
      </c>
      <c r="F756" s="39">
        <v>14</v>
      </c>
      <c r="G756" s="39" t="s">
        <v>75</v>
      </c>
      <c r="H756" s="41">
        <v>2559.65</v>
      </c>
      <c r="I756" s="41">
        <v>2709.4</v>
      </c>
      <c r="J756" s="39" t="s">
        <v>137</v>
      </c>
      <c r="K756" s="42">
        <v>0.11</v>
      </c>
      <c r="L756" s="39" t="s">
        <v>73</v>
      </c>
      <c r="M756" s="39" t="s">
        <v>140</v>
      </c>
      <c r="N756" s="39" t="s">
        <v>150</v>
      </c>
      <c r="O756" s="43">
        <f t="shared" si="231"/>
        <v>37931.599999999999</v>
      </c>
      <c r="P756" s="43">
        <f t="shared" si="232"/>
        <v>33759.120000000003</v>
      </c>
      <c r="Q756" s="43">
        <f t="shared" si="233"/>
        <v>35835.1</v>
      </c>
      <c r="R756" s="43">
        <f t="shared" si="234"/>
        <v>-2075.9799999999959</v>
      </c>
      <c r="S756" s="44">
        <f t="shared" si="235"/>
        <v>-6.1493901499802002E-2</v>
      </c>
      <c r="T756" s="39" t="str">
        <f t="shared" si="236"/>
        <v>Loss</v>
      </c>
      <c r="U756" s="39" t="str">
        <f t="shared" si="237"/>
        <v>10-19%</v>
      </c>
      <c r="V756" s="39" t="str">
        <f>IF(E756&gt;=Analysis!$B$4,"High",IF(E756&gt;=Analysis!$B$5,"Mid","Low"))</f>
        <v>Low</v>
      </c>
      <c r="W756" s="39" t="str">
        <f t="shared" si="238"/>
        <v>2023-07</v>
      </c>
      <c r="X756" s="40">
        <f t="shared" si="239"/>
        <v>45138</v>
      </c>
      <c r="Y756" s="39" t="str">
        <f t="shared" si="240"/>
        <v>2023-Q3</v>
      </c>
      <c r="Z756" s="39" t="str">
        <f t="shared" si="241"/>
        <v>Fri</v>
      </c>
      <c r="AA756" s="39">
        <f t="shared" si="242"/>
        <v>5</v>
      </c>
      <c r="AB756" s="39">
        <f t="shared" si="243"/>
        <v>28</v>
      </c>
      <c r="AC756" s="39" t="str">
        <f t="shared" si="244"/>
        <v>Weekday</v>
      </c>
      <c r="AD756" s="39">
        <f t="shared" ca="1" si="245"/>
        <v>1205</v>
      </c>
      <c r="AE756" s="39">
        <f t="shared" ca="1" si="246"/>
        <v>39</v>
      </c>
      <c r="AF756" s="39" t="str">
        <f t="shared" si="247"/>
        <v>ALI</v>
      </c>
      <c r="AG756" s="39" t="str">
        <f t="shared" si="248"/>
        <v>SR-230707-0755</v>
      </c>
      <c r="AH756" s="39" t="str">
        <f>IF(AND(OR(Filter!$B$4="All",D756=Filter!$B$4),OR(Filter!$B$5="All",M756=Filter!$B$5),E756&gt;=Filter!$B$6),MAX(AH$1:AH755)+1,"")</f>
        <v/>
      </c>
      <c r="AI756" s="39">
        <f t="shared" si="249"/>
        <v>14</v>
      </c>
      <c r="AJ756" s="42">
        <f t="shared" si="250"/>
        <v>0.11</v>
      </c>
      <c r="AK756" s="41">
        <f t="shared" si="251"/>
        <v>2709.4</v>
      </c>
      <c r="AL756" s="39">
        <f>RANK(E756,$E$2:$E$1001,0)+COUNTIF($E$2:E756,E756)-1</f>
        <v>900</v>
      </c>
    </row>
    <row r="757" spans="1:38" x14ac:dyDescent="0.2">
      <c r="A757" s="39">
        <v>1036</v>
      </c>
      <c r="B757" s="40">
        <v>45270</v>
      </c>
      <c r="C757" s="39" t="s">
        <v>76</v>
      </c>
      <c r="D757" s="39" t="s">
        <v>64</v>
      </c>
      <c r="E757" s="41">
        <v>9989.0400000000009</v>
      </c>
      <c r="F757" s="39">
        <v>7</v>
      </c>
      <c r="G757" s="39" t="s">
        <v>70</v>
      </c>
      <c r="H757" s="41">
        <v>2882.25</v>
      </c>
      <c r="I757" s="41">
        <v>3163.7</v>
      </c>
      <c r="J757" s="39" t="s">
        <v>137</v>
      </c>
      <c r="K757" s="42">
        <v>0.05</v>
      </c>
      <c r="L757" s="39" t="s">
        <v>68</v>
      </c>
      <c r="M757" s="39" t="s">
        <v>140</v>
      </c>
      <c r="N757" s="39" t="s">
        <v>152</v>
      </c>
      <c r="O757" s="43">
        <f t="shared" si="231"/>
        <v>22145.9</v>
      </c>
      <c r="P757" s="43">
        <f t="shared" si="232"/>
        <v>21038.61</v>
      </c>
      <c r="Q757" s="43">
        <f t="shared" si="233"/>
        <v>20175.75</v>
      </c>
      <c r="R757" s="43">
        <f t="shared" si="234"/>
        <v>862.86000000000058</v>
      </c>
      <c r="S757" s="44">
        <f t="shared" si="235"/>
        <v>4.1013165793747808E-2</v>
      </c>
      <c r="T757" s="39" t="str">
        <f t="shared" si="236"/>
        <v>OK</v>
      </c>
      <c r="U757" s="39" t="str">
        <f t="shared" si="237"/>
        <v>0-9%</v>
      </c>
      <c r="V757" s="39" t="str">
        <f>IF(E757&gt;=Analysis!$B$4,"High",IF(E757&gt;=Analysis!$B$5,"Mid","Low"))</f>
        <v>High</v>
      </c>
      <c r="W757" s="39" t="str">
        <f t="shared" si="238"/>
        <v>2023-12</v>
      </c>
      <c r="X757" s="40">
        <f t="shared" si="239"/>
        <v>45291</v>
      </c>
      <c r="Y757" s="39" t="str">
        <f t="shared" si="240"/>
        <v>2023-Q4</v>
      </c>
      <c r="Z757" s="39" t="str">
        <f t="shared" si="241"/>
        <v>Sun</v>
      </c>
      <c r="AA757" s="39">
        <f t="shared" si="242"/>
        <v>7</v>
      </c>
      <c r="AB757" s="39">
        <f t="shared" si="243"/>
        <v>50</v>
      </c>
      <c r="AC757" s="39" t="str">
        <f t="shared" si="244"/>
        <v>Weekend</v>
      </c>
      <c r="AD757" s="39">
        <f t="shared" ca="1" si="245"/>
        <v>1049</v>
      </c>
      <c r="AE757" s="39">
        <f t="shared" ca="1" si="246"/>
        <v>34</v>
      </c>
      <c r="AF757" s="39" t="str">
        <f t="shared" si="247"/>
        <v>DAV</v>
      </c>
      <c r="AG757" s="39" t="str">
        <f t="shared" si="248"/>
        <v>NR-231210-0756</v>
      </c>
      <c r="AH757" s="39">
        <f>IF(AND(OR(Filter!$B$4="All",D757=Filter!$B$4),OR(Filter!$B$5="All",M757=Filter!$B$5),E757&gt;=Filter!$B$6),MAX(AH$1:AH756)+1,"")</f>
        <v>69</v>
      </c>
      <c r="AI757" s="39">
        <f t="shared" si="249"/>
        <v>7</v>
      </c>
      <c r="AJ757" s="42">
        <f t="shared" si="250"/>
        <v>0.05</v>
      </c>
      <c r="AK757" s="41">
        <f t="shared" si="251"/>
        <v>3163.7</v>
      </c>
      <c r="AL757" s="39">
        <f>RANK(E757,$E$2:$E$1001,0)+COUNTIF($E$2:E757,E757)-1</f>
        <v>1</v>
      </c>
    </row>
    <row r="758" spans="1:38" x14ac:dyDescent="0.2">
      <c r="A758" s="39">
        <v>1090</v>
      </c>
      <c r="B758" s="40">
        <v>45291</v>
      </c>
      <c r="C758" s="39" t="s">
        <v>79</v>
      </c>
      <c r="D758" s="39" t="s">
        <v>74</v>
      </c>
      <c r="E758" s="41">
        <v>3333.73</v>
      </c>
      <c r="F758" s="39">
        <v>46</v>
      </c>
      <c r="G758" s="39" t="s">
        <v>60</v>
      </c>
      <c r="H758" s="41">
        <v>4665.12</v>
      </c>
      <c r="I758" s="41">
        <v>4675.8999999999996</v>
      </c>
      <c r="J758" s="39" t="s">
        <v>143</v>
      </c>
      <c r="K758" s="42">
        <v>0.19</v>
      </c>
      <c r="L758" s="39" t="s">
        <v>68</v>
      </c>
      <c r="M758" s="39" t="s">
        <v>140</v>
      </c>
      <c r="N758" s="39" t="s">
        <v>149</v>
      </c>
      <c r="O758" s="43">
        <f t="shared" si="231"/>
        <v>215091.4</v>
      </c>
      <c r="P758" s="43">
        <f t="shared" si="232"/>
        <v>174224.03</v>
      </c>
      <c r="Q758" s="43">
        <f t="shared" si="233"/>
        <v>214595.52</v>
      </c>
      <c r="R758" s="43">
        <f t="shared" si="234"/>
        <v>-40371.489999999991</v>
      </c>
      <c r="S758" s="44">
        <f t="shared" si="235"/>
        <v>-0.23172170911211268</v>
      </c>
      <c r="T758" s="39" t="str">
        <f t="shared" si="236"/>
        <v>Loss</v>
      </c>
      <c r="U758" s="39" t="str">
        <f t="shared" si="237"/>
        <v>10-19%</v>
      </c>
      <c r="V758" s="39" t="str">
        <f>IF(E758&gt;=Analysis!$B$4,"High",IF(E758&gt;=Analysis!$B$5,"Mid","Low"))</f>
        <v>Mid</v>
      </c>
      <c r="W758" s="39" t="str">
        <f t="shared" si="238"/>
        <v>2023-12</v>
      </c>
      <c r="X758" s="40">
        <f t="shared" si="239"/>
        <v>45291</v>
      </c>
      <c r="Y758" s="39" t="str">
        <f t="shared" si="240"/>
        <v>2023-Q4</v>
      </c>
      <c r="Z758" s="39" t="str">
        <f t="shared" si="241"/>
        <v>Sun</v>
      </c>
      <c r="AA758" s="39">
        <f t="shared" si="242"/>
        <v>7</v>
      </c>
      <c r="AB758" s="39">
        <f t="shared" si="243"/>
        <v>53</v>
      </c>
      <c r="AC758" s="39" t="str">
        <f t="shared" si="244"/>
        <v>Weekend</v>
      </c>
      <c r="AD758" s="39">
        <f t="shared" ca="1" si="245"/>
        <v>1028</v>
      </c>
      <c r="AE758" s="39">
        <f t="shared" ca="1" si="246"/>
        <v>33</v>
      </c>
      <c r="AF758" s="39" t="str">
        <f t="shared" si="247"/>
        <v>EVE</v>
      </c>
      <c r="AG758" s="39" t="str">
        <f t="shared" si="248"/>
        <v>WR-231231-0757</v>
      </c>
      <c r="AH758" s="39" t="str">
        <f>IF(AND(OR(Filter!$B$4="All",D758=Filter!$B$4),OR(Filter!$B$5="All",M758=Filter!$B$5),E758&gt;=Filter!$B$6),MAX(AH$1:AH757)+1,"")</f>
        <v/>
      </c>
      <c r="AI758" s="39">
        <f t="shared" si="249"/>
        <v>46</v>
      </c>
      <c r="AJ758" s="42">
        <f t="shared" si="250"/>
        <v>0.19</v>
      </c>
      <c r="AK758" s="41">
        <f t="shared" si="251"/>
        <v>4675.8999999999996</v>
      </c>
      <c r="AL758" s="39">
        <f>RANK(E758,$E$2:$E$1001,0)+COUNTIF($E$2:E758,E758)-1</f>
        <v>663</v>
      </c>
    </row>
    <row r="759" spans="1:38" x14ac:dyDescent="0.2">
      <c r="A759" s="39">
        <v>1008</v>
      </c>
      <c r="B759" s="40">
        <v>45089</v>
      </c>
      <c r="C759" s="39" t="s">
        <v>61</v>
      </c>
      <c r="D759" s="39" t="s">
        <v>59</v>
      </c>
      <c r="E759" s="41">
        <v>7507.02</v>
      </c>
      <c r="F759" s="39">
        <v>32</v>
      </c>
      <c r="G759" s="39" t="s">
        <v>70</v>
      </c>
      <c r="H759" s="41">
        <v>4298.12</v>
      </c>
      <c r="I759" s="41">
        <v>4446.8999999999996</v>
      </c>
      <c r="J759" s="39" t="s">
        <v>143</v>
      </c>
      <c r="K759" s="42">
        <v>0.1</v>
      </c>
      <c r="L759" s="39" t="s">
        <v>63</v>
      </c>
      <c r="M759" s="39" t="s">
        <v>138</v>
      </c>
      <c r="N759" s="39" t="s">
        <v>159</v>
      </c>
      <c r="O759" s="43">
        <f t="shared" si="231"/>
        <v>142300.79999999999</v>
      </c>
      <c r="P759" s="43">
        <f t="shared" si="232"/>
        <v>128070.72</v>
      </c>
      <c r="Q759" s="43">
        <f t="shared" si="233"/>
        <v>137539.84</v>
      </c>
      <c r="R759" s="43">
        <f t="shared" si="234"/>
        <v>-9469.1199999999953</v>
      </c>
      <c r="S759" s="44">
        <f t="shared" si="235"/>
        <v>-7.3936650000874474E-2</v>
      </c>
      <c r="T759" s="39" t="str">
        <f t="shared" si="236"/>
        <v>Loss</v>
      </c>
      <c r="U759" s="39" t="str">
        <f t="shared" si="237"/>
        <v>10-19%</v>
      </c>
      <c r="V759" s="39" t="str">
        <f>IF(E759&gt;=Analysis!$B$4,"High",IF(E759&gt;=Analysis!$B$5,"Mid","Low"))</f>
        <v>Mid</v>
      </c>
      <c r="W759" s="39" t="str">
        <f t="shared" si="238"/>
        <v>2023-06</v>
      </c>
      <c r="X759" s="40">
        <f t="shared" si="239"/>
        <v>45107</v>
      </c>
      <c r="Y759" s="39" t="str">
        <f t="shared" si="240"/>
        <v>2023-Q2</v>
      </c>
      <c r="Z759" s="39" t="str">
        <f t="shared" si="241"/>
        <v>Mon</v>
      </c>
      <c r="AA759" s="39">
        <f t="shared" si="242"/>
        <v>1</v>
      </c>
      <c r="AB759" s="39">
        <f t="shared" si="243"/>
        <v>25</v>
      </c>
      <c r="AC759" s="39" t="str">
        <f t="shared" si="244"/>
        <v>Weekday</v>
      </c>
      <c r="AD759" s="39">
        <f t="shared" ca="1" si="245"/>
        <v>1230</v>
      </c>
      <c r="AE759" s="39">
        <f t="shared" ca="1" si="246"/>
        <v>40</v>
      </c>
      <c r="AF759" s="39" t="str">
        <f t="shared" si="247"/>
        <v>ALI</v>
      </c>
      <c r="AG759" s="39" t="str">
        <f t="shared" si="248"/>
        <v>EO-230612-0758</v>
      </c>
      <c r="AH759" s="39" t="str">
        <f>IF(AND(OR(Filter!$B$4="All",D759=Filter!$B$4),OR(Filter!$B$5="All",M759=Filter!$B$5),E759&gt;=Filter!$B$6),MAX(AH$1:AH758)+1,"")</f>
        <v/>
      </c>
      <c r="AI759" s="39">
        <f t="shared" si="249"/>
        <v>32</v>
      </c>
      <c r="AJ759" s="42">
        <f t="shared" si="250"/>
        <v>0.1</v>
      </c>
      <c r="AK759" s="41">
        <f t="shared" si="251"/>
        <v>4446.8999999999996</v>
      </c>
      <c r="AL759" s="39">
        <f>RANK(E759,$E$2:$E$1001,0)+COUNTIF($E$2:E759,E759)-1</f>
        <v>251</v>
      </c>
    </row>
    <row r="760" spans="1:38" x14ac:dyDescent="0.2">
      <c r="A760" s="39">
        <v>1058</v>
      </c>
      <c r="B760" s="40">
        <v>45252</v>
      </c>
      <c r="C760" s="39" t="s">
        <v>61</v>
      </c>
      <c r="D760" s="39" t="s">
        <v>74</v>
      </c>
      <c r="E760" s="41">
        <v>8085.98</v>
      </c>
      <c r="F760" s="39">
        <v>15</v>
      </c>
      <c r="G760" s="39" t="s">
        <v>60</v>
      </c>
      <c r="H760" s="41">
        <v>894.48</v>
      </c>
      <c r="I760" s="41">
        <v>1336.37</v>
      </c>
      <c r="J760" s="39" t="s">
        <v>137</v>
      </c>
      <c r="K760" s="42">
        <v>0.26</v>
      </c>
      <c r="L760" s="39" t="s">
        <v>68</v>
      </c>
      <c r="M760" s="39" t="s">
        <v>140</v>
      </c>
      <c r="N760" s="39" t="s">
        <v>158</v>
      </c>
      <c r="O760" s="43">
        <f t="shared" si="231"/>
        <v>20045.55</v>
      </c>
      <c r="P760" s="43">
        <f t="shared" si="232"/>
        <v>14833.71</v>
      </c>
      <c r="Q760" s="43">
        <f t="shared" si="233"/>
        <v>13417.2</v>
      </c>
      <c r="R760" s="43">
        <f t="shared" si="234"/>
        <v>1416.5099999999984</v>
      </c>
      <c r="S760" s="44">
        <f t="shared" si="235"/>
        <v>9.5492631310710438E-2</v>
      </c>
      <c r="T760" s="39" t="str">
        <f t="shared" si="236"/>
        <v>OK</v>
      </c>
      <c r="U760" s="39" t="str">
        <f t="shared" si="237"/>
        <v>20%+</v>
      </c>
      <c r="V760" s="39" t="str">
        <f>IF(E760&gt;=Analysis!$B$4,"High",IF(E760&gt;=Analysis!$B$5,"Mid","Low"))</f>
        <v>High</v>
      </c>
      <c r="W760" s="39" t="str">
        <f t="shared" si="238"/>
        <v>2023-11</v>
      </c>
      <c r="X760" s="40">
        <f t="shared" si="239"/>
        <v>45260</v>
      </c>
      <c r="Y760" s="39" t="str">
        <f t="shared" si="240"/>
        <v>2023-Q4</v>
      </c>
      <c r="Z760" s="39" t="str">
        <f t="shared" si="241"/>
        <v>Wed</v>
      </c>
      <c r="AA760" s="39">
        <f t="shared" si="242"/>
        <v>3</v>
      </c>
      <c r="AB760" s="39">
        <f t="shared" si="243"/>
        <v>48</v>
      </c>
      <c r="AC760" s="39" t="str">
        <f t="shared" si="244"/>
        <v>Weekday</v>
      </c>
      <c r="AD760" s="39">
        <f t="shared" ca="1" si="245"/>
        <v>1067</v>
      </c>
      <c r="AE760" s="39">
        <f t="shared" ca="1" si="246"/>
        <v>35</v>
      </c>
      <c r="AF760" s="39" t="str">
        <f t="shared" si="247"/>
        <v>ALI</v>
      </c>
      <c r="AG760" s="39" t="str">
        <f t="shared" si="248"/>
        <v>WR-231122-0759</v>
      </c>
      <c r="AH760" s="39" t="str">
        <f>IF(AND(OR(Filter!$B$4="All",D760=Filter!$B$4),OR(Filter!$B$5="All",M760=Filter!$B$5),E760&gt;=Filter!$B$6),MAX(AH$1:AH759)+1,"")</f>
        <v/>
      </c>
      <c r="AI760" s="39">
        <f t="shared" si="249"/>
        <v>15</v>
      </c>
      <c r="AJ760" s="42">
        <f t="shared" si="250"/>
        <v>0.26</v>
      </c>
      <c r="AK760" s="41">
        <f t="shared" si="251"/>
        <v>1336.37</v>
      </c>
      <c r="AL760" s="39">
        <f>RANK(E760,$E$2:$E$1001,0)+COUNTIF($E$2:E760,E760)-1</f>
        <v>183</v>
      </c>
    </row>
    <row r="761" spans="1:38" x14ac:dyDescent="0.2">
      <c r="A761" s="39">
        <v>1060</v>
      </c>
      <c r="B761" s="40">
        <v>45000</v>
      </c>
      <c r="C761" s="39" t="s">
        <v>76</v>
      </c>
      <c r="D761" s="39" t="s">
        <v>69</v>
      </c>
      <c r="E761" s="41">
        <v>8594.43</v>
      </c>
      <c r="F761" s="39">
        <v>44</v>
      </c>
      <c r="G761" s="39" t="s">
        <v>60</v>
      </c>
      <c r="H761" s="41">
        <v>2211.9499999999998</v>
      </c>
      <c r="I761" s="41">
        <v>2512.84</v>
      </c>
      <c r="J761" s="39" t="s">
        <v>137</v>
      </c>
      <c r="K761" s="42">
        <v>0.04</v>
      </c>
      <c r="L761" s="39" t="s">
        <v>68</v>
      </c>
      <c r="M761" s="39" t="s">
        <v>138</v>
      </c>
      <c r="N761" s="39" t="s">
        <v>142</v>
      </c>
      <c r="O761" s="43">
        <f t="shared" si="231"/>
        <v>110564.96</v>
      </c>
      <c r="P761" s="43">
        <f t="shared" si="232"/>
        <v>106142.36</v>
      </c>
      <c r="Q761" s="43">
        <f t="shared" si="233"/>
        <v>97325.8</v>
      </c>
      <c r="R761" s="43">
        <f t="shared" si="234"/>
        <v>8816.5599999999977</v>
      </c>
      <c r="S761" s="44">
        <f t="shared" si="235"/>
        <v>8.3063538440260778E-2</v>
      </c>
      <c r="T761" s="39" t="str">
        <f t="shared" si="236"/>
        <v>OK</v>
      </c>
      <c r="U761" s="39" t="str">
        <f t="shared" si="237"/>
        <v>0-9%</v>
      </c>
      <c r="V761" s="39" t="str">
        <f>IF(E761&gt;=Analysis!$B$4,"High",IF(E761&gt;=Analysis!$B$5,"Mid","Low"))</f>
        <v>High</v>
      </c>
      <c r="W761" s="39" t="str">
        <f t="shared" si="238"/>
        <v>2023-03</v>
      </c>
      <c r="X761" s="40">
        <f t="shared" si="239"/>
        <v>45016</v>
      </c>
      <c r="Y761" s="39" t="str">
        <f t="shared" si="240"/>
        <v>2023-Q1</v>
      </c>
      <c r="Z761" s="39" t="str">
        <f t="shared" si="241"/>
        <v>Wed</v>
      </c>
      <c r="AA761" s="39">
        <f t="shared" si="242"/>
        <v>3</v>
      </c>
      <c r="AB761" s="39">
        <f t="shared" si="243"/>
        <v>12</v>
      </c>
      <c r="AC761" s="39" t="str">
        <f t="shared" si="244"/>
        <v>Weekday</v>
      </c>
      <c r="AD761" s="39">
        <f t="shared" ca="1" si="245"/>
        <v>1319</v>
      </c>
      <c r="AE761" s="39">
        <f t="shared" ca="1" si="246"/>
        <v>43</v>
      </c>
      <c r="AF761" s="39" t="str">
        <f t="shared" si="247"/>
        <v>DAV</v>
      </c>
      <c r="AG761" s="39" t="str">
        <f t="shared" si="248"/>
        <v>SO-230315-0760</v>
      </c>
      <c r="AH761" s="39" t="str">
        <f>IF(AND(OR(Filter!$B$4="All",D761=Filter!$B$4),OR(Filter!$B$5="All",M761=Filter!$B$5),E761&gt;=Filter!$B$6),MAX(AH$1:AH760)+1,"")</f>
        <v/>
      </c>
      <c r="AI761" s="39">
        <f t="shared" si="249"/>
        <v>44</v>
      </c>
      <c r="AJ761" s="42">
        <f t="shared" si="250"/>
        <v>0.04</v>
      </c>
      <c r="AK761" s="41">
        <f t="shared" si="251"/>
        <v>2512.84</v>
      </c>
      <c r="AL761" s="39">
        <f>RANK(E761,$E$2:$E$1001,0)+COUNTIF($E$2:E761,E761)-1</f>
        <v>133</v>
      </c>
    </row>
    <row r="762" spans="1:38" x14ac:dyDescent="0.2">
      <c r="A762" s="39">
        <v>1050</v>
      </c>
      <c r="B762" s="40">
        <v>45159</v>
      </c>
      <c r="C762" s="39" t="s">
        <v>76</v>
      </c>
      <c r="D762" s="39" t="s">
        <v>64</v>
      </c>
      <c r="E762" s="41">
        <v>9976.52</v>
      </c>
      <c r="F762" s="39">
        <v>17</v>
      </c>
      <c r="G762" s="39" t="s">
        <v>75</v>
      </c>
      <c r="H762" s="41">
        <v>2346.8000000000002</v>
      </c>
      <c r="I762" s="41">
        <v>2654.65</v>
      </c>
      <c r="J762" s="39" t="s">
        <v>143</v>
      </c>
      <c r="K762" s="42">
        <v>0.13</v>
      </c>
      <c r="L762" s="39" t="s">
        <v>68</v>
      </c>
      <c r="M762" s="39" t="s">
        <v>140</v>
      </c>
      <c r="N762" s="39" t="s">
        <v>152</v>
      </c>
      <c r="O762" s="43">
        <f t="shared" si="231"/>
        <v>45129.05</v>
      </c>
      <c r="P762" s="43">
        <f t="shared" si="232"/>
        <v>39262.269999999997</v>
      </c>
      <c r="Q762" s="43">
        <f t="shared" si="233"/>
        <v>39895.599999999999</v>
      </c>
      <c r="R762" s="43">
        <f t="shared" si="234"/>
        <v>-633.33000000000175</v>
      </c>
      <c r="S762" s="44">
        <f t="shared" si="235"/>
        <v>-1.6130753519855111E-2</v>
      </c>
      <c r="T762" s="39" t="str">
        <f t="shared" si="236"/>
        <v>Loss</v>
      </c>
      <c r="U762" s="39" t="str">
        <f t="shared" si="237"/>
        <v>10-19%</v>
      </c>
      <c r="V762" s="39" t="str">
        <f>IF(E762&gt;=Analysis!$B$4,"High",IF(E762&gt;=Analysis!$B$5,"Mid","Low"))</f>
        <v>High</v>
      </c>
      <c r="W762" s="39" t="str">
        <f t="shared" si="238"/>
        <v>2023-08</v>
      </c>
      <c r="X762" s="40">
        <f t="shared" si="239"/>
        <v>45169</v>
      </c>
      <c r="Y762" s="39" t="str">
        <f t="shared" si="240"/>
        <v>2023-Q3</v>
      </c>
      <c r="Z762" s="39" t="str">
        <f t="shared" si="241"/>
        <v>Mon</v>
      </c>
      <c r="AA762" s="39">
        <f t="shared" si="242"/>
        <v>1</v>
      </c>
      <c r="AB762" s="39">
        <f t="shared" si="243"/>
        <v>35</v>
      </c>
      <c r="AC762" s="39" t="str">
        <f t="shared" si="244"/>
        <v>Weekday</v>
      </c>
      <c r="AD762" s="39">
        <f t="shared" ca="1" si="245"/>
        <v>1160</v>
      </c>
      <c r="AE762" s="39">
        <f t="shared" ca="1" si="246"/>
        <v>38</v>
      </c>
      <c r="AF762" s="39" t="str">
        <f t="shared" si="247"/>
        <v>DAV</v>
      </c>
      <c r="AG762" s="39" t="str">
        <f t="shared" si="248"/>
        <v>NR-230821-0761</v>
      </c>
      <c r="AH762" s="39">
        <f>IF(AND(OR(Filter!$B$4="All",D762=Filter!$B$4),OR(Filter!$B$5="All",M762=Filter!$B$5),E762&gt;=Filter!$B$6),MAX(AH$1:AH761)+1,"")</f>
        <v>70</v>
      </c>
      <c r="AI762" s="39">
        <f t="shared" si="249"/>
        <v>17</v>
      </c>
      <c r="AJ762" s="42">
        <f t="shared" si="250"/>
        <v>0.13</v>
      </c>
      <c r="AK762" s="41">
        <f t="shared" si="251"/>
        <v>2654.65</v>
      </c>
      <c r="AL762" s="39">
        <f>RANK(E762,$E$2:$E$1001,0)+COUNTIF($E$2:E762,E762)-1</f>
        <v>2</v>
      </c>
    </row>
    <row r="763" spans="1:38" x14ac:dyDescent="0.2">
      <c r="A763" s="39">
        <v>1028</v>
      </c>
      <c r="B763" s="40">
        <v>45150</v>
      </c>
      <c r="C763" s="39" t="s">
        <v>71</v>
      </c>
      <c r="D763" s="39" t="s">
        <v>69</v>
      </c>
      <c r="E763" s="41">
        <v>2490.8200000000002</v>
      </c>
      <c r="F763" s="39">
        <v>41</v>
      </c>
      <c r="G763" s="39" t="s">
        <v>60</v>
      </c>
      <c r="H763" s="41">
        <v>3956.03</v>
      </c>
      <c r="I763" s="41">
        <v>4163.68</v>
      </c>
      <c r="J763" s="39" t="s">
        <v>143</v>
      </c>
      <c r="K763" s="42">
        <v>0.12</v>
      </c>
      <c r="L763" s="39" t="s">
        <v>63</v>
      </c>
      <c r="M763" s="39" t="s">
        <v>140</v>
      </c>
      <c r="N763" s="39" t="s">
        <v>151</v>
      </c>
      <c r="O763" s="43">
        <f t="shared" si="231"/>
        <v>170710.88</v>
      </c>
      <c r="P763" s="43">
        <f t="shared" si="232"/>
        <v>150225.57</v>
      </c>
      <c r="Q763" s="43">
        <f t="shared" si="233"/>
        <v>162197.23000000001</v>
      </c>
      <c r="R763" s="43">
        <f t="shared" si="234"/>
        <v>-11971.660000000003</v>
      </c>
      <c r="S763" s="44">
        <f t="shared" si="235"/>
        <v>-7.969122699950483E-2</v>
      </c>
      <c r="T763" s="39" t="str">
        <f t="shared" si="236"/>
        <v>Loss</v>
      </c>
      <c r="U763" s="39" t="str">
        <f t="shared" si="237"/>
        <v>10-19%</v>
      </c>
      <c r="V763" s="39" t="str">
        <f>IF(E763&gt;=Analysis!$B$4,"High",IF(E763&gt;=Analysis!$B$5,"Mid","Low"))</f>
        <v>Low</v>
      </c>
      <c r="W763" s="39" t="str">
        <f t="shared" si="238"/>
        <v>2023-08</v>
      </c>
      <c r="X763" s="40">
        <f t="shared" si="239"/>
        <v>45169</v>
      </c>
      <c r="Y763" s="39" t="str">
        <f t="shared" si="240"/>
        <v>2023-Q3</v>
      </c>
      <c r="Z763" s="39" t="str">
        <f t="shared" si="241"/>
        <v>Sat</v>
      </c>
      <c r="AA763" s="39">
        <f t="shared" si="242"/>
        <v>6</v>
      </c>
      <c r="AB763" s="39">
        <f t="shared" si="243"/>
        <v>33</v>
      </c>
      <c r="AC763" s="39" t="str">
        <f t="shared" si="244"/>
        <v>Weekend</v>
      </c>
      <c r="AD763" s="39">
        <f t="shared" ca="1" si="245"/>
        <v>1169</v>
      </c>
      <c r="AE763" s="39">
        <f t="shared" ca="1" si="246"/>
        <v>38</v>
      </c>
      <c r="AF763" s="39" t="str">
        <f t="shared" si="247"/>
        <v>CHA</v>
      </c>
      <c r="AG763" s="39" t="str">
        <f t="shared" si="248"/>
        <v>SR-230812-0762</v>
      </c>
      <c r="AH763" s="39" t="str">
        <f>IF(AND(OR(Filter!$B$4="All",D763=Filter!$B$4),OR(Filter!$B$5="All",M763=Filter!$B$5),E763&gt;=Filter!$B$6),MAX(AH$1:AH762)+1,"")</f>
        <v/>
      </c>
      <c r="AI763" s="39">
        <f t="shared" si="249"/>
        <v>41</v>
      </c>
      <c r="AJ763" s="42">
        <f t="shared" si="250"/>
        <v>0.12</v>
      </c>
      <c r="AK763" s="41">
        <f t="shared" si="251"/>
        <v>4163.68</v>
      </c>
      <c r="AL763" s="39">
        <f>RANK(E763,$E$2:$E$1001,0)+COUNTIF($E$2:E763,E763)-1</f>
        <v>760</v>
      </c>
    </row>
    <row r="764" spans="1:38" x14ac:dyDescent="0.2">
      <c r="A764" s="39">
        <v>1092</v>
      </c>
      <c r="B764" s="40">
        <v>45245</v>
      </c>
      <c r="C764" s="39" t="s">
        <v>76</v>
      </c>
      <c r="D764" s="39" t="s">
        <v>59</v>
      </c>
      <c r="E764" s="41">
        <v>499.47</v>
      </c>
      <c r="F764" s="39">
        <v>47</v>
      </c>
      <c r="G764" s="39" t="s">
        <v>65</v>
      </c>
      <c r="H764" s="41">
        <v>3034.32</v>
      </c>
      <c r="I764" s="41">
        <v>3375.79</v>
      </c>
      <c r="J764" s="39" t="s">
        <v>143</v>
      </c>
      <c r="K764" s="42">
        <v>0.28000000000000003</v>
      </c>
      <c r="L764" s="39" t="s">
        <v>73</v>
      </c>
      <c r="M764" s="39" t="s">
        <v>138</v>
      </c>
      <c r="N764" s="39" t="s">
        <v>157</v>
      </c>
      <c r="O764" s="43">
        <f t="shared" si="231"/>
        <v>158662.13</v>
      </c>
      <c r="P764" s="43">
        <f t="shared" si="232"/>
        <v>114236.73</v>
      </c>
      <c r="Q764" s="43">
        <f t="shared" si="233"/>
        <v>142613.04</v>
      </c>
      <c r="R764" s="43">
        <f t="shared" si="234"/>
        <v>-28376.310000000012</v>
      </c>
      <c r="S764" s="44">
        <f t="shared" si="235"/>
        <v>-0.24839917949332069</v>
      </c>
      <c r="T764" s="39" t="str">
        <f t="shared" si="236"/>
        <v>Loss</v>
      </c>
      <c r="U764" s="39" t="str">
        <f t="shared" si="237"/>
        <v>20%+</v>
      </c>
      <c r="V764" s="39" t="str">
        <f>IF(E764&gt;=Analysis!$B$4,"High",IF(E764&gt;=Analysis!$B$5,"Mid","Low"))</f>
        <v>Low</v>
      </c>
      <c r="W764" s="39" t="str">
        <f t="shared" si="238"/>
        <v>2023-11</v>
      </c>
      <c r="X764" s="40">
        <f t="shared" si="239"/>
        <v>45260</v>
      </c>
      <c r="Y764" s="39" t="str">
        <f t="shared" si="240"/>
        <v>2023-Q4</v>
      </c>
      <c r="Z764" s="39" t="str">
        <f t="shared" si="241"/>
        <v>Wed</v>
      </c>
      <c r="AA764" s="39">
        <f t="shared" si="242"/>
        <v>3</v>
      </c>
      <c r="AB764" s="39">
        <f t="shared" si="243"/>
        <v>47</v>
      </c>
      <c r="AC764" s="39" t="str">
        <f t="shared" si="244"/>
        <v>Weekday</v>
      </c>
      <c r="AD764" s="39">
        <f t="shared" ca="1" si="245"/>
        <v>1074</v>
      </c>
      <c r="AE764" s="39">
        <f t="shared" ca="1" si="246"/>
        <v>35</v>
      </c>
      <c r="AF764" s="39" t="str">
        <f t="shared" si="247"/>
        <v>DAV</v>
      </c>
      <c r="AG764" s="39" t="str">
        <f t="shared" si="248"/>
        <v>EO-231115-0763</v>
      </c>
      <c r="AH764" s="39" t="str">
        <f>IF(AND(OR(Filter!$B$4="All",D764=Filter!$B$4),OR(Filter!$B$5="All",M764=Filter!$B$5),E764&gt;=Filter!$B$6),MAX(AH$1:AH763)+1,"")</f>
        <v/>
      </c>
      <c r="AI764" s="39">
        <f t="shared" si="249"/>
        <v>47</v>
      </c>
      <c r="AJ764" s="42">
        <f t="shared" si="250"/>
        <v>0.28000000000000003</v>
      </c>
      <c r="AK764" s="41">
        <f t="shared" si="251"/>
        <v>3375.79</v>
      </c>
      <c r="AL764" s="39">
        <f>RANK(E764,$E$2:$E$1001,0)+COUNTIF($E$2:E764,E764)-1</f>
        <v>958</v>
      </c>
    </row>
    <row r="765" spans="1:38" x14ac:dyDescent="0.2">
      <c r="A765" s="39">
        <v>1041</v>
      </c>
      <c r="B765" s="40">
        <v>44986</v>
      </c>
      <c r="C765" s="39" t="s">
        <v>71</v>
      </c>
      <c r="D765" s="39" t="s">
        <v>59</v>
      </c>
      <c r="E765" s="41">
        <v>4170.8</v>
      </c>
      <c r="F765" s="39">
        <v>44</v>
      </c>
      <c r="G765" s="39" t="s">
        <v>65</v>
      </c>
      <c r="H765" s="41">
        <v>3288.39</v>
      </c>
      <c r="I765" s="41">
        <v>3391.46</v>
      </c>
      <c r="J765" s="39" t="s">
        <v>143</v>
      </c>
      <c r="K765" s="42">
        <v>0.05</v>
      </c>
      <c r="L765" s="39" t="s">
        <v>73</v>
      </c>
      <c r="M765" s="39" t="s">
        <v>140</v>
      </c>
      <c r="N765" s="39" t="s">
        <v>145</v>
      </c>
      <c r="O765" s="43">
        <f t="shared" si="231"/>
        <v>149224.24</v>
      </c>
      <c r="P765" s="43">
        <f t="shared" si="232"/>
        <v>141763.03</v>
      </c>
      <c r="Q765" s="43">
        <f t="shared" si="233"/>
        <v>144689.16</v>
      </c>
      <c r="R765" s="43">
        <f t="shared" si="234"/>
        <v>-2926.1300000000047</v>
      </c>
      <c r="S765" s="44">
        <f t="shared" si="235"/>
        <v>-2.0640995046451848E-2</v>
      </c>
      <c r="T765" s="39" t="str">
        <f t="shared" si="236"/>
        <v>Loss</v>
      </c>
      <c r="U765" s="39" t="str">
        <f t="shared" si="237"/>
        <v>0-9%</v>
      </c>
      <c r="V765" s="39" t="str">
        <f>IF(E765&gt;=Analysis!$B$4,"High",IF(E765&gt;=Analysis!$B$5,"Mid","Low"))</f>
        <v>Mid</v>
      </c>
      <c r="W765" s="39" t="str">
        <f t="shared" si="238"/>
        <v>2023-03</v>
      </c>
      <c r="X765" s="40">
        <f t="shared" si="239"/>
        <v>45016</v>
      </c>
      <c r="Y765" s="39" t="str">
        <f t="shared" si="240"/>
        <v>2023-Q1</v>
      </c>
      <c r="Z765" s="39" t="str">
        <f t="shared" si="241"/>
        <v>Wed</v>
      </c>
      <c r="AA765" s="39">
        <f t="shared" si="242"/>
        <v>3</v>
      </c>
      <c r="AB765" s="39">
        <f t="shared" si="243"/>
        <v>10</v>
      </c>
      <c r="AC765" s="39" t="str">
        <f t="shared" si="244"/>
        <v>Weekday</v>
      </c>
      <c r="AD765" s="39">
        <f t="shared" ca="1" si="245"/>
        <v>1333</v>
      </c>
      <c r="AE765" s="39">
        <f t="shared" ca="1" si="246"/>
        <v>43</v>
      </c>
      <c r="AF765" s="39" t="str">
        <f t="shared" si="247"/>
        <v>CHA</v>
      </c>
      <c r="AG765" s="39" t="str">
        <f t="shared" si="248"/>
        <v>ER-230301-0764</v>
      </c>
      <c r="AH765" s="39" t="str">
        <f>IF(AND(OR(Filter!$B$4="All",D765=Filter!$B$4),OR(Filter!$B$5="All",M765=Filter!$B$5),E765&gt;=Filter!$B$6),MAX(AH$1:AH764)+1,"")</f>
        <v/>
      </c>
      <c r="AI765" s="39">
        <f t="shared" si="249"/>
        <v>44</v>
      </c>
      <c r="AJ765" s="42">
        <f t="shared" si="250"/>
        <v>0.05</v>
      </c>
      <c r="AK765" s="41">
        <f t="shared" si="251"/>
        <v>3391.46</v>
      </c>
      <c r="AL765" s="39">
        <f>RANK(E765,$E$2:$E$1001,0)+COUNTIF($E$2:E765,E765)-1</f>
        <v>582</v>
      </c>
    </row>
    <row r="766" spans="1:38" x14ac:dyDescent="0.2">
      <c r="A766" s="39">
        <v>1100</v>
      </c>
      <c r="B766" s="40">
        <v>45261</v>
      </c>
      <c r="C766" s="39" t="s">
        <v>61</v>
      </c>
      <c r="D766" s="39" t="s">
        <v>59</v>
      </c>
      <c r="E766" s="41">
        <v>1387.8</v>
      </c>
      <c r="F766" s="39">
        <v>34</v>
      </c>
      <c r="G766" s="39" t="s">
        <v>75</v>
      </c>
      <c r="H766" s="41">
        <v>4991.09</v>
      </c>
      <c r="I766" s="41">
        <v>5402.28</v>
      </c>
      <c r="J766" s="39" t="s">
        <v>137</v>
      </c>
      <c r="K766" s="42">
        <v>0</v>
      </c>
      <c r="L766" s="39" t="s">
        <v>68</v>
      </c>
      <c r="M766" s="39" t="s">
        <v>140</v>
      </c>
      <c r="N766" s="39" t="s">
        <v>159</v>
      </c>
      <c r="O766" s="43">
        <f t="shared" si="231"/>
        <v>183677.52</v>
      </c>
      <c r="P766" s="43">
        <f t="shared" si="232"/>
        <v>183677.52</v>
      </c>
      <c r="Q766" s="43">
        <f t="shared" si="233"/>
        <v>169697.06</v>
      </c>
      <c r="R766" s="43">
        <f t="shared" si="234"/>
        <v>13980.459999999992</v>
      </c>
      <c r="S766" s="44">
        <f t="shared" si="235"/>
        <v>7.6114159206853368E-2</v>
      </c>
      <c r="T766" s="39" t="str">
        <f t="shared" si="236"/>
        <v>OK</v>
      </c>
      <c r="U766" s="39" t="str">
        <f t="shared" si="237"/>
        <v>0-9%</v>
      </c>
      <c r="V766" s="39" t="str">
        <f>IF(E766&gt;=Analysis!$B$4,"High",IF(E766&gt;=Analysis!$B$5,"Mid","Low"))</f>
        <v>Low</v>
      </c>
      <c r="W766" s="39" t="str">
        <f t="shared" si="238"/>
        <v>2023-12</v>
      </c>
      <c r="X766" s="40">
        <f t="shared" si="239"/>
        <v>45291</v>
      </c>
      <c r="Y766" s="39" t="str">
        <f t="shared" si="240"/>
        <v>2023-Q4</v>
      </c>
      <c r="Z766" s="39" t="str">
        <f t="shared" si="241"/>
        <v>Fri</v>
      </c>
      <c r="AA766" s="39">
        <f t="shared" si="242"/>
        <v>5</v>
      </c>
      <c r="AB766" s="39">
        <f t="shared" si="243"/>
        <v>49</v>
      </c>
      <c r="AC766" s="39" t="str">
        <f t="shared" si="244"/>
        <v>Weekday</v>
      </c>
      <c r="AD766" s="39">
        <f t="shared" ca="1" si="245"/>
        <v>1058</v>
      </c>
      <c r="AE766" s="39">
        <f t="shared" ca="1" si="246"/>
        <v>34</v>
      </c>
      <c r="AF766" s="39" t="str">
        <f t="shared" si="247"/>
        <v>ALI</v>
      </c>
      <c r="AG766" s="39" t="str">
        <f t="shared" si="248"/>
        <v>ER-231201-0765</v>
      </c>
      <c r="AH766" s="39" t="str">
        <f>IF(AND(OR(Filter!$B$4="All",D766=Filter!$B$4),OR(Filter!$B$5="All",M766=Filter!$B$5),E766&gt;=Filter!$B$6),MAX(AH$1:AH765)+1,"")</f>
        <v/>
      </c>
      <c r="AI766" s="39">
        <f t="shared" si="249"/>
        <v>34</v>
      </c>
      <c r="AJ766" s="42">
        <f t="shared" si="250"/>
        <v>0</v>
      </c>
      <c r="AK766" s="41">
        <f t="shared" si="251"/>
        <v>5402.28</v>
      </c>
      <c r="AL766" s="39">
        <f>RANK(E766,$E$2:$E$1001,0)+COUNTIF($E$2:E766,E766)-1</f>
        <v>876</v>
      </c>
    </row>
    <row r="767" spans="1:38" x14ac:dyDescent="0.2">
      <c r="A767" s="39">
        <v>1064</v>
      </c>
      <c r="B767" s="40">
        <v>45148</v>
      </c>
      <c r="C767" s="39" t="s">
        <v>66</v>
      </c>
      <c r="D767" s="39" t="s">
        <v>69</v>
      </c>
      <c r="E767" s="41">
        <v>322.02</v>
      </c>
      <c r="F767" s="39">
        <v>5</v>
      </c>
      <c r="G767" s="39" t="s">
        <v>70</v>
      </c>
      <c r="H767" s="41">
        <v>421.05</v>
      </c>
      <c r="I767" s="41">
        <v>488.23</v>
      </c>
      <c r="J767" s="39" t="s">
        <v>137</v>
      </c>
      <c r="K767" s="42">
        <v>7.0000000000000007E-2</v>
      </c>
      <c r="L767" s="39" t="s">
        <v>73</v>
      </c>
      <c r="M767" s="39" t="s">
        <v>140</v>
      </c>
      <c r="N767" s="39" t="s">
        <v>144</v>
      </c>
      <c r="O767" s="43">
        <f t="shared" si="231"/>
        <v>2441.15</v>
      </c>
      <c r="P767" s="43">
        <f t="shared" si="232"/>
        <v>2270.27</v>
      </c>
      <c r="Q767" s="43">
        <f t="shared" si="233"/>
        <v>2105.25</v>
      </c>
      <c r="R767" s="43">
        <f t="shared" si="234"/>
        <v>165.01999999999998</v>
      </c>
      <c r="S767" s="44">
        <f t="shared" si="235"/>
        <v>7.2687389605641611E-2</v>
      </c>
      <c r="T767" s="39" t="str">
        <f t="shared" si="236"/>
        <v>OK</v>
      </c>
      <c r="U767" s="39" t="str">
        <f t="shared" si="237"/>
        <v>0-9%</v>
      </c>
      <c r="V767" s="39" t="str">
        <f>IF(E767&gt;=Analysis!$B$4,"High",IF(E767&gt;=Analysis!$B$5,"Mid","Low"))</f>
        <v>Low</v>
      </c>
      <c r="W767" s="39" t="str">
        <f t="shared" si="238"/>
        <v>2023-08</v>
      </c>
      <c r="X767" s="40">
        <f t="shared" si="239"/>
        <v>45169</v>
      </c>
      <c r="Y767" s="39" t="str">
        <f t="shared" si="240"/>
        <v>2023-Q3</v>
      </c>
      <c r="Z767" s="39" t="str">
        <f t="shared" si="241"/>
        <v>Thu</v>
      </c>
      <c r="AA767" s="39">
        <f t="shared" si="242"/>
        <v>4</v>
      </c>
      <c r="AB767" s="39">
        <f t="shared" si="243"/>
        <v>33</v>
      </c>
      <c r="AC767" s="39" t="str">
        <f t="shared" si="244"/>
        <v>Weekday</v>
      </c>
      <c r="AD767" s="39">
        <f t="shared" ca="1" si="245"/>
        <v>1171</v>
      </c>
      <c r="AE767" s="39">
        <f t="shared" ca="1" si="246"/>
        <v>38</v>
      </c>
      <c r="AF767" s="39" t="str">
        <f t="shared" si="247"/>
        <v>BOB</v>
      </c>
      <c r="AG767" s="39" t="str">
        <f t="shared" si="248"/>
        <v>SR-230810-0766</v>
      </c>
      <c r="AH767" s="39" t="str">
        <f>IF(AND(OR(Filter!$B$4="All",D767=Filter!$B$4),OR(Filter!$B$5="All",M767=Filter!$B$5),E767&gt;=Filter!$B$6),MAX(AH$1:AH766)+1,"")</f>
        <v/>
      </c>
      <c r="AI767" s="39">
        <f t="shared" si="249"/>
        <v>5</v>
      </c>
      <c r="AJ767" s="42">
        <f t="shared" si="250"/>
        <v>7.0000000000000007E-2</v>
      </c>
      <c r="AK767" s="41">
        <f t="shared" si="251"/>
        <v>488.23</v>
      </c>
      <c r="AL767" s="39">
        <f>RANK(E767,$E$2:$E$1001,0)+COUNTIF($E$2:E767,E767)-1</f>
        <v>972</v>
      </c>
    </row>
    <row r="768" spans="1:38" x14ac:dyDescent="0.2">
      <c r="A768" s="39">
        <v>1027</v>
      </c>
      <c r="B768" s="40">
        <v>44963</v>
      </c>
      <c r="C768" s="39" t="s">
        <v>79</v>
      </c>
      <c r="D768" s="39" t="s">
        <v>74</v>
      </c>
      <c r="E768" s="41">
        <v>3668.23</v>
      </c>
      <c r="F768" s="39">
        <v>45</v>
      </c>
      <c r="G768" s="39" t="s">
        <v>70</v>
      </c>
      <c r="H768" s="41">
        <v>1153.9000000000001</v>
      </c>
      <c r="I768" s="41">
        <v>1485.34</v>
      </c>
      <c r="J768" s="39" t="s">
        <v>143</v>
      </c>
      <c r="K768" s="42">
        <v>0.25</v>
      </c>
      <c r="L768" s="39" t="s">
        <v>73</v>
      </c>
      <c r="M768" s="39" t="s">
        <v>140</v>
      </c>
      <c r="N768" s="39" t="s">
        <v>149</v>
      </c>
      <c r="O768" s="43">
        <f t="shared" si="231"/>
        <v>66840.3</v>
      </c>
      <c r="P768" s="43">
        <f t="shared" si="232"/>
        <v>50130.23</v>
      </c>
      <c r="Q768" s="43">
        <f t="shared" si="233"/>
        <v>51925.5</v>
      </c>
      <c r="R768" s="43">
        <f t="shared" si="234"/>
        <v>-1795.2699999999968</v>
      </c>
      <c r="S768" s="44">
        <f t="shared" si="235"/>
        <v>-3.5812123742500215E-2</v>
      </c>
      <c r="T768" s="39" t="str">
        <f t="shared" si="236"/>
        <v>Loss</v>
      </c>
      <c r="U768" s="39" t="str">
        <f t="shared" si="237"/>
        <v>20%+</v>
      </c>
      <c r="V768" s="39" t="str">
        <f>IF(E768&gt;=Analysis!$B$4,"High",IF(E768&gt;=Analysis!$B$5,"Mid","Low"))</f>
        <v>Mid</v>
      </c>
      <c r="W768" s="39" t="str">
        <f t="shared" si="238"/>
        <v>2023-02</v>
      </c>
      <c r="X768" s="40">
        <f t="shared" si="239"/>
        <v>44985</v>
      </c>
      <c r="Y768" s="39" t="str">
        <f t="shared" si="240"/>
        <v>2023-Q1</v>
      </c>
      <c r="Z768" s="39" t="str">
        <f t="shared" si="241"/>
        <v>Mon</v>
      </c>
      <c r="AA768" s="39">
        <f t="shared" si="242"/>
        <v>1</v>
      </c>
      <c r="AB768" s="39">
        <f t="shared" si="243"/>
        <v>7</v>
      </c>
      <c r="AC768" s="39" t="str">
        <f t="shared" si="244"/>
        <v>Weekday</v>
      </c>
      <c r="AD768" s="39">
        <f t="shared" ca="1" si="245"/>
        <v>1356</v>
      </c>
      <c r="AE768" s="39">
        <f t="shared" ca="1" si="246"/>
        <v>44</v>
      </c>
      <c r="AF768" s="39" t="str">
        <f t="shared" si="247"/>
        <v>EVE</v>
      </c>
      <c r="AG768" s="39" t="str">
        <f t="shared" si="248"/>
        <v>WR-230206-0767</v>
      </c>
      <c r="AH768" s="39" t="str">
        <f>IF(AND(OR(Filter!$B$4="All",D768=Filter!$B$4),OR(Filter!$B$5="All",M768=Filter!$B$5),E768&gt;=Filter!$B$6),MAX(AH$1:AH767)+1,"")</f>
        <v/>
      </c>
      <c r="AI768" s="39">
        <f t="shared" si="249"/>
        <v>45</v>
      </c>
      <c r="AJ768" s="42">
        <f t="shared" si="250"/>
        <v>0.25</v>
      </c>
      <c r="AK768" s="41">
        <f t="shared" si="251"/>
        <v>1485.34</v>
      </c>
      <c r="AL768" s="39">
        <f>RANK(E768,$E$2:$E$1001,0)+COUNTIF($E$2:E768,E768)-1</f>
        <v>632</v>
      </c>
    </row>
    <row r="769" spans="1:38" x14ac:dyDescent="0.2">
      <c r="A769" s="39">
        <v>1063</v>
      </c>
      <c r="B769" s="40">
        <v>45204</v>
      </c>
      <c r="C769" s="39" t="s">
        <v>61</v>
      </c>
      <c r="D769" s="39" t="s">
        <v>69</v>
      </c>
      <c r="E769" s="41">
        <v>7859.01</v>
      </c>
      <c r="F769" s="39">
        <v>27</v>
      </c>
      <c r="G769" s="39" t="s">
        <v>70</v>
      </c>
      <c r="H769" s="41">
        <v>2069.08</v>
      </c>
      <c r="I769" s="41">
        <v>2246.2399999999998</v>
      </c>
      <c r="J769" s="39" t="s">
        <v>143</v>
      </c>
      <c r="K769" s="42">
        <v>0.06</v>
      </c>
      <c r="L769" s="39" t="s">
        <v>63</v>
      </c>
      <c r="M769" s="39" t="s">
        <v>140</v>
      </c>
      <c r="N769" s="39" t="s">
        <v>150</v>
      </c>
      <c r="O769" s="43">
        <f t="shared" si="231"/>
        <v>60648.480000000003</v>
      </c>
      <c r="P769" s="43">
        <f t="shared" si="232"/>
        <v>57009.57</v>
      </c>
      <c r="Q769" s="43">
        <f t="shared" si="233"/>
        <v>55865.16</v>
      </c>
      <c r="R769" s="43">
        <f t="shared" si="234"/>
        <v>1144.4099999999962</v>
      </c>
      <c r="S769" s="44">
        <f t="shared" si="235"/>
        <v>2.0073998102423791E-2</v>
      </c>
      <c r="T769" s="39" t="str">
        <f t="shared" si="236"/>
        <v>OK</v>
      </c>
      <c r="U769" s="39" t="str">
        <f t="shared" si="237"/>
        <v>0-9%</v>
      </c>
      <c r="V769" s="39" t="str">
        <f>IF(E769&gt;=Analysis!$B$4,"High",IF(E769&gt;=Analysis!$B$5,"Mid","Low"))</f>
        <v>High</v>
      </c>
      <c r="W769" s="39" t="str">
        <f t="shared" si="238"/>
        <v>2023-10</v>
      </c>
      <c r="X769" s="40">
        <f t="shared" si="239"/>
        <v>45230</v>
      </c>
      <c r="Y769" s="39" t="str">
        <f t="shared" si="240"/>
        <v>2023-Q4</v>
      </c>
      <c r="Z769" s="39" t="str">
        <f t="shared" si="241"/>
        <v>Thu</v>
      </c>
      <c r="AA769" s="39">
        <f t="shared" si="242"/>
        <v>4</v>
      </c>
      <c r="AB769" s="39">
        <f t="shared" si="243"/>
        <v>41</v>
      </c>
      <c r="AC769" s="39" t="str">
        <f t="shared" si="244"/>
        <v>Weekday</v>
      </c>
      <c r="AD769" s="39">
        <f t="shared" ca="1" si="245"/>
        <v>1115</v>
      </c>
      <c r="AE769" s="39">
        <f t="shared" ca="1" si="246"/>
        <v>36</v>
      </c>
      <c r="AF769" s="39" t="str">
        <f t="shared" si="247"/>
        <v>ALI</v>
      </c>
      <c r="AG769" s="39" t="str">
        <f t="shared" si="248"/>
        <v>SR-231005-0768</v>
      </c>
      <c r="AH769" s="39" t="str">
        <f>IF(AND(OR(Filter!$B$4="All",D769=Filter!$B$4),OR(Filter!$B$5="All",M769=Filter!$B$5),E769&gt;=Filter!$B$6),MAX(AH$1:AH768)+1,"")</f>
        <v/>
      </c>
      <c r="AI769" s="39">
        <f t="shared" si="249"/>
        <v>27</v>
      </c>
      <c r="AJ769" s="42">
        <f t="shared" si="250"/>
        <v>0.06</v>
      </c>
      <c r="AK769" s="41">
        <f t="shared" si="251"/>
        <v>2246.2399999999998</v>
      </c>
      <c r="AL769" s="39">
        <f>RANK(E769,$E$2:$E$1001,0)+COUNTIF($E$2:E769,E769)-1</f>
        <v>210</v>
      </c>
    </row>
    <row r="770" spans="1:38" x14ac:dyDescent="0.2">
      <c r="A770" s="39">
        <v>1017</v>
      </c>
      <c r="B770" s="40">
        <v>45122</v>
      </c>
      <c r="C770" s="39" t="s">
        <v>76</v>
      </c>
      <c r="D770" s="39" t="s">
        <v>64</v>
      </c>
      <c r="E770" s="41">
        <v>5705.19</v>
      </c>
      <c r="F770" s="39">
        <v>23</v>
      </c>
      <c r="G770" s="39" t="s">
        <v>65</v>
      </c>
      <c r="H770" s="41">
        <v>1771.52</v>
      </c>
      <c r="I770" s="41">
        <v>2147.8000000000002</v>
      </c>
      <c r="J770" s="39" t="s">
        <v>143</v>
      </c>
      <c r="K770" s="42">
        <v>7.0000000000000007E-2</v>
      </c>
      <c r="L770" s="39" t="s">
        <v>63</v>
      </c>
      <c r="M770" s="39" t="s">
        <v>138</v>
      </c>
      <c r="N770" s="39" t="s">
        <v>152</v>
      </c>
      <c r="O770" s="43">
        <f t="shared" ref="O770:O833" si="252">ROUND(F770*I770,2)</f>
        <v>49399.4</v>
      </c>
      <c r="P770" s="43">
        <f t="shared" ref="P770:P833" si="253">ROUND(F770*I770*(1-K770),2)</f>
        <v>45941.440000000002</v>
      </c>
      <c r="Q770" s="43">
        <f t="shared" ref="Q770:Q833" si="254">ROUND(F770*H770,2)</f>
        <v>40744.959999999999</v>
      </c>
      <c r="R770" s="43">
        <f t="shared" ref="R770:R833" si="255">P770-Q770</f>
        <v>5196.4800000000032</v>
      </c>
      <c r="S770" s="44">
        <f t="shared" ref="S770:S833" si="256">IF(P770=0,0,R770/P770)</f>
        <v>0.11311095168109669</v>
      </c>
      <c r="T770" s="39" t="str">
        <f t="shared" ref="T770:T833" si="257">IF(R770&lt;0,"Loss","OK")</f>
        <v>OK</v>
      </c>
      <c r="U770" s="39" t="str">
        <f t="shared" ref="U770:U833" si="258">IF(K770&lt;0.1,"0-9%",IF(K770&lt;0.2,"10-19%","20%+"))</f>
        <v>0-9%</v>
      </c>
      <c r="V770" s="39" t="str">
        <f>IF(E770&gt;=Analysis!$B$4,"High",IF(E770&gt;=Analysis!$B$5,"Mid","Low"))</f>
        <v>Mid</v>
      </c>
      <c r="W770" s="39" t="str">
        <f t="shared" ref="W770:W833" si="259">TEXT(B770,"yyyy-mm")</f>
        <v>2023-07</v>
      </c>
      <c r="X770" s="40">
        <f t="shared" ref="X770:X833" si="260">EOMONTH(B770,0)</f>
        <v>45138</v>
      </c>
      <c r="Y770" s="39" t="str">
        <f t="shared" ref="Y770:Y833" si="261">YEAR(B770)&amp;"-Q"&amp;ROUNDUP(MONTH(B770)/3,0)</f>
        <v>2023-Q3</v>
      </c>
      <c r="Z770" s="39" t="str">
        <f t="shared" ref="Z770:Z833" si="262">TEXT(B770,"ddd")</f>
        <v>Sat</v>
      </c>
      <c r="AA770" s="39">
        <f t="shared" ref="AA770:AA833" si="263">WEEKDAY(B770,2)</f>
        <v>6</v>
      </c>
      <c r="AB770" s="39">
        <f t="shared" ref="AB770:AB833" si="264">WEEKNUM(B770,2)</f>
        <v>29</v>
      </c>
      <c r="AC770" s="39" t="str">
        <f t="shared" ref="AC770:AC833" si="265">IF(AA770&gt;5,"Weekend","Weekday")</f>
        <v>Weekend</v>
      </c>
      <c r="AD770" s="39">
        <f t="shared" ref="AD770:AD833" ca="1" si="266">TODAY()-B770</f>
        <v>1197</v>
      </c>
      <c r="AE770" s="39">
        <f t="shared" ref="AE770:AE833" ca="1" si="267">DATEDIF(B770,TODAY(),"M")</f>
        <v>39</v>
      </c>
      <c r="AF770" s="39" t="str">
        <f t="shared" ref="AF770:AF833" si="268">UPPER(LEFT(C770,3))</f>
        <v>DAV</v>
      </c>
      <c r="AG770" s="39" t="str">
        <f t="shared" ref="AG770:AG833" si="269">UPPER(LEFT(D770,1))&amp;UPPER(LEFT(M770,1))&amp;"-"&amp;TEXT(B770,"yymmdd")&amp;"-"&amp;TEXT(ROW()-1,"0000")</f>
        <v>NO-230715-0769</v>
      </c>
      <c r="AH770" s="39" t="str">
        <f>IF(AND(OR(Filter!$B$4="All",D770=Filter!$B$4),OR(Filter!$B$5="All",M770=Filter!$B$5),E770&gt;=Filter!$B$6),MAX(AH$1:AH769)+1,"")</f>
        <v/>
      </c>
      <c r="AI770" s="39">
        <f t="shared" ref="AI770:AI833" si="270">F770</f>
        <v>23</v>
      </c>
      <c r="AJ770" s="42">
        <f t="shared" ref="AJ770:AJ833" si="271">K770</f>
        <v>7.0000000000000007E-2</v>
      </c>
      <c r="AK770" s="41">
        <f t="shared" ref="AK770:AK833" si="272">I770</f>
        <v>2147.8000000000002</v>
      </c>
      <c r="AL770" s="39">
        <f>RANK(E770,$E$2:$E$1001,0)+COUNTIF($E$2:E770,E770)-1</f>
        <v>438</v>
      </c>
    </row>
    <row r="771" spans="1:38" x14ac:dyDescent="0.2">
      <c r="A771" s="39">
        <v>1073</v>
      </c>
      <c r="B771" s="40">
        <v>45278</v>
      </c>
      <c r="C771" s="39" t="s">
        <v>79</v>
      </c>
      <c r="D771" s="39" t="s">
        <v>74</v>
      </c>
      <c r="E771" s="41">
        <v>3196.5</v>
      </c>
      <c r="F771" s="39">
        <v>40</v>
      </c>
      <c r="G771" s="39" t="s">
        <v>70</v>
      </c>
      <c r="H771" s="41">
        <v>157.15</v>
      </c>
      <c r="I771" s="41">
        <v>436.53</v>
      </c>
      <c r="J771" s="39" t="s">
        <v>143</v>
      </c>
      <c r="K771" s="42">
        <v>0.04</v>
      </c>
      <c r="L771" s="39" t="s">
        <v>68</v>
      </c>
      <c r="M771" s="39" t="s">
        <v>140</v>
      </c>
      <c r="N771" s="39" t="s">
        <v>149</v>
      </c>
      <c r="O771" s="43">
        <f t="shared" si="252"/>
        <v>17461.2</v>
      </c>
      <c r="P771" s="43">
        <f t="shared" si="253"/>
        <v>16762.75</v>
      </c>
      <c r="Q771" s="43">
        <f t="shared" si="254"/>
        <v>6286</v>
      </c>
      <c r="R771" s="43">
        <f t="shared" si="255"/>
        <v>10476.75</v>
      </c>
      <c r="S771" s="44">
        <f t="shared" si="256"/>
        <v>0.62500186425258386</v>
      </c>
      <c r="T771" s="39" t="str">
        <f t="shared" si="257"/>
        <v>OK</v>
      </c>
      <c r="U771" s="39" t="str">
        <f t="shared" si="258"/>
        <v>0-9%</v>
      </c>
      <c r="V771" s="39" t="str">
        <f>IF(E771&gt;=Analysis!$B$4,"High",IF(E771&gt;=Analysis!$B$5,"Mid","Low"))</f>
        <v>Mid</v>
      </c>
      <c r="W771" s="39" t="str">
        <f t="shared" si="259"/>
        <v>2023-12</v>
      </c>
      <c r="X771" s="40">
        <f t="shared" si="260"/>
        <v>45291</v>
      </c>
      <c r="Y771" s="39" t="str">
        <f t="shared" si="261"/>
        <v>2023-Q4</v>
      </c>
      <c r="Z771" s="39" t="str">
        <f t="shared" si="262"/>
        <v>Mon</v>
      </c>
      <c r="AA771" s="39">
        <f t="shared" si="263"/>
        <v>1</v>
      </c>
      <c r="AB771" s="39">
        <f t="shared" si="264"/>
        <v>52</v>
      </c>
      <c r="AC771" s="39" t="str">
        <f t="shared" si="265"/>
        <v>Weekday</v>
      </c>
      <c r="AD771" s="39">
        <f t="shared" ca="1" si="266"/>
        <v>1041</v>
      </c>
      <c r="AE771" s="39">
        <f t="shared" ca="1" si="267"/>
        <v>34</v>
      </c>
      <c r="AF771" s="39" t="str">
        <f t="shared" si="268"/>
        <v>EVE</v>
      </c>
      <c r="AG771" s="39" t="str">
        <f t="shared" si="269"/>
        <v>WR-231218-0770</v>
      </c>
      <c r="AH771" s="39" t="str">
        <f>IF(AND(OR(Filter!$B$4="All",D771=Filter!$B$4),OR(Filter!$B$5="All",M771=Filter!$B$5),E771&gt;=Filter!$B$6),MAX(AH$1:AH770)+1,"")</f>
        <v/>
      </c>
      <c r="AI771" s="39">
        <f t="shared" si="270"/>
        <v>40</v>
      </c>
      <c r="AJ771" s="42">
        <f t="shared" si="271"/>
        <v>0.04</v>
      </c>
      <c r="AK771" s="41">
        <f t="shared" si="272"/>
        <v>436.53</v>
      </c>
      <c r="AL771" s="39">
        <f>RANK(E771,$E$2:$E$1001,0)+COUNTIF($E$2:E771,E771)-1</f>
        <v>675</v>
      </c>
    </row>
    <row r="772" spans="1:38" x14ac:dyDescent="0.2">
      <c r="A772" s="39">
        <v>1033</v>
      </c>
      <c r="B772" s="40">
        <v>45168</v>
      </c>
      <c r="C772" s="39" t="s">
        <v>66</v>
      </c>
      <c r="D772" s="39" t="s">
        <v>59</v>
      </c>
      <c r="E772" s="41">
        <v>6577.99</v>
      </c>
      <c r="F772" s="39">
        <v>14</v>
      </c>
      <c r="G772" s="39" t="s">
        <v>70</v>
      </c>
      <c r="H772" s="41">
        <v>504.3</v>
      </c>
      <c r="I772" s="41">
        <v>735.95</v>
      </c>
      <c r="J772" s="39" t="s">
        <v>137</v>
      </c>
      <c r="K772" s="42">
        <v>0.21</v>
      </c>
      <c r="L772" s="39" t="s">
        <v>68</v>
      </c>
      <c r="M772" s="39" t="s">
        <v>140</v>
      </c>
      <c r="N772" s="39" t="s">
        <v>153</v>
      </c>
      <c r="O772" s="43">
        <f t="shared" si="252"/>
        <v>10303.299999999999</v>
      </c>
      <c r="P772" s="43">
        <f t="shared" si="253"/>
        <v>8139.61</v>
      </c>
      <c r="Q772" s="43">
        <f t="shared" si="254"/>
        <v>7060.2</v>
      </c>
      <c r="R772" s="43">
        <f t="shared" si="255"/>
        <v>1079.4099999999999</v>
      </c>
      <c r="S772" s="44">
        <f t="shared" si="256"/>
        <v>0.13261200475207041</v>
      </c>
      <c r="T772" s="39" t="str">
        <f t="shared" si="257"/>
        <v>OK</v>
      </c>
      <c r="U772" s="39" t="str">
        <f t="shared" si="258"/>
        <v>20%+</v>
      </c>
      <c r="V772" s="39" t="str">
        <f>IF(E772&gt;=Analysis!$B$4,"High",IF(E772&gt;=Analysis!$B$5,"Mid","Low"))</f>
        <v>Mid</v>
      </c>
      <c r="W772" s="39" t="str">
        <f t="shared" si="259"/>
        <v>2023-08</v>
      </c>
      <c r="X772" s="40">
        <f t="shared" si="260"/>
        <v>45169</v>
      </c>
      <c r="Y772" s="39" t="str">
        <f t="shared" si="261"/>
        <v>2023-Q3</v>
      </c>
      <c r="Z772" s="39" t="str">
        <f t="shared" si="262"/>
        <v>Wed</v>
      </c>
      <c r="AA772" s="39">
        <f t="shared" si="263"/>
        <v>3</v>
      </c>
      <c r="AB772" s="39">
        <f t="shared" si="264"/>
        <v>36</v>
      </c>
      <c r="AC772" s="39" t="str">
        <f t="shared" si="265"/>
        <v>Weekday</v>
      </c>
      <c r="AD772" s="39">
        <f t="shared" ca="1" si="266"/>
        <v>1151</v>
      </c>
      <c r="AE772" s="39">
        <f t="shared" ca="1" si="267"/>
        <v>37</v>
      </c>
      <c r="AF772" s="39" t="str">
        <f t="shared" si="268"/>
        <v>BOB</v>
      </c>
      <c r="AG772" s="39" t="str">
        <f t="shared" si="269"/>
        <v>ER-230830-0771</v>
      </c>
      <c r="AH772" s="39" t="str">
        <f>IF(AND(OR(Filter!$B$4="All",D772=Filter!$B$4),OR(Filter!$B$5="All",M772=Filter!$B$5),E772&gt;=Filter!$B$6),MAX(AH$1:AH771)+1,"")</f>
        <v/>
      </c>
      <c r="AI772" s="39">
        <f t="shared" si="270"/>
        <v>14</v>
      </c>
      <c r="AJ772" s="42">
        <f t="shared" si="271"/>
        <v>0.21</v>
      </c>
      <c r="AK772" s="41">
        <f t="shared" si="272"/>
        <v>735.95</v>
      </c>
      <c r="AL772" s="39">
        <f>RANK(E772,$E$2:$E$1001,0)+COUNTIF($E$2:E772,E772)-1</f>
        <v>353</v>
      </c>
    </row>
    <row r="773" spans="1:38" x14ac:dyDescent="0.2">
      <c r="A773" s="39">
        <v>1084</v>
      </c>
      <c r="B773" s="40">
        <v>45250</v>
      </c>
      <c r="C773" s="39" t="s">
        <v>66</v>
      </c>
      <c r="D773" s="39" t="s">
        <v>69</v>
      </c>
      <c r="E773" s="41">
        <v>2396.98</v>
      </c>
      <c r="F773" s="39">
        <v>15</v>
      </c>
      <c r="G773" s="39" t="s">
        <v>75</v>
      </c>
      <c r="H773" s="41">
        <v>3420.72</v>
      </c>
      <c r="I773" s="41">
        <v>3513.74</v>
      </c>
      <c r="J773" s="39" t="s">
        <v>143</v>
      </c>
      <c r="K773" s="42">
        <v>0.02</v>
      </c>
      <c r="L773" s="39" t="s">
        <v>68</v>
      </c>
      <c r="M773" s="39" t="s">
        <v>138</v>
      </c>
      <c r="N773" s="39" t="s">
        <v>144</v>
      </c>
      <c r="O773" s="43">
        <f t="shared" si="252"/>
        <v>52706.1</v>
      </c>
      <c r="P773" s="43">
        <f t="shared" si="253"/>
        <v>51651.98</v>
      </c>
      <c r="Q773" s="43">
        <f t="shared" si="254"/>
        <v>51310.8</v>
      </c>
      <c r="R773" s="43">
        <f t="shared" si="255"/>
        <v>341.18000000000029</v>
      </c>
      <c r="S773" s="44">
        <f t="shared" si="256"/>
        <v>6.6053614982426673E-3</v>
      </c>
      <c r="T773" s="39" t="str">
        <f t="shared" si="257"/>
        <v>OK</v>
      </c>
      <c r="U773" s="39" t="str">
        <f t="shared" si="258"/>
        <v>0-9%</v>
      </c>
      <c r="V773" s="39" t="str">
        <f>IF(E773&gt;=Analysis!$B$4,"High",IF(E773&gt;=Analysis!$B$5,"Mid","Low"))</f>
        <v>Low</v>
      </c>
      <c r="W773" s="39" t="str">
        <f t="shared" si="259"/>
        <v>2023-11</v>
      </c>
      <c r="X773" s="40">
        <f t="shared" si="260"/>
        <v>45260</v>
      </c>
      <c r="Y773" s="39" t="str">
        <f t="shared" si="261"/>
        <v>2023-Q4</v>
      </c>
      <c r="Z773" s="39" t="str">
        <f t="shared" si="262"/>
        <v>Mon</v>
      </c>
      <c r="AA773" s="39">
        <f t="shared" si="263"/>
        <v>1</v>
      </c>
      <c r="AB773" s="39">
        <f t="shared" si="264"/>
        <v>48</v>
      </c>
      <c r="AC773" s="39" t="str">
        <f t="shared" si="265"/>
        <v>Weekday</v>
      </c>
      <c r="AD773" s="39">
        <f t="shared" ca="1" si="266"/>
        <v>1069</v>
      </c>
      <c r="AE773" s="39">
        <f t="shared" ca="1" si="267"/>
        <v>35</v>
      </c>
      <c r="AF773" s="39" t="str">
        <f t="shared" si="268"/>
        <v>BOB</v>
      </c>
      <c r="AG773" s="39" t="str">
        <f t="shared" si="269"/>
        <v>SO-231120-0772</v>
      </c>
      <c r="AH773" s="39" t="str">
        <f>IF(AND(OR(Filter!$B$4="All",D773=Filter!$B$4),OR(Filter!$B$5="All",M773=Filter!$B$5),E773&gt;=Filter!$B$6),MAX(AH$1:AH772)+1,"")</f>
        <v/>
      </c>
      <c r="AI773" s="39">
        <f t="shared" si="270"/>
        <v>15</v>
      </c>
      <c r="AJ773" s="42">
        <f t="shared" si="271"/>
        <v>0.02</v>
      </c>
      <c r="AK773" s="41">
        <f t="shared" si="272"/>
        <v>3513.74</v>
      </c>
      <c r="AL773" s="39">
        <f>RANK(E773,$E$2:$E$1001,0)+COUNTIF($E$2:E773,E773)-1</f>
        <v>766</v>
      </c>
    </row>
    <row r="774" spans="1:38" x14ac:dyDescent="0.2">
      <c r="A774" s="39">
        <v>1077</v>
      </c>
      <c r="B774" s="40">
        <v>45145</v>
      </c>
      <c r="C774" s="39" t="s">
        <v>71</v>
      </c>
      <c r="D774" s="39" t="s">
        <v>59</v>
      </c>
      <c r="E774" s="41">
        <v>242.38</v>
      </c>
      <c r="F774" s="39">
        <v>43</v>
      </c>
      <c r="G774" s="39" t="s">
        <v>70</v>
      </c>
      <c r="H774" s="41">
        <v>4402.66</v>
      </c>
      <c r="I774" s="41">
        <v>4724.7</v>
      </c>
      <c r="J774" s="39" t="s">
        <v>143</v>
      </c>
      <c r="K774" s="42">
        <v>0.1</v>
      </c>
      <c r="L774" s="39" t="s">
        <v>63</v>
      </c>
      <c r="M774" s="39" t="s">
        <v>140</v>
      </c>
      <c r="N774" s="39" t="s">
        <v>145</v>
      </c>
      <c r="O774" s="43">
        <f t="shared" si="252"/>
        <v>203162.1</v>
      </c>
      <c r="P774" s="43">
        <f t="shared" si="253"/>
        <v>182845.89</v>
      </c>
      <c r="Q774" s="43">
        <f t="shared" si="254"/>
        <v>189314.38</v>
      </c>
      <c r="R774" s="43">
        <f t="shared" si="255"/>
        <v>-6468.4899999999907</v>
      </c>
      <c r="S774" s="44">
        <f t="shared" si="256"/>
        <v>-3.5376731738405442E-2</v>
      </c>
      <c r="T774" s="39" t="str">
        <f t="shared" si="257"/>
        <v>Loss</v>
      </c>
      <c r="U774" s="39" t="str">
        <f t="shared" si="258"/>
        <v>10-19%</v>
      </c>
      <c r="V774" s="39" t="str">
        <f>IF(E774&gt;=Analysis!$B$4,"High",IF(E774&gt;=Analysis!$B$5,"Mid","Low"))</f>
        <v>Low</v>
      </c>
      <c r="W774" s="39" t="str">
        <f t="shared" si="259"/>
        <v>2023-08</v>
      </c>
      <c r="X774" s="40">
        <f t="shared" si="260"/>
        <v>45169</v>
      </c>
      <c r="Y774" s="39" t="str">
        <f t="shared" si="261"/>
        <v>2023-Q3</v>
      </c>
      <c r="Z774" s="39" t="str">
        <f t="shared" si="262"/>
        <v>Mon</v>
      </c>
      <c r="AA774" s="39">
        <f t="shared" si="263"/>
        <v>1</v>
      </c>
      <c r="AB774" s="39">
        <f t="shared" si="264"/>
        <v>33</v>
      </c>
      <c r="AC774" s="39" t="str">
        <f t="shared" si="265"/>
        <v>Weekday</v>
      </c>
      <c r="AD774" s="39">
        <f t="shared" ca="1" si="266"/>
        <v>1174</v>
      </c>
      <c r="AE774" s="39">
        <f t="shared" ca="1" si="267"/>
        <v>38</v>
      </c>
      <c r="AF774" s="39" t="str">
        <f t="shared" si="268"/>
        <v>CHA</v>
      </c>
      <c r="AG774" s="39" t="str">
        <f t="shared" si="269"/>
        <v>ER-230807-0773</v>
      </c>
      <c r="AH774" s="39" t="str">
        <f>IF(AND(OR(Filter!$B$4="All",D774=Filter!$B$4),OR(Filter!$B$5="All",M774=Filter!$B$5),E774&gt;=Filter!$B$6),MAX(AH$1:AH773)+1,"")</f>
        <v/>
      </c>
      <c r="AI774" s="39">
        <f t="shared" si="270"/>
        <v>43</v>
      </c>
      <c r="AJ774" s="42">
        <f t="shared" si="271"/>
        <v>0.1</v>
      </c>
      <c r="AK774" s="41">
        <f t="shared" si="272"/>
        <v>4724.7</v>
      </c>
      <c r="AL774" s="39">
        <f>RANK(E774,$E$2:$E$1001,0)+COUNTIF($E$2:E774,E774)-1</f>
        <v>983</v>
      </c>
    </row>
    <row r="775" spans="1:38" x14ac:dyDescent="0.2">
      <c r="A775" s="39">
        <v>1092</v>
      </c>
      <c r="B775" s="40">
        <v>45118</v>
      </c>
      <c r="C775" s="39" t="s">
        <v>79</v>
      </c>
      <c r="D775" s="39" t="s">
        <v>59</v>
      </c>
      <c r="E775" s="41">
        <v>7667.1</v>
      </c>
      <c r="F775" s="39">
        <v>33</v>
      </c>
      <c r="G775" s="39" t="s">
        <v>65</v>
      </c>
      <c r="H775" s="41">
        <v>2595.42</v>
      </c>
      <c r="I775" s="41">
        <v>3083.06</v>
      </c>
      <c r="J775" s="39" t="s">
        <v>143</v>
      </c>
      <c r="K775" s="42">
        <v>0.08</v>
      </c>
      <c r="L775" s="39" t="s">
        <v>73</v>
      </c>
      <c r="M775" s="39" t="s">
        <v>138</v>
      </c>
      <c r="N775" s="39" t="s">
        <v>155</v>
      </c>
      <c r="O775" s="43">
        <f t="shared" si="252"/>
        <v>101740.98</v>
      </c>
      <c r="P775" s="43">
        <f t="shared" si="253"/>
        <v>93601.7</v>
      </c>
      <c r="Q775" s="43">
        <f t="shared" si="254"/>
        <v>85648.86</v>
      </c>
      <c r="R775" s="43">
        <f t="shared" si="255"/>
        <v>7952.8399999999965</v>
      </c>
      <c r="S775" s="44">
        <f t="shared" si="256"/>
        <v>8.4964696154022815E-2</v>
      </c>
      <c r="T775" s="39" t="str">
        <f t="shared" si="257"/>
        <v>OK</v>
      </c>
      <c r="U775" s="39" t="str">
        <f t="shared" si="258"/>
        <v>0-9%</v>
      </c>
      <c r="V775" s="39" t="str">
        <f>IF(E775&gt;=Analysis!$B$4,"High",IF(E775&gt;=Analysis!$B$5,"Mid","Low"))</f>
        <v>High</v>
      </c>
      <c r="W775" s="39" t="str">
        <f t="shared" si="259"/>
        <v>2023-07</v>
      </c>
      <c r="X775" s="40">
        <f t="shared" si="260"/>
        <v>45138</v>
      </c>
      <c r="Y775" s="39" t="str">
        <f t="shared" si="261"/>
        <v>2023-Q3</v>
      </c>
      <c r="Z775" s="39" t="str">
        <f t="shared" si="262"/>
        <v>Tue</v>
      </c>
      <c r="AA775" s="39">
        <f t="shared" si="263"/>
        <v>2</v>
      </c>
      <c r="AB775" s="39">
        <f t="shared" si="264"/>
        <v>29</v>
      </c>
      <c r="AC775" s="39" t="str">
        <f t="shared" si="265"/>
        <v>Weekday</v>
      </c>
      <c r="AD775" s="39">
        <f t="shared" ca="1" si="266"/>
        <v>1201</v>
      </c>
      <c r="AE775" s="39">
        <f t="shared" ca="1" si="267"/>
        <v>39</v>
      </c>
      <c r="AF775" s="39" t="str">
        <f t="shared" si="268"/>
        <v>EVE</v>
      </c>
      <c r="AG775" s="39" t="str">
        <f t="shared" si="269"/>
        <v>EO-230711-0774</v>
      </c>
      <c r="AH775" s="39" t="str">
        <f>IF(AND(OR(Filter!$B$4="All",D775=Filter!$B$4),OR(Filter!$B$5="All",M775=Filter!$B$5),E775&gt;=Filter!$B$6),MAX(AH$1:AH774)+1,"")</f>
        <v/>
      </c>
      <c r="AI775" s="39">
        <f t="shared" si="270"/>
        <v>33</v>
      </c>
      <c r="AJ775" s="42">
        <f t="shared" si="271"/>
        <v>0.08</v>
      </c>
      <c r="AK775" s="41">
        <f t="shared" si="272"/>
        <v>3083.06</v>
      </c>
      <c r="AL775" s="39">
        <f>RANK(E775,$E$2:$E$1001,0)+COUNTIF($E$2:E775,E775)-1</f>
        <v>231</v>
      </c>
    </row>
    <row r="776" spans="1:38" x14ac:dyDescent="0.2">
      <c r="A776" s="39">
        <v>1029</v>
      </c>
      <c r="B776" s="40">
        <v>44943</v>
      </c>
      <c r="C776" s="39" t="s">
        <v>71</v>
      </c>
      <c r="D776" s="39" t="s">
        <v>64</v>
      </c>
      <c r="E776" s="41">
        <v>6275.06</v>
      </c>
      <c r="F776" s="39">
        <v>31</v>
      </c>
      <c r="G776" s="39" t="s">
        <v>65</v>
      </c>
      <c r="H776" s="41">
        <v>2719</v>
      </c>
      <c r="I776" s="41">
        <v>3133.55</v>
      </c>
      <c r="J776" s="39" t="s">
        <v>137</v>
      </c>
      <c r="K776" s="42">
        <v>0.17</v>
      </c>
      <c r="L776" s="39" t="s">
        <v>63</v>
      </c>
      <c r="M776" s="39" t="s">
        <v>140</v>
      </c>
      <c r="N776" s="39" t="s">
        <v>160</v>
      </c>
      <c r="O776" s="43">
        <f t="shared" si="252"/>
        <v>97140.05</v>
      </c>
      <c r="P776" s="43">
        <f t="shared" si="253"/>
        <v>80626.240000000005</v>
      </c>
      <c r="Q776" s="43">
        <f t="shared" si="254"/>
        <v>84289</v>
      </c>
      <c r="R776" s="43">
        <f t="shared" si="255"/>
        <v>-3662.7599999999948</v>
      </c>
      <c r="S776" s="44">
        <f t="shared" si="256"/>
        <v>-4.5428882706175983E-2</v>
      </c>
      <c r="T776" s="39" t="str">
        <f t="shared" si="257"/>
        <v>Loss</v>
      </c>
      <c r="U776" s="39" t="str">
        <f t="shared" si="258"/>
        <v>10-19%</v>
      </c>
      <c r="V776" s="39" t="str">
        <f>IF(E776&gt;=Analysis!$B$4,"High",IF(E776&gt;=Analysis!$B$5,"Mid","Low"))</f>
        <v>Mid</v>
      </c>
      <c r="W776" s="39" t="str">
        <f t="shared" si="259"/>
        <v>2023-01</v>
      </c>
      <c r="X776" s="40">
        <f t="shared" si="260"/>
        <v>44957</v>
      </c>
      <c r="Y776" s="39" t="str">
        <f t="shared" si="261"/>
        <v>2023-Q1</v>
      </c>
      <c r="Z776" s="39" t="str">
        <f t="shared" si="262"/>
        <v>Tue</v>
      </c>
      <c r="AA776" s="39">
        <f t="shared" si="263"/>
        <v>2</v>
      </c>
      <c r="AB776" s="39">
        <f t="shared" si="264"/>
        <v>4</v>
      </c>
      <c r="AC776" s="39" t="str">
        <f t="shared" si="265"/>
        <v>Weekday</v>
      </c>
      <c r="AD776" s="39">
        <f t="shared" ca="1" si="266"/>
        <v>1376</v>
      </c>
      <c r="AE776" s="39">
        <f t="shared" ca="1" si="267"/>
        <v>45</v>
      </c>
      <c r="AF776" s="39" t="str">
        <f t="shared" si="268"/>
        <v>CHA</v>
      </c>
      <c r="AG776" s="39" t="str">
        <f t="shared" si="269"/>
        <v>NR-230117-0775</v>
      </c>
      <c r="AH776" s="39" t="str">
        <f>IF(AND(OR(Filter!$B$4="All",D776=Filter!$B$4),OR(Filter!$B$5="All",M776=Filter!$B$5),E776&gt;=Filter!$B$6),MAX(AH$1:AH775)+1,"")</f>
        <v/>
      </c>
      <c r="AI776" s="39">
        <f t="shared" si="270"/>
        <v>31</v>
      </c>
      <c r="AJ776" s="42">
        <f t="shared" si="271"/>
        <v>0.17</v>
      </c>
      <c r="AK776" s="41">
        <f t="shared" si="272"/>
        <v>3133.55</v>
      </c>
      <c r="AL776" s="39">
        <f>RANK(E776,$E$2:$E$1001,0)+COUNTIF($E$2:E776,E776)-1</f>
        <v>381</v>
      </c>
    </row>
    <row r="777" spans="1:38" x14ac:dyDescent="0.2">
      <c r="A777" s="39">
        <v>1013</v>
      </c>
      <c r="B777" s="40">
        <v>44938</v>
      </c>
      <c r="C777" s="39" t="s">
        <v>61</v>
      </c>
      <c r="D777" s="39" t="s">
        <v>74</v>
      </c>
      <c r="E777" s="41">
        <v>7646.8</v>
      </c>
      <c r="F777" s="39">
        <v>35</v>
      </c>
      <c r="G777" s="39" t="s">
        <v>65</v>
      </c>
      <c r="H777" s="41">
        <v>1312.71</v>
      </c>
      <c r="I777" s="41">
        <v>1352.11</v>
      </c>
      <c r="J777" s="39" t="s">
        <v>137</v>
      </c>
      <c r="K777" s="42">
        <v>0.22</v>
      </c>
      <c r="L777" s="39" t="s">
        <v>63</v>
      </c>
      <c r="M777" s="39" t="s">
        <v>140</v>
      </c>
      <c r="N777" s="39" t="s">
        <v>158</v>
      </c>
      <c r="O777" s="43">
        <f t="shared" si="252"/>
        <v>47323.85</v>
      </c>
      <c r="P777" s="43">
        <f t="shared" si="253"/>
        <v>36912.6</v>
      </c>
      <c r="Q777" s="43">
        <f t="shared" si="254"/>
        <v>45944.85</v>
      </c>
      <c r="R777" s="43">
        <f t="shared" si="255"/>
        <v>-9032.25</v>
      </c>
      <c r="S777" s="44">
        <f t="shared" si="256"/>
        <v>-0.24469286910160759</v>
      </c>
      <c r="T777" s="39" t="str">
        <f t="shared" si="257"/>
        <v>Loss</v>
      </c>
      <c r="U777" s="39" t="str">
        <f t="shared" si="258"/>
        <v>20%+</v>
      </c>
      <c r="V777" s="39" t="str">
        <f>IF(E777&gt;=Analysis!$B$4,"High",IF(E777&gt;=Analysis!$B$5,"Mid","Low"))</f>
        <v>High</v>
      </c>
      <c r="W777" s="39" t="str">
        <f t="shared" si="259"/>
        <v>2023-01</v>
      </c>
      <c r="X777" s="40">
        <f t="shared" si="260"/>
        <v>44957</v>
      </c>
      <c r="Y777" s="39" t="str">
        <f t="shared" si="261"/>
        <v>2023-Q1</v>
      </c>
      <c r="Z777" s="39" t="str">
        <f t="shared" si="262"/>
        <v>Thu</v>
      </c>
      <c r="AA777" s="39">
        <f t="shared" si="263"/>
        <v>4</v>
      </c>
      <c r="AB777" s="39">
        <f t="shared" si="264"/>
        <v>3</v>
      </c>
      <c r="AC777" s="39" t="str">
        <f t="shared" si="265"/>
        <v>Weekday</v>
      </c>
      <c r="AD777" s="39">
        <f t="shared" ca="1" si="266"/>
        <v>1381</v>
      </c>
      <c r="AE777" s="39">
        <f t="shared" ca="1" si="267"/>
        <v>45</v>
      </c>
      <c r="AF777" s="39" t="str">
        <f t="shared" si="268"/>
        <v>ALI</v>
      </c>
      <c r="AG777" s="39" t="str">
        <f t="shared" si="269"/>
        <v>WR-230112-0776</v>
      </c>
      <c r="AH777" s="39" t="str">
        <f>IF(AND(OR(Filter!$B$4="All",D777=Filter!$B$4),OR(Filter!$B$5="All",M777=Filter!$B$5),E777&gt;=Filter!$B$6),MAX(AH$1:AH776)+1,"")</f>
        <v/>
      </c>
      <c r="AI777" s="39">
        <f t="shared" si="270"/>
        <v>35</v>
      </c>
      <c r="AJ777" s="42">
        <f t="shared" si="271"/>
        <v>0.22</v>
      </c>
      <c r="AK777" s="41">
        <f t="shared" si="272"/>
        <v>1352.11</v>
      </c>
      <c r="AL777" s="39">
        <f>RANK(E777,$E$2:$E$1001,0)+COUNTIF($E$2:E777,E777)-1</f>
        <v>233</v>
      </c>
    </row>
    <row r="778" spans="1:38" x14ac:dyDescent="0.2">
      <c r="A778" s="39">
        <v>1046</v>
      </c>
      <c r="B778" s="40">
        <v>45119</v>
      </c>
      <c r="C778" s="39" t="s">
        <v>79</v>
      </c>
      <c r="D778" s="39" t="s">
        <v>64</v>
      </c>
      <c r="E778" s="41">
        <v>485.49</v>
      </c>
      <c r="F778" s="39">
        <v>17</v>
      </c>
      <c r="G778" s="39" t="s">
        <v>75</v>
      </c>
      <c r="H778" s="41">
        <v>3850.99</v>
      </c>
      <c r="I778" s="41">
        <v>4045.34</v>
      </c>
      <c r="J778" s="39" t="s">
        <v>137</v>
      </c>
      <c r="K778" s="42">
        <v>0.16</v>
      </c>
      <c r="L778" s="39" t="s">
        <v>73</v>
      </c>
      <c r="M778" s="39" t="s">
        <v>138</v>
      </c>
      <c r="N778" s="39" t="s">
        <v>148</v>
      </c>
      <c r="O778" s="43">
        <f t="shared" si="252"/>
        <v>68770.78</v>
      </c>
      <c r="P778" s="43">
        <f t="shared" si="253"/>
        <v>57767.46</v>
      </c>
      <c r="Q778" s="43">
        <f t="shared" si="254"/>
        <v>65466.83</v>
      </c>
      <c r="R778" s="43">
        <f t="shared" si="255"/>
        <v>-7699.3700000000026</v>
      </c>
      <c r="S778" s="44">
        <f t="shared" si="256"/>
        <v>-0.13328212803540268</v>
      </c>
      <c r="T778" s="39" t="str">
        <f t="shared" si="257"/>
        <v>Loss</v>
      </c>
      <c r="U778" s="39" t="str">
        <f t="shared" si="258"/>
        <v>10-19%</v>
      </c>
      <c r="V778" s="39" t="str">
        <f>IF(E778&gt;=Analysis!$B$4,"High",IF(E778&gt;=Analysis!$B$5,"Mid","Low"))</f>
        <v>Low</v>
      </c>
      <c r="W778" s="39" t="str">
        <f t="shared" si="259"/>
        <v>2023-07</v>
      </c>
      <c r="X778" s="40">
        <f t="shared" si="260"/>
        <v>45138</v>
      </c>
      <c r="Y778" s="39" t="str">
        <f t="shared" si="261"/>
        <v>2023-Q3</v>
      </c>
      <c r="Z778" s="39" t="str">
        <f t="shared" si="262"/>
        <v>Wed</v>
      </c>
      <c r="AA778" s="39">
        <f t="shared" si="263"/>
        <v>3</v>
      </c>
      <c r="AB778" s="39">
        <f t="shared" si="264"/>
        <v>29</v>
      </c>
      <c r="AC778" s="39" t="str">
        <f t="shared" si="265"/>
        <v>Weekday</v>
      </c>
      <c r="AD778" s="39">
        <f t="shared" ca="1" si="266"/>
        <v>1200</v>
      </c>
      <c r="AE778" s="39">
        <f t="shared" ca="1" si="267"/>
        <v>39</v>
      </c>
      <c r="AF778" s="39" t="str">
        <f t="shared" si="268"/>
        <v>EVE</v>
      </c>
      <c r="AG778" s="39" t="str">
        <f t="shared" si="269"/>
        <v>NO-230712-0777</v>
      </c>
      <c r="AH778" s="39" t="str">
        <f>IF(AND(OR(Filter!$B$4="All",D778=Filter!$B$4),OR(Filter!$B$5="All",M778=Filter!$B$5),E778&gt;=Filter!$B$6),MAX(AH$1:AH777)+1,"")</f>
        <v/>
      </c>
      <c r="AI778" s="39">
        <f t="shared" si="270"/>
        <v>17</v>
      </c>
      <c r="AJ778" s="42">
        <f t="shared" si="271"/>
        <v>0.16</v>
      </c>
      <c r="AK778" s="41">
        <f t="shared" si="272"/>
        <v>4045.34</v>
      </c>
      <c r="AL778" s="39">
        <f>RANK(E778,$E$2:$E$1001,0)+COUNTIF($E$2:E778,E778)-1</f>
        <v>961</v>
      </c>
    </row>
    <row r="779" spans="1:38" x14ac:dyDescent="0.2">
      <c r="A779" s="39">
        <v>1035</v>
      </c>
      <c r="B779" s="40">
        <v>44948</v>
      </c>
      <c r="C779" s="39" t="s">
        <v>61</v>
      </c>
      <c r="D779" s="39" t="s">
        <v>64</v>
      </c>
      <c r="E779" s="41">
        <v>8387.48</v>
      </c>
      <c r="F779" s="39">
        <v>28</v>
      </c>
      <c r="G779" s="39" t="s">
        <v>75</v>
      </c>
      <c r="H779" s="41">
        <v>3771.38</v>
      </c>
      <c r="I779" s="41">
        <v>4234.92</v>
      </c>
      <c r="J779" s="39" t="s">
        <v>143</v>
      </c>
      <c r="K779" s="42">
        <v>0.28000000000000003</v>
      </c>
      <c r="L779" s="39" t="s">
        <v>73</v>
      </c>
      <c r="M779" s="39" t="s">
        <v>140</v>
      </c>
      <c r="N779" s="39" t="s">
        <v>156</v>
      </c>
      <c r="O779" s="43">
        <f t="shared" si="252"/>
        <v>118577.76</v>
      </c>
      <c r="P779" s="43">
        <f t="shared" si="253"/>
        <v>85375.99</v>
      </c>
      <c r="Q779" s="43">
        <f t="shared" si="254"/>
        <v>105598.64</v>
      </c>
      <c r="R779" s="43">
        <f t="shared" si="255"/>
        <v>-20222.649999999994</v>
      </c>
      <c r="S779" s="44">
        <f t="shared" si="256"/>
        <v>-0.2368657745579289</v>
      </c>
      <c r="T779" s="39" t="str">
        <f t="shared" si="257"/>
        <v>Loss</v>
      </c>
      <c r="U779" s="39" t="str">
        <f t="shared" si="258"/>
        <v>20%+</v>
      </c>
      <c r="V779" s="39" t="str">
        <f>IF(E779&gt;=Analysis!$B$4,"High",IF(E779&gt;=Analysis!$B$5,"Mid","Low"))</f>
        <v>High</v>
      </c>
      <c r="W779" s="39" t="str">
        <f t="shared" si="259"/>
        <v>2023-01</v>
      </c>
      <c r="X779" s="40">
        <f t="shared" si="260"/>
        <v>44957</v>
      </c>
      <c r="Y779" s="39" t="str">
        <f t="shared" si="261"/>
        <v>2023-Q1</v>
      </c>
      <c r="Z779" s="39" t="str">
        <f t="shared" si="262"/>
        <v>Sun</v>
      </c>
      <c r="AA779" s="39">
        <f t="shared" si="263"/>
        <v>7</v>
      </c>
      <c r="AB779" s="39">
        <f t="shared" si="264"/>
        <v>4</v>
      </c>
      <c r="AC779" s="39" t="str">
        <f t="shared" si="265"/>
        <v>Weekend</v>
      </c>
      <c r="AD779" s="39">
        <f t="shared" ca="1" si="266"/>
        <v>1371</v>
      </c>
      <c r="AE779" s="39">
        <f t="shared" ca="1" si="267"/>
        <v>45</v>
      </c>
      <c r="AF779" s="39" t="str">
        <f t="shared" si="268"/>
        <v>ALI</v>
      </c>
      <c r="AG779" s="39" t="str">
        <f t="shared" si="269"/>
        <v>NR-230122-0778</v>
      </c>
      <c r="AH779" s="39" t="str">
        <f>IF(AND(OR(Filter!$B$4="All",D779=Filter!$B$4),OR(Filter!$B$5="All",M779=Filter!$B$5),E779&gt;=Filter!$B$6),MAX(AH$1:AH778)+1,"")</f>
        <v/>
      </c>
      <c r="AI779" s="39">
        <f t="shared" si="270"/>
        <v>28</v>
      </c>
      <c r="AJ779" s="42">
        <f t="shared" si="271"/>
        <v>0.28000000000000003</v>
      </c>
      <c r="AK779" s="41">
        <f t="shared" si="272"/>
        <v>4234.92</v>
      </c>
      <c r="AL779" s="39">
        <f>RANK(E779,$E$2:$E$1001,0)+COUNTIF($E$2:E779,E779)-1</f>
        <v>156</v>
      </c>
    </row>
    <row r="780" spans="1:38" x14ac:dyDescent="0.2">
      <c r="A780" s="39">
        <v>1006</v>
      </c>
      <c r="B780" s="40">
        <v>45046</v>
      </c>
      <c r="C780" s="39" t="s">
        <v>71</v>
      </c>
      <c r="D780" s="39" t="s">
        <v>64</v>
      </c>
      <c r="E780" s="41">
        <v>6233.31</v>
      </c>
      <c r="F780" s="39">
        <v>19</v>
      </c>
      <c r="G780" s="39" t="s">
        <v>60</v>
      </c>
      <c r="H780" s="41">
        <v>2962.41</v>
      </c>
      <c r="I780" s="41">
        <v>3218.9</v>
      </c>
      <c r="J780" s="39" t="s">
        <v>143</v>
      </c>
      <c r="K780" s="42">
        <v>0.28999999999999998</v>
      </c>
      <c r="L780" s="39" t="s">
        <v>68</v>
      </c>
      <c r="M780" s="39" t="s">
        <v>140</v>
      </c>
      <c r="N780" s="39" t="s">
        <v>160</v>
      </c>
      <c r="O780" s="43">
        <f t="shared" si="252"/>
        <v>61159.1</v>
      </c>
      <c r="P780" s="43">
        <f t="shared" si="253"/>
        <v>43422.96</v>
      </c>
      <c r="Q780" s="43">
        <f t="shared" si="254"/>
        <v>56285.79</v>
      </c>
      <c r="R780" s="43">
        <f t="shared" si="255"/>
        <v>-12862.830000000002</v>
      </c>
      <c r="S780" s="44">
        <f t="shared" si="256"/>
        <v>-0.29622186050881844</v>
      </c>
      <c r="T780" s="39" t="str">
        <f t="shared" si="257"/>
        <v>Loss</v>
      </c>
      <c r="U780" s="39" t="str">
        <f t="shared" si="258"/>
        <v>20%+</v>
      </c>
      <c r="V780" s="39" t="str">
        <f>IF(E780&gt;=Analysis!$B$4,"High",IF(E780&gt;=Analysis!$B$5,"Mid","Low"))</f>
        <v>Mid</v>
      </c>
      <c r="W780" s="39" t="str">
        <f t="shared" si="259"/>
        <v>2023-04</v>
      </c>
      <c r="X780" s="40">
        <f t="shared" si="260"/>
        <v>45046</v>
      </c>
      <c r="Y780" s="39" t="str">
        <f t="shared" si="261"/>
        <v>2023-Q2</v>
      </c>
      <c r="Z780" s="39" t="str">
        <f t="shared" si="262"/>
        <v>Sun</v>
      </c>
      <c r="AA780" s="39">
        <f t="shared" si="263"/>
        <v>7</v>
      </c>
      <c r="AB780" s="39">
        <f t="shared" si="264"/>
        <v>18</v>
      </c>
      <c r="AC780" s="39" t="str">
        <f t="shared" si="265"/>
        <v>Weekend</v>
      </c>
      <c r="AD780" s="39">
        <f t="shared" ca="1" si="266"/>
        <v>1273</v>
      </c>
      <c r="AE780" s="39">
        <f t="shared" ca="1" si="267"/>
        <v>41</v>
      </c>
      <c r="AF780" s="39" t="str">
        <f t="shared" si="268"/>
        <v>CHA</v>
      </c>
      <c r="AG780" s="39" t="str">
        <f t="shared" si="269"/>
        <v>NR-230430-0779</v>
      </c>
      <c r="AH780" s="39" t="str">
        <f>IF(AND(OR(Filter!$B$4="All",D780=Filter!$B$4),OR(Filter!$B$5="All",M780=Filter!$B$5),E780&gt;=Filter!$B$6),MAX(AH$1:AH779)+1,"")</f>
        <v/>
      </c>
      <c r="AI780" s="39">
        <f t="shared" si="270"/>
        <v>19</v>
      </c>
      <c r="AJ780" s="42">
        <f t="shared" si="271"/>
        <v>0.28999999999999998</v>
      </c>
      <c r="AK780" s="41">
        <f t="shared" si="272"/>
        <v>3218.9</v>
      </c>
      <c r="AL780" s="39">
        <f>RANK(E780,$E$2:$E$1001,0)+COUNTIF($E$2:E780,E780)-1</f>
        <v>388</v>
      </c>
    </row>
    <row r="781" spans="1:38" x14ac:dyDescent="0.2">
      <c r="A781" s="39">
        <v>1082</v>
      </c>
      <c r="B781" s="40">
        <v>45136</v>
      </c>
      <c r="C781" s="39" t="s">
        <v>79</v>
      </c>
      <c r="D781" s="39" t="s">
        <v>59</v>
      </c>
      <c r="E781" s="41">
        <v>5677.61</v>
      </c>
      <c r="F781" s="39">
        <v>46</v>
      </c>
      <c r="G781" s="39" t="s">
        <v>70</v>
      </c>
      <c r="H781" s="41">
        <v>1102.69</v>
      </c>
      <c r="I781" s="41">
        <v>1437.12</v>
      </c>
      <c r="J781" s="39" t="s">
        <v>143</v>
      </c>
      <c r="K781" s="42">
        <v>0.11</v>
      </c>
      <c r="L781" s="39" t="s">
        <v>73</v>
      </c>
      <c r="M781" s="39" t="s">
        <v>138</v>
      </c>
      <c r="N781" s="39" t="s">
        <v>155</v>
      </c>
      <c r="O781" s="43">
        <f t="shared" si="252"/>
        <v>66107.520000000004</v>
      </c>
      <c r="P781" s="43">
        <f t="shared" si="253"/>
        <v>58835.69</v>
      </c>
      <c r="Q781" s="43">
        <f t="shared" si="254"/>
        <v>50723.74</v>
      </c>
      <c r="R781" s="43">
        <f t="shared" si="255"/>
        <v>8111.9500000000044</v>
      </c>
      <c r="S781" s="44">
        <f t="shared" si="256"/>
        <v>0.13787464717418974</v>
      </c>
      <c r="T781" s="39" t="str">
        <f t="shared" si="257"/>
        <v>OK</v>
      </c>
      <c r="U781" s="39" t="str">
        <f t="shared" si="258"/>
        <v>10-19%</v>
      </c>
      <c r="V781" s="39" t="str">
        <f>IF(E781&gt;=Analysis!$B$4,"High",IF(E781&gt;=Analysis!$B$5,"Mid","Low"))</f>
        <v>Mid</v>
      </c>
      <c r="W781" s="39" t="str">
        <f t="shared" si="259"/>
        <v>2023-07</v>
      </c>
      <c r="X781" s="40">
        <f t="shared" si="260"/>
        <v>45138</v>
      </c>
      <c r="Y781" s="39" t="str">
        <f t="shared" si="261"/>
        <v>2023-Q3</v>
      </c>
      <c r="Z781" s="39" t="str">
        <f t="shared" si="262"/>
        <v>Sat</v>
      </c>
      <c r="AA781" s="39">
        <f t="shared" si="263"/>
        <v>6</v>
      </c>
      <c r="AB781" s="39">
        <f t="shared" si="264"/>
        <v>31</v>
      </c>
      <c r="AC781" s="39" t="str">
        <f t="shared" si="265"/>
        <v>Weekend</v>
      </c>
      <c r="AD781" s="39">
        <f t="shared" ca="1" si="266"/>
        <v>1183</v>
      </c>
      <c r="AE781" s="39">
        <f t="shared" ca="1" si="267"/>
        <v>38</v>
      </c>
      <c r="AF781" s="39" t="str">
        <f t="shared" si="268"/>
        <v>EVE</v>
      </c>
      <c r="AG781" s="39" t="str">
        <f t="shared" si="269"/>
        <v>EO-230729-0780</v>
      </c>
      <c r="AH781" s="39" t="str">
        <f>IF(AND(OR(Filter!$B$4="All",D781=Filter!$B$4),OR(Filter!$B$5="All",M781=Filter!$B$5),E781&gt;=Filter!$B$6),MAX(AH$1:AH780)+1,"")</f>
        <v/>
      </c>
      <c r="AI781" s="39">
        <f t="shared" si="270"/>
        <v>46</v>
      </c>
      <c r="AJ781" s="42">
        <f t="shared" si="271"/>
        <v>0.11</v>
      </c>
      <c r="AK781" s="41">
        <f t="shared" si="272"/>
        <v>1437.12</v>
      </c>
      <c r="AL781" s="39">
        <f>RANK(E781,$E$2:$E$1001,0)+COUNTIF($E$2:E781,E781)-1</f>
        <v>442</v>
      </c>
    </row>
    <row r="782" spans="1:38" x14ac:dyDescent="0.2">
      <c r="A782" s="39">
        <v>1069</v>
      </c>
      <c r="B782" s="40">
        <v>45232</v>
      </c>
      <c r="C782" s="39" t="s">
        <v>71</v>
      </c>
      <c r="D782" s="39" t="s">
        <v>64</v>
      </c>
      <c r="E782" s="41">
        <v>6283.68</v>
      </c>
      <c r="F782" s="39">
        <v>23</v>
      </c>
      <c r="G782" s="39" t="s">
        <v>75</v>
      </c>
      <c r="H782" s="41">
        <v>530.24</v>
      </c>
      <c r="I782" s="41">
        <v>987.41</v>
      </c>
      <c r="J782" s="39" t="s">
        <v>137</v>
      </c>
      <c r="K782" s="42">
        <v>0.23</v>
      </c>
      <c r="L782" s="39" t="s">
        <v>73</v>
      </c>
      <c r="M782" s="39" t="s">
        <v>138</v>
      </c>
      <c r="N782" s="39" t="s">
        <v>160</v>
      </c>
      <c r="O782" s="43">
        <f t="shared" si="252"/>
        <v>22710.43</v>
      </c>
      <c r="P782" s="43">
        <f t="shared" si="253"/>
        <v>17487.03</v>
      </c>
      <c r="Q782" s="43">
        <f t="shared" si="254"/>
        <v>12195.52</v>
      </c>
      <c r="R782" s="43">
        <f t="shared" si="255"/>
        <v>5291.5099999999984</v>
      </c>
      <c r="S782" s="44">
        <f t="shared" si="256"/>
        <v>0.30259626706193099</v>
      </c>
      <c r="T782" s="39" t="str">
        <f t="shared" si="257"/>
        <v>OK</v>
      </c>
      <c r="U782" s="39" t="str">
        <f t="shared" si="258"/>
        <v>20%+</v>
      </c>
      <c r="V782" s="39" t="str">
        <f>IF(E782&gt;=Analysis!$B$4,"High",IF(E782&gt;=Analysis!$B$5,"Mid","Low"))</f>
        <v>Mid</v>
      </c>
      <c r="W782" s="39" t="str">
        <f t="shared" si="259"/>
        <v>2023-11</v>
      </c>
      <c r="X782" s="40">
        <f t="shared" si="260"/>
        <v>45260</v>
      </c>
      <c r="Y782" s="39" t="str">
        <f t="shared" si="261"/>
        <v>2023-Q4</v>
      </c>
      <c r="Z782" s="39" t="str">
        <f t="shared" si="262"/>
        <v>Thu</v>
      </c>
      <c r="AA782" s="39">
        <f t="shared" si="263"/>
        <v>4</v>
      </c>
      <c r="AB782" s="39">
        <f t="shared" si="264"/>
        <v>45</v>
      </c>
      <c r="AC782" s="39" t="str">
        <f t="shared" si="265"/>
        <v>Weekday</v>
      </c>
      <c r="AD782" s="39">
        <f t="shared" ca="1" si="266"/>
        <v>1087</v>
      </c>
      <c r="AE782" s="39">
        <f t="shared" ca="1" si="267"/>
        <v>35</v>
      </c>
      <c r="AF782" s="39" t="str">
        <f t="shared" si="268"/>
        <v>CHA</v>
      </c>
      <c r="AG782" s="39" t="str">
        <f t="shared" si="269"/>
        <v>NO-231102-0781</v>
      </c>
      <c r="AH782" s="39" t="str">
        <f>IF(AND(OR(Filter!$B$4="All",D782=Filter!$B$4),OR(Filter!$B$5="All",M782=Filter!$B$5),E782&gt;=Filter!$B$6),MAX(AH$1:AH781)+1,"")</f>
        <v/>
      </c>
      <c r="AI782" s="39">
        <f t="shared" si="270"/>
        <v>23</v>
      </c>
      <c r="AJ782" s="42">
        <f t="shared" si="271"/>
        <v>0.23</v>
      </c>
      <c r="AK782" s="41">
        <f t="shared" si="272"/>
        <v>987.41</v>
      </c>
      <c r="AL782" s="39">
        <f>RANK(E782,$E$2:$E$1001,0)+COUNTIF($E$2:E782,E782)-1</f>
        <v>379</v>
      </c>
    </row>
    <row r="783" spans="1:38" x14ac:dyDescent="0.2">
      <c r="A783" s="39">
        <v>1047</v>
      </c>
      <c r="B783" s="40">
        <v>45196</v>
      </c>
      <c r="C783" s="39" t="s">
        <v>79</v>
      </c>
      <c r="D783" s="39" t="s">
        <v>64</v>
      </c>
      <c r="E783" s="41">
        <v>8657.89</v>
      </c>
      <c r="F783" s="39">
        <v>32</v>
      </c>
      <c r="G783" s="39" t="s">
        <v>65</v>
      </c>
      <c r="H783" s="41">
        <v>367.98</v>
      </c>
      <c r="I783" s="41">
        <v>806.14</v>
      </c>
      <c r="J783" s="39" t="s">
        <v>137</v>
      </c>
      <c r="K783" s="42">
        <v>0.22</v>
      </c>
      <c r="L783" s="39" t="s">
        <v>73</v>
      </c>
      <c r="M783" s="39" t="s">
        <v>140</v>
      </c>
      <c r="N783" s="39" t="s">
        <v>148</v>
      </c>
      <c r="O783" s="43">
        <f t="shared" si="252"/>
        <v>25796.48</v>
      </c>
      <c r="P783" s="43">
        <f t="shared" si="253"/>
        <v>20121.25</v>
      </c>
      <c r="Q783" s="43">
        <f t="shared" si="254"/>
        <v>11775.36</v>
      </c>
      <c r="R783" s="43">
        <f t="shared" si="255"/>
        <v>8345.89</v>
      </c>
      <c r="S783" s="44">
        <f t="shared" si="256"/>
        <v>0.41477989687519412</v>
      </c>
      <c r="T783" s="39" t="str">
        <f t="shared" si="257"/>
        <v>OK</v>
      </c>
      <c r="U783" s="39" t="str">
        <f t="shared" si="258"/>
        <v>20%+</v>
      </c>
      <c r="V783" s="39" t="str">
        <f>IF(E783&gt;=Analysis!$B$4,"High",IF(E783&gt;=Analysis!$B$5,"Mid","Low"))</f>
        <v>High</v>
      </c>
      <c r="W783" s="39" t="str">
        <f t="shared" si="259"/>
        <v>2023-09</v>
      </c>
      <c r="X783" s="40">
        <f t="shared" si="260"/>
        <v>45199</v>
      </c>
      <c r="Y783" s="39" t="str">
        <f t="shared" si="261"/>
        <v>2023-Q3</v>
      </c>
      <c r="Z783" s="39" t="str">
        <f t="shared" si="262"/>
        <v>Wed</v>
      </c>
      <c r="AA783" s="39">
        <f t="shared" si="263"/>
        <v>3</v>
      </c>
      <c r="AB783" s="39">
        <f t="shared" si="264"/>
        <v>40</v>
      </c>
      <c r="AC783" s="39" t="str">
        <f t="shared" si="265"/>
        <v>Weekday</v>
      </c>
      <c r="AD783" s="39">
        <f t="shared" ca="1" si="266"/>
        <v>1123</v>
      </c>
      <c r="AE783" s="39">
        <f t="shared" ca="1" si="267"/>
        <v>36</v>
      </c>
      <c r="AF783" s="39" t="str">
        <f t="shared" si="268"/>
        <v>EVE</v>
      </c>
      <c r="AG783" s="39" t="str">
        <f t="shared" si="269"/>
        <v>NR-230927-0782</v>
      </c>
      <c r="AH783" s="39" t="str">
        <f>IF(AND(OR(Filter!$B$4="All",D783=Filter!$B$4),OR(Filter!$B$5="All",M783=Filter!$B$5),E783&gt;=Filter!$B$6),MAX(AH$1:AH782)+1,"")</f>
        <v/>
      </c>
      <c r="AI783" s="39">
        <f t="shared" si="270"/>
        <v>32</v>
      </c>
      <c r="AJ783" s="42">
        <f t="shared" si="271"/>
        <v>0.22</v>
      </c>
      <c r="AK783" s="41">
        <f t="shared" si="272"/>
        <v>806.14</v>
      </c>
      <c r="AL783" s="39">
        <f>RANK(E783,$E$2:$E$1001,0)+COUNTIF($E$2:E783,E783)-1</f>
        <v>125</v>
      </c>
    </row>
    <row r="784" spans="1:38" x14ac:dyDescent="0.2">
      <c r="A784" s="39">
        <v>1025</v>
      </c>
      <c r="B784" s="40">
        <v>45118</v>
      </c>
      <c r="C784" s="39" t="s">
        <v>71</v>
      </c>
      <c r="D784" s="39" t="s">
        <v>74</v>
      </c>
      <c r="E784" s="41">
        <v>5910.67</v>
      </c>
      <c r="F784" s="39">
        <v>40</v>
      </c>
      <c r="G784" s="39" t="s">
        <v>65</v>
      </c>
      <c r="H784" s="41">
        <v>2983.85</v>
      </c>
      <c r="I784" s="41">
        <v>3239.74</v>
      </c>
      <c r="J784" s="39" t="s">
        <v>143</v>
      </c>
      <c r="K784" s="42">
        <v>0.27</v>
      </c>
      <c r="L784" s="39" t="s">
        <v>73</v>
      </c>
      <c r="M784" s="39" t="s">
        <v>138</v>
      </c>
      <c r="N784" s="39" t="s">
        <v>146</v>
      </c>
      <c r="O784" s="43">
        <f t="shared" si="252"/>
        <v>129589.6</v>
      </c>
      <c r="P784" s="43">
        <f t="shared" si="253"/>
        <v>94600.41</v>
      </c>
      <c r="Q784" s="43">
        <f t="shared" si="254"/>
        <v>119354</v>
      </c>
      <c r="R784" s="43">
        <f t="shared" si="255"/>
        <v>-24753.589999999997</v>
      </c>
      <c r="S784" s="44">
        <f t="shared" si="256"/>
        <v>-0.26166472217192288</v>
      </c>
      <c r="T784" s="39" t="str">
        <f t="shared" si="257"/>
        <v>Loss</v>
      </c>
      <c r="U784" s="39" t="str">
        <f t="shared" si="258"/>
        <v>20%+</v>
      </c>
      <c r="V784" s="39" t="str">
        <f>IF(E784&gt;=Analysis!$B$4,"High",IF(E784&gt;=Analysis!$B$5,"Mid","Low"))</f>
        <v>Mid</v>
      </c>
      <c r="W784" s="39" t="str">
        <f t="shared" si="259"/>
        <v>2023-07</v>
      </c>
      <c r="X784" s="40">
        <f t="shared" si="260"/>
        <v>45138</v>
      </c>
      <c r="Y784" s="39" t="str">
        <f t="shared" si="261"/>
        <v>2023-Q3</v>
      </c>
      <c r="Z784" s="39" t="str">
        <f t="shared" si="262"/>
        <v>Tue</v>
      </c>
      <c r="AA784" s="39">
        <f t="shared" si="263"/>
        <v>2</v>
      </c>
      <c r="AB784" s="39">
        <f t="shared" si="264"/>
        <v>29</v>
      </c>
      <c r="AC784" s="39" t="str">
        <f t="shared" si="265"/>
        <v>Weekday</v>
      </c>
      <c r="AD784" s="39">
        <f t="shared" ca="1" si="266"/>
        <v>1201</v>
      </c>
      <c r="AE784" s="39">
        <f t="shared" ca="1" si="267"/>
        <v>39</v>
      </c>
      <c r="AF784" s="39" t="str">
        <f t="shared" si="268"/>
        <v>CHA</v>
      </c>
      <c r="AG784" s="39" t="str">
        <f t="shared" si="269"/>
        <v>WO-230711-0783</v>
      </c>
      <c r="AH784" s="39" t="str">
        <f>IF(AND(OR(Filter!$B$4="All",D784=Filter!$B$4),OR(Filter!$B$5="All",M784=Filter!$B$5),E784&gt;=Filter!$B$6),MAX(AH$1:AH783)+1,"")</f>
        <v/>
      </c>
      <c r="AI784" s="39">
        <f t="shared" si="270"/>
        <v>40</v>
      </c>
      <c r="AJ784" s="42">
        <f t="shared" si="271"/>
        <v>0.27</v>
      </c>
      <c r="AK784" s="41">
        <f t="shared" si="272"/>
        <v>3239.74</v>
      </c>
      <c r="AL784" s="39">
        <f>RANK(E784,$E$2:$E$1001,0)+COUNTIF($E$2:E784,E784)-1</f>
        <v>416</v>
      </c>
    </row>
    <row r="785" spans="1:38" x14ac:dyDescent="0.2">
      <c r="A785" s="39">
        <v>1066</v>
      </c>
      <c r="B785" s="40">
        <v>45101</v>
      </c>
      <c r="C785" s="39" t="s">
        <v>66</v>
      </c>
      <c r="D785" s="39" t="s">
        <v>74</v>
      </c>
      <c r="E785" s="41">
        <v>5851.41</v>
      </c>
      <c r="F785" s="39">
        <v>13</v>
      </c>
      <c r="G785" s="39" t="s">
        <v>75</v>
      </c>
      <c r="H785" s="41">
        <v>4133.92</v>
      </c>
      <c r="I785" s="41">
        <v>4358.37</v>
      </c>
      <c r="J785" s="39" t="s">
        <v>143</v>
      </c>
      <c r="K785" s="42">
        <v>0.13</v>
      </c>
      <c r="L785" s="39" t="s">
        <v>68</v>
      </c>
      <c r="M785" s="39" t="s">
        <v>140</v>
      </c>
      <c r="N785" s="39" t="s">
        <v>141</v>
      </c>
      <c r="O785" s="43">
        <f t="shared" si="252"/>
        <v>56658.81</v>
      </c>
      <c r="P785" s="43">
        <f t="shared" si="253"/>
        <v>49293.16</v>
      </c>
      <c r="Q785" s="43">
        <f t="shared" si="254"/>
        <v>53740.959999999999</v>
      </c>
      <c r="R785" s="43">
        <f t="shared" si="255"/>
        <v>-4447.7999999999956</v>
      </c>
      <c r="S785" s="44">
        <f t="shared" si="256"/>
        <v>-9.023158588331516E-2</v>
      </c>
      <c r="T785" s="39" t="str">
        <f t="shared" si="257"/>
        <v>Loss</v>
      </c>
      <c r="U785" s="39" t="str">
        <f t="shared" si="258"/>
        <v>10-19%</v>
      </c>
      <c r="V785" s="39" t="str">
        <f>IF(E785&gt;=Analysis!$B$4,"High",IF(E785&gt;=Analysis!$B$5,"Mid","Low"))</f>
        <v>Mid</v>
      </c>
      <c r="W785" s="39" t="str">
        <f t="shared" si="259"/>
        <v>2023-06</v>
      </c>
      <c r="X785" s="40">
        <f t="shared" si="260"/>
        <v>45107</v>
      </c>
      <c r="Y785" s="39" t="str">
        <f t="shared" si="261"/>
        <v>2023-Q2</v>
      </c>
      <c r="Z785" s="39" t="str">
        <f t="shared" si="262"/>
        <v>Sat</v>
      </c>
      <c r="AA785" s="39">
        <f t="shared" si="263"/>
        <v>6</v>
      </c>
      <c r="AB785" s="39">
        <f t="shared" si="264"/>
        <v>26</v>
      </c>
      <c r="AC785" s="39" t="str">
        <f t="shared" si="265"/>
        <v>Weekend</v>
      </c>
      <c r="AD785" s="39">
        <f t="shared" ca="1" si="266"/>
        <v>1218</v>
      </c>
      <c r="AE785" s="39">
        <f t="shared" ca="1" si="267"/>
        <v>40</v>
      </c>
      <c r="AF785" s="39" t="str">
        <f t="shared" si="268"/>
        <v>BOB</v>
      </c>
      <c r="AG785" s="39" t="str">
        <f t="shared" si="269"/>
        <v>WR-230624-0784</v>
      </c>
      <c r="AH785" s="39" t="str">
        <f>IF(AND(OR(Filter!$B$4="All",D785=Filter!$B$4),OR(Filter!$B$5="All",M785=Filter!$B$5),E785&gt;=Filter!$B$6),MAX(AH$1:AH784)+1,"")</f>
        <v/>
      </c>
      <c r="AI785" s="39">
        <f t="shared" si="270"/>
        <v>13</v>
      </c>
      <c r="AJ785" s="42">
        <f t="shared" si="271"/>
        <v>0.13</v>
      </c>
      <c r="AK785" s="41">
        <f t="shared" si="272"/>
        <v>4358.37</v>
      </c>
      <c r="AL785" s="39">
        <f>RANK(E785,$E$2:$E$1001,0)+COUNTIF($E$2:E785,E785)-1</f>
        <v>423</v>
      </c>
    </row>
    <row r="786" spans="1:38" x14ac:dyDescent="0.2">
      <c r="A786" s="39">
        <v>1010</v>
      </c>
      <c r="B786" s="40">
        <v>45211</v>
      </c>
      <c r="C786" s="39" t="s">
        <v>71</v>
      </c>
      <c r="D786" s="39" t="s">
        <v>64</v>
      </c>
      <c r="E786" s="41">
        <v>9907.7199999999993</v>
      </c>
      <c r="F786" s="39">
        <v>20</v>
      </c>
      <c r="G786" s="39" t="s">
        <v>75</v>
      </c>
      <c r="H786" s="41">
        <v>4298.74</v>
      </c>
      <c r="I786" s="41">
        <v>4475.1899999999996</v>
      </c>
      <c r="J786" s="39" t="s">
        <v>137</v>
      </c>
      <c r="K786" s="42">
        <v>0.16</v>
      </c>
      <c r="L786" s="39" t="s">
        <v>68</v>
      </c>
      <c r="M786" s="39" t="s">
        <v>138</v>
      </c>
      <c r="N786" s="39" t="s">
        <v>160</v>
      </c>
      <c r="O786" s="43">
        <f t="shared" si="252"/>
        <v>89503.8</v>
      </c>
      <c r="P786" s="43">
        <f t="shared" si="253"/>
        <v>75183.19</v>
      </c>
      <c r="Q786" s="43">
        <f t="shared" si="254"/>
        <v>85974.8</v>
      </c>
      <c r="R786" s="43">
        <f t="shared" si="255"/>
        <v>-10791.61</v>
      </c>
      <c r="S786" s="44">
        <f t="shared" si="256"/>
        <v>-0.14353753811191039</v>
      </c>
      <c r="T786" s="39" t="str">
        <f t="shared" si="257"/>
        <v>Loss</v>
      </c>
      <c r="U786" s="39" t="str">
        <f t="shared" si="258"/>
        <v>10-19%</v>
      </c>
      <c r="V786" s="39" t="str">
        <f>IF(E786&gt;=Analysis!$B$4,"High",IF(E786&gt;=Analysis!$B$5,"Mid","Low"))</f>
        <v>High</v>
      </c>
      <c r="W786" s="39" t="str">
        <f t="shared" si="259"/>
        <v>2023-10</v>
      </c>
      <c r="X786" s="40">
        <f t="shared" si="260"/>
        <v>45230</v>
      </c>
      <c r="Y786" s="39" t="str">
        <f t="shared" si="261"/>
        <v>2023-Q4</v>
      </c>
      <c r="Z786" s="39" t="str">
        <f t="shared" si="262"/>
        <v>Thu</v>
      </c>
      <c r="AA786" s="39">
        <f t="shared" si="263"/>
        <v>4</v>
      </c>
      <c r="AB786" s="39">
        <f t="shared" si="264"/>
        <v>42</v>
      </c>
      <c r="AC786" s="39" t="str">
        <f t="shared" si="265"/>
        <v>Weekday</v>
      </c>
      <c r="AD786" s="39">
        <f t="shared" ca="1" si="266"/>
        <v>1108</v>
      </c>
      <c r="AE786" s="39">
        <f t="shared" ca="1" si="267"/>
        <v>36</v>
      </c>
      <c r="AF786" s="39" t="str">
        <f t="shared" si="268"/>
        <v>CHA</v>
      </c>
      <c r="AG786" s="39" t="str">
        <f t="shared" si="269"/>
        <v>NO-231012-0785</v>
      </c>
      <c r="AH786" s="39">
        <f>IF(AND(OR(Filter!$B$4="All",D786=Filter!$B$4),OR(Filter!$B$5="All",M786=Filter!$B$5),E786&gt;=Filter!$B$6),MAX(AH$1:AH785)+1,"")</f>
        <v>71</v>
      </c>
      <c r="AI786" s="39">
        <f t="shared" si="270"/>
        <v>20</v>
      </c>
      <c r="AJ786" s="42">
        <f t="shared" si="271"/>
        <v>0.16</v>
      </c>
      <c r="AK786" s="41">
        <f t="shared" si="272"/>
        <v>4475.1899999999996</v>
      </c>
      <c r="AL786" s="39">
        <f>RANK(E786,$E$2:$E$1001,0)+COUNTIF($E$2:E786,E786)-1</f>
        <v>10</v>
      </c>
    </row>
    <row r="787" spans="1:38" x14ac:dyDescent="0.2">
      <c r="A787" s="39">
        <v>1056</v>
      </c>
      <c r="B787" s="40">
        <v>45130</v>
      </c>
      <c r="C787" s="39" t="s">
        <v>66</v>
      </c>
      <c r="D787" s="39" t="s">
        <v>74</v>
      </c>
      <c r="E787" s="41">
        <v>7591.63</v>
      </c>
      <c r="F787" s="39">
        <v>35</v>
      </c>
      <c r="G787" s="39" t="s">
        <v>75</v>
      </c>
      <c r="H787" s="41">
        <v>2344.9299999999998</v>
      </c>
      <c r="I787" s="41">
        <v>2707.25</v>
      </c>
      <c r="J787" s="39" t="s">
        <v>143</v>
      </c>
      <c r="K787" s="42">
        <v>0.12</v>
      </c>
      <c r="L787" s="39" t="s">
        <v>73</v>
      </c>
      <c r="M787" s="39" t="s">
        <v>140</v>
      </c>
      <c r="N787" s="39" t="s">
        <v>141</v>
      </c>
      <c r="O787" s="43">
        <f t="shared" si="252"/>
        <v>94753.75</v>
      </c>
      <c r="P787" s="43">
        <f t="shared" si="253"/>
        <v>83383.3</v>
      </c>
      <c r="Q787" s="43">
        <f t="shared" si="254"/>
        <v>82072.55</v>
      </c>
      <c r="R787" s="43">
        <f t="shared" si="255"/>
        <v>1310.75</v>
      </c>
      <c r="S787" s="44">
        <f t="shared" si="256"/>
        <v>1.5719574543103954E-2</v>
      </c>
      <c r="T787" s="39" t="str">
        <f t="shared" si="257"/>
        <v>OK</v>
      </c>
      <c r="U787" s="39" t="str">
        <f t="shared" si="258"/>
        <v>10-19%</v>
      </c>
      <c r="V787" s="39" t="str">
        <f>IF(E787&gt;=Analysis!$B$4,"High",IF(E787&gt;=Analysis!$B$5,"Mid","Low"))</f>
        <v>High</v>
      </c>
      <c r="W787" s="39" t="str">
        <f t="shared" si="259"/>
        <v>2023-07</v>
      </c>
      <c r="X787" s="40">
        <f t="shared" si="260"/>
        <v>45138</v>
      </c>
      <c r="Y787" s="39" t="str">
        <f t="shared" si="261"/>
        <v>2023-Q3</v>
      </c>
      <c r="Z787" s="39" t="str">
        <f t="shared" si="262"/>
        <v>Sun</v>
      </c>
      <c r="AA787" s="39">
        <f t="shared" si="263"/>
        <v>7</v>
      </c>
      <c r="AB787" s="39">
        <f t="shared" si="264"/>
        <v>30</v>
      </c>
      <c r="AC787" s="39" t="str">
        <f t="shared" si="265"/>
        <v>Weekend</v>
      </c>
      <c r="AD787" s="39">
        <f t="shared" ca="1" si="266"/>
        <v>1189</v>
      </c>
      <c r="AE787" s="39">
        <f t="shared" ca="1" si="267"/>
        <v>39</v>
      </c>
      <c r="AF787" s="39" t="str">
        <f t="shared" si="268"/>
        <v>BOB</v>
      </c>
      <c r="AG787" s="39" t="str">
        <f t="shared" si="269"/>
        <v>WR-230723-0786</v>
      </c>
      <c r="AH787" s="39" t="str">
        <f>IF(AND(OR(Filter!$B$4="All",D787=Filter!$B$4),OR(Filter!$B$5="All",M787=Filter!$B$5),E787&gt;=Filter!$B$6),MAX(AH$1:AH786)+1,"")</f>
        <v/>
      </c>
      <c r="AI787" s="39">
        <f t="shared" si="270"/>
        <v>35</v>
      </c>
      <c r="AJ787" s="42">
        <f t="shared" si="271"/>
        <v>0.12</v>
      </c>
      <c r="AK787" s="41">
        <f t="shared" si="272"/>
        <v>2707.25</v>
      </c>
      <c r="AL787" s="39">
        <f>RANK(E787,$E$2:$E$1001,0)+COUNTIF($E$2:E787,E787)-1</f>
        <v>242</v>
      </c>
    </row>
    <row r="788" spans="1:38" x14ac:dyDescent="0.2">
      <c r="A788" s="39">
        <v>1030</v>
      </c>
      <c r="B788" s="40">
        <v>45090</v>
      </c>
      <c r="C788" s="39" t="s">
        <v>71</v>
      </c>
      <c r="D788" s="39" t="s">
        <v>74</v>
      </c>
      <c r="E788" s="41">
        <v>4478.71</v>
      </c>
      <c r="F788" s="39">
        <v>5</v>
      </c>
      <c r="G788" s="39" t="s">
        <v>60</v>
      </c>
      <c r="H788" s="41">
        <v>3932.14</v>
      </c>
      <c r="I788" s="41">
        <v>4082.76</v>
      </c>
      <c r="J788" s="39" t="s">
        <v>143</v>
      </c>
      <c r="K788" s="42">
        <v>0.26</v>
      </c>
      <c r="L788" s="39" t="s">
        <v>73</v>
      </c>
      <c r="M788" s="39" t="s">
        <v>138</v>
      </c>
      <c r="N788" s="39" t="s">
        <v>146</v>
      </c>
      <c r="O788" s="43">
        <f t="shared" si="252"/>
        <v>20413.8</v>
      </c>
      <c r="P788" s="43">
        <f t="shared" si="253"/>
        <v>15106.21</v>
      </c>
      <c r="Q788" s="43">
        <f t="shared" si="254"/>
        <v>19660.7</v>
      </c>
      <c r="R788" s="43">
        <f t="shared" si="255"/>
        <v>-4554.4900000000016</v>
      </c>
      <c r="S788" s="44">
        <f t="shared" si="256"/>
        <v>-0.30149786081353308</v>
      </c>
      <c r="T788" s="39" t="str">
        <f t="shared" si="257"/>
        <v>Loss</v>
      </c>
      <c r="U788" s="39" t="str">
        <f t="shared" si="258"/>
        <v>20%+</v>
      </c>
      <c r="V788" s="39" t="str">
        <f>IF(E788&gt;=Analysis!$B$4,"High",IF(E788&gt;=Analysis!$B$5,"Mid","Low"))</f>
        <v>Mid</v>
      </c>
      <c r="W788" s="39" t="str">
        <f t="shared" si="259"/>
        <v>2023-06</v>
      </c>
      <c r="X788" s="40">
        <f t="shared" si="260"/>
        <v>45107</v>
      </c>
      <c r="Y788" s="39" t="str">
        <f t="shared" si="261"/>
        <v>2023-Q2</v>
      </c>
      <c r="Z788" s="39" t="str">
        <f t="shared" si="262"/>
        <v>Tue</v>
      </c>
      <c r="AA788" s="39">
        <f t="shared" si="263"/>
        <v>2</v>
      </c>
      <c r="AB788" s="39">
        <f t="shared" si="264"/>
        <v>25</v>
      </c>
      <c r="AC788" s="39" t="str">
        <f t="shared" si="265"/>
        <v>Weekday</v>
      </c>
      <c r="AD788" s="39">
        <f t="shared" ca="1" si="266"/>
        <v>1229</v>
      </c>
      <c r="AE788" s="39">
        <f t="shared" ca="1" si="267"/>
        <v>40</v>
      </c>
      <c r="AF788" s="39" t="str">
        <f t="shared" si="268"/>
        <v>CHA</v>
      </c>
      <c r="AG788" s="39" t="str">
        <f t="shared" si="269"/>
        <v>WO-230613-0787</v>
      </c>
      <c r="AH788" s="39" t="str">
        <f>IF(AND(OR(Filter!$B$4="All",D788=Filter!$B$4),OR(Filter!$B$5="All",M788=Filter!$B$5),E788&gt;=Filter!$B$6),MAX(AH$1:AH787)+1,"")</f>
        <v/>
      </c>
      <c r="AI788" s="39">
        <f t="shared" si="270"/>
        <v>5</v>
      </c>
      <c r="AJ788" s="42">
        <f t="shared" si="271"/>
        <v>0.26</v>
      </c>
      <c r="AK788" s="41">
        <f t="shared" si="272"/>
        <v>4082.76</v>
      </c>
      <c r="AL788" s="39">
        <f>RANK(E788,$E$2:$E$1001,0)+COUNTIF($E$2:E788,E788)-1</f>
        <v>550</v>
      </c>
    </row>
    <row r="789" spans="1:38" x14ac:dyDescent="0.2">
      <c r="A789" s="39">
        <v>1005</v>
      </c>
      <c r="B789" s="40">
        <v>45177</v>
      </c>
      <c r="C789" s="39" t="s">
        <v>79</v>
      </c>
      <c r="D789" s="39" t="s">
        <v>64</v>
      </c>
      <c r="E789" s="41">
        <v>7103.23</v>
      </c>
      <c r="F789" s="39">
        <v>9</v>
      </c>
      <c r="G789" s="39" t="s">
        <v>65</v>
      </c>
      <c r="H789" s="41">
        <v>4737.0600000000004</v>
      </c>
      <c r="I789" s="41">
        <v>4869.5</v>
      </c>
      <c r="J789" s="39" t="s">
        <v>143</v>
      </c>
      <c r="K789" s="42">
        <v>7.0000000000000007E-2</v>
      </c>
      <c r="L789" s="39" t="s">
        <v>68</v>
      </c>
      <c r="M789" s="39" t="s">
        <v>138</v>
      </c>
      <c r="N789" s="39" t="s">
        <v>148</v>
      </c>
      <c r="O789" s="43">
        <f t="shared" si="252"/>
        <v>43825.5</v>
      </c>
      <c r="P789" s="43">
        <f t="shared" si="253"/>
        <v>40757.72</v>
      </c>
      <c r="Q789" s="43">
        <f t="shared" si="254"/>
        <v>42633.54</v>
      </c>
      <c r="R789" s="43">
        <f t="shared" si="255"/>
        <v>-1875.8199999999997</v>
      </c>
      <c r="S789" s="44">
        <f t="shared" si="256"/>
        <v>-4.602367355190623E-2</v>
      </c>
      <c r="T789" s="39" t="str">
        <f t="shared" si="257"/>
        <v>Loss</v>
      </c>
      <c r="U789" s="39" t="str">
        <f t="shared" si="258"/>
        <v>0-9%</v>
      </c>
      <c r="V789" s="39" t="str">
        <f>IF(E789&gt;=Analysis!$B$4,"High",IF(E789&gt;=Analysis!$B$5,"Mid","Low"))</f>
        <v>Mid</v>
      </c>
      <c r="W789" s="39" t="str">
        <f t="shared" si="259"/>
        <v>2023-09</v>
      </c>
      <c r="X789" s="40">
        <f t="shared" si="260"/>
        <v>45199</v>
      </c>
      <c r="Y789" s="39" t="str">
        <f t="shared" si="261"/>
        <v>2023-Q3</v>
      </c>
      <c r="Z789" s="39" t="str">
        <f t="shared" si="262"/>
        <v>Fri</v>
      </c>
      <c r="AA789" s="39">
        <f t="shared" si="263"/>
        <v>5</v>
      </c>
      <c r="AB789" s="39">
        <f t="shared" si="264"/>
        <v>37</v>
      </c>
      <c r="AC789" s="39" t="str">
        <f t="shared" si="265"/>
        <v>Weekday</v>
      </c>
      <c r="AD789" s="39">
        <f t="shared" ca="1" si="266"/>
        <v>1142</v>
      </c>
      <c r="AE789" s="39">
        <f t="shared" ca="1" si="267"/>
        <v>37</v>
      </c>
      <c r="AF789" s="39" t="str">
        <f t="shared" si="268"/>
        <v>EVE</v>
      </c>
      <c r="AG789" s="39" t="str">
        <f t="shared" si="269"/>
        <v>NO-230908-0788</v>
      </c>
      <c r="AH789" s="39" t="str">
        <f>IF(AND(OR(Filter!$B$4="All",D789=Filter!$B$4),OR(Filter!$B$5="All",M789=Filter!$B$5),E789&gt;=Filter!$B$6),MAX(AH$1:AH788)+1,"")</f>
        <v/>
      </c>
      <c r="AI789" s="39">
        <f t="shared" si="270"/>
        <v>9</v>
      </c>
      <c r="AJ789" s="42">
        <f t="shared" si="271"/>
        <v>7.0000000000000007E-2</v>
      </c>
      <c r="AK789" s="41">
        <f t="shared" si="272"/>
        <v>4869.5</v>
      </c>
      <c r="AL789" s="39">
        <f>RANK(E789,$E$2:$E$1001,0)+COUNTIF($E$2:E789,E789)-1</f>
        <v>289</v>
      </c>
    </row>
    <row r="790" spans="1:38" x14ac:dyDescent="0.2">
      <c r="A790" s="39">
        <v>1033</v>
      </c>
      <c r="B790" s="40">
        <v>45153</v>
      </c>
      <c r="C790" s="39" t="s">
        <v>79</v>
      </c>
      <c r="D790" s="39" t="s">
        <v>59</v>
      </c>
      <c r="E790" s="41">
        <v>3953.38</v>
      </c>
      <c r="F790" s="39">
        <v>29</v>
      </c>
      <c r="G790" s="39" t="s">
        <v>60</v>
      </c>
      <c r="H790" s="41">
        <v>1412.09</v>
      </c>
      <c r="I790" s="41">
        <v>1596.65</v>
      </c>
      <c r="J790" s="39" t="s">
        <v>137</v>
      </c>
      <c r="K790" s="42">
        <v>7.0000000000000007E-2</v>
      </c>
      <c r="L790" s="39" t="s">
        <v>68</v>
      </c>
      <c r="M790" s="39" t="s">
        <v>138</v>
      </c>
      <c r="N790" s="39" t="s">
        <v>155</v>
      </c>
      <c r="O790" s="43">
        <f t="shared" si="252"/>
        <v>46302.85</v>
      </c>
      <c r="P790" s="43">
        <f t="shared" si="253"/>
        <v>43061.65</v>
      </c>
      <c r="Q790" s="43">
        <f t="shared" si="254"/>
        <v>40950.61</v>
      </c>
      <c r="R790" s="43">
        <f t="shared" si="255"/>
        <v>2111.0400000000009</v>
      </c>
      <c r="S790" s="44">
        <f t="shared" si="256"/>
        <v>4.9023667230586862E-2</v>
      </c>
      <c r="T790" s="39" t="str">
        <f t="shared" si="257"/>
        <v>OK</v>
      </c>
      <c r="U790" s="39" t="str">
        <f t="shared" si="258"/>
        <v>0-9%</v>
      </c>
      <c r="V790" s="39" t="str">
        <f>IF(E790&gt;=Analysis!$B$4,"High",IF(E790&gt;=Analysis!$B$5,"Mid","Low"))</f>
        <v>Mid</v>
      </c>
      <c r="W790" s="39" t="str">
        <f t="shared" si="259"/>
        <v>2023-08</v>
      </c>
      <c r="X790" s="40">
        <f t="shared" si="260"/>
        <v>45169</v>
      </c>
      <c r="Y790" s="39" t="str">
        <f t="shared" si="261"/>
        <v>2023-Q3</v>
      </c>
      <c r="Z790" s="39" t="str">
        <f t="shared" si="262"/>
        <v>Tue</v>
      </c>
      <c r="AA790" s="39">
        <f t="shared" si="263"/>
        <v>2</v>
      </c>
      <c r="AB790" s="39">
        <f t="shared" si="264"/>
        <v>34</v>
      </c>
      <c r="AC790" s="39" t="str">
        <f t="shared" si="265"/>
        <v>Weekday</v>
      </c>
      <c r="AD790" s="39">
        <f t="shared" ca="1" si="266"/>
        <v>1166</v>
      </c>
      <c r="AE790" s="39">
        <f t="shared" ca="1" si="267"/>
        <v>38</v>
      </c>
      <c r="AF790" s="39" t="str">
        <f t="shared" si="268"/>
        <v>EVE</v>
      </c>
      <c r="AG790" s="39" t="str">
        <f t="shared" si="269"/>
        <v>EO-230815-0789</v>
      </c>
      <c r="AH790" s="39" t="str">
        <f>IF(AND(OR(Filter!$B$4="All",D790=Filter!$B$4),OR(Filter!$B$5="All",M790=Filter!$B$5),E790&gt;=Filter!$B$6),MAX(AH$1:AH789)+1,"")</f>
        <v/>
      </c>
      <c r="AI790" s="39">
        <f t="shared" si="270"/>
        <v>29</v>
      </c>
      <c r="AJ790" s="42">
        <f t="shared" si="271"/>
        <v>7.0000000000000007E-2</v>
      </c>
      <c r="AK790" s="41">
        <f t="shared" si="272"/>
        <v>1596.65</v>
      </c>
      <c r="AL790" s="39">
        <f>RANK(E790,$E$2:$E$1001,0)+COUNTIF($E$2:E790,E790)-1</f>
        <v>603</v>
      </c>
    </row>
    <row r="791" spans="1:38" x14ac:dyDescent="0.2">
      <c r="A791" s="39">
        <v>1065</v>
      </c>
      <c r="B791" s="40">
        <v>44933</v>
      </c>
      <c r="C791" s="39" t="s">
        <v>79</v>
      </c>
      <c r="D791" s="39" t="s">
        <v>64</v>
      </c>
      <c r="E791" s="41">
        <v>2365.87</v>
      </c>
      <c r="F791" s="39">
        <v>6</v>
      </c>
      <c r="G791" s="39" t="s">
        <v>60</v>
      </c>
      <c r="H791" s="41">
        <v>2019.9</v>
      </c>
      <c r="I791" s="41">
        <v>2116.7399999999998</v>
      </c>
      <c r="J791" s="39" t="s">
        <v>143</v>
      </c>
      <c r="K791" s="42">
        <v>0.11</v>
      </c>
      <c r="L791" s="39" t="s">
        <v>73</v>
      </c>
      <c r="M791" s="39" t="s">
        <v>138</v>
      </c>
      <c r="N791" s="39" t="s">
        <v>148</v>
      </c>
      <c r="O791" s="43">
        <f t="shared" si="252"/>
        <v>12700.44</v>
      </c>
      <c r="P791" s="43">
        <f t="shared" si="253"/>
        <v>11303.39</v>
      </c>
      <c r="Q791" s="43">
        <f t="shared" si="254"/>
        <v>12119.4</v>
      </c>
      <c r="R791" s="43">
        <f t="shared" si="255"/>
        <v>-816.01000000000022</v>
      </c>
      <c r="S791" s="44">
        <f t="shared" si="256"/>
        <v>-7.2191616851227838E-2</v>
      </c>
      <c r="T791" s="39" t="str">
        <f t="shared" si="257"/>
        <v>Loss</v>
      </c>
      <c r="U791" s="39" t="str">
        <f t="shared" si="258"/>
        <v>10-19%</v>
      </c>
      <c r="V791" s="39" t="str">
        <f>IF(E791&gt;=Analysis!$B$4,"High",IF(E791&gt;=Analysis!$B$5,"Mid","Low"))</f>
        <v>Low</v>
      </c>
      <c r="W791" s="39" t="str">
        <f t="shared" si="259"/>
        <v>2023-01</v>
      </c>
      <c r="X791" s="40">
        <f t="shared" si="260"/>
        <v>44957</v>
      </c>
      <c r="Y791" s="39" t="str">
        <f t="shared" si="261"/>
        <v>2023-Q1</v>
      </c>
      <c r="Z791" s="39" t="str">
        <f t="shared" si="262"/>
        <v>Sat</v>
      </c>
      <c r="AA791" s="39">
        <f t="shared" si="263"/>
        <v>6</v>
      </c>
      <c r="AB791" s="39">
        <f t="shared" si="264"/>
        <v>2</v>
      </c>
      <c r="AC791" s="39" t="str">
        <f t="shared" si="265"/>
        <v>Weekend</v>
      </c>
      <c r="AD791" s="39">
        <f t="shared" ca="1" si="266"/>
        <v>1386</v>
      </c>
      <c r="AE791" s="39">
        <f t="shared" ca="1" si="267"/>
        <v>45</v>
      </c>
      <c r="AF791" s="39" t="str">
        <f t="shared" si="268"/>
        <v>EVE</v>
      </c>
      <c r="AG791" s="39" t="str">
        <f t="shared" si="269"/>
        <v>NO-230107-0790</v>
      </c>
      <c r="AH791" s="39" t="str">
        <f>IF(AND(OR(Filter!$B$4="All",D791=Filter!$B$4),OR(Filter!$B$5="All",M791=Filter!$B$5),E791&gt;=Filter!$B$6),MAX(AH$1:AH790)+1,"")</f>
        <v/>
      </c>
      <c r="AI791" s="39">
        <f t="shared" si="270"/>
        <v>6</v>
      </c>
      <c r="AJ791" s="42">
        <f t="shared" si="271"/>
        <v>0.11</v>
      </c>
      <c r="AK791" s="41">
        <f t="shared" si="272"/>
        <v>2116.7399999999998</v>
      </c>
      <c r="AL791" s="39">
        <f>RANK(E791,$E$2:$E$1001,0)+COUNTIF($E$2:E791,E791)-1</f>
        <v>771</v>
      </c>
    </row>
    <row r="792" spans="1:38" x14ac:dyDescent="0.2">
      <c r="A792" s="39">
        <v>1018</v>
      </c>
      <c r="B792" s="40">
        <v>44955</v>
      </c>
      <c r="C792" s="39" t="s">
        <v>76</v>
      </c>
      <c r="D792" s="39" t="s">
        <v>74</v>
      </c>
      <c r="E792" s="41">
        <v>6008.83</v>
      </c>
      <c r="F792" s="39">
        <v>25</v>
      </c>
      <c r="G792" s="39" t="s">
        <v>70</v>
      </c>
      <c r="H792" s="41">
        <v>4660.82</v>
      </c>
      <c r="I792" s="41">
        <v>5011.43</v>
      </c>
      <c r="J792" s="39" t="s">
        <v>143</v>
      </c>
      <c r="K792" s="42">
        <v>7.0000000000000007E-2</v>
      </c>
      <c r="L792" s="39" t="s">
        <v>63</v>
      </c>
      <c r="M792" s="39" t="s">
        <v>138</v>
      </c>
      <c r="N792" s="39" t="s">
        <v>154</v>
      </c>
      <c r="O792" s="43">
        <f t="shared" si="252"/>
        <v>125285.75</v>
      </c>
      <c r="P792" s="43">
        <f t="shared" si="253"/>
        <v>116515.75</v>
      </c>
      <c r="Q792" s="43">
        <f t="shared" si="254"/>
        <v>116520.5</v>
      </c>
      <c r="R792" s="43">
        <f t="shared" si="255"/>
        <v>-4.75</v>
      </c>
      <c r="S792" s="44">
        <f t="shared" si="256"/>
        <v>-4.0767020767578634E-5</v>
      </c>
      <c r="T792" s="39" t="str">
        <f t="shared" si="257"/>
        <v>Loss</v>
      </c>
      <c r="U792" s="39" t="str">
        <f t="shared" si="258"/>
        <v>0-9%</v>
      </c>
      <c r="V792" s="39" t="str">
        <f>IF(E792&gt;=Analysis!$B$4,"High",IF(E792&gt;=Analysis!$B$5,"Mid","Low"))</f>
        <v>Mid</v>
      </c>
      <c r="W792" s="39" t="str">
        <f t="shared" si="259"/>
        <v>2023-01</v>
      </c>
      <c r="X792" s="40">
        <f t="shared" si="260"/>
        <v>44957</v>
      </c>
      <c r="Y792" s="39" t="str">
        <f t="shared" si="261"/>
        <v>2023-Q1</v>
      </c>
      <c r="Z792" s="39" t="str">
        <f t="shared" si="262"/>
        <v>Sun</v>
      </c>
      <c r="AA792" s="39">
        <f t="shared" si="263"/>
        <v>7</v>
      </c>
      <c r="AB792" s="39">
        <f t="shared" si="264"/>
        <v>5</v>
      </c>
      <c r="AC792" s="39" t="str">
        <f t="shared" si="265"/>
        <v>Weekend</v>
      </c>
      <c r="AD792" s="39">
        <f t="shared" ca="1" si="266"/>
        <v>1364</v>
      </c>
      <c r="AE792" s="39">
        <f t="shared" ca="1" si="267"/>
        <v>44</v>
      </c>
      <c r="AF792" s="39" t="str">
        <f t="shared" si="268"/>
        <v>DAV</v>
      </c>
      <c r="AG792" s="39" t="str">
        <f t="shared" si="269"/>
        <v>WO-230129-0791</v>
      </c>
      <c r="AH792" s="39" t="str">
        <f>IF(AND(OR(Filter!$B$4="All",D792=Filter!$B$4),OR(Filter!$B$5="All",M792=Filter!$B$5),E792&gt;=Filter!$B$6),MAX(AH$1:AH791)+1,"")</f>
        <v/>
      </c>
      <c r="AI792" s="39">
        <f t="shared" si="270"/>
        <v>25</v>
      </c>
      <c r="AJ792" s="42">
        <f t="shared" si="271"/>
        <v>7.0000000000000007E-2</v>
      </c>
      <c r="AK792" s="41">
        <f t="shared" si="272"/>
        <v>5011.43</v>
      </c>
      <c r="AL792" s="39">
        <f>RANK(E792,$E$2:$E$1001,0)+COUNTIF($E$2:E792,E792)-1</f>
        <v>406</v>
      </c>
    </row>
    <row r="793" spans="1:38" x14ac:dyDescent="0.2">
      <c r="A793" s="39">
        <v>1096</v>
      </c>
      <c r="B793" s="40">
        <v>44959</v>
      </c>
      <c r="C793" s="39" t="s">
        <v>61</v>
      </c>
      <c r="D793" s="39" t="s">
        <v>59</v>
      </c>
      <c r="E793" s="41">
        <v>9289</v>
      </c>
      <c r="F793" s="39">
        <v>31</v>
      </c>
      <c r="G793" s="39" t="s">
        <v>65</v>
      </c>
      <c r="H793" s="41">
        <v>1724.24</v>
      </c>
      <c r="I793" s="41">
        <v>2036.2</v>
      </c>
      <c r="J793" s="39" t="s">
        <v>143</v>
      </c>
      <c r="K793" s="42">
        <v>0.17</v>
      </c>
      <c r="L793" s="39" t="s">
        <v>68</v>
      </c>
      <c r="M793" s="39" t="s">
        <v>138</v>
      </c>
      <c r="N793" s="39" t="s">
        <v>159</v>
      </c>
      <c r="O793" s="43">
        <f t="shared" si="252"/>
        <v>63122.2</v>
      </c>
      <c r="P793" s="43">
        <f t="shared" si="253"/>
        <v>52391.43</v>
      </c>
      <c r="Q793" s="43">
        <f t="shared" si="254"/>
        <v>53451.44</v>
      </c>
      <c r="R793" s="43">
        <f t="shared" si="255"/>
        <v>-1060.010000000002</v>
      </c>
      <c r="S793" s="44">
        <f t="shared" si="256"/>
        <v>-2.0232507492160493E-2</v>
      </c>
      <c r="T793" s="39" t="str">
        <f t="shared" si="257"/>
        <v>Loss</v>
      </c>
      <c r="U793" s="39" t="str">
        <f t="shared" si="258"/>
        <v>10-19%</v>
      </c>
      <c r="V793" s="39" t="str">
        <f>IF(E793&gt;=Analysis!$B$4,"High",IF(E793&gt;=Analysis!$B$5,"Mid","Low"))</f>
        <v>High</v>
      </c>
      <c r="W793" s="39" t="str">
        <f t="shared" si="259"/>
        <v>2023-02</v>
      </c>
      <c r="X793" s="40">
        <f t="shared" si="260"/>
        <v>44985</v>
      </c>
      <c r="Y793" s="39" t="str">
        <f t="shared" si="261"/>
        <v>2023-Q1</v>
      </c>
      <c r="Z793" s="39" t="str">
        <f t="shared" si="262"/>
        <v>Thu</v>
      </c>
      <c r="AA793" s="39">
        <f t="shared" si="263"/>
        <v>4</v>
      </c>
      <c r="AB793" s="39">
        <f t="shared" si="264"/>
        <v>6</v>
      </c>
      <c r="AC793" s="39" t="str">
        <f t="shared" si="265"/>
        <v>Weekday</v>
      </c>
      <c r="AD793" s="39">
        <f t="shared" ca="1" si="266"/>
        <v>1360</v>
      </c>
      <c r="AE793" s="39">
        <f t="shared" ca="1" si="267"/>
        <v>44</v>
      </c>
      <c r="AF793" s="39" t="str">
        <f t="shared" si="268"/>
        <v>ALI</v>
      </c>
      <c r="AG793" s="39" t="str">
        <f t="shared" si="269"/>
        <v>EO-230202-0792</v>
      </c>
      <c r="AH793" s="39">
        <f>IF(AND(OR(Filter!$B$4="All",D793=Filter!$B$4),OR(Filter!$B$5="All",M793=Filter!$B$5),E793&gt;=Filter!$B$6),MAX(AH$1:AH792)+1,"")</f>
        <v>72</v>
      </c>
      <c r="AI793" s="39">
        <f t="shared" si="270"/>
        <v>31</v>
      </c>
      <c r="AJ793" s="42">
        <f t="shared" si="271"/>
        <v>0.17</v>
      </c>
      <c r="AK793" s="41">
        <f t="shared" si="272"/>
        <v>2036.2</v>
      </c>
      <c r="AL793" s="39">
        <f>RANK(E793,$E$2:$E$1001,0)+COUNTIF($E$2:E793,E793)-1</f>
        <v>69</v>
      </c>
    </row>
    <row r="794" spans="1:38" x14ac:dyDescent="0.2">
      <c r="A794" s="39">
        <v>1049</v>
      </c>
      <c r="B794" s="40">
        <v>45060</v>
      </c>
      <c r="C794" s="39" t="s">
        <v>79</v>
      </c>
      <c r="D794" s="39" t="s">
        <v>69</v>
      </c>
      <c r="E794" s="41">
        <v>9298.48</v>
      </c>
      <c r="F794" s="39">
        <v>22</v>
      </c>
      <c r="G794" s="39" t="s">
        <v>65</v>
      </c>
      <c r="H794" s="41">
        <v>4573.6899999999996</v>
      </c>
      <c r="I794" s="41">
        <v>4820.3</v>
      </c>
      <c r="J794" s="39" t="s">
        <v>143</v>
      </c>
      <c r="K794" s="42">
        <v>0.04</v>
      </c>
      <c r="L794" s="39" t="s">
        <v>68</v>
      </c>
      <c r="M794" s="39" t="s">
        <v>138</v>
      </c>
      <c r="N794" s="39" t="s">
        <v>147</v>
      </c>
      <c r="O794" s="43">
        <f t="shared" si="252"/>
        <v>106046.6</v>
      </c>
      <c r="P794" s="43">
        <f t="shared" si="253"/>
        <v>101804.74</v>
      </c>
      <c r="Q794" s="43">
        <f t="shared" si="254"/>
        <v>100621.18</v>
      </c>
      <c r="R794" s="43">
        <f t="shared" si="255"/>
        <v>1183.5600000000122</v>
      </c>
      <c r="S794" s="44">
        <f t="shared" si="256"/>
        <v>1.1625784811198497E-2</v>
      </c>
      <c r="T794" s="39" t="str">
        <f t="shared" si="257"/>
        <v>OK</v>
      </c>
      <c r="U794" s="39" t="str">
        <f t="shared" si="258"/>
        <v>0-9%</v>
      </c>
      <c r="V794" s="39" t="str">
        <f>IF(E794&gt;=Analysis!$B$4,"High",IF(E794&gt;=Analysis!$B$5,"Mid","Low"))</f>
        <v>High</v>
      </c>
      <c r="W794" s="39" t="str">
        <f t="shared" si="259"/>
        <v>2023-05</v>
      </c>
      <c r="X794" s="40">
        <f t="shared" si="260"/>
        <v>45077</v>
      </c>
      <c r="Y794" s="39" t="str">
        <f t="shared" si="261"/>
        <v>2023-Q2</v>
      </c>
      <c r="Z794" s="39" t="str">
        <f t="shared" si="262"/>
        <v>Sun</v>
      </c>
      <c r="AA794" s="39">
        <f t="shared" si="263"/>
        <v>7</v>
      </c>
      <c r="AB794" s="39">
        <f t="shared" si="264"/>
        <v>20</v>
      </c>
      <c r="AC794" s="39" t="str">
        <f t="shared" si="265"/>
        <v>Weekend</v>
      </c>
      <c r="AD794" s="39">
        <f t="shared" ca="1" si="266"/>
        <v>1259</v>
      </c>
      <c r="AE794" s="39">
        <f t="shared" ca="1" si="267"/>
        <v>41</v>
      </c>
      <c r="AF794" s="39" t="str">
        <f t="shared" si="268"/>
        <v>EVE</v>
      </c>
      <c r="AG794" s="39" t="str">
        <f t="shared" si="269"/>
        <v>SO-230514-0793</v>
      </c>
      <c r="AH794" s="39">
        <f>IF(AND(OR(Filter!$B$4="All",D794=Filter!$B$4),OR(Filter!$B$5="All",M794=Filter!$B$5),E794&gt;=Filter!$B$6),MAX(AH$1:AH793)+1,"")</f>
        <v>73</v>
      </c>
      <c r="AI794" s="39">
        <f t="shared" si="270"/>
        <v>22</v>
      </c>
      <c r="AJ794" s="42">
        <f t="shared" si="271"/>
        <v>0.04</v>
      </c>
      <c r="AK794" s="41">
        <f t="shared" si="272"/>
        <v>4820.3</v>
      </c>
      <c r="AL794" s="39">
        <f>RANK(E794,$E$2:$E$1001,0)+COUNTIF($E$2:E794,E794)-1</f>
        <v>68</v>
      </c>
    </row>
    <row r="795" spans="1:38" x14ac:dyDescent="0.2">
      <c r="A795" s="39">
        <v>1011</v>
      </c>
      <c r="B795" s="40">
        <v>45005</v>
      </c>
      <c r="C795" s="39" t="s">
        <v>66</v>
      </c>
      <c r="D795" s="39" t="s">
        <v>59</v>
      </c>
      <c r="E795" s="41">
        <v>3484.86</v>
      </c>
      <c r="F795" s="39">
        <v>2</v>
      </c>
      <c r="G795" s="39" t="s">
        <v>75</v>
      </c>
      <c r="H795" s="41">
        <v>4906.17</v>
      </c>
      <c r="I795" s="41">
        <v>5107.43</v>
      </c>
      <c r="J795" s="39" t="s">
        <v>137</v>
      </c>
      <c r="K795" s="42">
        <v>0.1</v>
      </c>
      <c r="L795" s="39" t="s">
        <v>68</v>
      </c>
      <c r="M795" s="39" t="s">
        <v>138</v>
      </c>
      <c r="N795" s="39" t="s">
        <v>153</v>
      </c>
      <c r="O795" s="43">
        <f t="shared" si="252"/>
        <v>10214.86</v>
      </c>
      <c r="P795" s="43">
        <f t="shared" si="253"/>
        <v>9193.3700000000008</v>
      </c>
      <c r="Q795" s="43">
        <f t="shared" si="254"/>
        <v>9812.34</v>
      </c>
      <c r="R795" s="43">
        <f t="shared" si="255"/>
        <v>-618.96999999999935</v>
      </c>
      <c r="S795" s="44">
        <f t="shared" si="256"/>
        <v>-6.7327867800382149E-2</v>
      </c>
      <c r="T795" s="39" t="str">
        <f t="shared" si="257"/>
        <v>Loss</v>
      </c>
      <c r="U795" s="39" t="str">
        <f t="shared" si="258"/>
        <v>10-19%</v>
      </c>
      <c r="V795" s="39" t="str">
        <f>IF(E795&gt;=Analysis!$B$4,"High",IF(E795&gt;=Analysis!$B$5,"Mid","Low"))</f>
        <v>Mid</v>
      </c>
      <c r="W795" s="39" t="str">
        <f t="shared" si="259"/>
        <v>2023-03</v>
      </c>
      <c r="X795" s="40">
        <f t="shared" si="260"/>
        <v>45016</v>
      </c>
      <c r="Y795" s="39" t="str">
        <f t="shared" si="261"/>
        <v>2023-Q1</v>
      </c>
      <c r="Z795" s="39" t="str">
        <f t="shared" si="262"/>
        <v>Mon</v>
      </c>
      <c r="AA795" s="39">
        <f t="shared" si="263"/>
        <v>1</v>
      </c>
      <c r="AB795" s="39">
        <f t="shared" si="264"/>
        <v>13</v>
      </c>
      <c r="AC795" s="39" t="str">
        <f t="shared" si="265"/>
        <v>Weekday</v>
      </c>
      <c r="AD795" s="39">
        <f t="shared" ca="1" si="266"/>
        <v>1314</v>
      </c>
      <c r="AE795" s="39">
        <f t="shared" ca="1" si="267"/>
        <v>43</v>
      </c>
      <c r="AF795" s="39" t="str">
        <f t="shared" si="268"/>
        <v>BOB</v>
      </c>
      <c r="AG795" s="39" t="str">
        <f t="shared" si="269"/>
        <v>EO-230320-0794</v>
      </c>
      <c r="AH795" s="39" t="str">
        <f>IF(AND(OR(Filter!$B$4="All",D795=Filter!$B$4),OR(Filter!$B$5="All",M795=Filter!$B$5),E795&gt;=Filter!$B$6),MAX(AH$1:AH794)+1,"")</f>
        <v/>
      </c>
      <c r="AI795" s="39">
        <f t="shared" si="270"/>
        <v>2</v>
      </c>
      <c r="AJ795" s="42">
        <f t="shared" si="271"/>
        <v>0.1</v>
      </c>
      <c r="AK795" s="41">
        <f t="shared" si="272"/>
        <v>5107.43</v>
      </c>
      <c r="AL795" s="39">
        <f>RANK(E795,$E$2:$E$1001,0)+COUNTIF($E$2:E795,E795)-1</f>
        <v>651</v>
      </c>
    </row>
    <row r="796" spans="1:38" x14ac:dyDescent="0.2">
      <c r="A796" s="39">
        <v>1085</v>
      </c>
      <c r="B796" s="40">
        <v>44984</v>
      </c>
      <c r="C796" s="39" t="s">
        <v>79</v>
      </c>
      <c r="D796" s="39" t="s">
        <v>74</v>
      </c>
      <c r="E796" s="41">
        <v>5324.01</v>
      </c>
      <c r="F796" s="39">
        <v>45</v>
      </c>
      <c r="G796" s="39" t="s">
        <v>75</v>
      </c>
      <c r="H796" s="41">
        <v>3325.96</v>
      </c>
      <c r="I796" s="41">
        <v>3781.4</v>
      </c>
      <c r="J796" s="39" t="s">
        <v>137</v>
      </c>
      <c r="K796" s="42">
        <v>0.27</v>
      </c>
      <c r="L796" s="39" t="s">
        <v>73</v>
      </c>
      <c r="M796" s="39" t="s">
        <v>138</v>
      </c>
      <c r="N796" s="39" t="s">
        <v>149</v>
      </c>
      <c r="O796" s="43">
        <f t="shared" si="252"/>
        <v>170163</v>
      </c>
      <c r="P796" s="43">
        <f t="shared" si="253"/>
        <v>124218.99</v>
      </c>
      <c r="Q796" s="43">
        <f t="shared" si="254"/>
        <v>149668.20000000001</v>
      </c>
      <c r="R796" s="43">
        <f t="shared" si="255"/>
        <v>-25449.210000000006</v>
      </c>
      <c r="S796" s="44">
        <f t="shared" si="256"/>
        <v>-0.20487374756468399</v>
      </c>
      <c r="T796" s="39" t="str">
        <f t="shared" si="257"/>
        <v>Loss</v>
      </c>
      <c r="U796" s="39" t="str">
        <f t="shared" si="258"/>
        <v>20%+</v>
      </c>
      <c r="V796" s="39" t="str">
        <f>IF(E796&gt;=Analysis!$B$4,"High",IF(E796&gt;=Analysis!$B$5,"Mid","Low"))</f>
        <v>Mid</v>
      </c>
      <c r="W796" s="39" t="str">
        <f t="shared" si="259"/>
        <v>2023-02</v>
      </c>
      <c r="X796" s="40">
        <f t="shared" si="260"/>
        <v>44985</v>
      </c>
      <c r="Y796" s="39" t="str">
        <f t="shared" si="261"/>
        <v>2023-Q1</v>
      </c>
      <c r="Z796" s="39" t="str">
        <f t="shared" si="262"/>
        <v>Mon</v>
      </c>
      <c r="AA796" s="39">
        <f t="shared" si="263"/>
        <v>1</v>
      </c>
      <c r="AB796" s="39">
        <f t="shared" si="264"/>
        <v>10</v>
      </c>
      <c r="AC796" s="39" t="str">
        <f t="shared" si="265"/>
        <v>Weekday</v>
      </c>
      <c r="AD796" s="39">
        <f t="shared" ca="1" si="266"/>
        <v>1335</v>
      </c>
      <c r="AE796" s="39">
        <f t="shared" ca="1" si="267"/>
        <v>43</v>
      </c>
      <c r="AF796" s="39" t="str">
        <f t="shared" si="268"/>
        <v>EVE</v>
      </c>
      <c r="AG796" s="39" t="str">
        <f t="shared" si="269"/>
        <v>WO-230227-0795</v>
      </c>
      <c r="AH796" s="39" t="str">
        <f>IF(AND(OR(Filter!$B$4="All",D796=Filter!$B$4),OR(Filter!$B$5="All",M796=Filter!$B$5),E796&gt;=Filter!$B$6),MAX(AH$1:AH795)+1,"")</f>
        <v/>
      </c>
      <c r="AI796" s="39">
        <f t="shared" si="270"/>
        <v>45</v>
      </c>
      <c r="AJ796" s="42">
        <f t="shared" si="271"/>
        <v>0.27</v>
      </c>
      <c r="AK796" s="41">
        <f t="shared" si="272"/>
        <v>3781.4</v>
      </c>
      <c r="AL796" s="39">
        <f>RANK(E796,$E$2:$E$1001,0)+COUNTIF($E$2:E796,E796)-1</f>
        <v>470</v>
      </c>
    </row>
    <row r="797" spans="1:38" x14ac:dyDescent="0.2">
      <c r="A797" s="39">
        <v>1026</v>
      </c>
      <c r="B797" s="40">
        <v>44952</v>
      </c>
      <c r="C797" s="39" t="s">
        <v>76</v>
      </c>
      <c r="D797" s="39" t="s">
        <v>59</v>
      </c>
      <c r="E797" s="41">
        <v>2195.1999999999998</v>
      </c>
      <c r="F797" s="39">
        <v>5</v>
      </c>
      <c r="G797" s="39" t="s">
        <v>70</v>
      </c>
      <c r="H797" s="41">
        <v>4093.61</v>
      </c>
      <c r="I797" s="41">
        <v>4117.88</v>
      </c>
      <c r="J797" s="39" t="s">
        <v>137</v>
      </c>
      <c r="K797" s="42">
        <v>0.12</v>
      </c>
      <c r="L797" s="39" t="s">
        <v>73</v>
      </c>
      <c r="M797" s="39" t="s">
        <v>140</v>
      </c>
      <c r="N797" s="39" t="s">
        <v>157</v>
      </c>
      <c r="O797" s="43">
        <f t="shared" si="252"/>
        <v>20589.400000000001</v>
      </c>
      <c r="P797" s="43">
        <f t="shared" si="253"/>
        <v>18118.669999999998</v>
      </c>
      <c r="Q797" s="43">
        <f t="shared" si="254"/>
        <v>20468.05</v>
      </c>
      <c r="R797" s="43">
        <f t="shared" si="255"/>
        <v>-2349.380000000001</v>
      </c>
      <c r="S797" s="44">
        <f t="shared" si="256"/>
        <v>-0.12966625033735926</v>
      </c>
      <c r="T797" s="39" t="str">
        <f t="shared" si="257"/>
        <v>Loss</v>
      </c>
      <c r="U797" s="39" t="str">
        <f t="shared" si="258"/>
        <v>10-19%</v>
      </c>
      <c r="V797" s="39" t="str">
        <f>IF(E797&gt;=Analysis!$B$4,"High",IF(E797&gt;=Analysis!$B$5,"Mid","Low"))</f>
        <v>Low</v>
      </c>
      <c r="W797" s="39" t="str">
        <f t="shared" si="259"/>
        <v>2023-01</v>
      </c>
      <c r="X797" s="40">
        <f t="shared" si="260"/>
        <v>44957</v>
      </c>
      <c r="Y797" s="39" t="str">
        <f t="shared" si="261"/>
        <v>2023-Q1</v>
      </c>
      <c r="Z797" s="39" t="str">
        <f t="shared" si="262"/>
        <v>Thu</v>
      </c>
      <c r="AA797" s="39">
        <f t="shared" si="263"/>
        <v>4</v>
      </c>
      <c r="AB797" s="39">
        <f t="shared" si="264"/>
        <v>5</v>
      </c>
      <c r="AC797" s="39" t="str">
        <f t="shared" si="265"/>
        <v>Weekday</v>
      </c>
      <c r="AD797" s="39">
        <f t="shared" ca="1" si="266"/>
        <v>1367</v>
      </c>
      <c r="AE797" s="39">
        <f t="shared" ca="1" si="267"/>
        <v>44</v>
      </c>
      <c r="AF797" s="39" t="str">
        <f t="shared" si="268"/>
        <v>DAV</v>
      </c>
      <c r="AG797" s="39" t="str">
        <f t="shared" si="269"/>
        <v>ER-230126-0796</v>
      </c>
      <c r="AH797" s="39" t="str">
        <f>IF(AND(OR(Filter!$B$4="All",D797=Filter!$B$4),OR(Filter!$B$5="All",M797=Filter!$B$5),E797&gt;=Filter!$B$6),MAX(AH$1:AH796)+1,"")</f>
        <v/>
      </c>
      <c r="AI797" s="39">
        <f t="shared" si="270"/>
        <v>5</v>
      </c>
      <c r="AJ797" s="42">
        <f t="shared" si="271"/>
        <v>0.12</v>
      </c>
      <c r="AK797" s="41">
        <f t="shared" si="272"/>
        <v>4117.88</v>
      </c>
      <c r="AL797" s="39">
        <f>RANK(E797,$E$2:$E$1001,0)+COUNTIF($E$2:E797,E797)-1</f>
        <v>791</v>
      </c>
    </row>
    <row r="798" spans="1:38" x14ac:dyDescent="0.2">
      <c r="A798" s="39">
        <v>1063</v>
      </c>
      <c r="B798" s="40">
        <v>45152</v>
      </c>
      <c r="C798" s="39" t="s">
        <v>66</v>
      </c>
      <c r="D798" s="39" t="s">
        <v>64</v>
      </c>
      <c r="E798" s="41">
        <v>9956.75</v>
      </c>
      <c r="F798" s="39">
        <v>27</v>
      </c>
      <c r="G798" s="39" t="s">
        <v>60</v>
      </c>
      <c r="H798" s="41">
        <v>3760.25</v>
      </c>
      <c r="I798" s="41">
        <v>4147.1099999999997</v>
      </c>
      <c r="J798" s="39" t="s">
        <v>143</v>
      </c>
      <c r="K798" s="42">
        <v>0.22</v>
      </c>
      <c r="L798" s="39" t="s">
        <v>68</v>
      </c>
      <c r="M798" s="39" t="s">
        <v>138</v>
      </c>
      <c r="N798" s="39" t="s">
        <v>139</v>
      </c>
      <c r="O798" s="43">
        <f t="shared" si="252"/>
        <v>111971.97</v>
      </c>
      <c r="P798" s="43">
        <f t="shared" si="253"/>
        <v>87338.14</v>
      </c>
      <c r="Q798" s="43">
        <f t="shared" si="254"/>
        <v>101526.75</v>
      </c>
      <c r="R798" s="43">
        <f t="shared" si="255"/>
        <v>-14188.61</v>
      </c>
      <c r="S798" s="44">
        <f t="shared" si="256"/>
        <v>-0.1624560587161577</v>
      </c>
      <c r="T798" s="39" t="str">
        <f t="shared" si="257"/>
        <v>Loss</v>
      </c>
      <c r="U798" s="39" t="str">
        <f t="shared" si="258"/>
        <v>20%+</v>
      </c>
      <c r="V798" s="39" t="str">
        <f>IF(E798&gt;=Analysis!$B$4,"High",IF(E798&gt;=Analysis!$B$5,"Mid","Low"))</f>
        <v>High</v>
      </c>
      <c r="W798" s="39" t="str">
        <f t="shared" si="259"/>
        <v>2023-08</v>
      </c>
      <c r="X798" s="40">
        <f t="shared" si="260"/>
        <v>45169</v>
      </c>
      <c r="Y798" s="39" t="str">
        <f t="shared" si="261"/>
        <v>2023-Q3</v>
      </c>
      <c r="Z798" s="39" t="str">
        <f t="shared" si="262"/>
        <v>Mon</v>
      </c>
      <c r="AA798" s="39">
        <f t="shared" si="263"/>
        <v>1</v>
      </c>
      <c r="AB798" s="39">
        <f t="shared" si="264"/>
        <v>34</v>
      </c>
      <c r="AC798" s="39" t="str">
        <f t="shared" si="265"/>
        <v>Weekday</v>
      </c>
      <c r="AD798" s="39">
        <f t="shared" ca="1" si="266"/>
        <v>1167</v>
      </c>
      <c r="AE798" s="39">
        <f t="shared" ca="1" si="267"/>
        <v>38</v>
      </c>
      <c r="AF798" s="39" t="str">
        <f t="shared" si="268"/>
        <v>BOB</v>
      </c>
      <c r="AG798" s="39" t="str">
        <f t="shared" si="269"/>
        <v>NO-230814-0797</v>
      </c>
      <c r="AH798" s="39">
        <f>IF(AND(OR(Filter!$B$4="All",D798=Filter!$B$4),OR(Filter!$B$5="All",M798=Filter!$B$5),E798&gt;=Filter!$B$6),MAX(AH$1:AH797)+1,"")</f>
        <v>74</v>
      </c>
      <c r="AI798" s="39">
        <f t="shared" si="270"/>
        <v>27</v>
      </c>
      <c r="AJ798" s="42">
        <f t="shared" si="271"/>
        <v>0.22</v>
      </c>
      <c r="AK798" s="41">
        <f t="shared" si="272"/>
        <v>4147.1099999999997</v>
      </c>
      <c r="AL798" s="39">
        <f>RANK(E798,$E$2:$E$1001,0)+COUNTIF($E$2:E798,E798)-1</f>
        <v>6</v>
      </c>
    </row>
    <row r="799" spans="1:38" x14ac:dyDescent="0.2">
      <c r="A799" s="39">
        <v>1089</v>
      </c>
      <c r="B799" s="40">
        <v>45211</v>
      </c>
      <c r="C799" s="39" t="s">
        <v>76</v>
      </c>
      <c r="D799" s="39" t="s">
        <v>69</v>
      </c>
      <c r="E799" s="41">
        <v>9813.07</v>
      </c>
      <c r="F799" s="39">
        <v>25</v>
      </c>
      <c r="G799" s="39" t="s">
        <v>75</v>
      </c>
      <c r="H799" s="41">
        <v>3512.69</v>
      </c>
      <c r="I799" s="41">
        <v>3964.63</v>
      </c>
      <c r="J799" s="39" t="s">
        <v>137</v>
      </c>
      <c r="K799" s="42">
        <v>0.03</v>
      </c>
      <c r="L799" s="39" t="s">
        <v>73</v>
      </c>
      <c r="M799" s="39" t="s">
        <v>140</v>
      </c>
      <c r="N799" s="39" t="s">
        <v>142</v>
      </c>
      <c r="O799" s="43">
        <f t="shared" si="252"/>
        <v>99115.75</v>
      </c>
      <c r="P799" s="43">
        <f t="shared" si="253"/>
        <v>96142.28</v>
      </c>
      <c r="Q799" s="43">
        <f t="shared" si="254"/>
        <v>87817.25</v>
      </c>
      <c r="R799" s="43">
        <f t="shared" si="255"/>
        <v>8325.0299999999988</v>
      </c>
      <c r="S799" s="44">
        <f t="shared" si="256"/>
        <v>8.6590727825468658E-2</v>
      </c>
      <c r="T799" s="39" t="str">
        <f t="shared" si="257"/>
        <v>OK</v>
      </c>
      <c r="U799" s="39" t="str">
        <f t="shared" si="258"/>
        <v>0-9%</v>
      </c>
      <c r="V799" s="39" t="str">
        <f>IF(E799&gt;=Analysis!$B$4,"High",IF(E799&gt;=Analysis!$B$5,"Mid","Low"))</f>
        <v>High</v>
      </c>
      <c r="W799" s="39" t="str">
        <f t="shared" si="259"/>
        <v>2023-10</v>
      </c>
      <c r="X799" s="40">
        <f t="shared" si="260"/>
        <v>45230</v>
      </c>
      <c r="Y799" s="39" t="str">
        <f t="shared" si="261"/>
        <v>2023-Q4</v>
      </c>
      <c r="Z799" s="39" t="str">
        <f t="shared" si="262"/>
        <v>Thu</v>
      </c>
      <c r="AA799" s="39">
        <f t="shared" si="263"/>
        <v>4</v>
      </c>
      <c r="AB799" s="39">
        <f t="shared" si="264"/>
        <v>42</v>
      </c>
      <c r="AC799" s="39" t="str">
        <f t="shared" si="265"/>
        <v>Weekday</v>
      </c>
      <c r="AD799" s="39">
        <f t="shared" ca="1" si="266"/>
        <v>1108</v>
      </c>
      <c r="AE799" s="39">
        <f t="shared" ca="1" si="267"/>
        <v>36</v>
      </c>
      <c r="AF799" s="39" t="str">
        <f t="shared" si="268"/>
        <v>DAV</v>
      </c>
      <c r="AG799" s="39" t="str">
        <f t="shared" si="269"/>
        <v>SR-231012-0798</v>
      </c>
      <c r="AH799" s="39">
        <f>IF(AND(OR(Filter!$B$4="All",D799=Filter!$B$4),OR(Filter!$B$5="All",M799=Filter!$B$5),E799&gt;=Filter!$B$6),MAX(AH$1:AH798)+1,"")</f>
        <v>75</v>
      </c>
      <c r="AI799" s="39">
        <f t="shared" si="270"/>
        <v>25</v>
      </c>
      <c r="AJ799" s="42">
        <f t="shared" si="271"/>
        <v>0.03</v>
      </c>
      <c r="AK799" s="41">
        <f t="shared" si="272"/>
        <v>3964.63</v>
      </c>
      <c r="AL799" s="39">
        <f>RANK(E799,$E$2:$E$1001,0)+COUNTIF($E$2:E799,E799)-1</f>
        <v>16</v>
      </c>
    </row>
    <row r="800" spans="1:38" x14ac:dyDescent="0.2">
      <c r="A800" s="39">
        <v>1086</v>
      </c>
      <c r="B800" s="40">
        <v>44930</v>
      </c>
      <c r="C800" s="39" t="s">
        <v>66</v>
      </c>
      <c r="D800" s="39" t="s">
        <v>69</v>
      </c>
      <c r="E800" s="41">
        <v>6530.14</v>
      </c>
      <c r="F800" s="39">
        <v>8</v>
      </c>
      <c r="G800" s="39" t="s">
        <v>75</v>
      </c>
      <c r="H800" s="41">
        <v>1569.31</v>
      </c>
      <c r="I800" s="41">
        <v>1798.02</v>
      </c>
      <c r="J800" s="39" t="s">
        <v>143</v>
      </c>
      <c r="K800" s="42">
        <v>7.0000000000000007E-2</v>
      </c>
      <c r="L800" s="39" t="s">
        <v>73</v>
      </c>
      <c r="M800" s="39" t="s">
        <v>138</v>
      </c>
      <c r="N800" s="39" t="s">
        <v>144</v>
      </c>
      <c r="O800" s="43">
        <f t="shared" si="252"/>
        <v>14384.16</v>
      </c>
      <c r="P800" s="43">
        <f t="shared" si="253"/>
        <v>13377.27</v>
      </c>
      <c r="Q800" s="43">
        <f t="shared" si="254"/>
        <v>12554.48</v>
      </c>
      <c r="R800" s="43">
        <f t="shared" si="255"/>
        <v>822.79000000000087</v>
      </c>
      <c r="S800" s="44">
        <f t="shared" si="256"/>
        <v>6.1506570473646778E-2</v>
      </c>
      <c r="T800" s="39" t="str">
        <f t="shared" si="257"/>
        <v>OK</v>
      </c>
      <c r="U800" s="39" t="str">
        <f t="shared" si="258"/>
        <v>0-9%</v>
      </c>
      <c r="V800" s="39" t="str">
        <f>IF(E800&gt;=Analysis!$B$4,"High",IF(E800&gt;=Analysis!$B$5,"Mid","Low"))</f>
        <v>Mid</v>
      </c>
      <c r="W800" s="39" t="str">
        <f t="shared" si="259"/>
        <v>2023-01</v>
      </c>
      <c r="X800" s="40">
        <f t="shared" si="260"/>
        <v>44957</v>
      </c>
      <c r="Y800" s="39" t="str">
        <f t="shared" si="261"/>
        <v>2023-Q1</v>
      </c>
      <c r="Z800" s="39" t="str">
        <f t="shared" si="262"/>
        <v>Wed</v>
      </c>
      <c r="AA800" s="39">
        <f t="shared" si="263"/>
        <v>3</v>
      </c>
      <c r="AB800" s="39">
        <f t="shared" si="264"/>
        <v>2</v>
      </c>
      <c r="AC800" s="39" t="str">
        <f t="shared" si="265"/>
        <v>Weekday</v>
      </c>
      <c r="AD800" s="39">
        <f t="shared" ca="1" si="266"/>
        <v>1389</v>
      </c>
      <c r="AE800" s="39">
        <f t="shared" ca="1" si="267"/>
        <v>45</v>
      </c>
      <c r="AF800" s="39" t="str">
        <f t="shared" si="268"/>
        <v>BOB</v>
      </c>
      <c r="AG800" s="39" t="str">
        <f t="shared" si="269"/>
        <v>SO-230104-0799</v>
      </c>
      <c r="AH800" s="39" t="str">
        <f>IF(AND(OR(Filter!$B$4="All",D800=Filter!$B$4),OR(Filter!$B$5="All",M800=Filter!$B$5),E800&gt;=Filter!$B$6),MAX(AH$1:AH799)+1,"")</f>
        <v/>
      </c>
      <c r="AI800" s="39">
        <f t="shared" si="270"/>
        <v>8</v>
      </c>
      <c r="AJ800" s="42">
        <f t="shared" si="271"/>
        <v>7.0000000000000007E-2</v>
      </c>
      <c r="AK800" s="41">
        <f t="shared" si="272"/>
        <v>1798.02</v>
      </c>
      <c r="AL800" s="39">
        <f>RANK(E800,$E$2:$E$1001,0)+COUNTIF($E$2:E800,E800)-1</f>
        <v>356</v>
      </c>
    </row>
    <row r="801" spans="1:38" x14ac:dyDescent="0.2">
      <c r="A801" s="39">
        <v>1059</v>
      </c>
      <c r="B801" s="40">
        <v>45025</v>
      </c>
      <c r="C801" s="39" t="s">
        <v>71</v>
      </c>
      <c r="D801" s="39" t="s">
        <v>69</v>
      </c>
      <c r="E801" s="41">
        <v>8063.7</v>
      </c>
      <c r="F801" s="39">
        <v>1</v>
      </c>
      <c r="G801" s="39" t="s">
        <v>65</v>
      </c>
      <c r="H801" s="41">
        <v>332.62</v>
      </c>
      <c r="I801" s="41">
        <v>612.46</v>
      </c>
      <c r="J801" s="39" t="s">
        <v>137</v>
      </c>
      <c r="K801" s="42">
        <v>0.24</v>
      </c>
      <c r="L801" s="39" t="s">
        <v>68</v>
      </c>
      <c r="M801" s="39" t="s">
        <v>140</v>
      </c>
      <c r="N801" s="39" t="s">
        <v>151</v>
      </c>
      <c r="O801" s="43">
        <f t="shared" si="252"/>
        <v>612.46</v>
      </c>
      <c r="P801" s="43">
        <f t="shared" si="253"/>
        <v>465.47</v>
      </c>
      <c r="Q801" s="43">
        <f t="shared" si="254"/>
        <v>332.62</v>
      </c>
      <c r="R801" s="43">
        <f t="shared" si="255"/>
        <v>132.85000000000002</v>
      </c>
      <c r="S801" s="44">
        <f t="shared" si="256"/>
        <v>0.28541044535630655</v>
      </c>
      <c r="T801" s="39" t="str">
        <f t="shared" si="257"/>
        <v>OK</v>
      </c>
      <c r="U801" s="39" t="str">
        <f t="shared" si="258"/>
        <v>20%+</v>
      </c>
      <c r="V801" s="39" t="str">
        <f>IF(E801&gt;=Analysis!$B$4,"High",IF(E801&gt;=Analysis!$B$5,"Mid","Low"))</f>
        <v>High</v>
      </c>
      <c r="W801" s="39" t="str">
        <f t="shared" si="259"/>
        <v>2023-04</v>
      </c>
      <c r="X801" s="40">
        <f t="shared" si="260"/>
        <v>45046</v>
      </c>
      <c r="Y801" s="39" t="str">
        <f t="shared" si="261"/>
        <v>2023-Q2</v>
      </c>
      <c r="Z801" s="39" t="str">
        <f t="shared" si="262"/>
        <v>Sun</v>
      </c>
      <c r="AA801" s="39">
        <f t="shared" si="263"/>
        <v>7</v>
      </c>
      <c r="AB801" s="39">
        <f t="shared" si="264"/>
        <v>15</v>
      </c>
      <c r="AC801" s="39" t="str">
        <f t="shared" si="265"/>
        <v>Weekend</v>
      </c>
      <c r="AD801" s="39">
        <f t="shared" ca="1" si="266"/>
        <v>1294</v>
      </c>
      <c r="AE801" s="39">
        <f t="shared" ca="1" si="267"/>
        <v>42</v>
      </c>
      <c r="AF801" s="39" t="str">
        <f t="shared" si="268"/>
        <v>CHA</v>
      </c>
      <c r="AG801" s="39" t="str">
        <f t="shared" si="269"/>
        <v>SR-230409-0800</v>
      </c>
      <c r="AH801" s="39" t="str">
        <f>IF(AND(OR(Filter!$B$4="All",D801=Filter!$B$4),OR(Filter!$B$5="All",M801=Filter!$B$5),E801&gt;=Filter!$B$6),MAX(AH$1:AH800)+1,"")</f>
        <v/>
      </c>
      <c r="AI801" s="39">
        <f t="shared" si="270"/>
        <v>1</v>
      </c>
      <c r="AJ801" s="42">
        <f t="shared" si="271"/>
        <v>0.24</v>
      </c>
      <c r="AK801" s="41">
        <f t="shared" si="272"/>
        <v>612.46</v>
      </c>
      <c r="AL801" s="39">
        <f>RANK(E801,$E$2:$E$1001,0)+COUNTIF($E$2:E801,E801)-1</f>
        <v>186</v>
      </c>
    </row>
    <row r="802" spans="1:38" x14ac:dyDescent="0.2">
      <c r="A802" s="39">
        <v>1027</v>
      </c>
      <c r="B802" s="40">
        <v>44965</v>
      </c>
      <c r="C802" s="39" t="s">
        <v>61</v>
      </c>
      <c r="D802" s="39" t="s">
        <v>74</v>
      </c>
      <c r="E802" s="41">
        <v>7179.49</v>
      </c>
      <c r="F802" s="39">
        <v>20</v>
      </c>
      <c r="G802" s="39" t="s">
        <v>65</v>
      </c>
      <c r="H802" s="41">
        <v>1748.11</v>
      </c>
      <c r="I802" s="41">
        <v>2220.9</v>
      </c>
      <c r="J802" s="39" t="s">
        <v>143</v>
      </c>
      <c r="K802" s="42">
        <v>0.23</v>
      </c>
      <c r="L802" s="39" t="s">
        <v>73</v>
      </c>
      <c r="M802" s="39" t="s">
        <v>140</v>
      </c>
      <c r="N802" s="39" t="s">
        <v>158</v>
      </c>
      <c r="O802" s="43">
        <f t="shared" si="252"/>
        <v>44418</v>
      </c>
      <c r="P802" s="43">
        <f t="shared" si="253"/>
        <v>34201.86</v>
      </c>
      <c r="Q802" s="43">
        <f t="shared" si="254"/>
        <v>34962.199999999997</v>
      </c>
      <c r="R802" s="43">
        <f t="shared" si="255"/>
        <v>-760.33999999999651</v>
      </c>
      <c r="S802" s="44">
        <f t="shared" si="256"/>
        <v>-2.2230954690768176E-2</v>
      </c>
      <c r="T802" s="39" t="str">
        <f t="shared" si="257"/>
        <v>Loss</v>
      </c>
      <c r="U802" s="39" t="str">
        <f t="shared" si="258"/>
        <v>20%+</v>
      </c>
      <c r="V802" s="39" t="str">
        <f>IF(E802&gt;=Analysis!$B$4,"High",IF(E802&gt;=Analysis!$B$5,"Mid","Low"))</f>
        <v>Mid</v>
      </c>
      <c r="W802" s="39" t="str">
        <f t="shared" si="259"/>
        <v>2023-02</v>
      </c>
      <c r="X802" s="40">
        <f t="shared" si="260"/>
        <v>44985</v>
      </c>
      <c r="Y802" s="39" t="str">
        <f t="shared" si="261"/>
        <v>2023-Q1</v>
      </c>
      <c r="Z802" s="39" t="str">
        <f t="shared" si="262"/>
        <v>Wed</v>
      </c>
      <c r="AA802" s="39">
        <f t="shared" si="263"/>
        <v>3</v>
      </c>
      <c r="AB802" s="39">
        <f t="shared" si="264"/>
        <v>7</v>
      </c>
      <c r="AC802" s="39" t="str">
        <f t="shared" si="265"/>
        <v>Weekday</v>
      </c>
      <c r="AD802" s="39">
        <f t="shared" ca="1" si="266"/>
        <v>1354</v>
      </c>
      <c r="AE802" s="39">
        <f t="shared" ca="1" si="267"/>
        <v>44</v>
      </c>
      <c r="AF802" s="39" t="str">
        <f t="shared" si="268"/>
        <v>ALI</v>
      </c>
      <c r="AG802" s="39" t="str">
        <f t="shared" si="269"/>
        <v>WR-230208-0801</v>
      </c>
      <c r="AH802" s="39" t="str">
        <f>IF(AND(OR(Filter!$B$4="All",D802=Filter!$B$4),OR(Filter!$B$5="All",M802=Filter!$B$5),E802&gt;=Filter!$B$6),MAX(AH$1:AH801)+1,"")</f>
        <v/>
      </c>
      <c r="AI802" s="39">
        <f t="shared" si="270"/>
        <v>20</v>
      </c>
      <c r="AJ802" s="42">
        <f t="shared" si="271"/>
        <v>0.23</v>
      </c>
      <c r="AK802" s="41">
        <f t="shared" si="272"/>
        <v>2220.9</v>
      </c>
      <c r="AL802" s="39">
        <f>RANK(E802,$E$2:$E$1001,0)+COUNTIF($E$2:E802,E802)-1</f>
        <v>279</v>
      </c>
    </row>
    <row r="803" spans="1:38" x14ac:dyDescent="0.2">
      <c r="A803" s="39">
        <v>1049</v>
      </c>
      <c r="B803" s="40">
        <v>45197</v>
      </c>
      <c r="C803" s="39" t="s">
        <v>61</v>
      </c>
      <c r="D803" s="39" t="s">
        <v>74</v>
      </c>
      <c r="E803" s="41">
        <v>5972.27</v>
      </c>
      <c r="F803" s="39">
        <v>44</v>
      </c>
      <c r="G803" s="39" t="s">
        <v>75</v>
      </c>
      <c r="H803" s="41">
        <v>3351.33</v>
      </c>
      <c r="I803" s="41">
        <v>3465.35</v>
      </c>
      <c r="J803" s="39" t="s">
        <v>137</v>
      </c>
      <c r="K803" s="42">
        <v>0.12</v>
      </c>
      <c r="L803" s="39" t="s">
        <v>63</v>
      </c>
      <c r="M803" s="39" t="s">
        <v>138</v>
      </c>
      <c r="N803" s="39" t="s">
        <v>158</v>
      </c>
      <c r="O803" s="43">
        <f t="shared" si="252"/>
        <v>152475.4</v>
      </c>
      <c r="P803" s="43">
        <f t="shared" si="253"/>
        <v>134178.35</v>
      </c>
      <c r="Q803" s="43">
        <f t="shared" si="254"/>
        <v>147458.51999999999</v>
      </c>
      <c r="R803" s="43">
        <f t="shared" si="255"/>
        <v>-13280.169999999984</v>
      </c>
      <c r="S803" s="44">
        <f t="shared" si="256"/>
        <v>-9.8974014809393496E-2</v>
      </c>
      <c r="T803" s="39" t="str">
        <f t="shared" si="257"/>
        <v>Loss</v>
      </c>
      <c r="U803" s="39" t="str">
        <f t="shared" si="258"/>
        <v>10-19%</v>
      </c>
      <c r="V803" s="39" t="str">
        <f>IF(E803&gt;=Analysis!$B$4,"High",IF(E803&gt;=Analysis!$B$5,"Mid","Low"))</f>
        <v>Mid</v>
      </c>
      <c r="W803" s="39" t="str">
        <f t="shared" si="259"/>
        <v>2023-09</v>
      </c>
      <c r="X803" s="40">
        <f t="shared" si="260"/>
        <v>45199</v>
      </c>
      <c r="Y803" s="39" t="str">
        <f t="shared" si="261"/>
        <v>2023-Q3</v>
      </c>
      <c r="Z803" s="39" t="str">
        <f t="shared" si="262"/>
        <v>Thu</v>
      </c>
      <c r="AA803" s="39">
        <f t="shared" si="263"/>
        <v>4</v>
      </c>
      <c r="AB803" s="39">
        <f t="shared" si="264"/>
        <v>40</v>
      </c>
      <c r="AC803" s="39" t="str">
        <f t="shared" si="265"/>
        <v>Weekday</v>
      </c>
      <c r="AD803" s="39">
        <f t="shared" ca="1" si="266"/>
        <v>1122</v>
      </c>
      <c r="AE803" s="39">
        <f t="shared" ca="1" si="267"/>
        <v>36</v>
      </c>
      <c r="AF803" s="39" t="str">
        <f t="shared" si="268"/>
        <v>ALI</v>
      </c>
      <c r="AG803" s="39" t="str">
        <f t="shared" si="269"/>
        <v>WO-230928-0802</v>
      </c>
      <c r="AH803" s="39" t="str">
        <f>IF(AND(OR(Filter!$B$4="All",D803=Filter!$B$4),OR(Filter!$B$5="All",M803=Filter!$B$5),E803&gt;=Filter!$B$6),MAX(AH$1:AH802)+1,"")</f>
        <v/>
      </c>
      <c r="AI803" s="39">
        <f t="shared" si="270"/>
        <v>44</v>
      </c>
      <c r="AJ803" s="42">
        <f t="shared" si="271"/>
        <v>0.12</v>
      </c>
      <c r="AK803" s="41">
        <f t="shared" si="272"/>
        <v>3465.35</v>
      </c>
      <c r="AL803" s="39">
        <f>RANK(E803,$E$2:$E$1001,0)+COUNTIF($E$2:E803,E803)-1</f>
        <v>410</v>
      </c>
    </row>
    <row r="804" spans="1:38" x14ac:dyDescent="0.2">
      <c r="A804" s="39">
        <v>1077</v>
      </c>
      <c r="B804" s="40">
        <v>45211</v>
      </c>
      <c r="C804" s="39" t="s">
        <v>76</v>
      </c>
      <c r="D804" s="39" t="s">
        <v>69</v>
      </c>
      <c r="E804" s="41">
        <v>628.15</v>
      </c>
      <c r="F804" s="39">
        <v>23</v>
      </c>
      <c r="G804" s="39" t="s">
        <v>65</v>
      </c>
      <c r="H804" s="41">
        <v>557.52</v>
      </c>
      <c r="I804" s="41">
        <v>822.39</v>
      </c>
      <c r="J804" s="39" t="s">
        <v>137</v>
      </c>
      <c r="K804" s="42">
        <v>0.28999999999999998</v>
      </c>
      <c r="L804" s="39" t="s">
        <v>73</v>
      </c>
      <c r="M804" s="39" t="s">
        <v>138</v>
      </c>
      <c r="N804" s="39" t="s">
        <v>142</v>
      </c>
      <c r="O804" s="43">
        <f t="shared" si="252"/>
        <v>18914.97</v>
      </c>
      <c r="P804" s="43">
        <f t="shared" si="253"/>
        <v>13429.63</v>
      </c>
      <c r="Q804" s="43">
        <f t="shared" si="254"/>
        <v>12822.96</v>
      </c>
      <c r="R804" s="43">
        <f t="shared" si="255"/>
        <v>606.67000000000007</v>
      </c>
      <c r="S804" s="44">
        <f t="shared" si="256"/>
        <v>4.5173992135300829E-2</v>
      </c>
      <c r="T804" s="39" t="str">
        <f t="shared" si="257"/>
        <v>OK</v>
      </c>
      <c r="U804" s="39" t="str">
        <f t="shared" si="258"/>
        <v>20%+</v>
      </c>
      <c r="V804" s="39" t="str">
        <f>IF(E804&gt;=Analysis!$B$4,"High",IF(E804&gt;=Analysis!$B$5,"Mid","Low"))</f>
        <v>Low</v>
      </c>
      <c r="W804" s="39" t="str">
        <f t="shared" si="259"/>
        <v>2023-10</v>
      </c>
      <c r="X804" s="40">
        <f t="shared" si="260"/>
        <v>45230</v>
      </c>
      <c r="Y804" s="39" t="str">
        <f t="shared" si="261"/>
        <v>2023-Q4</v>
      </c>
      <c r="Z804" s="39" t="str">
        <f t="shared" si="262"/>
        <v>Thu</v>
      </c>
      <c r="AA804" s="39">
        <f t="shared" si="263"/>
        <v>4</v>
      </c>
      <c r="AB804" s="39">
        <f t="shared" si="264"/>
        <v>42</v>
      </c>
      <c r="AC804" s="39" t="str">
        <f t="shared" si="265"/>
        <v>Weekday</v>
      </c>
      <c r="AD804" s="39">
        <f t="shared" ca="1" si="266"/>
        <v>1108</v>
      </c>
      <c r="AE804" s="39">
        <f t="shared" ca="1" si="267"/>
        <v>36</v>
      </c>
      <c r="AF804" s="39" t="str">
        <f t="shared" si="268"/>
        <v>DAV</v>
      </c>
      <c r="AG804" s="39" t="str">
        <f t="shared" si="269"/>
        <v>SO-231012-0803</v>
      </c>
      <c r="AH804" s="39" t="str">
        <f>IF(AND(OR(Filter!$B$4="All",D804=Filter!$B$4),OR(Filter!$B$5="All",M804=Filter!$B$5),E804&gt;=Filter!$B$6),MAX(AH$1:AH803)+1,"")</f>
        <v/>
      </c>
      <c r="AI804" s="39">
        <f t="shared" si="270"/>
        <v>23</v>
      </c>
      <c r="AJ804" s="42">
        <f t="shared" si="271"/>
        <v>0.28999999999999998</v>
      </c>
      <c r="AK804" s="41">
        <f t="shared" si="272"/>
        <v>822.39</v>
      </c>
      <c r="AL804" s="39">
        <f>RANK(E804,$E$2:$E$1001,0)+COUNTIF($E$2:E804,E804)-1</f>
        <v>949</v>
      </c>
    </row>
    <row r="805" spans="1:38" x14ac:dyDescent="0.2">
      <c r="A805" s="39">
        <v>1033</v>
      </c>
      <c r="B805" s="40">
        <v>45083</v>
      </c>
      <c r="C805" s="39" t="s">
        <v>61</v>
      </c>
      <c r="D805" s="39" t="s">
        <v>59</v>
      </c>
      <c r="E805" s="41">
        <v>4602.17</v>
      </c>
      <c r="F805" s="39">
        <v>32</v>
      </c>
      <c r="G805" s="39" t="s">
        <v>70</v>
      </c>
      <c r="H805" s="41">
        <v>108.99</v>
      </c>
      <c r="I805" s="41">
        <v>351.6</v>
      </c>
      <c r="J805" s="39" t="s">
        <v>137</v>
      </c>
      <c r="K805" s="42">
        <v>0.27</v>
      </c>
      <c r="L805" s="39" t="s">
        <v>73</v>
      </c>
      <c r="M805" s="39" t="s">
        <v>140</v>
      </c>
      <c r="N805" s="39" t="s">
        <v>159</v>
      </c>
      <c r="O805" s="43">
        <f t="shared" si="252"/>
        <v>11251.2</v>
      </c>
      <c r="P805" s="43">
        <f t="shared" si="253"/>
        <v>8213.3799999999992</v>
      </c>
      <c r="Q805" s="43">
        <f t="shared" si="254"/>
        <v>3487.68</v>
      </c>
      <c r="R805" s="43">
        <f t="shared" si="255"/>
        <v>4725.6999999999989</v>
      </c>
      <c r="S805" s="44">
        <f t="shared" si="256"/>
        <v>0.57536604905653932</v>
      </c>
      <c r="T805" s="39" t="str">
        <f t="shared" si="257"/>
        <v>OK</v>
      </c>
      <c r="U805" s="39" t="str">
        <f t="shared" si="258"/>
        <v>20%+</v>
      </c>
      <c r="V805" s="39" t="str">
        <f>IF(E805&gt;=Analysis!$B$4,"High",IF(E805&gt;=Analysis!$B$5,"Mid","Low"))</f>
        <v>Mid</v>
      </c>
      <c r="W805" s="39" t="str">
        <f t="shared" si="259"/>
        <v>2023-06</v>
      </c>
      <c r="X805" s="40">
        <f t="shared" si="260"/>
        <v>45107</v>
      </c>
      <c r="Y805" s="39" t="str">
        <f t="shared" si="261"/>
        <v>2023-Q2</v>
      </c>
      <c r="Z805" s="39" t="str">
        <f t="shared" si="262"/>
        <v>Tue</v>
      </c>
      <c r="AA805" s="39">
        <f t="shared" si="263"/>
        <v>2</v>
      </c>
      <c r="AB805" s="39">
        <f t="shared" si="264"/>
        <v>24</v>
      </c>
      <c r="AC805" s="39" t="str">
        <f t="shared" si="265"/>
        <v>Weekday</v>
      </c>
      <c r="AD805" s="39">
        <f t="shared" ca="1" si="266"/>
        <v>1236</v>
      </c>
      <c r="AE805" s="39">
        <f t="shared" ca="1" si="267"/>
        <v>40</v>
      </c>
      <c r="AF805" s="39" t="str">
        <f t="shared" si="268"/>
        <v>ALI</v>
      </c>
      <c r="AG805" s="39" t="str">
        <f t="shared" si="269"/>
        <v>ER-230606-0804</v>
      </c>
      <c r="AH805" s="39" t="str">
        <f>IF(AND(OR(Filter!$B$4="All",D805=Filter!$B$4),OR(Filter!$B$5="All",M805=Filter!$B$5),E805&gt;=Filter!$B$6),MAX(AH$1:AH804)+1,"")</f>
        <v/>
      </c>
      <c r="AI805" s="39">
        <f t="shared" si="270"/>
        <v>32</v>
      </c>
      <c r="AJ805" s="42">
        <f t="shared" si="271"/>
        <v>0.27</v>
      </c>
      <c r="AK805" s="41">
        <f t="shared" si="272"/>
        <v>351.6</v>
      </c>
      <c r="AL805" s="39">
        <f>RANK(E805,$E$2:$E$1001,0)+COUNTIF($E$2:E805,E805)-1</f>
        <v>541</v>
      </c>
    </row>
    <row r="806" spans="1:38" x14ac:dyDescent="0.2">
      <c r="A806" s="39">
        <v>1098</v>
      </c>
      <c r="B806" s="40">
        <v>45001</v>
      </c>
      <c r="C806" s="39" t="s">
        <v>76</v>
      </c>
      <c r="D806" s="39" t="s">
        <v>69</v>
      </c>
      <c r="E806" s="41">
        <v>6780.38</v>
      </c>
      <c r="F806" s="39">
        <v>11</v>
      </c>
      <c r="G806" s="39" t="s">
        <v>75</v>
      </c>
      <c r="H806" s="41">
        <v>741.48</v>
      </c>
      <c r="I806" s="41">
        <v>878.09</v>
      </c>
      <c r="J806" s="39" t="s">
        <v>143</v>
      </c>
      <c r="K806" s="42">
        <v>0.28999999999999998</v>
      </c>
      <c r="L806" s="39" t="s">
        <v>68</v>
      </c>
      <c r="M806" s="39" t="s">
        <v>140</v>
      </c>
      <c r="N806" s="39" t="s">
        <v>142</v>
      </c>
      <c r="O806" s="43">
        <f t="shared" si="252"/>
        <v>9658.99</v>
      </c>
      <c r="P806" s="43">
        <f t="shared" si="253"/>
        <v>6857.88</v>
      </c>
      <c r="Q806" s="43">
        <f t="shared" si="254"/>
        <v>8156.28</v>
      </c>
      <c r="R806" s="43">
        <f t="shared" si="255"/>
        <v>-1298.3999999999996</v>
      </c>
      <c r="S806" s="44">
        <f t="shared" si="256"/>
        <v>-0.18932964706294067</v>
      </c>
      <c r="T806" s="39" t="str">
        <f t="shared" si="257"/>
        <v>Loss</v>
      </c>
      <c r="U806" s="39" t="str">
        <f t="shared" si="258"/>
        <v>20%+</v>
      </c>
      <c r="V806" s="39" t="str">
        <f>IF(E806&gt;=Analysis!$B$4,"High",IF(E806&gt;=Analysis!$B$5,"Mid","Low"))</f>
        <v>Mid</v>
      </c>
      <c r="W806" s="39" t="str">
        <f t="shared" si="259"/>
        <v>2023-03</v>
      </c>
      <c r="X806" s="40">
        <f t="shared" si="260"/>
        <v>45016</v>
      </c>
      <c r="Y806" s="39" t="str">
        <f t="shared" si="261"/>
        <v>2023-Q1</v>
      </c>
      <c r="Z806" s="39" t="str">
        <f t="shared" si="262"/>
        <v>Thu</v>
      </c>
      <c r="AA806" s="39">
        <f t="shared" si="263"/>
        <v>4</v>
      </c>
      <c r="AB806" s="39">
        <f t="shared" si="264"/>
        <v>12</v>
      </c>
      <c r="AC806" s="39" t="str">
        <f t="shared" si="265"/>
        <v>Weekday</v>
      </c>
      <c r="AD806" s="39">
        <f t="shared" ca="1" si="266"/>
        <v>1318</v>
      </c>
      <c r="AE806" s="39">
        <f t="shared" ca="1" si="267"/>
        <v>43</v>
      </c>
      <c r="AF806" s="39" t="str">
        <f t="shared" si="268"/>
        <v>DAV</v>
      </c>
      <c r="AG806" s="39" t="str">
        <f t="shared" si="269"/>
        <v>SR-230316-0805</v>
      </c>
      <c r="AH806" s="39" t="str">
        <f>IF(AND(OR(Filter!$B$4="All",D806=Filter!$B$4),OR(Filter!$B$5="All",M806=Filter!$B$5),E806&gt;=Filter!$B$6),MAX(AH$1:AH805)+1,"")</f>
        <v/>
      </c>
      <c r="AI806" s="39">
        <f t="shared" si="270"/>
        <v>11</v>
      </c>
      <c r="AJ806" s="42">
        <f t="shared" si="271"/>
        <v>0.28999999999999998</v>
      </c>
      <c r="AK806" s="41">
        <f t="shared" si="272"/>
        <v>878.09</v>
      </c>
      <c r="AL806" s="39">
        <f>RANK(E806,$E$2:$E$1001,0)+COUNTIF($E$2:E806,E806)-1</f>
        <v>322</v>
      </c>
    </row>
    <row r="807" spans="1:38" x14ac:dyDescent="0.2">
      <c r="A807" s="39">
        <v>1099</v>
      </c>
      <c r="B807" s="40">
        <v>45214</v>
      </c>
      <c r="C807" s="39" t="s">
        <v>76</v>
      </c>
      <c r="D807" s="39" t="s">
        <v>59</v>
      </c>
      <c r="E807" s="41">
        <v>6807.56</v>
      </c>
      <c r="F807" s="39">
        <v>39</v>
      </c>
      <c r="G807" s="39" t="s">
        <v>65</v>
      </c>
      <c r="H807" s="41">
        <v>3592.89</v>
      </c>
      <c r="I807" s="41">
        <v>4004</v>
      </c>
      <c r="J807" s="39" t="s">
        <v>143</v>
      </c>
      <c r="K807" s="42">
        <v>0.13</v>
      </c>
      <c r="L807" s="39" t="s">
        <v>68</v>
      </c>
      <c r="M807" s="39" t="s">
        <v>138</v>
      </c>
      <c r="N807" s="39" t="s">
        <v>157</v>
      </c>
      <c r="O807" s="43">
        <f t="shared" si="252"/>
        <v>156156</v>
      </c>
      <c r="P807" s="43">
        <f t="shared" si="253"/>
        <v>135855.72</v>
      </c>
      <c r="Q807" s="43">
        <f t="shared" si="254"/>
        <v>140122.71</v>
      </c>
      <c r="R807" s="43">
        <f t="shared" si="255"/>
        <v>-4266.9899999999907</v>
      </c>
      <c r="S807" s="44">
        <f t="shared" si="256"/>
        <v>-3.1408246925488235E-2</v>
      </c>
      <c r="T807" s="39" t="str">
        <f t="shared" si="257"/>
        <v>Loss</v>
      </c>
      <c r="U807" s="39" t="str">
        <f t="shared" si="258"/>
        <v>10-19%</v>
      </c>
      <c r="V807" s="39" t="str">
        <f>IF(E807&gt;=Analysis!$B$4,"High",IF(E807&gt;=Analysis!$B$5,"Mid","Low"))</f>
        <v>Mid</v>
      </c>
      <c r="W807" s="39" t="str">
        <f t="shared" si="259"/>
        <v>2023-10</v>
      </c>
      <c r="X807" s="40">
        <f t="shared" si="260"/>
        <v>45230</v>
      </c>
      <c r="Y807" s="39" t="str">
        <f t="shared" si="261"/>
        <v>2023-Q4</v>
      </c>
      <c r="Z807" s="39" t="str">
        <f t="shared" si="262"/>
        <v>Sun</v>
      </c>
      <c r="AA807" s="39">
        <f t="shared" si="263"/>
        <v>7</v>
      </c>
      <c r="AB807" s="39">
        <f t="shared" si="264"/>
        <v>42</v>
      </c>
      <c r="AC807" s="39" t="str">
        <f t="shared" si="265"/>
        <v>Weekend</v>
      </c>
      <c r="AD807" s="39">
        <f t="shared" ca="1" si="266"/>
        <v>1105</v>
      </c>
      <c r="AE807" s="39">
        <f t="shared" ca="1" si="267"/>
        <v>36</v>
      </c>
      <c r="AF807" s="39" t="str">
        <f t="shared" si="268"/>
        <v>DAV</v>
      </c>
      <c r="AG807" s="39" t="str">
        <f t="shared" si="269"/>
        <v>EO-231015-0806</v>
      </c>
      <c r="AH807" s="39" t="str">
        <f>IF(AND(OR(Filter!$B$4="All",D807=Filter!$B$4),OR(Filter!$B$5="All",M807=Filter!$B$5),E807&gt;=Filter!$B$6),MAX(AH$1:AH806)+1,"")</f>
        <v/>
      </c>
      <c r="AI807" s="39">
        <f t="shared" si="270"/>
        <v>39</v>
      </c>
      <c r="AJ807" s="42">
        <f t="shared" si="271"/>
        <v>0.13</v>
      </c>
      <c r="AK807" s="41">
        <f t="shared" si="272"/>
        <v>4004</v>
      </c>
      <c r="AL807" s="39">
        <f>RANK(E807,$E$2:$E$1001,0)+COUNTIF($E$2:E807,E807)-1</f>
        <v>319</v>
      </c>
    </row>
    <row r="808" spans="1:38" x14ac:dyDescent="0.2">
      <c r="A808" s="39">
        <v>1001</v>
      </c>
      <c r="B808" s="40">
        <v>45056</v>
      </c>
      <c r="C808" s="39" t="s">
        <v>76</v>
      </c>
      <c r="D808" s="39" t="s">
        <v>59</v>
      </c>
      <c r="E808" s="41">
        <v>3793.91</v>
      </c>
      <c r="F808" s="39">
        <v>47</v>
      </c>
      <c r="G808" s="39" t="s">
        <v>70</v>
      </c>
      <c r="H808" s="41">
        <v>4865.33</v>
      </c>
      <c r="I808" s="41">
        <v>5316.13</v>
      </c>
      <c r="J808" s="39" t="s">
        <v>143</v>
      </c>
      <c r="K808" s="42">
        <v>0.06</v>
      </c>
      <c r="L808" s="39" t="s">
        <v>63</v>
      </c>
      <c r="M808" s="39" t="s">
        <v>138</v>
      </c>
      <c r="N808" s="39" t="s">
        <v>157</v>
      </c>
      <c r="O808" s="43">
        <f t="shared" si="252"/>
        <v>249858.11</v>
      </c>
      <c r="P808" s="43">
        <f t="shared" si="253"/>
        <v>234866.62</v>
      </c>
      <c r="Q808" s="43">
        <f t="shared" si="254"/>
        <v>228670.51</v>
      </c>
      <c r="R808" s="43">
        <f t="shared" si="255"/>
        <v>6196.109999999986</v>
      </c>
      <c r="S808" s="44">
        <f t="shared" si="256"/>
        <v>2.6381398940385766E-2</v>
      </c>
      <c r="T808" s="39" t="str">
        <f t="shared" si="257"/>
        <v>OK</v>
      </c>
      <c r="U808" s="39" t="str">
        <f t="shared" si="258"/>
        <v>0-9%</v>
      </c>
      <c r="V808" s="39" t="str">
        <f>IF(E808&gt;=Analysis!$B$4,"High",IF(E808&gt;=Analysis!$B$5,"Mid","Low"))</f>
        <v>Mid</v>
      </c>
      <c r="W808" s="39" t="str">
        <f t="shared" si="259"/>
        <v>2023-05</v>
      </c>
      <c r="X808" s="40">
        <f t="shared" si="260"/>
        <v>45077</v>
      </c>
      <c r="Y808" s="39" t="str">
        <f t="shared" si="261"/>
        <v>2023-Q2</v>
      </c>
      <c r="Z808" s="39" t="str">
        <f t="shared" si="262"/>
        <v>Wed</v>
      </c>
      <c r="AA808" s="39">
        <f t="shared" si="263"/>
        <v>3</v>
      </c>
      <c r="AB808" s="39">
        <f t="shared" si="264"/>
        <v>20</v>
      </c>
      <c r="AC808" s="39" t="str">
        <f t="shared" si="265"/>
        <v>Weekday</v>
      </c>
      <c r="AD808" s="39">
        <f t="shared" ca="1" si="266"/>
        <v>1263</v>
      </c>
      <c r="AE808" s="39">
        <f t="shared" ca="1" si="267"/>
        <v>41</v>
      </c>
      <c r="AF808" s="39" t="str">
        <f t="shared" si="268"/>
        <v>DAV</v>
      </c>
      <c r="AG808" s="39" t="str">
        <f t="shared" si="269"/>
        <v>EO-230510-0807</v>
      </c>
      <c r="AH808" s="39" t="str">
        <f>IF(AND(OR(Filter!$B$4="All",D808=Filter!$B$4),OR(Filter!$B$5="All",M808=Filter!$B$5),E808&gt;=Filter!$B$6),MAX(AH$1:AH807)+1,"")</f>
        <v/>
      </c>
      <c r="AI808" s="39">
        <f t="shared" si="270"/>
        <v>47</v>
      </c>
      <c r="AJ808" s="42">
        <f t="shared" si="271"/>
        <v>0.06</v>
      </c>
      <c r="AK808" s="41">
        <f t="shared" si="272"/>
        <v>5316.13</v>
      </c>
      <c r="AL808" s="39">
        <f>RANK(E808,$E$2:$E$1001,0)+COUNTIF($E$2:E808,E808)-1</f>
        <v>614</v>
      </c>
    </row>
    <row r="809" spans="1:38" x14ac:dyDescent="0.2">
      <c r="A809" s="39">
        <v>1021</v>
      </c>
      <c r="B809" s="40">
        <v>45101</v>
      </c>
      <c r="C809" s="39" t="s">
        <v>61</v>
      </c>
      <c r="D809" s="39" t="s">
        <v>74</v>
      </c>
      <c r="E809" s="41">
        <v>9422.75</v>
      </c>
      <c r="F809" s="39">
        <v>24</v>
      </c>
      <c r="G809" s="39" t="s">
        <v>65</v>
      </c>
      <c r="H809" s="41">
        <v>4916.17</v>
      </c>
      <c r="I809" s="41">
        <v>5309.32</v>
      </c>
      <c r="J809" s="39" t="s">
        <v>137</v>
      </c>
      <c r="K809" s="42">
        <v>0.19</v>
      </c>
      <c r="L809" s="39" t="s">
        <v>73</v>
      </c>
      <c r="M809" s="39" t="s">
        <v>138</v>
      </c>
      <c r="N809" s="39" t="s">
        <v>158</v>
      </c>
      <c r="O809" s="43">
        <f t="shared" si="252"/>
        <v>127423.67999999999</v>
      </c>
      <c r="P809" s="43">
        <f t="shared" si="253"/>
        <v>103213.18</v>
      </c>
      <c r="Q809" s="43">
        <f t="shared" si="254"/>
        <v>117988.08</v>
      </c>
      <c r="R809" s="43">
        <f t="shared" si="255"/>
        <v>-14774.900000000009</v>
      </c>
      <c r="S809" s="44">
        <f t="shared" si="256"/>
        <v>-0.14314935359999575</v>
      </c>
      <c r="T809" s="39" t="str">
        <f t="shared" si="257"/>
        <v>Loss</v>
      </c>
      <c r="U809" s="39" t="str">
        <f t="shared" si="258"/>
        <v>10-19%</v>
      </c>
      <c r="V809" s="39" t="str">
        <f>IF(E809&gt;=Analysis!$B$4,"High",IF(E809&gt;=Analysis!$B$5,"Mid","Low"))</f>
        <v>High</v>
      </c>
      <c r="W809" s="39" t="str">
        <f t="shared" si="259"/>
        <v>2023-06</v>
      </c>
      <c r="X809" s="40">
        <f t="shared" si="260"/>
        <v>45107</v>
      </c>
      <c r="Y809" s="39" t="str">
        <f t="shared" si="261"/>
        <v>2023-Q2</v>
      </c>
      <c r="Z809" s="39" t="str">
        <f t="shared" si="262"/>
        <v>Sat</v>
      </c>
      <c r="AA809" s="39">
        <f t="shared" si="263"/>
        <v>6</v>
      </c>
      <c r="AB809" s="39">
        <f t="shared" si="264"/>
        <v>26</v>
      </c>
      <c r="AC809" s="39" t="str">
        <f t="shared" si="265"/>
        <v>Weekend</v>
      </c>
      <c r="AD809" s="39">
        <f t="shared" ca="1" si="266"/>
        <v>1218</v>
      </c>
      <c r="AE809" s="39">
        <f t="shared" ca="1" si="267"/>
        <v>40</v>
      </c>
      <c r="AF809" s="39" t="str">
        <f t="shared" si="268"/>
        <v>ALI</v>
      </c>
      <c r="AG809" s="39" t="str">
        <f t="shared" si="269"/>
        <v>WO-230624-0808</v>
      </c>
      <c r="AH809" s="39">
        <f>IF(AND(OR(Filter!$B$4="All",D809=Filter!$B$4),OR(Filter!$B$5="All",M809=Filter!$B$5),E809&gt;=Filter!$B$6),MAX(AH$1:AH808)+1,"")</f>
        <v>76</v>
      </c>
      <c r="AI809" s="39">
        <f t="shared" si="270"/>
        <v>24</v>
      </c>
      <c r="AJ809" s="42">
        <f t="shared" si="271"/>
        <v>0.19</v>
      </c>
      <c r="AK809" s="41">
        <f t="shared" si="272"/>
        <v>5309.32</v>
      </c>
      <c r="AL809" s="39">
        <f>RANK(E809,$E$2:$E$1001,0)+COUNTIF($E$2:E809,E809)-1</f>
        <v>60</v>
      </c>
    </row>
    <row r="810" spans="1:38" x14ac:dyDescent="0.2">
      <c r="A810" s="39">
        <v>1055</v>
      </c>
      <c r="B810" s="40">
        <v>45010</v>
      </c>
      <c r="C810" s="39" t="s">
        <v>76</v>
      </c>
      <c r="D810" s="39" t="s">
        <v>59</v>
      </c>
      <c r="E810" s="41">
        <v>1756.83</v>
      </c>
      <c r="F810" s="39">
        <v>11</v>
      </c>
      <c r="G810" s="39" t="s">
        <v>65</v>
      </c>
      <c r="H810" s="41">
        <v>2495.1999999999998</v>
      </c>
      <c r="I810" s="41">
        <v>2600.9299999999998</v>
      </c>
      <c r="J810" s="39" t="s">
        <v>143</v>
      </c>
      <c r="K810" s="42">
        <v>0.21</v>
      </c>
      <c r="L810" s="39" t="s">
        <v>63</v>
      </c>
      <c r="M810" s="39" t="s">
        <v>140</v>
      </c>
      <c r="N810" s="39" t="s">
        <v>157</v>
      </c>
      <c r="O810" s="43">
        <f t="shared" si="252"/>
        <v>28610.23</v>
      </c>
      <c r="P810" s="43">
        <f t="shared" si="253"/>
        <v>22602.080000000002</v>
      </c>
      <c r="Q810" s="43">
        <f t="shared" si="254"/>
        <v>27447.200000000001</v>
      </c>
      <c r="R810" s="43">
        <f t="shared" si="255"/>
        <v>-4845.119999999999</v>
      </c>
      <c r="S810" s="44">
        <f t="shared" si="256"/>
        <v>-0.21436611143753134</v>
      </c>
      <c r="T810" s="39" t="str">
        <f t="shared" si="257"/>
        <v>Loss</v>
      </c>
      <c r="U810" s="39" t="str">
        <f t="shared" si="258"/>
        <v>20%+</v>
      </c>
      <c r="V810" s="39" t="str">
        <f>IF(E810&gt;=Analysis!$B$4,"High",IF(E810&gt;=Analysis!$B$5,"Mid","Low"))</f>
        <v>Low</v>
      </c>
      <c r="W810" s="39" t="str">
        <f t="shared" si="259"/>
        <v>2023-03</v>
      </c>
      <c r="X810" s="40">
        <f t="shared" si="260"/>
        <v>45016</v>
      </c>
      <c r="Y810" s="39" t="str">
        <f t="shared" si="261"/>
        <v>2023-Q1</v>
      </c>
      <c r="Z810" s="39" t="str">
        <f t="shared" si="262"/>
        <v>Sat</v>
      </c>
      <c r="AA810" s="39">
        <f t="shared" si="263"/>
        <v>6</v>
      </c>
      <c r="AB810" s="39">
        <f t="shared" si="264"/>
        <v>13</v>
      </c>
      <c r="AC810" s="39" t="str">
        <f t="shared" si="265"/>
        <v>Weekend</v>
      </c>
      <c r="AD810" s="39">
        <f t="shared" ca="1" si="266"/>
        <v>1309</v>
      </c>
      <c r="AE810" s="39">
        <f t="shared" ca="1" si="267"/>
        <v>42</v>
      </c>
      <c r="AF810" s="39" t="str">
        <f t="shared" si="268"/>
        <v>DAV</v>
      </c>
      <c r="AG810" s="39" t="str">
        <f t="shared" si="269"/>
        <v>ER-230325-0809</v>
      </c>
      <c r="AH810" s="39" t="str">
        <f>IF(AND(OR(Filter!$B$4="All",D810=Filter!$B$4),OR(Filter!$B$5="All",M810=Filter!$B$5),E810&gt;=Filter!$B$6),MAX(AH$1:AH809)+1,"")</f>
        <v/>
      </c>
      <c r="AI810" s="39">
        <f t="shared" si="270"/>
        <v>11</v>
      </c>
      <c r="AJ810" s="42">
        <f t="shared" si="271"/>
        <v>0.21</v>
      </c>
      <c r="AK810" s="41">
        <f t="shared" si="272"/>
        <v>2600.9299999999998</v>
      </c>
      <c r="AL810" s="39">
        <f>RANK(E810,$E$2:$E$1001,0)+COUNTIF($E$2:E810,E810)-1</f>
        <v>841</v>
      </c>
    </row>
    <row r="811" spans="1:38" x14ac:dyDescent="0.2">
      <c r="A811" s="39">
        <v>1006</v>
      </c>
      <c r="B811" s="40">
        <v>44948</v>
      </c>
      <c r="C811" s="39" t="s">
        <v>61</v>
      </c>
      <c r="D811" s="39" t="s">
        <v>69</v>
      </c>
      <c r="E811" s="41">
        <v>5053.5600000000004</v>
      </c>
      <c r="F811" s="39">
        <v>29</v>
      </c>
      <c r="G811" s="39" t="s">
        <v>65</v>
      </c>
      <c r="H811" s="41">
        <v>4353.29</v>
      </c>
      <c r="I811" s="41">
        <v>4405.8</v>
      </c>
      <c r="J811" s="39" t="s">
        <v>143</v>
      </c>
      <c r="K811" s="42">
        <v>0.04</v>
      </c>
      <c r="L811" s="39" t="s">
        <v>63</v>
      </c>
      <c r="M811" s="39" t="s">
        <v>138</v>
      </c>
      <c r="N811" s="39" t="s">
        <v>150</v>
      </c>
      <c r="O811" s="43">
        <f t="shared" si="252"/>
        <v>127768.2</v>
      </c>
      <c r="P811" s="43">
        <f t="shared" si="253"/>
        <v>122657.47</v>
      </c>
      <c r="Q811" s="43">
        <f t="shared" si="254"/>
        <v>126245.41</v>
      </c>
      <c r="R811" s="43">
        <f t="shared" si="255"/>
        <v>-3587.9400000000023</v>
      </c>
      <c r="S811" s="44">
        <f t="shared" si="256"/>
        <v>-2.9251703952478413E-2</v>
      </c>
      <c r="T811" s="39" t="str">
        <f t="shared" si="257"/>
        <v>Loss</v>
      </c>
      <c r="U811" s="39" t="str">
        <f t="shared" si="258"/>
        <v>0-9%</v>
      </c>
      <c r="V811" s="39" t="str">
        <f>IF(E811&gt;=Analysis!$B$4,"High",IF(E811&gt;=Analysis!$B$5,"Mid","Low"))</f>
        <v>Mid</v>
      </c>
      <c r="W811" s="39" t="str">
        <f t="shared" si="259"/>
        <v>2023-01</v>
      </c>
      <c r="X811" s="40">
        <f t="shared" si="260"/>
        <v>44957</v>
      </c>
      <c r="Y811" s="39" t="str">
        <f t="shared" si="261"/>
        <v>2023-Q1</v>
      </c>
      <c r="Z811" s="39" t="str">
        <f t="shared" si="262"/>
        <v>Sun</v>
      </c>
      <c r="AA811" s="39">
        <f t="shared" si="263"/>
        <v>7</v>
      </c>
      <c r="AB811" s="39">
        <f t="shared" si="264"/>
        <v>4</v>
      </c>
      <c r="AC811" s="39" t="str">
        <f t="shared" si="265"/>
        <v>Weekend</v>
      </c>
      <c r="AD811" s="39">
        <f t="shared" ca="1" si="266"/>
        <v>1371</v>
      </c>
      <c r="AE811" s="39">
        <f t="shared" ca="1" si="267"/>
        <v>45</v>
      </c>
      <c r="AF811" s="39" t="str">
        <f t="shared" si="268"/>
        <v>ALI</v>
      </c>
      <c r="AG811" s="39" t="str">
        <f t="shared" si="269"/>
        <v>SO-230122-0810</v>
      </c>
      <c r="AH811" s="39" t="str">
        <f>IF(AND(OR(Filter!$B$4="All",D811=Filter!$B$4),OR(Filter!$B$5="All",M811=Filter!$B$5),E811&gt;=Filter!$B$6),MAX(AH$1:AH810)+1,"")</f>
        <v/>
      </c>
      <c r="AI811" s="39">
        <f t="shared" si="270"/>
        <v>29</v>
      </c>
      <c r="AJ811" s="42">
        <f t="shared" si="271"/>
        <v>0.04</v>
      </c>
      <c r="AK811" s="41">
        <f t="shared" si="272"/>
        <v>4405.8</v>
      </c>
      <c r="AL811" s="39">
        <f>RANK(E811,$E$2:$E$1001,0)+COUNTIF($E$2:E811,E811)-1</f>
        <v>497</v>
      </c>
    </row>
    <row r="812" spans="1:38" x14ac:dyDescent="0.2">
      <c r="A812" s="39">
        <v>1092</v>
      </c>
      <c r="B812" s="40">
        <v>44953</v>
      </c>
      <c r="C812" s="39" t="s">
        <v>76</v>
      </c>
      <c r="D812" s="39" t="s">
        <v>74</v>
      </c>
      <c r="E812" s="41">
        <v>6939.75</v>
      </c>
      <c r="F812" s="39">
        <v>26</v>
      </c>
      <c r="G812" s="39" t="s">
        <v>75</v>
      </c>
      <c r="H812" s="41">
        <v>3697.29</v>
      </c>
      <c r="I812" s="41">
        <v>4003.96</v>
      </c>
      <c r="J812" s="39" t="s">
        <v>143</v>
      </c>
      <c r="K812" s="42">
        <v>0.24</v>
      </c>
      <c r="L812" s="39" t="s">
        <v>68</v>
      </c>
      <c r="M812" s="39" t="s">
        <v>138</v>
      </c>
      <c r="N812" s="39" t="s">
        <v>154</v>
      </c>
      <c r="O812" s="43">
        <f t="shared" si="252"/>
        <v>104102.96</v>
      </c>
      <c r="P812" s="43">
        <f t="shared" si="253"/>
        <v>79118.25</v>
      </c>
      <c r="Q812" s="43">
        <f t="shared" si="254"/>
        <v>96129.54</v>
      </c>
      <c r="R812" s="43">
        <f t="shared" si="255"/>
        <v>-17011.289999999994</v>
      </c>
      <c r="S812" s="44">
        <f t="shared" si="256"/>
        <v>-0.21501094880131946</v>
      </c>
      <c r="T812" s="39" t="str">
        <f t="shared" si="257"/>
        <v>Loss</v>
      </c>
      <c r="U812" s="39" t="str">
        <f t="shared" si="258"/>
        <v>20%+</v>
      </c>
      <c r="V812" s="39" t="str">
        <f>IF(E812&gt;=Analysis!$B$4,"High",IF(E812&gt;=Analysis!$B$5,"Mid","Low"))</f>
        <v>Mid</v>
      </c>
      <c r="W812" s="39" t="str">
        <f t="shared" si="259"/>
        <v>2023-01</v>
      </c>
      <c r="X812" s="40">
        <f t="shared" si="260"/>
        <v>44957</v>
      </c>
      <c r="Y812" s="39" t="str">
        <f t="shared" si="261"/>
        <v>2023-Q1</v>
      </c>
      <c r="Z812" s="39" t="str">
        <f t="shared" si="262"/>
        <v>Fri</v>
      </c>
      <c r="AA812" s="39">
        <f t="shared" si="263"/>
        <v>5</v>
      </c>
      <c r="AB812" s="39">
        <f t="shared" si="264"/>
        <v>5</v>
      </c>
      <c r="AC812" s="39" t="str">
        <f t="shared" si="265"/>
        <v>Weekday</v>
      </c>
      <c r="AD812" s="39">
        <f t="shared" ca="1" si="266"/>
        <v>1366</v>
      </c>
      <c r="AE812" s="39">
        <f t="shared" ca="1" si="267"/>
        <v>44</v>
      </c>
      <c r="AF812" s="39" t="str">
        <f t="shared" si="268"/>
        <v>DAV</v>
      </c>
      <c r="AG812" s="39" t="str">
        <f t="shared" si="269"/>
        <v>WO-230127-0811</v>
      </c>
      <c r="AH812" s="39" t="str">
        <f>IF(AND(OR(Filter!$B$4="All",D812=Filter!$B$4),OR(Filter!$B$5="All",M812=Filter!$B$5),E812&gt;=Filter!$B$6),MAX(AH$1:AH811)+1,"")</f>
        <v/>
      </c>
      <c r="AI812" s="39">
        <f t="shared" si="270"/>
        <v>26</v>
      </c>
      <c r="AJ812" s="42">
        <f t="shared" si="271"/>
        <v>0.24</v>
      </c>
      <c r="AK812" s="41">
        <f t="shared" si="272"/>
        <v>4003.96</v>
      </c>
      <c r="AL812" s="39">
        <f>RANK(E812,$E$2:$E$1001,0)+COUNTIF($E$2:E812,E812)-1</f>
        <v>311</v>
      </c>
    </row>
    <row r="813" spans="1:38" x14ac:dyDescent="0.2">
      <c r="A813" s="39">
        <v>1081</v>
      </c>
      <c r="B813" s="40">
        <v>45121</v>
      </c>
      <c r="C813" s="39" t="s">
        <v>79</v>
      </c>
      <c r="D813" s="39" t="s">
        <v>64</v>
      </c>
      <c r="E813" s="41">
        <v>7001.64</v>
      </c>
      <c r="F813" s="39">
        <v>16</v>
      </c>
      <c r="G813" s="39" t="s">
        <v>60</v>
      </c>
      <c r="H813" s="41">
        <v>2530.15</v>
      </c>
      <c r="I813" s="41">
        <v>2568.13</v>
      </c>
      <c r="J813" s="39" t="s">
        <v>143</v>
      </c>
      <c r="K813" s="42">
        <v>0.01</v>
      </c>
      <c r="L813" s="39" t="s">
        <v>73</v>
      </c>
      <c r="M813" s="39" t="s">
        <v>138</v>
      </c>
      <c r="N813" s="39" t="s">
        <v>148</v>
      </c>
      <c r="O813" s="43">
        <f t="shared" si="252"/>
        <v>41090.080000000002</v>
      </c>
      <c r="P813" s="43">
        <f t="shared" si="253"/>
        <v>40679.18</v>
      </c>
      <c r="Q813" s="43">
        <f t="shared" si="254"/>
        <v>40482.400000000001</v>
      </c>
      <c r="R813" s="43">
        <f t="shared" si="255"/>
        <v>196.77999999999884</v>
      </c>
      <c r="S813" s="44">
        <f t="shared" si="256"/>
        <v>4.8373639783299179E-3</v>
      </c>
      <c r="T813" s="39" t="str">
        <f t="shared" si="257"/>
        <v>OK</v>
      </c>
      <c r="U813" s="39" t="str">
        <f t="shared" si="258"/>
        <v>0-9%</v>
      </c>
      <c r="V813" s="39" t="str">
        <f>IF(E813&gt;=Analysis!$B$4,"High",IF(E813&gt;=Analysis!$B$5,"Mid","Low"))</f>
        <v>Mid</v>
      </c>
      <c r="W813" s="39" t="str">
        <f t="shared" si="259"/>
        <v>2023-07</v>
      </c>
      <c r="X813" s="40">
        <f t="shared" si="260"/>
        <v>45138</v>
      </c>
      <c r="Y813" s="39" t="str">
        <f t="shared" si="261"/>
        <v>2023-Q3</v>
      </c>
      <c r="Z813" s="39" t="str">
        <f t="shared" si="262"/>
        <v>Fri</v>
      </c>
      <c r="AA813" s="39">
        <f t="shared" si="263"/>
        <v>5</v>
      </c>
      <c r="AB813" s="39">
        <f t="shared" si="264"/>
        <v>29</v>
      </c>
      <c r="AC813" s="39" t="str">
        <f t="shared" si="265"/>
        <v>Weekday</v>
      </c>
      <c r="AD813" s="39">
        <f t="shared" ca="1" si="266"/>
        <v>1198</v>
      </c>
      <c r="AE813" s="39">
        <f t="shared" ca="1" si="267"/>
        <v>39</v>
      </c>
      <c r="AF813" s="39" t="str">
        <f t="shared" si="268"/>
        <v>EVE</v>
      </c>
      <c r="AG813" s="39" t="str">
        <f t="shared" si="269"/>
        <v>NO-230714-0812</v>
      </c>
      <c r="AH813" s="39" t="str">
        <f>IF(AND(OR(Filter!$B$4="All",D813=Filter!$B$4),OR(Filter!$B$5="All",M813=Filter!$B$5),E813&gt;=Filter!$B$6),MAX(AH$1:AH812)+1,"")</f>
        <v/>
      </c>
      <c r="AI813" s="39">
        <f t="shared" si="270"/>
        <v>16</v>
      </c>
      <c r="AJ813" s="42">
        <f t="shared" si="271"/>
        <v>0.01</v>
      </c>
      <c r="AK813" s="41">
        <f t="shared" si="272"/>
        <v>2568.13</v>
      </c>
      <c r="AL813" s="39">
        <f>RANK(E813,$E$2:$E$1001,0)+COUNTIF($E$2:E813,E813)-1</f>
        <v>302</v>
      </c>
    </row>
    <row r="814" spans="1:38" x14ac:dyDescent="0.2">
      <c r="A814" s="39">
        <v>1069</v>
      </c>
      <c r="B814" s="40">
        <v>45263</v>
      </c>
      <c r="C814" s="39" t="s">
        <v>76</v>
      </c>
      <c r="D814" s="39" t="s">
        <v>64</v>
      </c>
      <c r="E814" s="41">
        <v>6521.53</v>
      </c>
      <c r="F814" s="39">
        <v>35</v>
      </c>
      <c r="G814" s="39" t="s">
        <v>65</v>
      </c>
      <c r="H814" s="41">
        <v>2885.16</v>
      </c>
      <c r="I814" s="41">
        <v>3224.84</v>
      </c>
      <c r="J814" s="39" t="s">
        <v>143</v>
      </c>
      <c r="K814" s="42">
        <v>0.14000000000000001</v>
      </c>
      <c r="L814" s="39" t="s">
        <v>68</v>
      </c>
      <c r="M814" s="39" t="s">
        <v>138</v>
      </c>
      <c r="N814" s="39" t="s">
        <v>152</v>
      </c>
      <c r="O814" s="43">
        <f t="shared" si="252"/>
        <v>112869.4</v>
      </c>
      <c r="P814" s="43">
        <f t="shared" si="253"/>
        <v>97067.68</v>
      </c>
      <c r="Q814" s="43">
        <f t="shared" si="254"/>
        <v>100980.6</v>
      </c>
      <c r="R814" s="43">
        <f t="shared" si="255"/>
        <v>-3912.9200000000128</v>
      </c>
      <c r="S814" s="44">
        <f t="shared" si="256"/>
        <v>-4.0311254992393068E-2</v>
      </c>
      <c r="T814" s="39" t="str">
        <f t="shared" si="257"/>
        <v>Loss</v>
      </c>
      <c r="U814" s="39" t="str">
        <f t="shared" si="258"/>
        <v>10-19%</v>
      </c>
      <c r="V814" s="39" t="str">
        <f>IF(E814&gt;=Analysis!$B$4,"High",IF(E814&gt;=Analysis!$B$5,"Mid","Low"))</f>
        <v>Mid</v>
      </c>
      <c r="W814" s="39" t="str">
        <f t="shared" si="259"/>
        <v>2023-12</v>
      </c>
      <c r="X814" s="40">
        <f t="shared" si="260"/>
        <v>45291</v>
      </c>
      <c r="Y814" s="39" t="str">
        <f t="shared" si="261"/>
        <v>2023-Q4</v>
      </c>
      <c r="Z814" s="39" t="str">
        <f t="shared" si="262"/>
        <v>Sun</v>
      </c>
      <c r="AA814" s="39">
        <f t="shared" si="263"/>
        <v>7</v>
      </c>
      <c r="AB814" s="39">
        <f t="shared" si="264"/>
        <v>49</v>
      </c>
      <c r="AC814" s="39" t="str">
        <f t="shared" si="265"/>
        <v>Weekend</v>
      </c>
      <c r="AD814" s="39">
        <f t="shared" ca="1" si="266"/>
        <v>1056</v>
      </c>
      <c r="AE814" s="39">
        <f t="shared" ca="1" si="267"/>
        <v>34</v>
      </c>
      <c r="AF814" s="39" t="str">
        <f t="shared" si="268"/>
        <v>DAV</v>
      </c>
      <c r="AG814" s="39" t="str">
        <f t="shared" si="269"/>
        <v>NO-231203-0813</v>
      </c>
      <c r="AH814" s="39" t="str">
        <f>IF(AND(OR(Filter!$B$4="All",D814=Filter!$B$4),OR(Filter!$B$5="All",M814=Filter!$B$5),E814&gt;=Filter!$B$6),MAX(AH$1:AH813)+1,"")</f>
        <v/>
      </c>
      <c r="AI814" s="39">
        <f t="shared" si="270"/>
        <v>35</v>
      </c>
      <c r="AJ814" s="42">
        <f t="shared" si="271"/>
        <v>0.14000000000000001</v>
      </c>
      <c r="AK814" s="41">
        <f t="shared" si="272"/>
        <v>3224.84</v>
      </c>
      <c r="AL814" s="39">
        <f>RANK(E814,$E$2:$E$1001,0)+COUNTIF($E$2:E814,E814)-1</f>
        <v>358</v>
      </c>
    </row>
    <row r="815" spans="1:38" x14ac:dyDescent="0.2">
      <c r="A815" s="39">
        <v>1095</v>
      </c>
      <c r="B815" s="40">
        <v>45162</v>
      </c>
      <c r="C815" s="39" t="s">
        <v>66</v>
      </c>
      <c r="D815" s="39" t="s">
        <v>74</v>
      </c>
      <c r="E815" s="41">
        <v>2825.35</v>
      </c>
      <c r="F815" s="39">
        <v>20</v>
      </c>
      <c r="G815" s="39" t="s">
        <v>70</v>
      </c>
      <c r="H815" s="41">
        <v>729.27</v>
      </c>
      <c r="I815" s="41">
        <v>999.18</v>
      </c>
      <c r="J815" s="39" t="s">
        <v>143</v>
      </c>
      <c r="K815" s="42">
        <v>0.1</v>
      </c>
      <c r="L815" s="39" t="s">
        <v>63</v>
      </c>
      <c r="M815" s="39" t="s">
        <v>138</v>
      </c>
      <c r="N815" s="39" t="s">
        <v>141</v>
      </c>
      <c r="O815" s="43">
        <f t="shared" si="252"/>
        <v>19983.599999999999</v>
      </c>
      <c r="P815" s="43">
        <f t="shared" si="253"/>
        <v>17985.240000000002</v>
      </c>
      <c r="Q815" s="43">
        <f t="shared" si="254"/>
        <v>14585.4</v>
      </c>
      <c r="R815" s="43">
        <f t="shared" si="255"/>
        <v>3399.840000000002</v>
      </c>
      <c r="S815" s="44">
        <f t="shared" si="256"/>
        <v>0.18903500870713993</v>
      </c>
      <c r="T815" s="39" t="str">
        <f t="shared" si="257"/>
        <v>OK</v>
      </c>
      <c r="U815" s="39" t="str">
        <f t="shared" si="258"/>
        <v>10-19%</v>
      </c>
      <c r="V815" s="39" t="str">
        <f>IF(E815&gt;=Analysis!$B$4,"High",IF(E815&gt;=Analysis!$B$5,"Mid","Low"))</f>
        <v>Mid</v>
      </c>
      <c r="W815" s="39" t="str">
        <f t="shared" si="259"/>
        <v>2023-08</v>
      </c>
      <c r="X815" s="40">
        <f t="shared" si="260"/>
        <v>45169</v>
      </c>
      <c r="Y815" s="39" t="str">
        <f t="shared" si="261"/>
        <v>2023-Q3</v>
      </c>
      <c r="Z815" s="39" t="str">
        <f t="shared" si="262"/>
        <v>Thu</v>
      </c>
      <c r="AA815" s="39">
        <f t="shared" si="263"/>
        <v>4</v>
      </c>
      <c r="AB815" s="39">
        <f t="shared" si="264"/>
        <v>35</v>
      </c>
      <c r="AC815" s="39" t="str">
        <f t="shared" si="265"/>
        <v>Weekday</v>
      </c>
      <c r="AD815" s="39">
        <f t="shared" ca="1" si="266"/>
        <v>1157</v>
      </c>
      <c r="AE815" s="39">
        <f t="shared" ca="1" si="267"/>
        <v>38</v>
      </c>
      <c r="AF815" s="39" t="str">
        <f t="shared" si="268"/>
        <v>BOB</v>
      </c>
      <c r="AG815" s="39" t="str">
        <f t="shared" si="269"/>
        <v>WO-230824-0814</v>
      </c>
      <c r="AH815" s="39" t="str">
        <f>IF(AND(OR(Filter!$B$4="All",D815=Filter!$B$4),OR(Filter!$B$5="All",M815=Filter!$B$5),E815&gt;=Filter!$B$6),MAX(AH$1:AH814)+1,"")</f>
        <v/>
      </c>
      <c r="AI815" s="39">
        <f t="shared" si="270"/>
        <v>20</v>
      </c>
      <c r="AJ815" s="42">
        <f t="shared" si="271"/>
        <v>0.1</v>
      </c>
      <c r="AK815" s="41">
        <f t="shared" si="272"/>
        <v>999.18</v>
      </c>
      <c r="AL815" s="39">
        <f>RANK(E815,$E$2:$E$1001,0)+COUNTIF($E$2:E815,E815)-1</f>
        <v>714</v>
      </c>
    </row>
    <row r="816" spans="1:38" x14ac:dyDescent="0.2">
      <c r="A816" s="39">
        <v>1005</v>
      </c>
      <c r="B816" s="40">
        <v>45018</v>
      </c>
      <c r="C816" s="39" t="s">
        <v>76</v>
      </c>
      <c r="D816" s="39" t="s">
        <v>69</v>
      </c>
      <c r="E816" s="41">
        <v>1646.45</v>
      </c>
      <c r="F816" s="39">
        <v>46</v>
      </c>
      <c r="G816" s="39" t="s">
        <v>75</v>
      </c>
      <c r="H816" s="41">
        <v>4691.42</v>
      </c>
      <c r="I816" s="41">
        <v>5026.1899999999996</v>
      </c>
      <c r="J816" s="39" t="s">
        <v>137</v>
      </c>
      <c r="K816" s="42">
        <v>0.22</v>
      </c>
      <c r="L816" s="39" t="s">
        <v>63</v>
      </c>
      <c r="M816" s="39" t="s">
        <v>140</v>
      </c>
      <c r="N816" s="39" t="s">
        <v>142</v>
      </c>
      <c r="O816" s="43">
        <f t="shared" si="252"/>
        <v>231204.74</v>
      </c>
      <c r="P816" s="43">
        <f t="shared" si="253"/>
        <v>180339.7</v>
      </c>
      <c r="Q816" s="43">
        <f t="shared" si="254"/>
        <v>215805.32</v>
      </c>
      <c r="R816" s="43">
        <f t="shared" si="255"/>
        <v>-35465.619999999995</v>
      </c>
      <c r="S816" s="44">
        <f t="shared" si="256"/>
        <v>-0.19666008094723453</v>
      </c>
      <c r="T816" s="39" t="str">
        <f t="shared" si="257"/>
        <v>Loss</v>
      </c>
      <c r="U816" s="39" t="str">
        <f t="shared" si="258"/>
        <v>20%+</v>
      </c>
      <c r="V816" s="39" t="str">
        <f>IF(E816&gt;=Analysis!$B$4,"High",IF(E816&gt;=Analysis!$B$5,"Mid","Low"))</f>
        <v>Low</v>
      </c>
      <c r="W816" s="39" t="str">
        <f t="shared" si="259"/>
        <v>2023-04</v>
      </c>
      <c r="X816" s="40">
        <f t="shared" si="260"/>
        <v>45046</v>
      </c>
      <c r="Y816" s="39" t="str">
        <f t="shared" si="261"/>
        <v>2023-Q2</v>
      </c>
      <c r="Z816" s="39" t="str">
        <f t="shared" si="262"/>
        <v>Sun</v>
      </c>
      <c r="AA816" s="39">
        <f t="shared" si="263"/>
        <v>7</v>
      </c>
      <c r="AB816" s="39">
        <f t="shared" si="264"/>
        <v>14</v>
      </c>
      <c r="AC816" s="39" t="str">
        <f t="shared" si="265"/>
        <v>Weekend</v>
      </c>
      <c r="AD816" s="39">
        <f t="shared" ca="1" si="266"/>
        <v>1301</v>
      </c>
      <c r="AE816" s="39">
        <f t="shared" ca="1" si="267"/>
        <v>42</v>
      </c>
      <c r="AF816" s="39" t="str">
        <f t="shared" si="268"/>
        <v>DAV</v>
      </c>
      <c r="AG816" s="39" t="str">
        <f t="shared" si="269"/>
        <v>SR-230402-0815</v>
      </c>
      <c r="AH816" s="39" t="str">
        <f>IF(AND(OR(Filter!$B$4="All",D816=Filter!$B$4),OR(Filter!$B$5="All",M816=Filter!$B$5),E816&gt;=Filter!$B$6),MAX(AH$1:AH815)+1,"")</f>
        <v/>
      </c>
      <c r="AI816" s="39">
        <f t="shared" si="270"/>
        <v>46</v>
      </c>
      <c r="AJ816" s="42">
        <f t="shared" si="271"/>
        <v>0.22</v>
      </c>
      <c r="AK816" s="41">
        <f t="shared" si="272"/>
        <v>5026.1899999999996</v>
      </c>
      <c r="AL816" s="39">
        <f>RANK(E816,$E$2:$E$1001,0)+COUNTIF($E$2:E816,E816)-1</f>
        <v>855</v>
      </c>
    </row>
    <row r="817" spans="1:38" x14ac:dyDescent="0.2">
      <c r="A817" s="39">
        <v>1003</v>
      </c>
      <c r="B817" s="40">
        <v>44947</v>
      </c>
      <c r="C817" s="39" t="s">
        <v>71</v>
      </c>
      <c r="D817" s="39" t="s">
        <v>64</v>
      </c>
      <c r="E817" s="41">
        <v>6395.81</v>
      </c>
      <c r="F817" s="39">
        <v>3</v>
      </c>
      <c r="G817" s="39" t="s">
        <v>75</v>
      </c>
      <c r="H817" s="41">
        <v>1792.05</v>
      </c>
      <c r="I817" s="41">
        <v>2091.23</v>
      </c>
      <c r="J817" s="39" t="s">
        <v>137</v>
      </c>
      <c r="K817" s="42">
        <v>0.09</v>
      </c>
      <c r="L817" s="39" t="s">
        <v>68</v>
      </c>
      <c r="M817" s="39" t="s">
        <v>140</v>
      </c>
      <c r="N817" s="39" t="s">
        <v>160</v>
      </c>
      <c r="O817" s="43">
        <f t="shared" si="252"/>
        <v>6273.69</v>
      </c>
      <c r="P817" s="43">
        <f t="shared" si="253"/>
        <v>5709.06</v>
      </c>
      <c r="Q817" s="43">
        <f t="shared" si="254"/>
        <v>5376.15</v>
      </c>
      <c r="R817" s="43">
        <f t="shared" si="255"/>
        <v>332.91000000000076</v>
      </c>
      <c r="S817" s="44">
        <f t="shared" si="256"/>
        <v>5.8312576851530858E-2</v>
      </c>
      <c r="T817" s="39" t="str">
        <f t="shared" si="257"/>
        <v>OK</v>
      </c>
      <c r="U817" s="39" t="str">
        <f t="shared" si="258"/>
        <v>0-9%</v>
      </c>
      <c r="V817" s="39" t="str">
        <f>IF(E817&gt;=Analysis!$B$4,"High",IF(E817&gt;=Analysis!$B$5,"Mid","Low"))</f>
        <v>Mid</v>
      </c>
      <c r="W817" s="39" t="str">
        <f t="shared" si="259"/>
        <v>2023-01</v>
      </c>
      <c r="X817" s="40">
        <f t="shared" si="260"/>
        <v>44957</v>
      </c>
      <c r="Y817" s="39" t="str">
        <f t="shared" si="261"/>
        <v>2023-Q1</v>
      </c>
      <c r="Z817" s="39" t="str">
        <f t="shared" si="262"/>
        <v>Sat</v>
      </c>
      <c r="AA817" s="39">
        <f t="shared" si="263"/>
        <v>6</v>
      </c>
      <c r="AB817" s="39">
        <f t="shared" si="264"/>
        <v>4</v>
      </c>
      <c r="AC817" s="39" t="str">
        <f t="shared" si="265"/>
        <v>Weekend</v>
      </c>
      <c r="AD817" s="39">
        <f t="shared" ca="1" si="266"/>
        <v>1372</v>
      </c>
      <c r="AE817" s="39">
        <f t="shared" ca="1" si="267"/>
        <v>45</v>
      </c>
      <c r="AF817" s="39" t="str">
        <f t="shared" si="268"/>
        <v>CHA</v>
      </c>
      <c r="AG817" s="39" t="str">
        <f t="shared" si="269"/>
        <v>NR-230121-0816</v>
      </c>
      <c r="AH817" s="39" t="str">
        <f>IF(AND(OR(Filter!$B$4="All",D817=Filter!$B$4),OR(Filter!$B$5="All",M817=Filter!$B$5),E817&gt;=Filter!$B$6),MAX(AH$1:AH816)+1,"")</f>
        <v/>
      </c>
      <c r="AI817" s="39">
        <f t="shared" si="270"/>
        <v>3</v>
      </c>
      <c r="AJ817" s="42">
        <f t="shared" si="271"/>
        <v>0.09</v>
      </c>
      <c r="AK817" s="41">
        <f t="shared" si="272"/>
        <v>2091.23</v>
      </c>
      <c r="AL817" s="39">
        <f>RANK(E817,$E$2:$E$1001,0)+COUNTIF($E$2:E817,E817)-1</f>
        <v>369</v>
      </c>
    </row>
    <row r="818" spans="1:38" x14ac:dyDescent="0.2">
      <c r="A818" s="39">
        <v>1053</v>
      </c>
      <c r="B818" s="40">
        <v>45229</v>
      </c>
      <c r="C818" s="39" t="s">
        <v>76</v>
      </c>
      <c r="D818" s="39" t="s">
        <v>64</v>
      </c>
      <c r="E818" s="41">
        <v>6033.09</v>
      </c>
      <c r="F818" s="39">
        <v>1</v>
      </c>
      <c r="G818" s="39" t="s">
        <v>70</v>
      </c>
      <c r="H818" s="41">
        <v>2258.44</v>
      </c>
      <c r="I818" s="41">
        <v>2475.56</v>
      </c>
      <c r="J818" s="39" t="s">
        <v>143</v>
      </c>
      <c r="K818" s="42">
        <v>0.25</v>
      </c>
      <c r="L818" s="39" t="s">
        <v>68</v>
      </c>
      <c r="M818" s="39" t="s">
        <v>138</v>
      </c>
      <c r="N818" s="39" t="s">
        <v>152</v>
      </c>
      <c r="O818" s="43">
        <f t="shared" si="252"/>
        <v>2475.56</v>
      </c>
      <c r="P818" s="43">
        <f t="shared" si="253"/>
        <v>1856.67</v>
      </c>
      <c r="Q818" s="43">
        <f t="shared" si="254"/>
        <v>2258.44</v>
      </c>
      <c r="R818" s="43">
        <f t="shared" si="255"/>
        <v>-401.77</v>
      </c>
      <c r="S818" s="44">
        <f t="shared" si="256"/>
        <v>-0.21639278924095287</v>
      </c>
      <c r="T818" s="39" t="str">
        <f t="shared" si="257"/>
        <v>Loss</v>
      </c>
      <c r="U818" s="39" t="str">
        <f t="shared" si="258"/>
        <v>20%+</v>
      </c>
      <c r="V818" s="39" t="str">
        <f>IF(E818&gt;=Analysis!$B$4,"High",IF(E818&gt;=Analysis!$B$5,"Mid","Low"))</f>
        <v>Mid</v>
      </c>
      <c r="W818" s="39" t="str">
        <f t="shared" si="259"/>
        <v>2023-10</v>
      </c>
      <c r="X818" s="40">
        <f t="shared" si="260"/>
        <v>45230</v>
      </c>
      <c r="Y818" s="39" t="str">
        <f t="shared" si="261"/>
        <v>2023-Q4</v>
      </c>
      <c r="Z818" s="39" t="str">
        <f t="shared" si="262"/>
        <v>Mon</v>
      </c>
      <c r="AA818" s="39">
        <f t="shared" si="263"/>
        <v>1</v>
      </c>
      <c r="AB818" s="39">
        <f t="shared" si="264"/>
        <v>45</v>
      </c>
      <c r="AC818" s="39" t="str">
        <f t="shared" si="265"/>
        <v>Weekday</v>
      </c>
      <c r="AD818" s="39">
        <f t="shared" ca="1" si="266"/>
        <v>1090</v>
      </c>
      <c r="AE818" s="39">
        <f t="shared" ca="1" si="267"/>
        <v>35</v>
      </c>
      <c r="AF818" s="39" t="str">
        <f t="shared" si="268"/>
        <v>DAV</v>
      </c>
      <c r="AG818" s="39" t="str">
        <f t="shared" si="269"/>
        <v>NO-231030-0817</v>
      </c>
      <c r="AH818" s="39" t="str">
        <f>IF(AND(OR(Filter!$B$4="All",D818=Filter!$B$4),OR(Filter!$B$5="All",M818=Filter!$B$5),E818&gt;=Filter!$B$6),MAX(AH$1:AH817)+1,"")</f>
        <v/>
      </c>
      <c r="AI818" s="39">
        <f t="shared" si="270"/>
        <v>1</v>
      </c>
      <c r="AJ818" s="42">
        <f t="shared" si="271"/>
        <v>0.25</v>
      </c>
      <c r="AK818" s="41">
        <f t="shared" si="272"/>
        <v>2475.56</v>
      </c>
      <c r="AL818" s="39">
        <f>RANK(E818,$E$2:$E$1001,0)+COUNTIF($E$2:E818,E818)-1</f>
        <v>402</v>
      </c>
    </row>
    <row r="819" spans="1:38" x14ac:dyDescent="0.2">
      <c r="A819" s="39">
        <v>1023</v>
      </c>
      <c r="B819" s="40">
        <v>45283</v>
      </c>
      <c r="C819" s="39" t="s">
        <v>66</v>
      </c>
      <c r="D819" s="39" t="s">
        <v>59</v>
      </c>
      <c r="E819" s="41">
        <v>1875.62</v>
      </c>
      <c r="F819" s="39">
        <v>47</v>
      </c>
      <c r="G819" s="39" t="s">
        <v>65</v>
      </c>
      <c r="H819" s="41">
        <v>3374.72</v>
      </c>
      <c r="I819" s="41">
        <v>3483.15</v>
      </c>
      <c r="J819" s="39" t="s">
        <v>137</v>
      </c>
      <c r="K819" s="42">
        <v>0.18</v>
      </c>
      <c r="L819" s="39" t="s">
        <v>68</v>
      </c>
      <c r="M819" s="39" t="s">
        <v>138</v>
      </c>
      <c r="N819" s="39" t="s">
        <v>153</v>
      </c>
      <c r="O819" s="43">
        <f t="shared" si="252"/>
        <v>163708.04999999999</v>
      </c>
      <c r="P819" s="43">
        <f t="shared" si="253"/>
        <v>134240.6</v>
      </c>
      <c r="Q819" s="43">
        <f t="shared" si="254"/>
        <v>158611.84</v>
      </c>
      <c r="R819" s="43">
        <f t="shared" si="255"/>
        <v>-24371.239999999991</v>
      </c>
      <c r="S819" s="44">
        <f t="shared" si="256"/>
        <v>-0.18154895016857783</v>
      </c>
      <c r="T819" s="39" t="str">
        <f t="shared" si="257"/>
        <v>Loss</v>
      </c>
      <c r="U819" s="39" t="str">
        <f t="shared" si="258"/>
        <v>10-19%</v>
      </c>
      <c r="V819" s="39" t="str">
        <f>IF(E819&gt;=Analysis!$B$4,"High",IF(E819&gt;=Analysis!$B$5,"Mid","Low"))</f>
        <v>Low</v>
      </c>
      <c r="W819" s="39" t="str">
        <f t="shared" si="259"/>
        <v>2023-12</v>
      </c>
      <c r="X819" s="40">
        <f t="shared" si="260"/>
        <v>45291</v>
      </c>
      <c r="Y819" s="39" t="str">
        <f t="shared" si="261"/>
        <v>2023-Q4</v>
      </c>
      <c r="Z819" s="39" t="str">
        <f t="shared" si="262"/>
        <v>Sat</v>
      </c>
      <c r="AA819" s="39">
        <f t="shared" si="263"/>
        <v>6</v>
      </c>
      <c r="AB819" s="39">
        <f t="shared" si="264"/>
        <v>52</v>
      </c>
      <c r="AC819" s="39" t="str">
        <f t="shared" si="265"/>
        <v>Weekend</v>
      </c>
      <c r="AD819" s="39">
        <f t="shared" ca="1" si="266"/>
        <v>1036</v>
      </c>
      <c r="AE819" s="39">
        <f t="shared" ca="1" si="267"/>
        <v>34</v>
      </c>
      <c r="AF819" s="39" t="str">
        <f t="shared" si="268"/>
        <v>BOB</v>
      </c>
      <c r="AG819" s="39" t="str">
        <f t="shared" si="269"/>
        <v>EO-231223-0818</v>
      </c>
      <c r="AH819" s="39" t="str">
        <f>IF(AND(OR(Filter!$B$4="All",D819=Filter!$B$4),OR(Filter!$B$5="All",M819=Filter!$B$5),E819&gt;=Filter!$B$6),MAX(AH$1:AH818)+1,"")</f>
        <v/>
      </c>
      <c r="AI819" s="39">
        <f t="shared" si="270"/>
        <v>47</v>
      </c>
      <c r="AJ819" s="42">
        <f t="shared" si="271"/>
        <v>0.18</v>
      </c>
      <c r="AK819" s="41">
        <f t="shared" si="272"/>
        <v>3483.15</v>
      </c>
      <c r="AL819" s="39">
        <f>RANK(E819,$E$2:$E$1001,0)+COUNTIF($E$2:E819,E819)-1</f>
        <v>831</v>
      </c>
    </row>
    <row r="820" spans="1:38" x14ac:dyDescent="0.2">
      <c r="A820" s="39">
        <v>1053</v>
      </c>
      <c r="B820" s="40">
        <v>45010</v>
      </c>
      <c r="C820" s="39" t="s">
        <v>66</v>
      </c>
      <c r="D820" s="39" t="s">
        <v>59</v>
      </c>
      <c r="E820" s="41">
        <v>7080.88</v>
      </c>
      <c r="F820" s="39">
        <v>1</v>
      </c>
      <c r="G820" s="39" t="s">
        <v>60</v>
      </c>
      <c r="H820" s="41">
        <v>1702.82</v>
      </c>
      <c r="I820" s="41">
        <v>1862.61</v>
      </c>
      <c r="J820" s="39" t="s">
        <v>137</v>
      </c>
      <c r="K820" s="42">
        <v>0.24</v>
      </c>
      <c r="L820" s="39" t="s">
        <v>68</v>
      </c>
      <c r="M820" s="39" t="s">
        <v>140</v>
      </c>
      <c r="N820" s="39" t="s">
        <v>153</v>
      </c>
      <c r="O820" s="43">
        <f t="shared" si="252"/>
        <v>1862.61</v>
      </c>
      <c r="P820" s="43">
        <f t="shared" si="253"/>
        <v>1415.58</v>
      </c>
      <c r="Q820" s="43">
        <f t="shared" si="254"/>
        <v>1702.82</v>
      </c>
      <c r="R820" s="43">
        <f t="shared" si="255"/>
        <v>-287.24</v>
      </c>
      <c r="S820" s="44">
        <f t="shared" si="256"/>
        <v>-0.20291329349100723</v>
      </c>
      <c r="T820" s="39" t="str">
        <f t="shared" si="257"/>
        <v>Loss</v>
      </c>
      <c r="U820" s="39" t="str">
        <f t="shared" si="258"/>
        <v>20%+</v>
      </c>
      <c r="V820" s="39" t="str">
        <f>IF(E820&gt;=Analysis!$B$4,"High",IF(E820&gt;=Analysis!$B$5,"Mid","Low"))</f>
        <v>Mid</v>
      </c>
      <c r="W820" s="39" t="str">
        <f t="shared" si="259"/>
        <v>2023-03</v>
      </c>
      <c r="X820" s="40">
        <f t="shared" si="260"/>
        <v>45016</v>
      </c>
      <c r="Y820" s="39" t="str">
        <f t="shared" si="261"/>
        <v>2023-Q1</v>
      </c>
      <c r="Z820" s="39" t="str">
        <f t="shared" si="262"/>
        <v>Sat</v>
      </c>
      <c r="AA820" s="39">
        <f t="shared" si="263"/>
        <v>6</v>
      </c>
      <c r="AB820" s="39">
        <f t="shared" si="264"/>
        <v>13</v>
      </c>
      <c r="AC820" s="39" t="str">
        <f t="shared" si="265"/>
        <v>Weekend</v>
      </c>
      <c r="AD820" s="39">
        <f t="shared" ca="1" si="266"/>
        <v>1309</v>
      </c>
      <c r="AE820" s="39">
        <f t="shared" ca="1" si="267"/>
        <v>42</v>
      </c>
      <c r="AF820" s="39" t="str">
        <f t="shared" si="268"/>
        <v>BOB</v>
      </c>
      <c r="AG820" s="39" t="str">
        <f t="shared" si="269"/>
        <v>ER-230325-0819</v>
      </c>
      <c r="AH820" s="39" t="str">
        <f>IF(AND(OR(Filter!$B$4="All",D820=Filter!$B$4),OR(Filter!$B$5="All",M820=Filter!$B$5),E820&gt;=Filter!$B$6),MAX(AH$1:AH819)+1,"")</f>
        <v/>
      </c>
      <c r="AI820" s="39">
        <f t="shared" si="270"/>
        <v>1</v>
      </c>
      <c r="AJ820" s="42">
        <f t="shared" si="271"/>
        <v>0.24</v>
      </c>
      <c r="AK820" s="41">
        <f t="shared" si="272"/>
        <v>1862.61</v>
      </c>
      <c r="AL820" s="39">
        <f>RANK(E820,$E$2:$E$1001,0)+COUNTIF($E$2:E820,E820)-1</f>
        <v>292</v>
      </c>
    </row>
    <row r="821" spans="1:38" x14ac:dyDescent="0.2">
      <c r="A821" s="39">
        <v>1037</v>
      </c>
      <c r="B821" s="40">
        <v>45188</v>
      </c>
      <c r="C821" s="39" t="s">
        <v>61</v>
      </c>
      <c r="D821" s="39" t="s">
        <v>69</v>
      </c>
      <c r="E821" s="41">
        <v>4606.2</v>
      </c>
      <c r="F821" s="39">
        <v>17</v>
      </c>
      <c r="G821" s="39" t="s">
        <v>65</v>
      </c>
      <c r="H821" s="41">
        <v>1308.58</v>
      </c>
      <c r="I821" s="41">
        <v>1575.59</v>
      </c>
      <c r="J821" s="39" t="s">
        <v>143</v>
      </c>
      <c r="K821" s="42">
        <v>0.3</v>
      </c>
      <c r="L821" s="39" t="s">
        <v>68</v>
      </c>
      <c r="M821" s="39" t="s">
        <v>138</v>
      </c>
      <c r="N821" s="39" t="s">
        <v>150</v>
      </c>
      <c r="O821" s="43">
        <f t="shared" si="252"/>
        <v>26785.03</v>
      </c>
      <c r="P821" s="43">
        <f t="shared" si="253"/>
        <v>18749.52</v>
      </c>
      <c r="Q821" s="43">
        <f t="shared" si="254"/>
        <v>22245.86</v>
      </c>
      <c r="R821" s="43">
        <f t="shared" si="255"/>
        <v>-3496.34</v>
      </c>
      <c r="S821" s="44">
        <f t="shared" si="256"/>
        <v>-0.1864762404584224</v>
      </c>
      <c r="T821" s="39" t="str">
        <f t="shared" si="257"/>
        <v>Loss</v>
      </c>
      <c r="U821" s="39" t="str">
        <f t="shared" si="258"/>
        <v>20%+</v>
      </c>
      <c r="V821" s="39" t="str">
        <f>IF(E821&gt;=Analysis!$B$4,"High",IF(E821&gt;=Analysis!$B$5,"Mid","Low"))</f>
        <v>Mid</v>
      </c>
      <c r="W821" s="39" t="str">
        <f t="shared" si="259"/>
        <v>2023-09</v>
      </c>
      <c r="X821" s="40">
        <f t="shared" si="260"/>
        <v>45199</v>
      </c>
      <c r="Y821" s="39" t="str">
        <f t="shared" si="261"/>
        <v>2023-Q3</v>
      </c>
      <c r="Z821" s="39" t="str">
        <f t="shared" si="262"/>
        <v>Tue</v>
      </c>
      <c r="AA821" s="39">
        <f t="shared" si="263"/>
        <v>2</v>
      </c>
      <c r="AB821" s="39">
        <f t="shared" si="264"/>
        <v>39</v>
      </c>
      <c r="AC821" s="39" t="str">
        <f t="shared" si="265"/>
        <v>Weekday</v>
      </c>
      <c r="AD821" s="39">
        <f t="shared" ca="1" si="266"/>
        <v>1131</v>
      </c>
      <c r="AE821" s="39">
        <f t="shared" ca="1" si="267"/>
        <v>37</v>
      </c>
      <c r="AF821" s="39" t="str">
        <f t="shared" si="268"/>
        <v>ALI</v>
      </c>
      <c r="AG821" s="39" t="str">
        <f t="shared" si="269"/>
        <v>SO-230919-0820</v>
      </c>
      <c r="AH821" s="39" t="str">
        <f>IF(AND(OR(Filter!$B$4="All",D821=Filter!$B$4),OR(Filter!$B$5="All",M821=Filter!$B$5),E821&gt;=Filter!$B$6),MAX(AH$1:AH820)+1,"")</f>
        <v/>
      </c>
      <c r="AI821" s="39">
        <f t="shared" si="270"/>
        <v>17</v>
      </c>
      <c r="AJ821" s="42">
        <f t="shared" si="271"/>
        <v>0.3</v>
      </c>
      <c r="AK821" s="41">
        <f t="shared" si="272"/>
        <v>1575.59</v>
      </c>
      <c r="AL821" s="39">
        <f>RANK(E821,$E$2:$E$1001,0)+COUNTIF($E$2:E821,E821)-1</f>
        <v>540</v>
      </c>
    </row>
    <row r="822" spans="1:38" x14ac:dyDescent="0.2">
      <c r="A822" s="39">
        <v>1074</v>
      </c>
      <c r="B822" s="40">
        <v>45073</v>
      </c>
      <c r="C822" s="39" t="s">
        <v>79</v>
      </c>
      <c r="D822" s="39" t="s">
        <v>74</v>
      </c>
      <c r="E822" s="41">
        <v>6710.83</v>
      </c>
      <c r="F822" s="39">
        <v>2</v>
      </c>
      <c r="G822" s="39" t="s">
        <v>70</v>
      </c>
      <c r="H822" s="41">
        <v>3173.69</v>
      </c>
      <c r="I822" s="41">
        <v>3503.11</v>
      </c>
      <c r="J822" s="39" t="s">
        <v>143</v>
      </c>
      <c r="K822" s="42">
        <v>0.2</v>
      </c>
      <c r="L822" s="39" t="s">
        <v>63</v>
      </c>
      <c r="M822" s="39" t="s">
        <v>140</v>
      </c>
      <c r="N822" s="39" t="s">
        <v>149</v>
      </c>
      <c r="O822" s="43">
        <f t="shared" si="252"/>
        <v>7006.22</v>
      </c>
      <c r="P822" s="43">
        <f t="shared" si="253"/>
        <v>5604.98</v>
      </c>
      <c r="Q822" s="43">
        <f t="shared" si="254"/>
        <v>6347.38</v>
      </c>
      <c r="R822" s="43">
        <f t="shared" si="255"/>
        <v>-742.40000000000055</v>
      </c>
      <c r="S822" s="44">
        <f t="shared" si="256"/>
        <v>-0.1324536394420677</v>
      </c>
      <c r="T822" s="39" t="str">
        <f t="shared" si="257"/>
        <v>Loss</v>
      </c>
      <c r="U822" s="39" t="str">
        <f t="shared" si="258"/>
        <v>20%+</v>
      </c>
      <c r="V822" s="39" t="str">
        <f>IF(E822&gt;=Analysis!$B$4,"High",IF(E822&gt;=Analysis!$B$5,"Mid","Low"))</f>
        <v>Mid</v>
      </c>
      <c r="W822" s="39" t="str">
        <f t="shared" si="259"/>
        <v>2023-05</v>
      </c>
      <c r="X822" s="40">
        <f t="shared" si="260"/>
        <v>45077</v>
      </c>
      <c r="Y822" s="39" t="str">
        <f t="shared" si="261"/>
        <v>2023-Q2</v>
      </c>
      <c r="Z822" s="39" t="str">
        <f t="shared" si="262"/>
        <v>Sat</v>
      </c>
      <c r="AA822" s="39">
        <f t="shared" si="263"/>
        <v>6</v>
      </c>
      <c r="AB822" s="39">
        <f t="shared" si="264"/>
        <v>22</v>
      </c>
      <c r="AC822" s="39" t="str">
        <f t="shared" si="265"/>
        <v>Weekend</v>
      </c>
      <c r="AD822" s="39">
        <f t="shared" ca="1" si="266"/>
        <v>1246</v>
      </c>
      <c r="AE822" s="39">
        <f t="shared" ca="1" si="267"/>
        <v>40</v>
      </c>
      <c r="AF822" s="39" t="str">
        <f t="shared" si="268"/>
        <v>EVE</v>
      </c>
      <c r="AG822" s="39" t="str">
        <f t="shared" si="269"/>
        <v>WR-230527-0821</v>
      </c>
      <c r="AH822" s="39" t="str">
        <f>IF(AND(OR(Filter!$B$4="All",D822=Filter!$B$4),OR(Filter!$B$5="All",M822=Filter!$B$5),E822&gt;=Filter!$B$6),MAX(AH$1:AH821)+1,"")</f>
        <v/>
      </c>
      <c r="AI822" s="39">
        <f t="shared" si="270"/>
        <v>2</v>
      </c>
      <c r="AJ822" s="42">
        <f t="shared" si="271"/>
        <v>0.2</v>
      </c>
      <c r="AK822" s="41">
        <f t="shared" si="272"/>
        <v>3503.11</v>
      </c>
      <c r="AL822" s="39">
        <f>RANK(E822,$E$2:$E$1001,0)+COUNTIF($E$2:E822,E822)-1</f>
        <v>333</v>
      </c>
    </row>
    <row r="823" spans="1:38" x14ac:dyDescent="0.2">
      <c r="A823" s="39">
        <v>1074</v>
      </c>
      <c r="B823" s="40">
        <v>45183</v>
      </c>
      <c r="C823" s="39" t="s">
        <v>76</v>
      </c>
      <c r="D823" s="39" t="s">
        <v>69</v>
      </c>
      <c r="E823" s="41">
        <v>8389.93</v>
      </c>
      <c r="F823" s="39">
        <v>29</v>
      </c>
      <c r="G823" s="39" t="s">
        <v>75</v>
      </c>
      <c r="H823" s="41">
        <v>173.67</v>
      </c>
      <c r="I823" s="41">
        <v>565.62</v>
      </c>
      <c r="J823" s="39" t="s">
        <v>137</v>
      </c>
      <c r="K823" s="42">
        <v>0.3</v>
      </c>
      <c r="L823" s="39" t="s">
        <v>68</v>
      </c>
      <c r="M823" s="39" t="s">
        <v>138</v>
      </c>
      <c r="N823" s="39" t="s">
        <v>142</v>
      </c>
      <c r="O823" s="43">
        <f t="shared" si="252"/>
        <v>16402.98</v>
      </c>
      <c r="P823" s="43">
        <f t="shared" si="253"/>
        <v>11482.09</v>
      </c>
      <c r="Q823" s="43">
        <f t="shared" si="254"/>
        <v>5036.43</v>
      </c>
      <c r="R823" s="43">
        <f t="shared" si="255"/>
        <v>6445.66</v>
      </c>
      <c r="S823" s="44">
        <f t="shared" si="256"/>
        <v>0.5613664411270074</v>
      </c>
      <c r="T823" s="39" t="str">
        <f t="shared" si="257"/>
        <v>OK</v>
      </c>
      <c r="U823" s="39" t="str">
        <f t="shared" si="258"/>
        <v>20%+</v>
      </c>
      <c r="V823" s="39" t="str">
        <f>IF(E823&gt;=Analysis!$B$4,"High",IF(E823&gt;=Analysis!$B$5,"Mid","Low"))</f>
        <v>High</v>
      </c>
      <c r="W823" s="39" t="str">
        <f t="shared" si="259"/>
        <v>2023-09</v>
      </c>
      <c r="X823" s="40">
        <f t="shared" si="260"/>
        <v>45199</v>
      </c>
      <c r="Y823" s="39" t="str">
        <f t="shared" si="261"/>
        <v>2023-Q3</v>
      </c>
      <c r="Z823" s="39" t="str">
        <f t="shared" si="262"/>
        <v>Thu</v>
      </c>
      <c r="AA823" s="39">
        <f t="shared" si="263"/>
        <v>4</v>
      </c>
      <c r="AB823" s="39">
        <f t="shared" si="264"/>
        <v>38</v>
      </c>
      <c r="AC823" s="39" t="str">
        <f t="shared" si="265"/>
        <v>Weekday</v>
      </c>
      <c r="AD823" s="39">
        <f t="shared" ca="1" si="266"/>
        <v>1136</v>
      </c>
      <c r="AE823" s="39">
        <f t="shared" ca="1" si="267"/>
        <v>37</v>
      </c>
      <c r="AF823" s="39" t="str">
        <f t="shared" si="268"/>
        <v>DAV</v>
      </c>
      <c r="AG823" s="39" t="str">
        <f t="shared" si="269"/>
        <v>SO-230914-0822</v>
      </c>
      <c r="AH823" s="39" t="str">
        <f>IF(AND(OR(Filter!$B$4="All",D823=Filter!$B$4),OR(Filter!$B$5="All",M823=Filter!$B$5),E823&gt;=Filter!$B$6),MAX(AH$1:AH822)+1,"")</f>
        <v/>
      </c>
      <c r="AI823" s="39">
        <f t="shared" si="270"/>
        <v>29</v>
      </c>
      <c r="AJ823" s="42">
        <f t="shared" si="271"/>
        <v>0.3</v>
      </c>
      <c r="AK823" s="41">
        <f t="shared" si="272"/>
        <v>565.62</v>
      </c>
      <c r="AL823" s="39">
        <f>RANK(E823,$E$2:$E$1001,0)+COUNTIF($E$2:E823,E823)-1</f>
        <v>155</v>
      </c>
    </row>
    <row r="824" spans="1:38" x14ac:dyDescent="0.2">
      <c r="A824" s="39">
        <v>1083</v>
      </c>
      <c r="B824" s="40">
        <v>44984</v>
      </c>
      <c r="C824" s="39" t="s">
        <v>61</v>
      </c>
      <c r="D824" s="39" t="s">
        <v>74</v>
      </c>
      <c r="E824" s="41">
        <v>1780.31</v>
      </c>
      <c r="F824" s="39">
        <v>20</v>
      </c>
      <c r="G824" s="39" t="s">
        <v>60</v>
      </c>
      <c r="H824" s="41">
        <v>3617.59</v>
      </c>
      <c r="I824" s="41">
        <v>4003.5</v>
      </c>
      <c r="J824" s="39" t="s">
        <v>143</v>
      </c>
      <c r="K824" s="42">
        <v>0.01</v>
      </c>
      <c r="L824" s="39" t="s">
        <v>73</v>
      </c>
      <c r="M824" s="39" t="s">
        <v>140</v>
      </c>
      <c r="N824" s="39" t="s">
        <v>158</v>
      </c>
      <c r="O824" s="43">
        <f t="shared" si="252"/>
        <v>80070</v>
      </c>
      <c r="P824" s="43">
        <f t="shared" si="253"/>
        <v>79269.3</v>
      </c>
      <c r="Q824" s="43">
        <f t="shared" si="254"/>
        <v>72351.8</v>
      </c>
      <c r="R824" s="43">
        <f t="shared" si="255"/>
        <v>6917.5</v>
      </c>
      <c r="S824" s="44">
        <f t="shared" si="256"/>
        <v>8.7265814129808134E-2</v>
      </c>
      <c r="T824" s="39" t="str">
        <f t="shared" si="257"/>
        <v>OK</v>
      </c>
      <c r="U824" s="39" t="str">
        <f t="shared" si="258"/>
        <v>0-9%</v>
      </c>
      <c r="V824" s="39" t="str">
        <f>IF(E824&gt;=Analysis!$B$4,"High",IF(E824&gt;=Analysis!$B$5,"Mid","Low"))</f>
        <v>Low</v>
      </c>
      <c r="W824" s="39" t="str">
        <f t="shared" si="259"/>
        <v>2023-02</v>
      </c>
      <c r="X824" s="40">
        <f t="shared" si="260"/>
        <v>44985</v>
      </c>
      <c r="Y824" s="39" t="str">
        <f t="shared" si="261"/>
        <v>2023-Q1</v>
      </c>
      <c r="Z824" s="39" t="str">
        <f t="shared" si="262"/>
        <v>Mon</v>
      </c>
      <c r="AA824" s="39">
        <f t="shared" si="263"/>
        <v>1</v>
      </c>
      <c r="AB824" s="39">
        <f t="shared" si="264"/>
        <v>10</v>
      </c>
      <c r="AC824" s="39" t="str">
        <f t="shared" si="265"/>
        <v>Weekday</v>
      </c>
      <c r="AD824" s="39">
        <f t="shared" ca="1" si="266"/>
        <v>1335</v>
      </c>
      <c r="AE824" s="39">
        <f t="shared" ca="1" si="267"/>
        <v>43</v>
      </c>
      <c r="AF824" s="39" t="str">
        <f t="shared" si="268"/>
        <v>ALI</v>
      </c>
      <c r="AG824" s="39" t="str">
        <f t="shared" si="269"/>
        <v>WR-230227-0823</v>
      </c>
      <c r="AH824" s="39" t="str">
        <f>IF(AND(OR(Filter!$B$4="All",D824=Filter!$B$4),OR(Filter!$B$5="All",M824=Filter!$B$5),E824&gt;=Filter!$B$6),MAX(AH$1:AH823)+1,"")</f>
        <v/>
      </c>
      <c r="AI824" s="39">
        <f t="shared" si="270"/>
        <v>20</v>
      </c>
      <c r="AJ824" s="42">
        <f t="shared" si="271"/>
        <v>0.01</v>
      </c>
      <c r="AK824" s="41">
        <f t="shared" si="272"/>
        <v>4003.5</v>
      </c>
      <c r="AL824" s="39">
        <f>RANK(E824,$E$2:$E$1001,0)+COUNTIF($E$2:E824,E824)-1</f>
        <v>839</v>
      </c>
    </row>
    <row r="825" spans="1:38" x14ac:dyDescent="0.2">
      <c r="A825" s="39">
        <v>1017</v>
      </c>
      <c r="B825" s="40">
        <v>44941</v>
      </c>
      <c r="C825" s="39" t="s">
        <v>79</v>
      </c>
      <c r="D825" s="39" t="s">
        <v>64</v>
      </c>
      <c r="E825" s="41">
        <v>289.52999999999997</v>
      </c>
      <c r="F825" s="39">
        <v>6</v>
      </c>
      <c r="G825" s="39" t="s">
        <v>75</v>
      </c>
      <c r="H825" s="41">
        <v>2594.42</v>
      </c>
      <c r="I825" s="41">
        <v>3081.04</v>
      </c>
      <c r="J825" s="39" t="s">
        <v>137</v>
      </c>
      <c r="K825" s="42">
        <v>0.1</v>
      </c>
      <c r="L825" s="39" t="s">
        <v>63</v>
      </c>
      <c r="M825" s="39" t="s">
        <v>140</v>
      </c>
      <c r="N825" s="39" t="s">
        <v>148</v>
      </c>
      <c r="O825" s="43">
        <f t="shared" si="252"/>
        <v>18486.240000000002</v>
      </c>
      <c r="P825" s="43">
        <f t="shared" si="253"/>
        <v>16637.62</v>
      </c>
      <c r="Q825" s="43">
        <f t="shared" si="254"/>
        <v>15566.52</v>
      </c>
      <c r="R825" s="43">
        <f t="shared" si="255"/>
        <v>1071.0999999999985</v>
      </c>
      <c r="S825" s="44">
        <f t="shared" si="256"/>
        <v>6.4378198324039057E-2</v>
      </c>
      <c r="T825" s="39" t="str">
        <f t="shared" si="257"/>
        <v>OK</v>
      </c>
      <c r="U825" s="39" t="str">
        <f t="shared" si="258"/>
        <v>10-19%</v>
      </c>
      <c r="V825" s="39" t="str">
        <f>IF(E825&gt;=Analysis!$B$4,"High",IF(E825&gt;=Analysis!$B$5,"Mid","Low"))</f>
        <v>Low</v>
      </c>
      <c r="W825" s="39" t="str">
        <f t="shared" si="259"/>
        <v>2023-01</v>
      </c>
      <c r="X825" s="40">
        <f t="shared" si="260"/>
        <v>44957</v>
      </c>
      <c r="Y825" s="39" t="str">
        <f t="shared" si="261"/>
        <v>2023-Q1</v>
      </c>
      <c r="Z825" s="39" t="str">
        <f t="shared" si="262"/>
        <v>Sun</v>
      </c>
      <c r="AA825" s="39">
        <f t="shared" si="263"/>
        <v>7</v>
      </c>
      <c r="AB825" s="39">
        <f t="shared" si="264"/>
        <v>3</v>
      </c>
      <c r="AC825" s="39" t="str">
        <f t="shared" si="265"/>
        <v>Weekend</v>
      </c>
      <c r="AD825" s="39">
        <f t="shared" ca="1" si="266"/>
        <v>1378</v>
      </c>
      <c r="AE825" s="39">
        <f t="shared" ca="1" si="267"/>
        <v>45</v>
      </c>
      <c r="AF825" s="39" t="str">
        <f t="shared" si="268"/>
        <v>EVE</v>
      </c>
      <c r="AG825" s="39" t="str">
        <f t="shared" si="269"/>
        <v>NR-230115-0824</v>
      </c>
      <c r="AH825" s="39" t="str">
        <f>IF(AND(OR(Filter!$B$4="All",D825=Filter!$B$4),OR(Filter!$B$5="All",M825=Filter!$B$5),E825&gt;=Filter!$B$6),MAX(AH$1:AH824)+1,"")</f>
        <v/>
      </c>
      <c r="AI825" s="39">
        <f t="shared" si="270"/>
        <v>6</v>
      </c>
      <c r="AJ825" s="42">
        <f t="shared" si="271"/>
        <v>0.1</v>
      </c>
      <c r="AK825" s="41">
        <f t="shared" si="272"/>
        <v>3081.04</v>
      </c>
      <c r="AL825" s="39">
        <f>RANK(E825,$E$2:$E$1001,0)+COUNTIF($E$2:E825,E825)-1</f>
        <v>975</v>
      </c>
    </row>
    <row r="826" spans="1:38" x14ac:dyDescent="0.2">
      <c r="A826" s="39">
        <v>1085</v>
      </c>
      <c r="B826" s="40">
        <v>45088</v>
      </c>
      <c r="C826" s="39" t="s">
        <v>76</v>
      </c>
      <c r="D826" s="39" t="s">
        <v>59</v>
      </c>
      <c r="E826" s="41">
        <v>7813.12</v>
      </c>
      <c r="F826" s="39">
        <v>8</v>
      </c>
      <c r="G826" s="39" t="s">
        <v>70</v>
      </c>
      <c r="H826" s="41">
        <v>3048.48</v>
      </c>
      <c r="I826" s="41">
        <v>3198.54</v>
      </c>
      <c r="J826" s="39" t="s">
        <v>137</v>
      </c>
      <c r="K826" s="42">
        <v>0.03</v>
      </c>
      <c r="L826" s="39" t="s">
        <v>63</v>
      </c>
      <c r="M826" s="39" t="s">
        <v>138</v>
      </c>
      <c r="N826" s="39" t="s">
        <v>157</v>
      </c>
      <c r="O826" s="43">
        <f t="shared" si="252"/>
        <v>25588.32</v>
      </c>
      <c r="P826" s="43">
        <f t="shared" si="253"/>
        <v>24820.67</v>
      </c>
      <c r="Q826" s="43">
        <f t="shared" si="254"/>
        <v>24387.84</v>
      </c>
      <c r="R826" s="43">
        <f t="shared" si="255"/>
        <v>432.82999999999811</v>
      </c>
      <c r="S826" s="44">
        <f t="shared" si="256"/>
        <v>1.743828832984759E-2</v>
      </c>
      <c r="T826" s="39" t="str">
        <f t="shared" si="257"/>
        <v>OK</v>
      </c>
      <c r="U826" s="39" t="str">
        <f t="shared" si="258"/>
        <v>0-9%</v>
      </c>
      <c r="V826" s="39" t="str">
        <f>IF(E826&gt;=Analysis!$B$4,"High",IF(E826&gt;=Analysis!$B$5,"Mid","Low"))</f>
        <v>High</v>
      </c>
      <c r="W826" s="39" t="str">
        <f t="shared" si="259"/>
        <v>2023-06</v>
      </c>
      <c r="X826" s="40">
        <f t="shared" si="260"/>
        <v>45107</v>
      </c>
      <c r="Y826" s="39" t="str">
        <f t="shared" si="261"/>
        <v>2023-Q2</v>
      </c>
      <c r="Z826" s="39" t="str">
        <f t="shared" si="262"/>
        <v>Sun</v>
      </c>
      <c r="AA826" s="39">
        <f t="shared" si="263"/>
        <v>7</v>
      </c>
      <c r="AB826" s="39">
        <f t="shared" si="264"/>
        <v>24</v>
      </c>
      <c r="AC826" s="39" t="str">
        <f t="shared" si="265"/>
        <v>Weekend</v>
      </c>
      <c r="AD826" s="39">
        <f t="shared" ca="1" si="266"/>
        <v>1231</v>
      </c>
      <c r="AE826" s="39">
        <f t="shared" ca="1" si="267"/>
        <v>40</v>
      </c>
      <c r="AF826" s="39" t="str">
        <f t="shared" si="268"/>
        <v>DAV</v>
      </c>
      <c r="AG826" s="39" t="str">
        <f t="shared" si="269"/>
        <v>EO-230611-0825</v>
      </c>
      <c r="AH826" s="39" t="str">
        <f>IF(AND(OR(Filter!$B$4="All",D826=Filter!$B$4),OR(Filter!$B$5="All",M826=Filter!$B$5),E826&gt;=Filter!$B$6),MAX(AH$1:AH825)+1,"")</f>
        <v/>
      </c>
      <c r="AI826" s="39">
        <f t="shared" si="270"/>
        <v>8</v>
      </c>
      <c r="AJ826" s="42">
        <f t="shared" si="271"/>
        <v>0.03</v>
      </c>
      <c r="AK826" s="41">
        <f t="shared" si="272"/>
        <v>3198.54</v>
      </c>
      <c r="AL826" s="39">
        <f>RANK(E826,$E$2:$E$1001,0)+COUNTIF($E$2:E826,E826)-1</f>
        <v>217</v>
      </c>
    </row>
    <row r="827" spans="1:38" x14ac:dyDescent="0.2">
      <c r="A827" s="39">
        <v>1078</v>
      </c>
      <c r="B827" s="40">
        <v>45089</v>
      </c>
      <c r="C827" s="39" t="s">
        <v>71</v>
      </c>
      <c r="D827" s="39" t="s">
        <v>69</v>
      </c>
      <c r="E827" s="41">
        <v>6136</v>
      </c>
      <c r="F827" s="39">
        <v>29</v>
      </c>
      <c r="G827" s="39" t="s">
        <v>65</v>
      </c>
      <c r="H827" s="41">
        <v>3177.81</v>
      </c>
      <c r="I827" s="41">
        <v>3222.65</v>
      </c>
      <c r="J827" s="39" t="s">
        <v>137</v>
      </c>
      <c r="K827" s="42">
        <v>0.08</v>
      </c>
      <c r="L827" s="39" t="s">
        <v>73</v>
      </c>
      <c r="M827" s="39" t="s">
        <v>140</v>
      </c>
      <c r="N827" s="39" t="s">
        <v>151</v>
      </c>
      <c r="O827" s="43">
        <f t="shared" si="252"/>
        <v>93456.85</v>
      </c>
      <c r="P827" s="43">
        <f t="shared" si="253"/>
        <v>85980.3</v>
      </c>
      <c r="Q827" s="43">
        <f t="shared" si="254"/>
        <v>92156.49</v>
      </c>
      <c r="R827" s="43">
        <f t="shared" si="255"/>
        <v>-6176.1900000000023</v>
      </c>
      <c r="S827" s="44">
        <f t="shared" si="256"/>
        <v>-7.1832617471676671E-2</v>
      </c>
      <c r="T827" s="39" t="str">
        <f t="shared" si="257"/>
        <v>Loss</v>
      </c>
      <c r="U827" s="39" t="str">
        <f t="shared" si="258"/>
        <v>0-9%</v>
      </c>
      <c r="V827" s="39" t="str">
        <f>IF(E827&gt;=Analysis!$B$4,"High",IF(E827&gt;=Analysis!$B$5,"Mid","Low"))</f>
        <v>Mid</v>
      </c>
      <c r="W827" s="39" t="str">
        <f t="shared" si="259"/>
        <v>2023-06</v>
      </c>
      <c r="X827" s="40">
        <f t="shared" si="260"/>
        <v>45107</v>
      </c>
      <c r="Y827" s="39" t="str">
        <f t="shared" si="261"/>
        <v>2023-Q2</v>
      </c>
      <c r="Z827" s="39" t="str">
        <f t="shared" si="262"/>
        <v>Mon</v>
      </c>
      <c r="AA827" s="39">
        <f t="shared" si="263"/>
        <v>1</v>
      </c>
      <c r="AB827" s="39">
        <f t="shared" si="264"/>
        <v>25</v>
      </c>
      <c r="AC827" s="39" t="str">
        <f t="shared" si="265"/>
        <v>Weekday</v>
      </c>
      <c r="AD827" s="39">
        <f t="shared" ca="1" si="266"/>
        <v>1230</v>
      </c>
      <c r="AE827" s="39">
        <f t="shared" ca="1" si="267"/>
        <v>40</v>
      </c>
      <c r="AF827" s="39" t="str">
        <f t="shared" si="268"/>
        <v>CHA</v>
      </c>
      <c r="AG827" s="39" t="str">
        <f t="shared" si="269"/>
        <v>SR-230612-0826</v>
      </c>
      <c r="AH827" s="39" t="str">
        <f>IF(AND(OR(Filter!$B$4="All",D827=Filter!$B$4),OR(Filter!$B$5="All",M827=Filter!$B$5),E827&gt;=Filter!$B$6),MAX(AH$1:AH826)+1,"")</f>
        <v/>
      </c>
      <c r="AI827" s="39">
        <f t="shared" si="270"/>
        <v>29</v>
      </c>
      <c r="AJ827" s="42">
        <f t="shared" si="271"/>
        <v>0.08</v>
      </c>
      <c r="AK827" s="41">
        <f t="shared" si="272"/>
        <v>3222.65</v>
      </c>
      <c r="AL827" s="39">
        <f>RANK(E827,$E$2:$E$1001,0)+COUNTIF($E$2:E827,E827)-1</f>
        <v>394</v>
      </c>
    </row>
    <row r="828" spans="1:38" x14ac:dyDescent="0.2">
      <c r="A828" s="39">
        <v>1073</v>
      </c>
      <c r="B828" s="40">
        <v>45246</v>
      </c>
      <c r="C828" s="39" t="s">
        <v>76</v>
      </c>
      <c r="D828" s="39" t="s">
        <v>69</v>
      </c>
      <c r="E828" s="41">
        <v>7026.43</v>
      </c>
      <c r="F828" s="39">
        <v>48</v>
      </c>
      <c r="G828" s="39" t="s">
        <v>60</v>
      </c>
      <c r="H828" s="41">
        <v>2658.9</v>
      </c>
      <c r="I828" s="41">
        <v>2838.27</v>
      </c>
      <c r="J828" s="39" t="s">
        <v>143</v>
      </c>
      <c r="K828" s="42">
        <v>0.25</v>
      </c>
      <c r="L828" s="39" t="s">
        <v>73</v>
      </c>
      <c r="M828" s="39" t="s">
        <v>138</v>
      </c>
      <c r="N828" s="39" t="s">
        <v>142</v>
      </c>
      <c r="O828" s="43">
        <f t="shared" si="252"/>
        <v>136236.96</v>
      </c>
      <c r="P828" s="43">
        <f t="shared" si="253"/>
        <v>102177.72</v>
      </c>
      <c r="Q828" s="43">
        <f t="shared" si="254"/>
        <v>127627.2</v>
      </c>
      <c r="R828" s="43">
        <f t="shared" si="255"/>
        <v>-25449.479999999996</v>
      </c>
      <c r="S828" s="44">
        <f t="shared" si="256"/>
        <v>-0.24907073675161273</v>
      </c>
      <c r="T828" s="39" t="str">
        <f t="shared" si="257"/>
        <v>Loss</v>
      </c>
      <c r="U828" s="39" t="str">
        <f t="shared" si="258"/>
        <v>20%+</v>
      </c>
      <c r="V828" s="39" t="str">
        <f>IF(E828&gt;=Analysis!$B$4,"High",IF(E828&gt;=Analysis!$B$5,"Mid","Low"))</f>
        <v>Mid</v>
      </c>
      <c r="W828" s="39" t="str">
        <f t="shared" si="259"/>
        <v>2023-11</v>
      </c>
      <c r="X828" s="40">
        <f t="shared" si="260"/>
        <v>45260</v>
      </c>
      <c r="Y828" s="39" t="str">
        <f t="shared" si="261"/>
        <v>2023-Q4</v>
      </c>
      <c r="Z828" s="39" t="str">
        <f t="shared" si="262"/>
        <v>Thu</v>
      </c>
      <c r="AA828" s="39">
        <f t="shared" si="263"/>
        <v>4</v>
      </c>
      <c r="AB828" s="39">
        <f t="shared" si="264"/>
        <v>47</v>
      </c>
      <c r="AC828" s="39" t="str">
        <f t="shared" si="265"/>
        <v>Weekday</v>
      </c>
      <c r="AD828" s="39">
        <f t="shared" ca="1" si="266"/>
        <v>1073</v>
      </c>
      <c r="AE828" s="39">
        <f t="shared" ca="1" si="267"/>
        <v>35</v>
      </c>
      <c r="AF828" s="39" t="str">
        <f t="shared" si="268"/>
        <v>DAV</v>
      </c>
      <c r="AG828" s="39" t="str">
        <f t="shared" si="269"/>
        <v>SO-231116-0827</v>
      </c>
      <c r="AH828" s="39" t="str">
        <f>IF(AND(OR(Filter!$B$4="All",D828=Filter!$B$4),OR(Filter!$B$5="All",M828=Filter!$B$5),E828&gt;=Filter!$B$6),MAX(AH$1:AH827)+1,"")</f>
        <v/>
      </c>
      <c r="AI828" s="39">
        <f t="shared" si="270"/>
        <v>48</v>
      </c>
      <c r="AJ828" s="42">
        <f t="shared" si="271"/>
        <v>0.25</v>
      </c>
      <c r="AK828" s="41">
        <f t="shared" si="272"/>
        <v>2838.27</v>
      </c>
      <c r="AL828" s="39">
        <f>RANK(E828,$E$2:$E$1001,0)+COUNTIF($E$2:E828,E828)-1</f>
        <v>299</v>
      </c>
    </row>
    <row r="829" spans="1:38" x14ac:dyDescent="0.2">
      <c r="A829" s="39">
        <v>1001</v>
      </c>
      <c r="B829" s="40">
        <v>45207</v>
      </c>
      <c r="C829" s="39" t="s">
        <v>66</v>
      </c>
      <c r="D829" s="39" t="s">
        <v>74</v>
      </c>
      <c r="E829" s="41">
        <v>8397.73</v>
      </c>
      <c r="F829" s="39">
        <v>33</v>
      </c>
      <c r="G829" s="39" t="s">
        <v>75</v>
      </c>
      <c r="H829" s="41">
        <v>2933.54</v>
      </c>
      <c r="I829" s="41">
        <v>3307.75</v>
      </c>
      <c r="J829" s="39" t="s">
        <v>137</v>
      </c>
      <c r="K829" s="42">
        <v>0.01</v>
      </c>
      <c r="L829" s="39" t="s">
        <v>63</v>
      </c>
      <c r="M829" s="39" t="s">
        <v>140</v>
      </c>
      <c r="N829" s="39" t="s">
        <v>141</v>
      </c>
      <c r="O829" s="43">
        <f t="shared" si="252"/>
        <v>109155.75</v>
      </c>
      <c r="P829" s="43">
        <f t="shared" si="253"/>
        <v>108064.19</v>
      </c>
      <c r="Q829" s="43">
        <f t="shared" si="254"/>
        <v>96806.82</v>
      </c>
      <c r="R829" s="43">
        <f t="shared" si="255"/>
        <v>11257.369999999995</v>
      </c>
      <c r="S829" s="44">
        <f t="shared" si="256"/>
        <v>0.10417299199670117</v>
      </c>
      <c r="T829" s="39" t="str">
        <f t="shared" si="257"/>
        <v>OK</v>
      </c>
      <c r="U829" s="39" t="str">
        <f t="shared" si="258"/>
        <v>0-9%</v>
      </c>
      <c r="V829" s="39" t="str">
        <f>IF(E829&gt;=Analysis!$B$4,"High",IF(E829&gt;=Analysis!$B$5,"Mid","Low"))</f>
        <v>High</v>
      </c>
      <c r="W829" s="39" t="str">
        <f t="shared" si="259"/>
        <v>2023-10</v>
      </c>
      <c r="X829" s="40">
        <f t="shared" si="260"/>
        <v>45230</v>
      </c>
      <c r="Y829" s="39" t="str">
        <f t="shared" si="261"/>
        <v>2023-Q4</v>
      </c>
      <c r="Z829" s="39" t="str">
        <f t="shared" si="262"/>
        <v>Sun</v>
      </c>
      <c r="AA829" s="39">
        <f t="shared" si="263"/>
        <v>7</v>
      </c>
      <c r="AB829" s="39">
        <f t="shared" si="264"/>
        <v>41</v>
      </c>
      <c r="AC829" s="39" t="str">
        <f t="shared" si="265"/>
        <v>Weekend</v>
      </c>
      <c r="AD829" s="39">
        <f t="shared" ca="1" si="266"/>
        <v>1112</v>
      </c>
      <c r="AE829" s="39">
        <f t="shared" ca="1" si="267"/>
        <v>36</v>
      </c>
      <c r="AF829" s="39" t="str">
        <f t="shared" si="268"/>
        <v>BOB</v>
      </c>
      <c r="AG829" s="39" t="str">
        <f t="shared" si="269"/>
        <v>WR-231008-0828</v>
      </c>
      <c r="AH829" s="39" t="str">
        <f>IF(AND(OR(Filter!$B$4="All",D829=Filter!$B$4),OR(Filter!$B$5="All",M829=Filter!$B$5),E829&gt;=Filter!$B$6),MAX(AH$1:AH828)+1,"")</f>
        <v/>
      </c>
      <c r="AI829" s="39">
        <f t="shared" si="270"/>
        <v>33</v>
      </c>
      <c r="AJ829" s="42">
        <f t="shared" si="271"/>
        <v>0.01</v>
      </c>
      <c r="AK829" s="41">
        <f t="shared" si="272"/>
        <v>3307.75</v>
      </c>
      <c r="AL829" s="39">
        <f>RANK(E829,$E$2:$E$1001,0)+COUNTIF($E$2:E829,E829)-1</f>
        <v>153</v>
      </c>
    </row>
    <row r="830" spans="1:38" x14ac:dyDescent="0.2">
      <c r="A830" s="39">
        <v>1051</v>
      </c>
      <c r="B830" s="40">
        <v>45206</v>
      </c>
      <c r="C830" s="39" t="s">
        <v>66</v>
      </c>
      <c r="D830" s="39" t="s">
        <v>74</v>
      </c>
      <c r="E830" s="41">
        <v>8047.83</v>
      </c>
      <c r="F830" s="39">
        <v>3</v>
      </c>
      <c r="G830" s="39" t="s">
        <v>75</v>
      </c>
      <c r="H830" s="41">
        <v>3434.75</v>
      </c>
      <c r="I830" s="41">
        <v>3659.42</v>
      </c>
      <c r="J830" s="39" t="s">
        <v>143</v>
      </c>
      <c r="K830" s="42">
        <v>0.16</v>
      </c>
      <c r="L830" s="39" t="s">
        <v>68</v>
      </c>
      <c r="M830" s="39" t="s">
        <v>138</v>
      </c>
      <c r="N830" s="39" t="s">
        <v>141</v>
      </c>
      <c r="O830" s="43">
        <f t="shared" si="252"/>
        <v>10978.26</v>
      </c>
      <c r="P830" s="43">
        <f t="shared" si="253"/>
        <v>9221.74</v>
      </c>
      <c r="Q830" s="43">
        <f t="shared" si="254"/>
        <v>10304.25</v>
      </c>
      <c r="R830" s="43">
        <f t="shared" si="255"/>
        <v>-1082.5100000000002</v>
      </c>
      <c r="S830" s="44">
        <f t="shared" si="256"/>
        <v>-0.11738674046329654</v>
      </c>
      <c r="T830" s="39" t="str">
        <f t="shared" si="257"/>
        <v>Loss</v>
      </c>
      <c r="U830" s="39" t="str">
        <f t="shared" si="258"/>
        <v>10-19%</v>
      </c>
      <c r="V830" s="39" t="str">
        <f>IF(E830&gt;=Analysis!$B$4,"High",IF(E830&gt;=Analysis!$B$5,"Mid","Low"))</f>
        <v>High</v>
      </c>
      <c r="W830" s="39" t="str">
        <f t="shared" si="259"/>
        <v>2023-10</v>
      </c>
      <c r="X830" s="40">
        <f t="shared" si="260"/>
        <v>45230</v>
      </c>
      <c r="Y830" s="39" t="str">
        <f t="shared" si="261"/>
        <v>2023-Q4</v>
      </c>
      <c r="Z830" s="39" t="str">
        <f t="shared" si="262"/>
        <v>Sat</v>
      </c>
      <c r="AA830" s="39">
        <f t="shared" si="263"/>
        <v>6</v>
      </c>
      <c r="AB830" s="39">
        <f t="shared" si="264"/>
        <v>41</v>
      </c>
      <c r="AC830" s="39" t="str">
        <f t="shared" si="265"/>
        <v>Weekend</v>
      </c>
      <c r="AD830" s="39">
        <f t="shared" ca="1" si="266"/>
        <v>1113</v>
      </c>
      <c r="AE830" s="39">
        <f t="shared" ca="1" si="267"/>
        <v>36</v>
      </c>
      <c r="AF830" s="39" t="str">
        <f t="shared" si="268"/>
        <v>BOB</v>
      </c>
      <c r="AG830" s="39" t="str">
        <f t="shared" si="269"/>
        <v>WO-231007-0829</v>
      </c>
      <c r="AH830" s="39" t="str">
        <f>IF(AND(OR(Filter!$B$4="All",D830=Filter!$B$4),OR(Filter!$B$5="All",M830=Filter!$B$5),E830&gt;=Filter!$B$6),MAX(AH$1:AH829)+1,"")</f>
        <v/>
      </c>
      <c r="AI830" s="39">
        <f t="shared" si="270"/>
        <v>3</v>
      </c>
      <c r="AJ830" s="42">
        <f t="shared" si="271"/>
        <v>0.16</v>
      </c>
      <c r="AK830" s="41">
        <f t="shared" si="272"/>
        <v>3659.42</v>
      </c>
      <c r="AL830" s="39">
        <f>RANK(E830,$E$2:$E$1001,0)+COUNTIF($E$2:E830,E830)-1</f>
        <v>191</v>
      </c>
    </row>
    <row r="831" spans="1:38" x14ac:dyDescent="0.2">
      <c r="A831" s="39">
        <v>1045</v>
      </c>
      <c r="B831" s="40">
        <v>44938</v>
      </c>
      <c r="C831" s="39" t="s">
        <v>71</v>
      </c>
      <c r="D831" s="39" t="s">
        <v>69</v>
      </c>
      <c r="E831" s="41">
        <v>9613.11</v>
      </c>
      <c r="F831" s="39">
        <v>35</v>
      </c>
      <c r="G831" s="39" t="s">
        <v>75</v>
      </c>
      <c r="H831" s="41">
        <v>3777.94</v>
      </c>
      <c r="I831" s="41">
        <v>4188.66</v>
      </c>
      <c r="J831" s="39" t="s">
        <v>143</v>
      </c>
      <c r="K831" s="42">
        <v>0.17</v>
      </c>
      <c r="L831" s="39" t="s">
        <v>63</v>
      </c>
      <c r="M831" s="39" t="s">
        <v>138</v>
      </c>
      <c r="N831" s="39" t="s">
        <v>151</v>
      </c>
      <c r="O831" s="43">
        <f t="shared" si="252"/>
        <v>146603.1</v>
      </c>
      <c r="P831" s="43">
        <f t="shared" si="253"/>
        <v>121680.57</v>
      </c>
      <c r="Q831" s="43">
        <f t="shared" si="254"/>
        <v>132227.9</v>
      </c>
      <c r="R831" s="43">
        <f t="shared" si="255"/>
        <v>-10547.329999999987</v>
      </c>
      <c r="S831" s="44">
        <f t="shared" si="256"/>
        <v>-8.6680478239048245E-2</v>
      </c>
      <c r="T831" s="39" t="str">
        <f t="shared" si="257"/>
        <v>Loss</v>
      </c>
      <c r="U831" s="39" t="str">
        <f t="shared" si="258"/>
        <v>10-19%</v>
      </c>
      <c r="V831" s="39" t="str">
        <f>IF(E831&gt;=Analysis!$B$4,"High",IF(E831&gt;=Analysis!$B$5,"Mid","Low"))</f>
        <v>High</v>
      </c>
      <c r="W831" s="39" t="str">
        <f t="shared" si="259"/>
        <v>2023-01</v>
      </c>
      <c r="X831" s="40">
        <f t="shared" si="260"/>
        <v>44957</v>
      </c>
      <c r="Y831" s="39" t="str">
        <f t="shared" si="261"/>
        <v>2023-Q1</v>
      </c>
      <c r="Z831" s="39" t="str">
        <f t="shared" si="262"/>
        <v>Thu</v>
      </c>
      <c r="AA831" s="39">
        <f t="shared" si="263"/>
        <v>4</v>
      </c>
      <c r="AB831" s="39">
        <f t="shared" si="264"/>
        <v>3</v>
      </c>
      <c r="AC831" s="39" t="str">
        <f t="shared" si="265"/>
        <v>Weekday</v>
      </c>
      <c r="AD831" s="39">
        <f t="shared" ca="1" si="266"/>
        <v>1381</v>
      </c>
      <c r="AE831" s="39">
        <f t="shared" ca="1" si="267"/>
        <v>45</v>
      </c>
      <c r="AF831" s="39" t="str">
        <f t="shared" si="268"/>
        <v>CHA</v>
      </c>
      <c r="AG831" s="39" t="str">
        <f t="shared" si="269"/>
        <v>SO-230112-0830</v>
      </c>
      <c r="AH831" s="39">
        <f>IF(AND(OR(Filter!$B$4="All",D831=Filter!$B$4),OR(Filter!$B$5="All",M831=Filter!$B$5),E831&gt;=Filter!$B$6),MAX(AH$1:AH830)+1,"")</f>
        <v>77</v>
      </c>
      <c r="AI831" s="39">
        <f t="shared" si="270"/>
        <v>35</v>
      </c>
      <c r="AJ831" s="42">
        <f t="shared" si="271"/>
        <v>0.17</v>
      </c>
      <c r="AK831" s="41">
        <f t="shared" si="272"/>
        <v>4188.66</v>
      </c>
      <c r="AL831" s="39">
        <f>RANK(E831,$E$2:$E$1001,0)+COUNTIF($E$2:E831,E831)-1</f>
        <v>38</v>
      </c>
    </row>
    <row r="832" spans="1:38" x14ac:dyDescent="0.2">
      <c r="A832" s="39">
        <v>1077</v>
      </c>
      <c r="B832" s="40">
        <v>45200</v>
      </c>
      <c r="C832" s="39" t="s">
        <v>61</v>
      </c>
      <c r="D832" s="39" t="s">
        <v>74</v>
      </c>
      <c r="E832" s="41">
        <v>5405.76</v>
      </c>
      <c r="F832" s="39">
        <v>5</v>
      </c>
      <c r="G832" s="39" t="s">
        <v>65</v>
      </c>
      <c r="H832" s="41">
        <v>3650.89</v>
      </c>
      <c r="I832" s="41">
        <v>3930.06</v>
      </c>
      <c r="J832" s="39" t="s">
        <v>143</v>
      </c>
      <c r="K832" s="42">
        <v>0.17</v>
      </c>
      <c r="L832" s="39" t="s">
        <v>63</v>
      </c>
      <c r="M832" s="39" t="s">
        <v>138</v>
      </c>
      <c r="N832" s="39" t="s">
        <v>158</v>
      </c>
      <c r="O832" s="43">
        <f t="shared" si="252"/>
        <v>19650.3</v>
      </c>
      <c r="P832" s="43">
        <f t="shared" si="253"/>
        <v>16309.75</v>
      </c>
      <c r="Q832" s="43">
        <f t="shared" si="254"/>
        <v>18254.45</v>
      </c>
      <c r="R832" s="43">
        <f t="shared" si="255"/>
        <v>-1944.7000000000007</v>
      </c>
      <c r="S832" s="44">
        <f t="shared" si="256"/>
        <v>-0.11923542666196604</v>
      </c>
      <c r="T832" s="39" t="str">
        <f t="shared" si="257"/>
        <v>Loss</v>
      </c>
      <c r="U832" s="39" t="str">
        <f t="shared" si="258"/>
        <v>10-19%</v>
      </c>
      <c r="V832" s="39" t="str">
        <f>IF(E832&gt;=Analysis!$B$4,"High",IF(E832&gt;=Analysis!$B$5,"Mid","Low"))</f>
        <v>Mid</v>
      </c>
      <c r="W832" s="39" t="str">
        <f t="shared" si="259"/>
        <v>2023-10</v>
      </c>
      <c r="X832" s="40">
        <f t="shared" si="260"/>
        <v>45230</v>
      </c>
      <c r="Y832" s="39" t="str">
        <f t="shared" si="261"/>
        <v>2023-Q4</v>
      </c>
      <c r="Z832" s="39" t="str">
        <f t="shared" si="262"/>
        <v>Sun</v>
      </c>
      <c r="AA832" s="39">
        <f t="shared" si="263"/>
        <v>7</v>
      </c>
      <c r="AB832" s="39">
        <f t="shared" si="264"/>
        <v>40</v>
      </c>
      <c r="AC832" s="39" t="str">
        <f t="shared" si="265"/>
        <v>Weekend</v>
      </c>
      <c r="AD832" s="39">
        <f t="shared" ca="1" si="266"/>
        <v>1119</v>
      </c>
      <c r="AE832" s="39">
        <f t="shared" ca="1" si="267"/>
        <v>36</v>
      </c>
      <c r="AF832" s="39" t="str">
        <f t="shared" si="268"/>
        <v>ALI</v>
      </c>
      <c r="AG832" s="39" t="str">
        <f t="shared" si="269"/>
        <v>WO-231001-0831</v>
      </c>
      <c r="AH832" s="39" t="str">
        <f>IF(AND(OR(Filter!$B$4="All",D832=Filter!$B$4),OR(Filter!$B$5="All",M832=Filter!$B$5),E832&gt;=Filter!$B$6),MAX(AH$1:AH831)+1,"")</f>
        <v/>
      </c>
      <c r="AI832" s="39">
        <f t="shared" si="270"/>
        <v>5</v>
      </c>
      <c r="AJ832" s="42">
        <f t="shared" si="271"/>
        <v>0.17</v>
      </c>
      <c r="AK832" s="41">
        <f t="shared" si="272"/>
        <v>3930.06</v>
      </c>
      <c r="AL832" s="39">
        <f>RANK(E832,$E$2:$E$1001,0)+COUNTIF($E$2:E832,E832)-1</f>
        <v>464</v>
      </c>
    </row>
    <row r="833" spans="1:38" x14ac:dyDescent="0.2">
      <c r="A833" s="39">
        <v>1004</v>
      </c>
      <c r="B833" s="40">
        <v>45197</v>
      </c>
      <c r="C833" s="39" t="s">
        <v>79</v>
      </c>
      <c r="D833" s="39" t="s">
        <v>69</v>
      </c>
      <c r="E833" s="41">
        <v>4936.1099999999997</v>
      </c>
      <c r="F833" s="39">
        <v>27</v>
      </c>
      <c r="G833" s="39" t="s">
        <v>60</v>
      </c>
      <c r="H833" s="41">
        <v>4354.6000000000004</v>
      </c>
      <c r="I833" s="41">
        <v>4820.2</v>
      </c>
      <c r="J833" s="39" t="s">
        <v>143</v>
      </c>
      <c r="K833" s="42">
        <v>0.14000000000000001</v>
      </c>
      <c r="L833" s="39" t="s">
        <v>73</v>
      </c>
      <c r="M833" s="39" t="s">
        <v>140</v>
      </c>
      <c r="N833" s="39" t="s">
        <v>147</v>
      </c>
      <c r="O833" s="43">
        <f t="shared" si="252"/>
        <v>130145.4</v>
      </c>
      <c r="P833" s="43">
        <f t="shared" si="253"/>
        <v>111925.04</v>
      </c>
      <c r="Q833" s="43">
        <f t="shared" si="254"/>
        <v>117574.2</v>
      </c>
      <c r="R833" s="43">
        <f t="shared" si="255"/>
        <v>-5649.1600000000035</v>
      </c>
      <c r="S833" s="44">
        <f t="shared" si="256"/>
        <v>-5.0472709234680675E-2</v>
      </c>
      <c r="T833" s="39" t="str">
        <f t="shared" si="257"/>
        <v>Loss</v>
      </c>
      <c r="U833" s="39" t="str">
        <f t="shared" si="258"/>
        <v>10-19%</v>
      </c>
      <c r="V833" s="39" t="str">
        <f>IF(E833&gt;=Analysis!$B$4,"High",IF(E833&gt;=Analysis!$B$5,"Mid","Low"))</f>
        <v>Mid</v>
      </c>
      <c r="W833" s="39" t="str">
        <f t="shared" si="259"/>
        <v>2023-09</v>
      </c>
      <c r="X833" s="40">
        <f t="shared" si="260"/>
        <v>45199</v>
      </c>
      <c r="Y833" s="39" t="str">
        <f t="shared" si="261"/>
        <v>2023-Q3</v>
      </c>
      <c r="Z833" s="39" t="str">
        <f t="shared" si="262"/>
        <v>Thu</v>
      </c>
      <c r="AA833" s="39">
        <f t="shared" si="263"/>
        <v>4</v>
      </c>
      <c r="AB833" s="39">
        <f t="shared" si="264"/>
        <v>40</v>
      </c>
      <c r="AC833" s="39" t="str">
        <f t="shared" si="265"/>
        <v>Weekday</v>
      </c>
      <c r="AD833" s="39">
        <f t="shared" ca="1" si="266"/>
        <v>1122</v>
      </c>
      <c r="AE833" s="39">
        <f t="shared" ca="1" si="267"/>
        <v>36</v>
      </c>
      <c r="AF833" s="39" t="str">
        <f t="shared" si="268"/>
        <v>EVE</v>
      </c>
      <c r="AG833" s="39" t="str">
        <f t="shared" si="269"/>
        <v>SR-230928-0832</v>
      </c>
      <c r="AH833" s="39" t="str">
        <f>IF(AND(OR(Filter!$B$4="All",D833=Filter!$B$4),OR(Filter!$B$5="All",M833=Filter!$B$5),E833&gt;=Filter!$B$6),MAX(AH$1:AH832)+1,"")</f>
        <v/>
      </c>
      <c r="AI833" s="39">
        <f t="shared" si="270"/>
        <v>27</v>
      </c>
      <c r="AJ833" s="42">
        <f t="shared" si="271"/>
        <v>0.14000000000000001</v>
      </c>
      <c r="AK833" s="41">
        <f t="shared" si="272"/>
        <v>4820.2</v>
      </c>
      <c r="AL833" s="39">
        <f>RANK(E833,$E$2:$E$1001,0)+COUNTIF($E$2:E833,E833)-1</f>
        <v>507</v>
      </c>
    </row>
    <row r="834" spans="1:38" x14ac:dyDescent="0.2">
      <c r="A834" s="39">
        <v>1062</v>
      </c>
      <c r="B834" s="40">
        <v>45134</v>
      </c>
      <c r="C834" s="39" t="s">
        <v>76</v>
      </c>
      <c r="D834" s="39" t="s">
        <v>69</v>
      </c>
      <c r="E834" s="41">
        <v>4078.68</v>
      </c>
      <c r="F834" s="39">
        <v>44</v>
      </c>
      <c r="G834" s="39" t="s">
        <v>65</v>
      </c>
      <c r="H834" s="41">
        <v>987.74</v>
      </c>
      <c r="I834" s="41">
        <v>1462.19</v>
      </c>
      <c r="J834" s="39" t="s">
        <v>143</v>
      </c>
      <c r="K834" s="42">
        <v>0.24</v>
      </c>
      <c r="L834" s="39" t="s">
        <v>63</v>
      </c>
      <c r="M834" s="39" t="s">
        <v>138</v>
      </c>
      <c r="N834" s="39" t="s">
        <v>142</v>
      </c>
      <c r="O834" s="43">
        <f t="shared" ref="O834:O897" si="273">ROUND(F834*I834,2)</f>
        <v>64336.36</v>
      </c>
      <c r="P834" s="43">
        <f t="shared" ref="P834:P897" si="274">ROUND(F834*I834*(1-K834),2)</f>
        <v>48895.63</v>
      </c>
      <c r="Q834" s="43">
        <f t="shared" ref="Q834:Q897" si="275">ROUND(F834*H834,2)</f>
        <v>43460.56</v>
      </c>
      <c r="R834" s="43">
        <f t="shared" ref="R834:R897" si="276">P834-Q834</f>
        <v>5435.07</v>
      </c>
      <c r="S834" s="44">
        <f t="shared" ref="S834:S897" si="277">IF(P834=0,0,R834/P834)</f>
        <v>0.11115655938986777</v>
      </c>
      <c r="T834" s="39" t="str">
        <f t="shared" ref="T834:T897" si="278">IF(R834&lt;0,"Loss","OK")</f>
        <v>OK</v>
      </c>
      <c r="U834" s="39" t="str">
        <f t="shared" ref="U834:U897" si="279">IF(K834&lt;0.1,"0-9%",IF(K834&lt;0.2,"10-19%","20%+"))</f>
        <v>20%+</v>
      </c>
      <c r="V834" s="39" t="str">
        <f>IF(E834&gt;=Analysis!$B$4,"High",IF(E834&gt;=Analysis!$B$5,"Mid","Low"))</f>
        <v>Mid</v>
      </c>
      <c r="W834" s="39" t="str">
        <f t="shared" ref="W834:W897" si="280">TEXT(B834,"yyyy-mm")</f>
        <v>2023-07</v>
      </c>
      <c r="X834" s="40">
        <f t="shared" ref="X834:X897" si="281">EOMONTH(B834,0)</f>
        <v>45138</v>
      </c>
      <c r="Y834" s="39" t="str">
        <f t="shared" ref="Y834:Y897" si="282">YEAR(B834)&amp;"-Q"&amp;ROUNDUP(MONTH(B834)/3,0)</f>
        <v>2023-Q3</v>
      </c>
      <c r="Z834" s="39" t="str">
        <f t="shared" ref="Z834:Z897" si="283">TEXT(B834,"ddd")</f>
        <v>Thu</v>
      </c>
      <c r="AA834" s="39">
        <f t="shared" ref="AA834:AA897" si="284">WEEKDAY(B834,2)</f>
        <v>4</v>
      </c>
      <c r="AB834" s="39">
        <f t="shared" ref="AB834:AB897" si="285">WEEKNUM(B834,2)</f>
        <v>31</v>
      </c>
      <c r="AC834" s="39" t="str">
        <f t="shared" ref="AC834:AC897" si="286">IF(AA834&gt;5,"Weekend","Weekday")</f>
        <v>Weekday</v>
      </c>
      <c r="AD834" s="39">
        <f t="shared" ref="AD834:AD897" ca="1" si="287">TODAY()-B834</f>
        <v>1185</v>
      </c>
      <c r="AE834" s="39">
        <f t="shared" ref="AE834:AE897" ca="1" si="288">DATEDIF(B834,TODAY(),"M")</f>
        <v>38</v>
      </c>
      <c r="AF834" s="39" t="str">
        <f t="shared" ref="AF834:AF897" si="289">UPPER(LEFT(C834,3))</f>
        <v>DAV</v>
      </c>
      <c r="AG834" s="39" t="str">
        <f t="shared" ref="AG834:AG897" si="290">UPPER(LEFT(D834,1))&amp;UPPER(LEFT(M834,1))&amp;"-"&amp;TEXT(B834,"yymmdd")&amp;"-"&amp;TEXT(ROW()-1,"0000")</f>
        <v>SO-230727-0833</v>
      </c>
      <c r="AH834" s="39" t="str">
        <f>IF(AND(OR(Filter!$B$4="All",D834=Filter!$B$4),OR(Filter!$B$5="All",M834=Filter!$B$5),E834&gt;=Filter!$B$6),MAX(AH$1:AH833)+1,"")</f>
        <v/>
      </c>
      <c r="AI834" s="39">
        <f t="shared" ref="AI834:AI897" si="291">F834</f>
        <v>44</v>
      </c>
      <c r="AJ834" s="42">
        <f t="shared" ref="AJ834:AJ897" si="292">K834</f>
        <v>0.24</v>
      </c>
      <c r="AK834" s="41">
        <f t="shared" ref="AK834:AK897" si="293">I834</f>
        <v>1462.19</v>
      </c>
      <c r="AL834" s="39">
        <f>RANK(E834,$E$2:$E$1001,0)+COUNTIF($E$2:E834,E834)-1</f>
        <v>590</v>
      </c>
    </row>
    <row r="835" spans="1:38" x14ac:dyDescent="0.2">
      <c r="A835" s="39">
        <v>1065</v>
      </c>
      <c r="B835" s="40">
        <v>44953</v>
      </c>
      <c r="C835" s="39" t="s">
        <v>66</v>
      </c>
      <c r="D835" s="39" t="s">
        <v>69</v>
      </c>
      <c r="E835" s="41">
        <v>1621.54</v>
      </c>
      <c r="F835" s="39">
        <v>12</v>
      </c>
      <c r="G835" s="39" t="s">
        <v>65</v>
      </c>
      <c r="H835" s="41">
        <v>2035.68</v>
      </c>
      <c r="I835" s="41">
        <v>2079.64</v>
      </c>
      <c r="J835" s="39" t="s">
        <v>137</v>
      </c>
      <c r="K835" s="42">
        <v>0.04</v>
      </c>
      <c r="L835" s="39" t="s">
        <v>68</v>
      </c>
      <c r="M835" s="39" t="s">
        <v>138</v>
      </c>
      <c r="N835" s="39" t="s">
        <v>144</v>
      </c>
      <c r="O835" s="43">
        <f t="shared" si="273"/>
        <v>24955.68</v>
      </c>
      <c r="P835" s="43">
        <f t="shared" si="274"/>
        <v>23957.45</v>
      </c>
      <c r="Q835" s="43">
        <f t="shared" si="275"/>
        <v>24428.16</v>
      </c>
      <c r="R835" s="43">
        <f t="shared" si="276"/>
        <v>-470.70999999999913</v>
      </c>
      <c r="S835" s="44">
        <f t="shared" si="277"/>
        <v>-1.9647750490974586E-2</v>
      </c>
      <c r="T835" s="39" t="str">
        <f t="shared" si="278"/>
        <v>Loss</v>
      </c>
      <c r="U835" s="39" t="str">
        <f t="shared" si="279"/>
        <v>0-9%</v>
      </c>
      <c r="V835" s="39" t="str">
        <f>IF(E835&gt;=Analysis!$B$4,"High",IF(E835&gt;=Analysis!$B$5,"Mid","Low"))</f>
        <v>Low</v>
      </c>
      <c r="W835" s="39" t="str">
        <f t="shared" si="280"/>
        <v>2023-01</v>
      </c>
      <c r="X835" s="40">
        <f t="shared" si="281"/>
        <v>44957</v>
      </c>
      <c r="Y835" s="39" t="str">
        <f t="shared" si="282"/>
        <v>2023-Q1</v>
      </c>
      <c r="Z835" s="39" t="str">
        <f t="shared" si="283"/>
        <v>Fri</v>
      </c>
      <c r="AA835" s="39">
        <f t="shared" si="284"/>
        <v>5</v>
      </c>
      <c r="AB835" s="39">
        <f t="shared" si="285"/>
        <v>5</v>
      </c>
      <c r="AC835" s="39" t="str">
        <f t="shared" si="286"/>
        <v>Weekday</v>
      </c>
      <c r="AD835" s="39">
        <f t="shared" ca="1" si="287"/>
        <v>1366</v>
      </c>
      <c r="AE835" s="39">
        <f t="shared" ca="1" si="288"/>
        <v>44</v>
      </c>
      <c r="AF835" s="39" t="str">
        <f t="shared" si="289"/>
        <v>BOB</v>
      </c>
      <c r="AG835" s="39" t="str">
        <f t="shared" si="290"/>
        <v>SO-230127-0834</v>
      </c>
      <c r="AH835" s="39" t="str">
        <f>IF(AND(OR(Filter!$B$4="All",D835=Filter!$B$4),OR(Filter!$B$5="All",M835=Filter!$B$5),E835&gt;=Filter!$B$6),MAX(AH$1:AH834)+1,"")</f>
        <v/>
      </c>
      <c r="AI835" s="39">
        <f t="shared" si="291"/>
        <v>12</v>
      </c>
      <c r="AJ835" s="42">
        <f t="shared" si="292"/>
        <v>0.04</v>
      </c>
      <c r="AK835" s="41">
        <f t="shared" si="293"/>
        <v>2079.64</v>
      </c>
      <c r="AL835" s="39">
        <f>RANK(E835,$E$2:$E$1001,0)+COUNTIF($E$2:E835,E835)-1</f>
        <v>859</v>
      </c>
    </row>
    <row r="836" spans="1:38" x14ac:dyDescent="0.2">
      <c r="A836" s="39">
        <v>1032</v>
      </c>
      <c r="B836" s="40">
        <v>44998</v>
      </c>
      <c r="C836" s="39" t="s">
        <v>61</v>
      </c>
      <c r="D836" s="39" t="s">
        <v>64</v>
      </c>
      <c r="E836" s="41">
        <v>5768.81</v>
      </c>
      <c r="F836" s="39">
        <v>20</v>
      </c>
      <c r="G836" s="39" t="s">
        <v>65</v>
      </c>
      <c r="H836" s="41">
        <v>4741.59</v>
      </c>
      <c r="I836" s="41">
        <v>4975.2299999999996</v>
      </c>
      <c r="J836" s="39" t="s">
        <v>143</v>
      </c>
      <c r="K836" s="42">
        <v>0.09</v>
      </c>
      <c r="L836" s="39" t="s">
        <v>73</v>
      </c>
      <c r="M836" s="39" t="s">
        <v>138</v>
      </c>
      <c r="N836" s="39" t="s">
        <v>156</v>
      </c>
      <c r="O836" s="43">
        <f t="shared" si="273"/>
        <v>99504.6</v>
      </c>
      <c r="P836" s="43">
        <f t="shared" si="274"/>
        <v>90549.19</v>
      </c>
      <c r="Q836" s="43">
        <f t="shared" si="275"/>
        <v>94831.8</v>
      </c>
      <c r="R836" s="43">
        <f t="shared" si="276"/>
        <v>-4282.6100000000006</v>
      </c>
      <c r="S836" s="44">
        <f t="shared" si="277"/>
        <v>-4.729595041104178E-2</v>
      </c>
      <c r="T836" s="39" t="str">
        <f t="shared" si="278"/>
        <v>Loss</v>
      </c>
      <c r="U836" s="39" t="str">
        <f t="shared" si="279"/>
        <v>0-9%</v>
      </c>
      <c r="V836" s="39" t="str">
        <f>IF(E836&gt;=Analysis!$B$4,"High",IF(E836&gt;=Analysis!$B$5,"Mid","Low"))</f>
        <v>Mid</v>
      </c>
      <c r="W836" s="39" t="str">
        <f t="shared" si="280"/>
        <v>2023-03</v>
      </c>
      <c r="X836" s="40">
        <f t="shared" si="281"/>
        <v>45016</v>
      </c>
      <c r="Y836" s="39" t="str">
        <f t="shared" si="282"/>
        <v>2023-Q1</v>
      </c>
      <c r="Z836" s="39" t="str">
        <f t="shared" si="283"/>
        <v>Mon</v>
      </c>
      <c r="AA836" s="39">
        <f t="shared" si="284"/>
        <v>1</v>
      </c>
      <c r="AB836" s="39">
        <f t="shared" si="285"/>
        <v>12</v>
      </c>
      <c r="AC836" s="39" t="str">
        <f t="shared" si="286"/>
        <v>Weekday</v>
      </c>
      <c r="AD836" s="39">
        <f t="shared" ca="1" si="287"/>
        <v>1321</v>
      </c>
      <c r="AE836" s="39">
        <f t="shared" ca="1" si="288"/>
        <v>43</v>
      </c>
      <c r="AF836" s="39" t="str">
        <f t="shared" si="289"/>
        <v>ALI</v>
      </c>
      <c r="AG836" s="39" t="str">
        <f t="shared" si="290"/>
        <v>NO-230313-0835</v>
      </c>
      <c r="AH836" s="39" t="str">
        <f>IF(AND(OR(Filter!$B$4="All",D836=Filter!$B$4),OR(Filter!$B$5="All",M836=Filter!$B$5),E836&gt;=Filter!$B$6),MAX(AH$1:AH835)+1,"")</f>
        <v/>
      </c>
      <c r="AI836" s="39">
        <f t="shared" si="291"/>
        <v>20</v>
      </c>
      <c r="AJ836" s="42">
        <f t="shared" si="292"/>
        <v>0.09</v>
      </c>
      <c r="AK836" s="41">
        <f t="shared" si="293"/>
        <v>4975.2299999999996</v>
      </c>
      <c r="AL836" s="39">
        <f>RANK(E836,$E$2:$E$1001,0)+COUNTIF($E$2:E836,E836)-1</f>
        <v>432</v>
      </c>
    </row>
    <row r="837" spans="1:38" x14ac:dyDescent="0.2">
      <c r="A837" s="39">
        <v>1034</v>
      </c>
      <c r="B837" s="40">
        <v>44986</v>
      </c>
      <c r="C837" s="39" t="s">
        <v>71</v>
      </c>
      <c r="D837" s="39" t="s">
        <v>74</v>
      </c>
      <c r="E837" s="41">
        <v>2842.42</v>
      </c>
      <c r="F837" s="39">
        <v>45</v>
      </c>
      <c r="G837" s="39" t="s">
        <v>70</v>
      </c>
      <c r="H837" s="41">
        <v>2013.12</v>
      </c>
      <c r="I837" s="41">
        <v>2321.87</v>
      </c>
      <c r="J837" s="39" t="s">
        <v>143</v>
      </c>
      <c r="K837" s="42">
        <v>0.18</v>
      </c>
      <c r="L837" s="39" t="s">
        <v>63</v>
      </c>
      <c r="M837" s="39" t="s">
        <v>140</v>
      </c>
      <c r="N837" s="39" t="s">
        <v>146</v>
      </c>
      <c r="O837" s="43">
        <f t="shared" si="273"/>
        <v>104484.15</v>
      </c>
      <c r="P837" s="43">
        <f t="shared" si="274"/>
        <v>85677</v>
      </c>
      <c r="Q837" s="43">
        <f t="shared" si="275"/>
        <v>90590.399999999994</v>
      </c>
      <c r="R837" s="43">
        <f t="shared" si="276"/>
        <v>-4913.3999999999942</v>
      </c>
      <c r="S837" s="44">
        <f t="shared" si="277"/>
        <v>-5.7347946356665083E-2</v>
      </c>
      <c r="T837" s="39" t="str">
        <f t="shared" si="278"/>
        <v>Loss</v>
      </c>
      <c r="U837" s="39" t="str">
        <f t="shared" si="279"/>
        <v>10-19%</v>
      </c>
      <c r="V837" s="39" t="str">
        <f>IF(E837&gt;=Analysis!$B$4,"High",IF(E837&gt;=Analysis!$B$5,"Mid","Low"))</f>
        <v>Mid</v>
      </c>
      <c r="W837" s="39" t="str">
        <f t="shared" si="280"/>
        <v>2023-03</v>
      </c>
      <c r="X837" s="40">
        <f t="shared" si="281"/>
        <v>45016</v>
      </c>
      <c r="Y837" s="39" t="str">
        <f t="shared" si="282"/>
        <v>2023-Q1</v>
      </c>
      <c r="Z837" s="39" t="str">
        <f t="shared" si="283"/>
        <v>Wed</v>
      </c>
      <c r="AA837" s="39">
        <f t="shared" si="284"/>
        <v>3</v>
      </c>
      <c r="AB837" s="39">
        <f t="shared" si="285"/>
        <v>10</v>
      </c>
      <c r="AC837" s="39" t="str">
        <f t="shared" si="286"/>
        <v>Weekday</v>
      </c>
      <c r="AD837" s="39">
        <f t="shared" ca="1" si="287"/>
        <v>1333</v>
      </c>
      <c r="AE837" s="39">
        <f t="shared" ca="1" si="288"/>
        <v>43</v>
      </c>
      <c r="AF837" s="39" t="str">
        <f t="shared" si="289"/>
        <v>CHA</v>
      </c>
      <c r="AG837" s="39" t="str">
        <f t="shared" si="290"/>
        <v>WR-230301-0836</v>
      </c>
      <c r="AH837" s="39" t="str">
        <f>IF(AND(OR(Filter!$B$4="All",D837=Filter!$B$4),OR(Filter!$B$5="All",M837=Filter!$B$5),E837&gt;=Filter!$B$6),MAX(AH$1:AH836)+1,"")</f>
        <v/>
      </c>
      <c r="AI837" s="39">
        <f t="shared" si="291"/>
        <v>45</v>
      </c>
      <c r="AJ837" s="42">
        <f t="shared" si="292"/>
        <v>0.18</v>
      </c>
      <c r="AK837" s="41">
        <f t="shared" si="293"/>
        <v>2321.87</v>
      </c>
      <c r="AL837" s="39">
        <f>RANK(E837,$E$2:$E$1001,0)+COUNTIF($E$2:E837,E837)-1</f>
        <v>712</v>
      </c>
    </row>
    <row r="838" spans="1:38" x14ac:dyDescent="0.2">
      <c r="A838" s="39">
        <v>1092</v>
      </c>
      <c r="B838" s="40">
        <v>45071</v>
      </c>
      <c r="C838" s="39" t="s">
        <v>66</v>
      </c>
      <c r="D838" s="39" t="s">
        <v>59</v>
      </c>
      <c r="E838" s="41">
        <v>9220.94</v>
      </c>
      <c r="F838" s="39">
        <v>20</v>
      </c>
      <c r="G838" s="39" t="s">
        <v>70</v>
      </c>
      <c r="H838" s="41">
        <v>668.11</v>
      </c>
      <c r="I838" s="41">
        <v>803.49</v>
      </c>
      <c r="J838" s="39" t="s">
        <v>143</v>
      </c>
      <c r="K838" s="42">
        <v>0.21</v>
      </c>
      <c r="L838" s="39" t="s">
        <v>63</v>
      </c>
      <c r="M838" s="39" t="s">
        <v>138</v>
      </c>
      <c r="N838" s="39" t="s">
        <v>153</v>
      </c>
      <c r="O838" s="43">
        <f t="shared" si="273"/>
        <v>16069.8</v>
      </c>
      <c r="P838" s="43">
        <f t="shared" si="274"/>
        <v>12695.14</v>
      </c>
      <c r="Q838" s="43">
        <f t="shared" si="275"/>
        <v>13362.2</v>
      </c>
      <c r="R838" s="43">
        <f t="shared" si="276"/>
        <v>-667.06000000000131</v>
      </c>
      <c r="S838" s="44">
        <f t="shared" si="277"/>
        <v>-5.2544517035653118E-2</v>
      </c>
      <c r="T838" s="39" t="str">
        <f t="shared" si="278"/>
        <v>Loss</v>
      </c>
      <c r="U838" s="39" t="str">
        <f t="shared" si="279"/>
        <v>20%+</v>
      </c>
      <c r="V838" s="39" t="str">
        <f>IF(E838&gt;=Analysis!$B$4,"High",IF(E838&gt;=Analysis!$B$5,"Mid","Low"))</f>
        <v>High</v>
      </c>
      <c r="W838" s="39" t="str">
        <f t="shared" si="280"/>
        <v>2023-05</v>
      </c>
      <c r="X838" s="40">
        <f t="shared" si="281"/>
        <v>45077</v>
      </c>
      <c r="Y838" s="39" t="str">
        <f t="shared" si="282"/>
        <v>2023-Q2</v>
      </c>
      <c r="Z838" s="39" t="str">
        <f t="shared" si="283"/>
        <v>Thu</v>
      </c>
      <c r="AA838" s="39">
        <f t="shared" si="284"/>
        <v>4</v>
      </c>
      <c r="AB838" s="39">
        <f t="shared" si="285"/>
        <v>22</v>
      </c>
      <c r="AC838" s="39" t="str">
        <f t="shared" si="286"/>
        <v>Weekday</v>
      </c>
      <c r="AD838" s="39">
        <f t="shared" ca="1" si="287"/>
        <v>1248</v>
      </c>
      <c r="AE838" s="39">
        <f t="shared" ca="1" si="288"/>
        <v>40</v>
      </c>
      <c r="AF838" s="39" t="str">
        <f t="shared" si="289"/>
        <v>BOB</v>
      </c>
      <c r="AG838" s="39" t="str">
        <f t="shared" si="290"/>
        <v>EO-230525-0837</v>
      </c>
      <c r="AH838" s="39">
        <f>IF(AND(OR(Filter!$B$4="All",D838=Filter!$B$4),OR(Filter!$B$5="All",M838=Filter!$B$5),E838&gt;=Filter!$B$6),MAX(AH$1:AH837)+1,"")</f>
        <v>78</v>
      </c>
      <c r="AI838" s="39">
        <f t="shared" si="291"/>
        <v>20</v>
      </c>
      <c r="AJ838" s="42">
        <f t="shared" si="292"/>
        <v>0.21</v>
      </c>
      <c r="AK838" s="41">
        <f t="shared" si="293"/>
        <v>803.49</v>
      </c>
      <c r="AL838" s="39">
        <f>RANK(E838,$E$2:$E$1001,0)+COUNTIF($E$2:E838,E838)-1</f>
        <v>73</v>
      </c>
    </row>
    <row r="839" spans="1:38" x14ac:dyDescent="0.2">
      <c r="A839" s="39">
        <v>1095</v>
      </c>
      <c r="B839" s="40">
        <v>45019</v>
      </c>
      <c r="C839" s="39" t="s">
        <v>71</v>
      </c>
      <c r="D839" s="39" t="s">
        <v>59</v>
      </c>
      <c r="E839" s="41">
        <v>5873.59</v>
      </c>
      <c r="F839" s="39">
        <v>9</v>
      </c>
      <c r="G839" s="39" t="s">
        <v>70</v>
      </c>
      <c r="H839" s="41">
        <v>2650.95</v>
      </c>
      <c r="I839" s="41">
        <v>2860.42</v>
      </c>
      <c r="J839" s="39" t="s">
        <v>143</v>
      </c>
      <c r="K839" s="42">
        <v>0.12</v>
      </c>
      <c r="L839" s="39" t="s">
        <v>68</v>
      </c>
      <c r="M839" s="39" t="s">
        <v>140</v>
      </c>
      <c r="N839" s="39" t="s">
        <v>145</v>
      </c>
      <c r="O839" s="43">
        <f t="shared" si="273"/>
        <v>25743.78</v>
      </c>
      <c r="P839" s="43">
        <f t="shared" si="274"/>
        <v>22654.53</v>
      </c>
      <c r="Q839" s="43">
        <f t="shared" si="275"/>
        <v>23858.55</v>
      </c>
      <c r="R839" s="43">
        <f t="shared" si="276"/>
        <v>-1204.0200000000004</v>
      </c>
      <c r="S839" s="44">
        <f t="shared" si="277"/>
        <v>-5.3146986496740406E-2</v>
      </c>
      <c r="T839" s="39" t="str">
        <f t="shared" si="278"/>
        <v>Loss</v>
      </c>
      <c r="U839" s="39" t="str">
        <f t="shared" si="279"/>
        <v>10-19%</v>
      </c>
      <c r="V839" s="39" t="str">
        <f>IF(E839&gt;=Analysis!$B$4,"High",IF(E839&gt;=Analysis!$B$5,"Mid","Low"))</f>
        <v>Mid</v>
      </c>
      <c r="W839" s="39" t="str">
        <f t="shared" si="280"/>
        <v>2023-04</v>
      </c>
      <c r="X839" s="40">
        <f t="shared" si="281"/>
        <v>45046</v>
      </c>
      <c r="Y839" s="39" t="str">
        <f t="shared" si="282"/>
        <v>2023-Q2</v>
      </c>
      <c r="Z839" s="39" t="str">
        <f t="shared" si="283"/>
        <v>Mon</v>
      </c>
      <c r="AA839" s="39">
        <f t="shared" si="284"/>
        <v>1</v>
      </c>
      <c r="AB839" s="39">
        <f t="shared" si="285"/>
        <v>15</v>
      </c>
      <c r="AC839" s="39" t="str">
        <f t="shared" si="286"/>
        <v>Weekday</v>
      </c>
      <c r="AD839" s="39">
        <f t="shared" ca="1" si="287"/>
        <v>1300</v>
      </c>
      <c r="AE839" s="39">
        <f t="shared" ca="1" si="288"/>
        <v>42</v>
      </c>
      <c r="AF839" s="39" t="str">
        <f t="shared" si="289"/>
        <v>CHA</v>
      </c>
      <c r="AG839" s="39" t="str">
        <f t="shared" si="290"/>
        <v>ER-230403-0838</v>
      </c>
      <c r="AH839" s="39" t="str">
        <f>IF(AND(OR(Filter!$B$4="All",D839=Filter!$B$4),OR(Filter!$B$5="All",M839=Filter!$B$5),E839&gt;=Filter!$B$6),MAX(AH$1:AH838)+1,"")</f>
        <v/>
      </c>
      <c r="AI839" s="39">
        <f t="shared" si="291"/>
        <v>9</v>
      </c>
      <c r="AJ839" s="42">
        <f t="shared" si="292"/>
        <v>0.12</v>
      </c>
      <c r="AK839" s="41">
        <f t="shared" si="293"/>
        <v>2860.42</v>
      </c>
      <c r="AL839" s="39">
        <f>RANK(E839,$E$2:$E$1001,0)+COUNTIF($E$2:E839,E839)-1</f>
        <v>420</v>
      </c>
    </row>
    <row r="840" spans="1:38" x14ac:dyDescent="0.2">
      <c r="A840" s="39">
        <v>1072</v>
      </c>
      <c r="B840" s="40">
        <v>45235</v>
      </c>
      <c r="C840" s="39" t="s">
        <v>76</v>
      </c>
      <c r="D840" s="39" t="s">
        <v>74</v>
      </c>
      <c r="E840" s="41">
        <v>5969.12</v>
      </c>
      <c r="F840" s="39">
        <v>39</v>
      </c>
      <c r="G840" s="39" t="s">
        <v>60</v>
      </c>
      <c r="H840" s="41">
        <v>591.98</v>
      </c>
      <c r="I840" s="41">
        <v>934.04</v>
      </c>
      <c r="J840" s="39" t="s">
        <v>143</v>
      </c>
      <c r="K840" s="42">
        <v>0.26</v>
      </c>
      <c r="L840" s="39" t="s">
        <v>63</v>
      </c>
      <c r="M840" s="39" t="s">
        <v>140</v>
      </c>
      <c r="N840" s="39" t="s">
        <v>154</v>
      </c>
      <c r="O840" s="43">
        <f t="shared" si="273"/>
        <v>36427.56</v>
      </c>
      <c r="P840" s="43">
        <f t="shared" si="274"/>
        <v>26956.39</v>
      </c>
      <c r="Q840" s="43">
        <f t="shared" si="275"/>
        <v>23087.22</v>
      </c>
      <c r="R840" s="43">
        <f t="shared" si="276"/>
        <v>3869.1699999999983</v>
      </c>
      <c r="S840" s="44">
        <f t="shared" si="277"/>
        <v>0.14353442727308807</v>
      </c>
      <c r="T840" s="39" t="str">
        <f t="shared" si="278"/>
        <v>OK</v>
      </c>
      <c r="U840" s="39" t="str">
        <f t="shared" si="279"/>
        <v>20%+</v>
      </c>
      <c r="V840" s="39" t="str">
        <f>IF(E840&gt;=Analysis!$B$4,"High",IF(E840&gt;=Analysis!$B$5,"Mid","Low"))</f>
        <v>Mid</v>
      </c>
      <c r="W840" s="39" t="str">
        <f t="shared" si="280"/>
        <v>2023-11</v>
      </c>
      <c r="X840" s="40">
        <f t="shared" si="281"/>
        <v>45260</v>
      </c>
      <c r="Y840" s="39" t="str">
        <f t="shared" si="282"/>
        <v>2023-Q4</v>
      </c>
      <c r="Z840" s="39" t="str">
        <f t="shared" si="283"/>
        <v>Sun</v>
      </c>
      <c r="AA840" s="39">
        <f t="shared" si="284"/>
        <v>7</v>
      </c>
      <c r="AB840" s="39">
        <f t="shared" si="285"/>
        <v>45</v>
      </c>
      <c r="AC840" s="39" t="str">
        <f t="shared" si="286"/>
        <v>Weekend</v>
      </c>
      <c r="AD840" s="39">
        <f t="shared" ca="1" si="287"/>
        <v>1084</v>
      </c>
      <c r="AE840" s="39">
        <f t="shared" ca="1" si="288"/>
        <v>35</v>
      </c>
      <c r="AF840" s="39" t="str">
        <f t="shared" si="289"/>
        <v>DAV</v>
      </c>
      <c r="AG840" s="39" t="str">
        <f t="shared" si="290"/>
        <v>WR-231105-0839</v>
      </c>
      <c r="AH840" s="39" t="str">
        <f>IF(AND(OR(Filter!$B$4="All",D840=Filter!$B$4),OR(Filter!$B$5="All",M840=Filter!$B$5),E840&gt;=Filter!$B$6),MAX(AH$1:AH839)+1,"")</f>
        <v/>
      </c>
      <c r="AI840" s="39">
        <f t="shared" si="291"/>
        <v>39</v>
      </c>
      <c r="AJ840" s="42">
        <f t="shared" si="292"/>
        <v>0.26</v>
      </c>
      <c r="AK840" s="41">
        <f t="shared" si="293"/>
        <v>934.04</v>
      </c>
      <c r="AL840" s="39">
        <f>RANK(E840,$E$2:$E$1001,0)+COUNTIF($E$2:E840,E840)-1</f>
        <v>411</v>
      </c>
    </row>
    <row r="841" spans="1:38" x14ac:dyDescent="0.2">
      <c r="A841" s="39">
        <v>1039</v>
      </c>
      <c r="B841" s="40">
        <v>44934</v>
      </c>
      <c r="C841" s="39" t="s">
        <v>79</v>
      </c>
      <c r="D841" s="39" t="s">
        <v>69</v>
      </c>
      <c r="E841" s="41">
        <v>3613.75</v>
      </c>
      <c r="F841" s="39">
        <v>4</v>
      </c>
      <c r="G841" s="39" t="s">
        <v>65</v>
      </c>
      <c r="H841" s="41">
        <v>1054.1199999999999</v>
      </c>
      <c r="I841" s="41">
        <v>1175.22</v>
      </c>
      <c r="J841" s="39" t="s">
        <v>137</v>
      </c>
      <c r="K841" s="42">
        <v>0.12</v>
      </c>
      <c r="L841" s="39" t="s">
        <v>63</v>
      </c>
      <c r="M841" s="39" t="s">
        <v>140</v>
      </c>
      <c r="N841" s="39" t="s">
        <v>147</v>
      </c>
      <c r="O841" s="43">
        <f t="shared" si="273"/>
        <v>4700.88</v>
      </c>
      <c r="P841" s="43">
        <f t="shared" si="274"/>
        <v>4136.7700000000004</v>
      </c>
      <c r="Q841" s="43">
        <f t="shared" si="275"/>
        <v>4216.4799999999996</v>
      </c>
      <c r="R841" s="43">
        <f t="shared" si="276"/>
        <v>-79.709999999999127</v>
      </c>
      <c r="S841" s="44">
        <f t="shared" si="277"/>
        <v>-1.9268656463859272E-2</v>
      </c>
      <c r="T841" s="39" t="str">
        <f t="shared" si="278"/>
        <v>Loss</v>
      </c>
      <c r="U841" s="39" t="str">
        <f t="shared" si="279"/>
        <v>10-19%</v>
      </c>
      <c r="V841" s="39" t="str">
        <f>IF(E841&gt;=Analysis!$B$4,"High",IF(E841&gt;=Analysis!$B$5,"Mid","Low"))</f>
        <v>Mid</v>
      </c>
      <c r="W841" s="39" t="str">
        <f t="shared" si="280"/>
        <v>2023-01</v>
      </c>
      <c r="X841" s="40">
        <f t="shared" si="281"/>
        <v>44957</v>
      </c>
      <c r="Y841" s="39" t="str">
        <f t="shared" si="282"/>
        <v>2023-Q1</v>
      </c>
      <c r="Z841" s="39" t="str">
        <f t="shared" si="283"/>
        <v>Sun</v>
      </c>
      <c r="AA841" s="39">
        <f t="shared" si="284"/>
        <v>7</v>
      </c>
      <c r="AB841" s="39">
        <f t="shared" si="285"/>
        <v>2</v>
      </c>
      <c r="AC841" s="39" t="str">
        <f t="shared" si="286"/>
        <v>Weekend</v>
      </c>
      <c r="AD841" s="39">
        <f t="shared" ca="1" si="287"/>
        <v>1385</v>
      </c>
      <c r="AE841" s="39">
        <f t="shared" ca="1" si="288"/>
        <v>45</v>
      </c>
      <c r="AF841" s="39" t="str">
        <f t="shared" si="289"/>
        <v>EVE</v>
      </c>
      <c r="AG841" s="39" t="str">
        <f t="shared" si="290"/>
        <v>SR-230108-0840</v>
      </c>
      <c r="AH841" s="39" t="str">
        <f>IF(AND(OR(Filter!$B$4="All",D841=Filter!$B$4),OR(Filter!$B$5="All",M841=Filter!$B$5),E841&gt;=Filter!$B$6),MAX(AH$1:AH840)+1,"")</f>
        <v/>
      </c>
      <c r="AI841" s="39">
        <f t="shared" si="291"/>
        <v>4</v>
      </c>
      <c r="AJ841" s="42">
        <f t="shared" si="292"/>
        <v>0.12</v>
      </c>
      <c r="AK841" s="41">
        <f t="shared" si="293"/>
        <v>1175.22</v>
      </c>
      <c r="AL841" s="39">
        <f>RANK(E841,$E$2:$E$1001,0)+COUNTIF($E$2:E841,E841)-1</f>
        <v>638</v>
      </c>
    </row>
    <row r="842" spans="1:38" x14ac:dyDescent="0.2">
      <c r="A842" s="39">
        <v>1026</v>
      </c>
      <c r="B842" s="40">
        <v>45005</v>
      </c>
      <c r="C842" s="39" t="s">
        <v>66</v>
      </c>
      <c r="D842" s="39" t="s">
        <v>59</v>
      </c>
      <c r="E842" s="41">
        <v>614.69000000000005</v>
      </c>
      <c r="F842" s="39">
        <v>19</v>
      </c>
      <c r="G842" s="39" t="s">
        <v>65</v>
      </c>
      <c r="H842" s="41">
        <v>4991.68</v>
      </c>
      <c r="I842" s="41">
        <v>5296.65</v>
      </c>
      <c r="J842" s="39" t="s">
        <v>143</v>
      </c>
      <c r="K842" s="42">
        <v>0.12</v>
      </c>
      <c r="L842" s="39" t="s">
        <v>63</v>
      </c>
      <c r="M842" s="39" t="s">
        <v>138</v>
      </c>
      <c r="N842" s="39" t="s">
        <v>153</v>
      </c>
      <c r="O842" s="43">
        <f t="shared" si="273"/>
        <v>100636.35</v>
      </c>
      <c r="P842" s="43">
        <f t="shared" si="274"/>
        <v>88559.99</v>
      </c>
      <c r="Q842" s="43">
        <f t="shared" si="275"/>
        <v>94841.919999999998</v>
      </c>
      <c r="R842" s="43">
        <f t="shared" si="276"/>
        <v>-6281.929999999993</v>
      </c>
      <c r="S842" s="44">
        <f t="shared" si="277"/>
        <v>-7.0934176934753415E-2</v>
      </c>
      <c r="T842" s="39" t="str">
        <f t="shared" si="278"/>
        <v>Loss</v>
      </c>
      <c r="U842" s="39" t="str">
        <f t="shared" si="279"/>
        <v>10-19%</v>
      </c>
      <c r="V842" s="39" t="str">
        <f>IF(E842&gt;=Analysis!$B$4,"High",IF(E842&gt;=Analysis!$B$5,"Mid","Low"))</f>
        <v>Low</v>
      </c>
      <c r="W842" s="39" t="str">
        <f t="shared" si="280"/>
        <v>2023-03</v>
      </c>
      <c r="X842" s="40">
        <f t="shared" si="281"/>
        <v>45016</v>
      </c>
      <c r="Y842" s="39" t="str">
        <f t="shared" si="282"/>
        <v>2023-Q1</v>
      </c>
      <c r="Z842" s="39" t="str">
        <f t="shared" si="283"/>
        <v>Mon</v>
      </c>
      <c r="AA842" s="39">
        <f t="shared" si="284"/>
        <v>1</v>
      </c>
      <c r="AB842" s="39">
        <f t="shared" si="285"/>
        <v>13</v>
      </c>
      <c r="AC842" s="39" t="str">
        <f t="shared" si="286"/>
        <v>Weekday</v>
      </c>
      <c r="AD842" s="39">
        <f t="shared" ca="1" si="287"/>
        <v>1314</v>
      </c>
      <c r="AE842" s="39">
        <f t="shared" ca="1" si="288"/>
        <v>43</v>
      </c>
      <c r="AF842" s="39" t="str">
        <f t="shared" si="289"/>
        <v>BOB</v>
      </c>
      <c r="AG842" s="39" t="str">
        <f t="shared" si="290"/>
        <v>EO-230320-0841</v>
      </c>
      <c r="AH842" s="39" t="str">
        <f>IF(AND(OR(Filter!$B$4="All",D842=Filter!$B$4),OR(Filter!$B$5="All",M842=Filter!$B$5),E842&gt;=Filter!$B$6),MAX(AH$1:AH841)+1,"")</f>
        <v/>
      </c>
      <c r="AI842" s="39">
        <f t="shared" si="291"/>
        <v>19</v>
      </c>
      <c r="AJ842" s="42">
        <f t="shared" si="292"/>
        <v>0.12</v>
      </c>
      <c r="AK842" s="41">
        <f t="shared" si="293"/>
        <v>5296.65</v>
      </c>
      <c r="AL842" s="39">
        <f>RANK(E842,$E$2:$E$1001,0)+COUNTIF($E$2:E842,E842)-1</f>
        <v>951</v>
      </c>
    </row>
    <row r="843" spans="1:38" x14ac:dyDescent="0.2">
      <c r="A843" s="39">
        <v>1034</v>
      </c>
      <c r="B843" s="40">
        <v>44953</v>
      </c>
      <c r="C843" s="39" t="s">
        <v>66</v>
      </c>
      <c r="D843" s="39" t="s">
        <v>59</v>
      </c>
      <c r="E843" s="41">
        <v>414.26</v>
      </c>
      <c r="F843" s="39">
        <v>38</v>
      </c>
      <c r="G843" s="39" t="s">
        <v>70</v>
      </c>
      <c r="H843" s="41">
        <v>2729.75</v>
      </c>
      <c r="I843" s="41">
        <v>3081.5</v>
      </c>
      <c r="J843" s="39" t="s">
        <v>143</v>
      </c>
      <c r="K843" s="42">
        <v>0.01</v>
      </c>
      <c r="L843" s="39" t="s">
        <v>63</v>
      </c>
      <c r="M843" s="39" t="s">
        <v>138</v>
      </c>
      <c r="N843" s="39" t="s">
        <v>153</v>
      </c>
      <c r="O843" s="43">
        <f t="shared" si="273"/>
        <v>117097</v>
      </c>
      <c r="P843" s="43">
        <f t="shared" si="274"/>
        <v>115926.03</v>
      </c>
      <c r="Q843" s="43">
        <f t="shared" si="275"/>
        <v>103730.5</v>
      </c>
      <c r="R843" s="43">
        <f t="shared" si="276"/>
        <v>12195.529999999999</v>
      </c>
      <c r="S843" s="44">
        <f t="shared" si="277"/>
        <v>0.10520096306239417</v>
      </c>
      <c r="T843" s="39" t="str">
        <f t="shared" si="278"/>
        <v>OK</v>
      </c>
      <c r="U843" s="39" t="str">
        <f t="shared" si="279"/>
        <v>0-9%</v>
      </c>
      <c r="V843" s="39" t="str">
        <f>IF(E843&gt;=Analysis!$B$4,"High",IF(E843&gt;=Analysis!$B$5,"Mid","Low"))</f>
        <v>Low</v>
      </c>
      <c r="W843" s="39" t="str">
        <f t="shared" si="280"/>
        <v>2023-01</v>
      </c>
      <c r="X843" s="40">
        <f t="shared" si="281"/>
        <v>44957</v>
      </c>
      <c r="Y843" s="39" t="str">
        <f t="shared" si="282"/>
        <v>2023-Q1</v>
      </c>
      <c r="Z843" s="39" t="str">
        <f t="shared" si="283"/>
        <v>Fri</v>
      </c>
      <c r="AA843" s="39">
        <f t="shared" si="284"/>
        <v>5</v>
      </c>
      <c r="AB843" s="39">
        <f t="shared" si="285"/>
        <v>5</v>
      </c>
      <c r="AC843" s="39" t="str">
        <f t="shared" si="286"/>
        <v>Weekday</v>
      </c>
      <c r="AD843" s="39">
        <f t="shared" ca="1" si="287"/>
        <v>1366</v>
      </c>
      <c r="AE843" s="39">
        <f t="shared" ca="1" si="288"/>
        <v>44</v>
      </c>
      <c r="AF843" s="39" t="str">
        <f t="shared" si="289"/>
        <v>BOB</v>
      </c>
      <c r="AG843" s="39" t="str">
        <f t="shared" si="290"/>
        <v>EO-230127-0842</v>
      </c>
      <c r="AH843" s="39" t="str">
        <f>IF(AND(OR(Filter!$B$4="All",D843=Filter!$B$4),OR(Filter!$B$5="All",M843=Filter!$B$5),E843&gt;=Filter!$B$6),MAX(AH$1:AH842)+1,"")</f>
        <v/>
      </c>
      <c r="AI843" s="39">
        <f t="shared" si="291"/>
        <v>38</v>
      </c>
      <c r="AJ843" s="42">
        <f t="shared" si="292"/>
        <v>0.01</v>
      </c>
      <c r="AK843" s="41">
        <f t="shared" si="293"/>
        <v>3081.5</v>
      </c>
      <c r="AL843" s="39">
        <f>RANK(E843,$E$2:$E$1001,0)+COUNTIF($E$2:E843,E843)-1</f>
        <v>966</v>
      </c>
    </row>
    <row r="844" spans="1:38" x14ac:dyDescent="0.2">
      <c r="A844" s="39">
        <v>1054</v>
      </c>
      <c r="B844" s="40">
        <v>45100</v>
      </c>
      <c r="C844" s="39" t="s">
        <v>76</v>
      </c>
      <c r="D844" s="39" t="s">
        <v>74</v>
      </c>
      <c r="E844" s="41">
        <v>4291.0200000000004</v>
      </c>
      <c r="F844" s="39">
        <v>27</v>
      </c>
      <c r="G844" s="39" t="s">
        <v>65</v>
      </c>
      <c r="H844" s="41">
        <v>1456.09</v>
      </c>
      <c r="I844" s="41">
        <v>1510.43</v>
      </c>
      <c r="J844" s="39" t="s">
        <v>137</v>
      </c>
      <c r="K844" s="42">
        <v>0.17</v>
      </c>
      <c r="L844" s="39" t="s">
        <v>68</v>
      </c>
      <c r="M844" s="39" t="s">
        <v>140</v>
      </c>
      <c r="N844" s="39" t="s">
        <v>154</v>
      </c>
      <c r="O844" s="43">
        <f t="shared" si="273"/>
        <v>40781.61</v>
      </c>
      <c r="P844" s="43">
        <f t="shared" si="274"/>
        <v>33848.74</v>
      </c>
      <c r="Q844" s="43">
        <f t="shared" si="275"/>
        <v>39314.43</v>
      </c>
      <c r="R844" s="43">
        <f t="shared" si="276"/>
        <v>-5465.6900000000023</v>
      </c>
      <c r="S844" s="44">
        <f t="shared" si="277"/>
        <v>-0.16147395737625692</v>
      </c>
      <c r="T844" s="39" t="str">
        <f t="shared" si="278"/>
        <v>Loss</v>
      </c>
      <c r="U844" s="39" t="str">
        <f t="shared" si="279"/>
        <v>10-19%</v>
      </c>
      <c r="V844" s="39" t="str">
        <f>IF(E844&gt;=Analysis!$B$4,"High",IF(E844&gt;=Analysis!$B$5,"Mid","Low"))</f>
        <v>Mid</v>
      </c>
      <c r="W844" s="39" t="str">
        <f t="shared" si="280"/>
        <v>2023-06</v>
      </c>
      <c r="X844" s="40">
        <f t="shared" si="281"/>
        <v>45107</v>
      </c>
      <c r="Y844" s="39" t="str">
        <f t="shared" si="282"/>
        <v>2023-Q2</v>
      </c>
      <c r="Z844" s="39" t="str">
        <f t="shared" si="283"/>
        <v>Fri</v>
      </c>
      <c r="AA844" s="39">
        <f t="shared" si="284"/>
        <v>5</v>
      </c>
      <c r="AB844" s="39">
        <f t="shared" si="285"/>
        <v>26</v>
      </c>
      <c r="AC844" s="39" t="str">
        <f t="shared" si="286"/>
        <v>Weekday</v>
      </c>
      <c r="AD844" s="39">
        <f t="shared" ca="1" si="287"/>
        <v>1219</v>
      </c>
      <c r="AE844" s="39">
        <f t="shared" ca="1" si="288"/>
        <v>40</v>
      </c>
      <c r="AF844" s="39" t="str">
        <f t="shared" si="289"/>
        <v>DAV</v>
      </c>
      <c r="AG844" s="39" t="str">
        <f t="shared" si="290"/>
        <v>WR-230623-0843</v>
      </c>
      <c r="AH844" s="39" t="str">
        <f>IF(AND(OR(Filter!$B$4="All",D844=Filter!$B$4),OR(Filter!$B$5="All",M844=Filter!$B$5),E844&gt;=Filter!$B$6),MAX(AH$1:AH843)+1,"")</f>
        <v/>
      </c>
      <c r="AI844" s="39">
        <f t="shared" si="291"/>
        <v>27</v>
      </c>
      <c r="AJ844" s="42">
        <f t="shared" si="292"/>
        <v>0.17</v>
      </c>
      <c r="AK844" s="41">
        <f t="shared" si="293"/>
        <v>1510.43</v>
      </c>
      <c r="AL844" s="39">
        <f>RANK(E844,$E$2:$E$1001,0)+COUNTIF($E$2:E844,E844)-1</f>
        <v>570</v>
      </c>
    </row>
    <row r="845" spans="1:38" x14ac:dyDescent="0.2">
      <c r="A845" s="39">
        <v>1003</v>
      </c>
      <c r="B845" s="40">
        <v>44976</v>
      </c>
      <c r="C845" s="39" t="s">
        <v>61</v>
      </c>
      <c r="D845" s="39" t="s">
        <v>59</v>
      </c>
      <c r="E845" s="41">
        <v>937.2</v>
      </c>
      <c r="F845" s="39">
        <v>45</v>
      </c>
      <c r="G845" s="39" t="s">
        <v>65</v>
      </c>
      <c r="H845" s="41">
        <v>4974.1400000000003</v>
      </c>
      <c r="I845" s="41">
        <v>5227.93</v>
      </c>
      <c r="J845" s="39" t="s">
        <v>143</v>
      </c>
      <c r="K845" s="42">
        <v>0.21</v>
      </c>
      <c r="L845" s="39" t="s">
        <v>63</v>
      </c>
      <c r="M845" s="39" t="s">
        <v>138</v>
      </c>
      <c r="N845" s="39" t="s">
        <v>159</v>
      </c>
      <c r="O845" s="43">
        <f t="shared" si="273"/>
        <v>235256.85</v>
      </c>
      <c r="P845" s="43">
        <f t="shared" si="274"/>
        <v>185852.91</v>
      </c>
      <c r="Q845" s="43">
        <f t="shared" si="275"/>
        <v>223836.3</v>
      </c>
      <c r="R845" s="43">
        <f t="shared" si="276"/>
        <v>-37983.389999999985</v>
      </c>
      <c r="S845" s="44">
        <f t="shared" si="277"/>
        <v>-0.20437339399205526</v>
      </c>
      <c r="T845" s="39" t="str">
        <f t="shared" si="278"/>
        <v>Loss</v>
      </c>
      <c r="U845" s="39" t="str">
        <f t="shared" si="279"/>
        <v>20%+</v>
      </c>
      <c r="V845" s="39" t="str">
        <f>IF(E845&gt;=Analysis!$B$4,"High",IF(E845&gt;=Analysis!$B$5,"Mid","Low"))</f>
        <v>Low</v>
      </c>
      <c r="W845" s="39" t="str">
        <f t="shared" si="280"/>
        <v>2023-02</v>
      </c>
      <c r="X845" s="40">
        <f t="shared" si="281"/>
        <v>44985</v>
      </c>
      <c r="Y845" s="39" t="str">
        <f t="shared" si="282"/>
        <v>2023-Q1</v>
      </c>
      <c r="Z845" s="39" t="str">
        <f t="shared" si="283"/>
        <v>Sun</v>
      </c>
      <c r="AA845" s="39">
        <f t="shared" si="284"/>
        <v>7</v>
      </c>
      <c r="AB845" s="39">
        <f t="shared" si="285"/>
        <v>8</v>
      </c>
      <c r="AC845" s="39" t="str">
        <f t="shared" si="286"/>
        <v>Weekend</v>
      </c>
      <c r="AD845" s="39">
        <f t="shared" ca="1" si="287"/>
        <v>1343</v>
      </c>
      <c r="AE845" s="39">
        <f t="shared" ca="1" si="288"/>
        <v>44</v>
      </c>
      <c r="AF845" s="39" t="str">
        <f t="shared" si="289"/>
        <v>ALI</v>
      </c>
      <c r="AG845" s="39" t="str">
        <f t="shared" si="290"/>
        <v>EO-230219-0844</v>
      </c>
      <c r="AH845" s="39" t="str">
        <f>IF(AND(OR(Filter!$B$4="All",D845=Filter!$B$4),OR(Filter!$B$5="All",M845=Filter!$B$5),E845&gt;=Filter!$B$6),MAX(AH$1:AH844)+1,"")</f>
        <v/>
      </c>
      <c r="AI845" s="39">
        <f t="shared" si="291"/>
        <v>45</v>
      </c>
      <c r="AJ845" s="42">
        <f t="shared" si="292"/>
        <v>0.21</v>
      </c>
      <c r="AK845" s="41">
        <f t="shared" si="293"/>
        <v>5227.93</v>
      </c>
      <c r="AL845" s="39">
        <f>RANK(E845,$E$2:$E$1001,0)+COUNTIF($E$2:E845,E845)-1</f>
        <v>908</v>
      </c>
    </row>
    <row r="846" spans="1:38" x14ac:dyDescent="0.2">
      <c r="A846" s="39">
        <v>1050</v>
      </c>
      <c r="B846" s="40">
        <v>45125</v>
      </c>
      <c r="C846" s="39" t="s">
        <v>79</v>
      </c>
      <c r="D846" s="39" t="s">
        <v>69</v>
      </c>
      <c r="E846" s="41">
        <v>6107.78</v>
      </c>
      <c r="F846" s="39">
        <v>43</v>
      </c>
      <c r="G846" s="39" t="s">
        <v>75</v>
      </c>
      <c r="H846" s="41">
        <v>4834.47</v>
      </c>
      <c r="I846" s="41">
        <v>4973.38</v>
      </c>
      <c r="J846" s="39" t="s">
        <v>137</v>
      </c>
      <c r="K846" s="42">
        <v>0.03</v>
      </c>
      <c r="L846" s="39" t="s">
        <v>63</v>
      </c>
      <c r="M846" s="39" t="s">
        <v>138</v>
      </c>
      <c r="N846" s="39" t="s">
        <v>147</v>
      </c>
      <c r="O846" s="43">
        <f t="shared" si="273"/>
        <v>213855.34</v>
      </c>
      <c r="P846" s="43">
        <f t="shared" si="274"/>
        <v>207439.68</v>
      </c>
      <c r="Q846" s="43">
        <f t="shared" si="275"/>
        <v>207882.21</v>
      </c>
      <c r="R846" s="43">
        <f t="shared" si="276"/>
        <v>-442.52999999999884</v>
      </c>
      <c r="S846" s="44">
        <f t="shared" si="277"/>
        <v>-2.1332948450363924E-3</v>
      </c>
      <c r="T846" s="39" t="str">
        <f t="shared" si="278"/>
        <v>Loss</v>
      </c>
      <c r="U846" s="39" t="str">
        <f t="shared" si="279"/>
        <v>0-9%</v>
      </c>
      <c r="V846" s="39" t="str">
        <f>IF(E846&gt;=Analysis!$B$4,"High",IF(E846&gt;=Analysis!$B$5,"Mid","Low"))</f>
        <v>Mid</v>
      </c>
      <c r="W846" s="39" t="str">
        <f t="shared" si="280"/>
        <v>2023-07</v>
      </c>
      <c r="X846" s="40">
        <f t="shared" si="281"/>
        <v>45138</v>
      </c>
      <c r="Y846" s="39" t="str">
        <f t="shared" si="282"/>
        <v>2023-Q3</v>
      </c>
      <c r="Z846" s="39" t="str">
        <f t="shared" si="283"/>
        <v>Tue</v>
      </c>
      <c r="AA846" s="39">
        <f t="shared" si="284"/>
        <v>2</v>
      </c>
      <c r="AB846" s="39">
        <f t="shared" si="285"/>
        <v>30</v>
      </c>
      <c r="AC846" s="39" t="str">
        <f t="shared" si="286"/>
        <v>Weekday</v>
      </c>
      <c r="AD846" s="39">
        <f t="shared" ca="1" si="287"/>
        <v>1194</v>
      </c>
      <c r="AE846" s="39">
        <f t="shared" ca="1" si="288"/>
        <v>39</v>
      </c>
      <c r="AF846" s="39" t="str">
        <f t="shared" si="289"/>
        <v>EVE</v>
      </c>
      <c r="AG846" s="39" t="str">
        <f t="shared" si="290"/>
        <v>SO-230718-0845</v>
      </c>
      <c r="AH846" s="39" t="str">
        <f>IF(AND(OR(Filter!$B$4="All",D846=Filter!$B$4),OR(Filter!$B$5="All",M846=Filter!$B$5),E846&gt;=Filter!$B$6),MAX(AH$1:AH845)+1,"")</f>
        <v/>
      </c>
      <c r="AI846" s="39">
        <f t="shared" si="291"/>
        <v>43</v>
      </c>
      <c r="AJ846" s="42">
        <f t="shared" si="292"/>
        <v>0.03</v>
      </c>
      <c r="AK846" s="41">
        <f t="shared" si="293"/>
        <v>4973.38</v>
      </c>
      <c r="AL846" s="39">
        <f>RANK(E846,$E$2:$E$1001,0)+COUNTIF($E$2:E846,E846)-1</f>
        <v>397</v>
      </c>
    </row>
    <row r="847" spans="1:38" x14ac:dyDescent="0.2">
      <c r="A847" s="39">
        <v>1012</v>
      </c>
      <c r="B847" s="40">
        <v>45275</v>
      </c>
      <c r="C847" s="39" t="s">
        <v>66</v>
      </c>
      <c r="D847" s="39" t="s">
        <v>74</v>
      </c>
      <c r="E847" s="41">
        <v>8821.6299999999992</v>
      </c>
      <c r="F847" s="39">
        <v>13</v>
      </c>
      <c r="G847" s="39" t="s">
        <v>65</v>
      </c>
      <c r="H847" s="41">
        <v>2231.66</v>
      </c>
      <c r="I847" s="41">
        <v>2596.61</v>
      </c>
      <c r="J847" s="39" t="s">
        <v>137</v>
      </c>
      <c r="K847" s="42">
        <v>0.09</v>
      </c>
      <c r="L847" s="39" t="s">
        <v>63</v>
      </c>
      <c r="M847" s="39" t="s">
        <v>140</v>
      </c>
      <c r="N847" s="39" t="s">
        <v>141</v>
      </c>
      <c r="O847" s="43">
        <f t="shared" si="273"/>
        <v>33755.93</v>
      </c>
      <c r="P847" s="43">
        <f t="shared" si="274"/>
        <v>30717.9</v>
      </c>
      <c r="Q847" s="43">
        <f t="shared" si="275"/>
        <v>29011.58</v>
      </c>
      <c r="R847" s="43">
        <f t="shared" si="276"/>
        <v>1706.3199999999997</v>
      </c>
      <c r="S847" s="44">
        <f t="shared" si="277"/>
        <v>5.5548068064548671E-2</v>
      </c>
      <c r="T847" s="39" t="str">
        <f t="shared" si="278"/>
        <v>OK</v>
      </c>
      <c r="U847" s="39" t="str">
        <f t="shared" si="279"/>
        <v>0-9%</v>
      </c>
      <c r="V847" s="39" t="str">
        <f>IF(E847&gt;=Analysis!$B$4,"High",IF(E847&gt;=Analysis!$B$5,"Mid","Low"))</f>
        <v>High</v>
      </c>
      <c r="W847" s="39" t="str">
        <f t="shared" si="280"/>
        <v>2023-12</v>
      </c>
      <c r="X847" s="40">
        <f t="shared" si="281"/>
        <v>45291</v>
      </c>
      <c r="Y847" s="39" t="str">
        <f t="shared" si="282"/>
        <v>2023-Q4</v>
      </c>
      <c r="Z847" s="39" t="str">
        <f t="shared" si="283"/>
        <v>Fri</v>
      </c>
      <c r="AA847" s="39">
        <f t="shared" si="284"/>
        <v>5</v>
      </c>
      <c r="AB847" s="39">
        <f t="shared" si="285"/>
        <v>51</v>
      </c>
      <c r="AC847" s="39" t="str">
        <f t="shared" si="286"/>
        <v>Weekday</v>
      </c>
      <c r="AD847" s="39">
        <f t="shared" ca="1" si="287"/>
        <v>1044</v>
      </c>
      <c r="AE847" s="39">
        <f t="shared" ca="1" si="288"/>
        <v>34</v>
      </c>
      <c r="AF847" s="39" t="str">
        <f t="shared" si="289"/>
        <v>BOB</v>
      </c>
      <c r="AG847" s="39" t="str">
        <f t="shared" si="290"/>
        <v>WR-231215-0846</v>
      </c>
      <c r="AH847" s="39" t="str">
        <f>IF(AND(OR(Filter!$B$4="All",D847=Filter!$B$4),OR(Filter!$B$5="All",M847=Filter!$B$5),E847&gt;=Filter!$B$6),MAX(AH$1:AH846)+1,"")</f>
        <v/>
      </c>
      <c r="AI847" s="39">
        <f t="shared" si="291"/>
        <v>13</v>
      </c>
      <c r="AJ847" s="42">
        <f t="shared" si="292"/>
        <v>0.09</v>
      </c>
      <c r="AK847" s="41">
        <f t="shared" si="293"/>
        <v>2596.61</v>
      </c>
      <c r="AL847" s="39">
        <f>RANK(E847,$E$2:$E$1001,0)+COUNTIF($E$2:E847,E847)-1</f>
        <v>110</v>
      </c>
    </row>
    <row r="848" spans="1:38" x14ac:dyDescent="0.2">
      <c r="A848" s="39">
        <v>1065</v>
      </c>
      <c r="B848" s="40">
        <v>45107</v>
      </c>
      <c r="C848" s="39" t="s">
        <v>79</v>
      </c>
      <c r="D848" s="39" t="s">
        <v>69</v>
      </c>
      <c r="E848" s="41">
        <v>8840.86</v>
      </c>
      <c r="F848" s="39">
        <v>13</v>
      </c>
      <c r="G848" s="39" t="s">
        <v>75</v>
      </c>
      <c r="H848" s="41">
        <v>1339</v>
      </c>
      <c r="I848" s="41">
        <v>1441.88</v>
      </c>
      <c r="J848" s="39" t="s">
        <v>137</v>
      </c>
      <c r="K848" s="42">
        <v>0.23</v>
      </c>
      <c r="L848" s="39" t="s">
        <v>73</v>
      </c>
      <c r="M848" s="39" t="s">
        <v>140</v>
      </c>
      <c r="N848" s="39" t="s">
        <v>147</v>
      </c>
      <c r="O848" s="43">
        <f t="shared" si="273"/>
        <v>18744.439999999999</v>
      </c>
      <c r="P848" s="43">
        <f t="shared" si="274"/>
        <v>14433.22</v>
      </c>
      <c r="Q848" s="43">
        <f t="shared" si="275"/>
        <v>17407</v>
      </c>
      <c r="R848" s="43">
        <f t="shared" si="276"/>
        <v>-2973.7800000000007</v>
      </c>
      <c r="S848" s="44">
        <f t="shared" si="277"/>
        <v>-0.20603718366379789</v>
      </c>
      <c r="T848" s="39" t="str">
        <f t="shared" si="278"/>
        <v>Loss</v>
      </c>
      <c r="U848" s="39" t="str">
        <f t="shared" si="279"/>
        <v>20%+</v>
      </c>
      <c r="V848" s="39" t="str">
        <f>IF(E848&gt;=Analysis!$B$4,"High",IF(E848&gt;=Analysis!$B$5,"Mid","Low"))</f>
        <v>High</v>
      </c>
      <c r="W848" s="39" t="str">
        <f t="shared" si="280"/>
        <v>2023-06</v>
      </c>
      <c r="X848" s="40">
        <f t="shared" si="281"/>
        <v>45107</v>
      </c>
      <c r="Y848" s="39" t="str">
        <f t="shared" si="282"/>
        <v>2023-Q2</v>
      </c>
      <c r="Z848" s="39" t="str">
        <f t="shared" si="283"/>
        <v>Fri</v>
      </c>
      <c r="AA848" s="39">
        <f t="shared" si="284"/>
        <v>5</v>
      </c>
      <c r="AB848" s="39">
        <f t="shared" si="285"/>
        <v>27</v>
      </c>
      <c r="AC848" s="39" t="str">
        <f t="shared" si="286"/>
        <v>Weekday</v>
      </c>
      <c r="AD848" s="39">
        <f t="shared" ca="1" si="287"/>
        <v>1212</v>
      </c>
      <c r="AE848" s="39">
        <f t="shared" ca="1" si="288"/>
        <v>39</v>
      </c>
      <c r="AF848" s="39" t="str">
        <f t="shared" si="289"/>
        <v>EVE</v>
      </c>
      <c r="AG848" s="39" t="str">
        <f t="shared" si="290"/>
        <v>SR-230630-0847</v>
      </c>
      <c r="AH848" s="39" t="str">
        <f>IF(AND(OR(Filter!$B$4="All",D848=Filter!$B$4),OR(Filter!$B$5="All",M848=Filter!$B$5),E848&gt;=Filter!$B$6),MAX(AH$1:AH847)+1,"")</f>
        <v/>
      </c>
      <c r="AI848" s="39">
        <f t="shared" si="291"/>
        <v>13</v>
      </c>
      <c r="AJ848" s="42">
        <f t="shared" si="292"/>
        <v>0.23</v>
      </c>
      <c r="AK848" s="41">
        <f t="shared" si="293"/>
        <v>1441.88</v>
      </c>
      <c r="AL848" s="39">
        <f>RANK(E848,$E$2:$E$1001,0)+COUNTIF($E$2:E848,E848)-1</f>
        <v>107</v>
      </c>
    </row>
    <row r="849" spans="1:38" x14ac:dyDescent="0.2">
      <c r="A849" s="39">
        <v>1054</v>
      </c>
      <c r="B849" s="40">
        <v>44950</v>
      </c>
      <c r="C849" s="39" t="s">
        <v>66</v>
      </c>
      <c r="D849" s="39" t="s">
        <v>59</v>
      </c>
      <c r="E849" s="41">
        <v>6624.55</v>
      </c>
      <c r="F849" s="39">
        <v>22</v>
      </c>
      <c r="G849" s="39" t="s">
        <v>65</v>
      </c>
      <c r="H849" s="41">
        <v>4200.08</v>
      </c>
      <c r="I849" s="41">
        <v>4647.28</v>
      </c>
      <c r="J849" s="39" t="s">
        <v>137</v>
      </c>
      <c r="K849" s="42">
        <v>0.11</v>
      </c>
      <c r="L849" s="39" t="s">
        <v>68</v>
      </c>
      <c r="M849" s="39" t="s">
        <v>138</v>
      </c>
      <c r="N849" s="39" t="s">
        <v>153</v>
      </c>
      <c r="O849" s="43">
        <f t="shared" si="273"/>
        <v>102240.16</v>
      </c>
      <c r="P849" s="43">
        <f t="shared" si="274"/>
        <v>90993.74</v>
      </c>
      <c r="Q849" s="43">
        <f t="shared" si="275"/>
        <v>92401.76</v>
      </c>
      <c r="R849" s="43">
        <f t="shared" si="276"/>
        <v>-1408.0199999999895</v>
      </c>
      <c r="S849" s="44">
        <f t="shared" si="277"/>
        <v>-1.5473811714959616E-2</v>
      </c>
      <c r="T849" s="39" t="str">
        <f t="shared" si="278"/>
        <v>Loss</v>
      </c>
      <c r="U849" s="39" t="str">
        <f t="shared" si="279"/>
        <v>10-19%</v>
      </c>
      <c r="V849" s="39" t="str">
        <f>IF(E849&gt;=Analysis!$B$4,"High",IF(E849&gt;=Analysis!$B$5,"Mid","Low"))</f>
        <v>Mid</v>
      </c>
      <c r="W849" s="39" t="str">
        <f t="shared" si="280"/>
        <v>2023-01</v>
      </c>
      <c r="X849" s="40">
        <f t="shared" si="281"/>
        <v>44957</v>
      </c>
      <c r="Y849" s="39" t="str">
        <f t="shared" si="282"/>
        <v>2023-Q1</v>
      </c>
      <c r="Z849" s="39" t="str">
        <f t="shared" si="283"/>
        <v>Tue</v>
      </c>
      <c r="AA849" s="39">
        <f t="shared" si="284"/>
        <v>2</v>
      </c>
      <c r="AB849" s="39">
        <f t="shared" si="285"/>
        <v>5</v>
      </c>
      <c r="AC849" s="39" t="str">
        <f t="shared" si="286"/>
        <v>Weekday</v>
      </c>
      <c r="AD849" s="39">
        <f t="shared" ca="1" si="287"/>
        <v>1369</v>
      </c>
      <c r="AE849" s="39">
        <f t="shared" ca="1" si="288"/>
        <v>45</v>
      </c>
      <c r="AF849" s="39" t="str">
        <f t="shared" si="289"/>
        <v>BOB</v>
      </c>
      <c r="AG849" s="39" t="str">
        <f t="shared" si="290"/>
        <v>EO-230124-0848</v>
      </c>
      <c r="AH849" s="39" t="str">
        <f>IF(AND(OR(Filter!$B$4="All",D849=Filter!$B$4),OR(Filter!$B$5="All",M849=Filter!$B$5),E849&gt;=Filter!$B$6),MAX(AH$1:AH848)+1,"")</f>
        <v/>
      </c>
      <c r="AI849" s="39">
        <f t="shared" si="291"/>
        <v>22</v>
      </c>
      <c r="AJ849" s="42">
        <f t="shared" si="292"/>
        <v>0.11</v>
      </c>
      <c r="AK849" s="41">
        <f t="shared" si="293"/>
        <v>4647.28</v>
      </c>
      <c r="AL849" s="39">
        <f>RANK(E849,$E$2:$E$1001,0)+COUNTIF($E$2:E849,E849)-1</f>
        <v>346</v>
      </c>
    </row>
    <row r="850" spans="1:38" x14ac:dyDescent="0.2">
      <c r="A850" s="39">
        <v>1005</v>
      </c>
      <c r="B850" s="40">
        <v>45242</v>
      </c>
      <c r="C850" s="39" t="s">
        <v>79</v>
      </c>
      <c r="D850" s="39" t="s">
        <v>59</v>
      </c>
      <c r="E850" s="41">
        <v>2191.1999999999998</v>
      </c>
      <c r="F850" s="39">
        <v>28</v>
      </c>
      <c r="G850" s="39" t="s">
        <v>60</v>
      </c>
      <c r="H850" s="41">
        <v>3592.32</v>
      </c>
      <c r="I850" s="41">
        <v>3813.48</v>
      </c>
      <c r="J850" s="39" t="s">
        <v>143</v>
      </c>
      <c r="K850" s="42">
        <v>7.0000000000000007E-2</v>
      </c>
      <c r="L850" s="39" t="s">
        <v>73</v>
      </c>
      <c r="M850" s="39" t="s">
        <v>140</v>
      </c>
      <c r="N850" s="39" t="s">
        <v>155</v>
      </c>
      <c r="O850" s="43">
        <f t="shared" si="273"/>
        <v>106777.44</v>
      </c>
      <c r="P850" s="43">
        <f t="shared" si="274"/>
        <v>99303.02</v>
      </c>
      <c r="Q850" s="43">
        <f t="shared" si="275"/>
        <v>100584.96000000001</v>
      </c>
      <c r="R850" s="43">
        <f t="shared" si="276"/>
        <v>-1281.9400000000023</v>
      </c>
      <c r="S850" s="44">
        <f t="shared" si="277"/>
        <v>-1.290937576722241E-2</v>
      </c>
      <c r="T850" s="39" t="str">
        <f t="shared" si="278"/>
        <v>Loss</v>
      </c>
      <c r="U850" s="39" t="str">
        <f t="shared" si="279"/>
        <v>0-9%</v>
      </c>
      <c r="V850" s="39" t="str">
        <f>IF(E850&gt;=Analysis!$B$4,"High",IF(E850&gt;=Analysis!$B$5,"Mid","Low"))</f>
        <v>Low</v>
      </c>
      <c r="W850" s="39" t="str">
        <f t="shared" si="280"/>
        <v>2023-11</v>
      </c>
      <c r="X850" s="40">
        <f t="shared" si="281"/>
        <v>45260</v>
      </c>
      <c r="Y850" s="39" t="str">
        <f t="shared" si="282"/>
        <v>2023-Q4</v>
      </c>
      <c r="Z850" s="39" t="str">
        <f t="shared" si="283"/>
        <v>Sun</v>
      </c>
      <c r="AA850" s="39">
        <f t="shared" si="284"/>
        <v>7</v>
      </c>
      <c r="AB850" s="39">
        <f t="shared" si="285"/>
        <v>46</v>
      </c>
      <c r="AC850" s="39" t="str">
        <f t="shared" si="286"/>
        <v>Weekend</v>
      </c>
      <c r="AD850" s="39">
        <f t="shared" ca="1" si="287"/>
        <v>1077</v>
      </c>
      <c r="AE850" s="39">
        <f t="shared" ca="1" si="288"/>
        <v>35</v>
      </c>
      <c r="AF850" s="39" t="str">
        <f t="shared" si="289"/>
        <v>EVE</v>
      </c>
      <c r="AG850" s="39" t="str">
        <f t="shared" si="290"/>
        <v>ER-231112-0849</v>
      </c>
      <c r="AH850" s="39" t="str">
        <f>IF(AND(OR(Filter!$B$4="All",D850=Filter!$B$4),OR(Filter!$B$5="All",M850=Filter!$B$5),E850&gt;=Filter!$B$6),MAX(AH$1:AH849)+1,"")</f>
        <v/>
      </c>
      <c r="AI850" s="39">
        <f t="shared" si="291"/>
        <v>28</v>
      </c>
      <c r="AJ850" s="42">
        <f t="shared" si="292"/>
        <v>7.0000000000000007E-2</v>
      </c>
      <c r="AK850" s="41">
        <f t="shared" si="293"/>
        <v>3813.48</v>
      </c>
      <c r="AL850" s="39">
        <f>RANK(E850,$E$2:$E$1001,0)+COUNTIF($E$2:E850,E850)-1</f>
        <v>792</v>
      </c>
    </row>
    <row r="851" spans="1:38" x14ac:dyDescent="0.2">
      <c r="A851" s="39">
        <v>1094</v>
      </c>
      <c r="B851" s="40">
        <v>44972</v>
      </c>
      <c r="C851" s="39" t="s">
        <v>71</v>
      </c>
      <c r="D851" s="39" t="s">
        <v>69</v>
      </c>
      <c r="E851" s="41">
        <v>8643.67</v>
      </c>
      <c r="F851" s="39">
        <v>47</v>
      </c>
      <c r="G851" s="39" t="s">
        <v>70</v>
      </c>
      <c r="H851" s="41">
        <v>3450.36</v>
      </c>
      <c r="I851" s="41">
        <v>3557.38</v>
      </c>
      <c r="J851" s="39" t="s">
        <v>143</v>
      </c>
      <c r="K851" s="42">
        <v>0.2</v>
      </c>
      <c r="L851" s="39" t="s">
        <v>73</v>
      </c>
      <c r="M851" s="39" t="s">
        <v>138</v>
      </c>
      <c r="N851" s="39" t="s">
        <v>151</v>
      </c>
      <c r="O851" s="43">
        <f t="shared" si="273"/>
        <v>167196.85999999999</v>
      </c>
      <c r="P851" s="43">
        <f t="shared" si="274"/>
        <v>133757.49</v>
      </c>
      <c r="Q851" s="43">
        <f t="shared" si="275"/>
        <v>162166.92000000001</v>
      </c>
      <c r="R851" s="43">
        <f t="shared" si="276"/>
        <v>-28409.430000000022</v>
      </c>
      <c r="S851" s="44">
        <f t="shared" si="277"/>
        <v>-0.21239505914771595</v>
      </c>
      <c r="T851" s="39" t="str">
        <f t="shared" si="278"/>
        <v>Loss</v>
      </c>
      <c r="U851" s="39" t="str">
        <f t="shared" si="279"/>
        <v>20%+</v>
      </c>
      <c r="V851" s="39" t="str">
        <f>IF(E851&gt;=Analysis!$B$4,"High",IF(E851&gt;=Analysis!$B$5,"Mid","Low"))</f>
        <v>High</v>
      </c>
      <c r="W851" s="39" t="str">
        <f t="shared" si="280"/>
        <v>2023-02</v>
      </c>
      <c r="X851" s="40">
        <f t="shared" si="281"/>
        <v>44985</v>
      </c>
      <c r="Y851" s="39" t="str">
        <f t="shared" si="282"/>
        <v>2023-Q1</v>
      </c>
      <c r="Z851" s="39" t="str">
        <f t="shared" si="283"/>
        <v>Wed</v>
      </c>
      <c r="AA851" s="39">
        <f t="shared" si="284"/>
        <v>3</v>
      </c>
      <c r="AB851" s="39">
        <f t="shared" si="285"/>
        <v>8</v>
      </c>
      <c r="AC851" s="39" t="str">
        <f t="shared" si="286"/>
        <v>Weekday</v>
      </c>
      <c r="AD851" s="39">
        <f t="shared" ca="1" si="287"/>
        <v>1347</v>
      </c>
      <c r="AE851" s="39">
        <f t="shared" ca="1" si="288"/>
        <v>44</v>
      </c>
      <c r="AF851" s="39" t="str">
        <f t="shared" si="289"/>
        <v>CHA</v>
      </c>
      <c r="AG851" s="39" t="str">
        <f t="shared" si="290"/>
        <v>SO-230215-0850</v>
      </c>
      <c r="AH851" s="39" t="str">
        <f>IF(AND(OR(Filter!$B$4="All",D851=Filter!$B$4),OR(Filter!$B$5="All",M851=Filter!$B$5),E851&gt;=Filter!$B$6),MAX(AH$1:AH850)+1,"")</f>
        <v/>
      </c>
      <c r="AI851" s="39">
        <f t="shared" si="291"/>
        <v>47</v>
      </c>
      <c r="AJ851" s="42">
        <f t="shared" si="292"/>
        <v>0.2</v>
      </c>
      <c r="AK851" s="41">
        <f t="shared" si="293"/>
        <v>3557.38</v>
      </c>
      <c r="AL851" s="39">
        <f>RANK(E851,$E$2:$E$1001,0)+COUNTIF($E$2:E851,E851)-1</f>
        <v>126</v>
      </c>
    </row>
    <row r="852" spans="1:38" x14ac:dyDescent="0.2">
      <c r="A852" s="39">
        <v>1094</v>
      </c>
      <c r="B852" s="40">
        <v>44941</v>
      </c>
      <c r="C852" s="39" t="s">
        <v>66</v>
      </c>
      <c r="D852" s="39" t="s">
        <v>64</v>
      </c>
      <c r="E852" s="41">
        <v>8872.33</v>
      </c>
      <c r="F852" s="39">
        <v>45</v>
      </c>
      <c r="G852" s="39" t="s">
        <v>75</v>
      </c>
      <c r="H852" s="41">
        <v>4470.91</v>
      </c>
      <c r="I852" s="41">
        <v>4695.54</v>
      </c>
      <c r="J852" s="39" t="s">
        <v>137</v>
      </c>
      <c r="K852" s="42">
        <v>0.06</v>
      </c>
      <c r="L852" s="39" t="s">
        <v>68</v>
      </c>
      <c r="M852" s="39" t="s">
        <v>140</v>
      </c>
      <c r="N852" s="39" t="s">
        <v>139</v>
      </c>
      <c r="O852" s="43">
        <f t="shared" si="273"/>
        <v>211299.3</v>
      </c>
      <c r="P852" s="43">
        <f t="shared" si="274"/>
        <v>198621.34</v>
      </c>
      <c r="Q852" s="43">
        <f t="shared" si="275"/>
        <v>201190.95</v>
      </c>
      <c r="R852" s="43">
        <f t="shared" si="276"/>
        <v>-2569.6100000000151</v>
      </c>
      <c r="S852" s="44">
        <f t="shared" si="277"/>
        <v>-1.2937230208999773E-2</v>
      </c>
      <c r="T852" s="39" t="str">
        <f t="shared" si="278"/>
        <v>Loss</v>
      </c>
      <c r="U852" s="39" t="str">
        <f t="shared" si="279"/>
        <v>0-9%</v>
      </c>
      <c r="V852" s="39" t="str">
        <f>IF(E852&gt;=Analysis!$B$4,"High",IF(E852&gt;=Analysis!$B$5,"Mid","Low"))</f>
        <v>High</v>
      </c>
      <c r="W852" s="39" t="str">
        <f t="shared" si="280"/>
        <v>2023-01</v>
      </c>
      <c r="X852" s="40">
        <f t="shared" si="281"/>
        <v>44957</v>
      </c>
      <c r="Y852" s="39" t="str">
        <f t="shared" si="282"/>
        <v>2023-Q1</v>
      </c>
      <c r="Z852" s="39" t="str">
        <f t="shared" si="283"/>
        <v>Sun</v>
      </c>
      <c r="AA852" s="39">
        <f t="shared" si="284"/>
        <v>7</v>
      </c>
      <c r="AB852" s="39">
        <f t="shared" si="285"/>
        <v>3</v>
      </c>
      <c r="AC852" s="39" t="str">
        <f t="shared" si="286"/>
        <v>Weekend</v>
      </c>
      <c r="AD852" s="39">
        <f t="shared" ca="1" si="287"/>
        <v>1378</v>
      </c>
      <c r="AE852" s="39">
        <f t="shared" ca="1" si="288"/>
        <v>45</v>
      </c>
      <c r="AF852" s="39" t="str">
        <f t="shared" si="289"/>
        <v>BOB</v>
      </c>
      <c r="AG852" s="39" t="str">
        <f t="shared" si="290"/>
        <v>NR-230115-0851</v>
      </c>
      <c r="AH852" s="39" t="str">
        <f>IF(AND(OR(Filter!$B$4="All",D852=Filter!$B$4),OR(Filter!$B$5="All",M852=Filter!$B$5),E852&gt;=Filter!$B$6),MAX(AH$1:AH851)+1,"")</f>
        <v/>
      </c>
      <c r="AI852" s="39">
        <f t="shared" si="291"/>
        <v>45</v>
      </c>
      <c r="AJ852" s="42">
        <f t="shared" si="292"/>
        <v>0.06</v>
      </c>
      <c r="AK852" s="41">
        <f t="shared" si="293"/>
        <v>4695.54</v>
      </c>
      <c r="AL852" s="39">
        <f>RANK(E852,$E$2:$E$1001,0)+COUNTIF($E$2:E852,E852)-1</f>
        <v>105</v>
      </c>
    </row>
    <row r="853" spans="1:38" x14ac:dyDescent="0.2">
      <c r="A853" s="39">
        <v>1057</v>
      </c>
      <c r="B853" s="40">
        <v>45079</v>
      </c>
      <c r="C853" s="39" t="s">
        <v>79</v>
      </c>
      <c r="D853" s="39" t="s">
        <v>59</v>
      </c>
      <c r="E853" s="41">
        <v>2046.87</v>
      </c>
      <c r="F853" s="39">
        <v>22</v>
      </c>
      <c r="G853" s="39" t="s">
        <v>70</v>
      </c>
      <c r="H853" s="41">
        <v>3462.61</v>
      </c>
      <c r="I853" s="41">
        <v>3672.89</v>
      </c>
      <c r="J853" s="39" t="s">
        <v>137</v>
      </c>
      <c r="K853" s="42">
        <v>0.27</v>
      </c>
      <c r="L853" s="39" t="s">
        <v>73</v>
      </c>
      <c r="M853" s="39" t="s">
        <v>138</v>
      </c>
      <c r="N853" s="39" t="s">
        <v>155</v>
      </c>
      <c r="O853" s="43">
        <f t="shared" si="273"/>
        <v>80803.58</v>
      </c>
      <c r="P853" s="43">
        <f t="shared" si="274"/>
        <v>58986.61</v>
      </c>
      <c r="Q853" s="43">
        <f t="shared" si="275"/>
        <v>76177.42</v>
      </c>
      <c r="R853" s="43">
        <f t="shared" si="276"/>
        <v>-17190.809999999998</v>
      </c>
      <c r="S853" s="44">
        <f t="shared" si="277"/>
        <v>-0.29143580212526193</v>
      </c>
      <c r="T853" s="39" t="str">
        <f t="shared" si="278"/>
        <v>Loss</v>
      </c>
      <c r="U853" s="39" t="str">
        <f t="shared" si="279"/>
        <v>20%+</v>
      </c>
      <c r="V853" s="39" t="str">
        <f>IF(E853&gt;=Analysis!$B$4,"High",IF(E853&gt;=Analysis!$B$5,"Mid","Low"))</f>
        <v>Low</v>
      </c>
      <c r="W853" s="39" t="str">
        <f t="shared" si="280"/>
        <v>2023-06</v>
      </c>
      <c r="X853" s="40">
        <f t="shared" si="281"/>
        <v>45107</v>
      </c>
      <c r="Y853" s="39" t="str">
        <f t="shared" si="282"/>
        <v>2023-Q2</v>
      </c>
      <c r="Z853" s="39" t="str">
        <f t="shared" si="283"/>
        <v>Fri</v>
      </c>
      <c r="AA853" s="39">
        <f t="shared" si="284"/>
        <v>5</v>
      </c>
      <c r="AB853" s="39">
        <f t="shared" si="285"/>
        <v>23</v>
      </c>
      <c r="AC853" s="39" t="str">
        <f t="shared" si="286"/>
        <v>Weekday</v>
      </c>
      <c r="AD853" s="39">
        <f t="shared" ca="1" si="287"/>
        <v>1240</v>
      </c>
      <c r="AE853" s="39">
        <f t="shared" ca="1" si="288"/>
        <v>40</v>
      </c>
      <c r="AF853" s="39" t="str">
        <f t="shared" si="289"/>
        <v>EVE</v>
      </c>
      <c r="AG853" s="39" t="str">
        <f t="shared" si="290"/>
        <v>EO-230602-0852</v>
      </c>
      <c r="AH853" s="39" t="str">
        <f>IF(AND(OR(Filter!$B$4="All",D853=Filter!$B$4),OR(Filter!$B$5="All",M853=Filter!$B$5),E853&gt;=Filter!$B$6),MAX(AH$1:AH852)+1,"")</f>
        <v/>
      </c>
      <c r="AI853" s="39">
        <f t="shared" si="291"/>
        <v>22</v>
      </c>
      <c r="AJ853" s="42">
        <f t="shared" si="292"/>
        <v>0.27</v>
      </c>
      <c r="AK853" s="41">
        <f t="shared" si="293"/>
        <v>3672.89</v>
      </c>
      <c r="AL853" s="39">
        <f>RANK(E853,$E$2:$E$1001,0)+COUNTIF($E$2:E853,E853)-1</f>
        <v>811</v>
      </c>
    </row>
    <row r="854" spans="1:38" x14ac:dyDescent="0.2">
      <c r="A854" s="39">
        <v>1017</v>
      </c>
      <c r="B854" s="40">
        <v>45148</v>
      </c>
      <c r="C854" s="39" t="s">
        <v>61</v>
      </c>
      <c r="D854" s="39" t="s">
        <v>64</v>
      </c>
      <c r="E854" s="41">
        <v>7400.52</v>
      </c>
      <c r="F854" s="39">
        <v>43</v>
      </c>
      <c r="G854" s="39" t="s">
        <v>75</v>
      </c>
      <c r="H854" s="41">
        <v>1454.8</v>
      </c>
      <c r="I854" s="41">
        <v>1674.97</v>
      </c>
      <c r="J854" s="39" t="s">
        <v>143</v>
      </c>
      <c r="K854" s="42">
        <v>0.03</v>
      </c>
      <c r="L854" s="39" t="s">
        <v>73</v>
      </c>
      <c r="M854" s="39" t="s">
        <v>138</v>
      </c>
      <c r="N854" s="39" t="s">
        <v>156</v>
      </c>
      <c r="O854" s="43">
        <f t="shared" si="273"/>
        <v>72023.710000000006</v>
      </c>
      <c r="P854" s="43">
        <f t="shared" si="274"/>
        <v>69863</v>
      </c>
      <c r="Q854" s="43">
        <f t="shared" si="275"/>
        <v>62556.4</v>
      </c>
      <c r="R854" s="43">
        <f t="shared" si="276"/>
        <v>7306.5999999999985</v>
      </c>
      <c r="S854" s="44">
        <f t="shared" si="277"/>
        <v>0.10458468717346805</v>
      </c>
      <c r="T854" s="39" t="str">
        <f t="shared" si="278"/>
        <v>OK</v>
      </c>
      <c r="U854" s="39" t="str">
        <f t="shared" si="279"/>
        <v>0-9%</v>
      </c>
      <c r="V854" s="39" t="str">
        <f>IF(E854&gt;=Analysis!$B$4,"High",IF(E854&gt;=Analysis!$B$5,"Mid","Low"))</f>
        <v>Mid</v>
      </c>
      <c r="W854" s="39" t="str">
        <f t="shared" si="280"/>
        <v>2023-08</v>
      </c>
      <c r="X854" s="40">
        <f t="shared" si="281"/>
        <v>45169</v>
      </c>
      <c r="Y854" s="39" t="str">
        <f t="shared" si="282"/>
        <v>2023-Q3</v>
      </c>
      <c r="Z854" s="39" t="str">
        <f t="shared" si="283"/>
        <v>Thu</v>
      </c>
      <c r="AA854" s="39">
        <f t="shared" si="284"/>
        <v>4</v>
      </c>
      <c r="AB854" s="39">
        <f t="shared" si="285"/>
        <v>33</v>
      </c>
      <c r="AC854" s="39" t="str">
        <f t="shared" si="286"/>
        <v>Weekday</v>
      </c>
      <c r="AD854" s="39">
        <f t="shared" ca="1" si="287"/>
        <v>1171</v>
      </c>
      <c r="AE854" s="39">
        <f t="shared" ca="1" si="288"/>
        <v>38</v>
      </c>
      <c r="AF854" s="39" t="str">
        <f t="shared" si="289"/>
        <v>ALI</v>
      </c>
      <c r="AG854" s="39" t="str">
        <f t="shared" si="290"/>
        <v>NO-230810-0853</v>
      </c>
      <c r="AH854" s="39" t="str">
        <f>IF(AND(OR(Filter!$B$4="All",D854=Filter!$B$4),OR(Filter!$B$5="All",M854=Filter!$B$5),E854&gt;=Filter!$B$6),MAX(AH$1:AH853)+1,"")</f>
        <v/>
      </c>
      <c r="AI854" s="39">
        <f t="shared" si="291"/>
        <v>43</v>
      </c>
      <c r="AJ854" s="42">
        <f t="shared" si="292"/>
        <v>0.03</v>
      </c>
      <c r="AK854" s="41">
        <f t="shared" si="293"/>
        <v>1674.97</v>
      </c>
      <c r="AL854" s="39">
        <f>RANK(E854,$E$2:$E$1001,0)+COUNTIF($E$2:E854,E854)-1</f>
        <v>261</v>
      </c>
    </row>
    <row r="855" spans="1:38" x14ac:dyDescent="0.2">
      <c r="A855" s="39">
        <v>1047</v>
      </c>
      <c r="B855" s="40">
        <v>45132</v>
      </c>
      <c r="C855" s="39" t="s">
        <v>71</v>
      </c>
      <c r="D855" s="39" t="s">
        <v>59</v>
      </c>
      <c r="E855" s="41">
        <v>2936.54</v>
      </c>
      <c r="F855" s="39">
        <v>19</v>
      </c>
      <c r="G855" s="39" t="s">
        <v>75</v>
      </c>
      <c r="H855" s="41">
        <v>3484.62</v>
      </c>
      <c r="I855" s="41">
        <v>3781.55</v>
      </c>
      <c r="J855" s="39" t="s">
        <v>137</v>
      </c>
      <c r="K855" s="42">
        <v>0.21</v>
      </c>
      <c r="L855" s="39" t="s">
        <v>73</v>
      </c>
      <c r="M855" s="39" t="s">
        <v>140</v>
      </c>
      <c r="N855" s="39" t="s">
        <v>145</v>
      </c>
      <c r="O855" s="43">
        <f t="shared" si="273"/>
        <v>71849.45</v>
      </c>
      <c r="P855" s="43">
        <f t="shared" si="274"/>
        <v>56761.07</v>
      </c>
      <c r="Q855" s="43">
        <f t="shared" si="275"/>
        <v>66207.78</v>
      </c>
      <c r="R855" s="43">
        <f t="shared" si="276"/>
        <v>-9446.7099999999991</v>
      </c>
      <c r="S855" s="44">
        <f t="shared" si="277"/>
        <v>-0.16642938549255676</v>
      </c>
      <c r="T855" s="39" t="str">
        <f t="shared" si="278"/>
        <v>Loss</v>
      </c>
      <c r="U855" s="39" t="str">
        <f t="shared" si="279"/>
        <v>20%+</v>
      </c>
      <c r="V855" s="39" t="str">
        <f>IF(E855&gt;=Analysis!$B$4,"High",IF(E855&gt;=Analysis!$B$5,"Mid","Low"))</f>
        <v>Mid</v>
      </c>
      <c r="W855" s="39" t="str">
        <f t="shared" si="280"/>
        <v>2023-07</v>
      </c>
      <c r="X855" s="40">
        <f t="shared" si="281"/>
        <v>45138</v>
      </c>
      <c r="Y855" s="39" t="str">
        <f t="shared" si="282"/>
        <v>2023-Q3</v>
      </c>
      <c r="Z855" s="39" t="str">
        <f t="shared" si="283"/>
        <v>Tue</v>
      </c>
      <c r="AA855" s="39">
        <f t="shared" si="284"/>
        <v>2</v>
      </c>
      <c r="AB855" s="39">
        <f t="shared" si="285"/>
        <v>31</v>
      </c>
      <c r="AC855" s="39" t="str">
        <f t="shared" si="286"/>
        <v>Weekday</v>
      </c>
      <c r="AD855" s="39">
        <f t="shared" ca="1" si="287"/>
        <v>1187</v>
      </c>
      <c r="AE855" s="39">
        <f t="shared" ca="1" si="288"/>
        <v>38</v>
      </c>
      <c r="AF855" s="39" t="str">
        <f t="shared" si="289"/>
        <v>CHA</v>
      </c>
      <c r="AG855" s="39" t="str">
        <f t="shared" si="290"/>
        <v>ER-230725-0854</v>
      </c>
      <c r="AH855" s="39" t="str">
        <f>IF(AND(OR(Filter!$B$4="All",D855=Filter!$B$4),OR(Filter!$B$5="All",M855=Filter!$B$5),E855&gt;=Filter!$B$6),MAX(AH$1:AH854)+1,"")</f>
        <v/>
      </c>
      <c r="AI855" s="39">
        <f t="shared" si="291"/>
        <v>19</v>
      </c>
      <c r="AJ855" s="42">
        <f t="shared" si="292"/>
        <v>0.21</v>
      </c>
      <c r="AK855" s="41">
        <f t="shared" si="293"/>
        <v>3781.55</v>
      </c>
      <c r="AL855" s="39">
        <f>RANK(E855,$E$2:$E$1001,0)+COUNTIF($E$2:E855,E855)-1</f>
        <v>703</v>
      </c>
    </row>
    <row r="856" spans="1:38" x14ac:dyDescent="0.2">
      <c r="A856" s="39">
        <v>1023</v>
      </c>
      <c r="B856" s="40">
        <v>45199</v>
      </c>
      <c r="C856" s="39" t="s">
        <v>71</v>
      </c>
      <c r="D856" s="39" t="s">
        <v>64</v>
      </c>
      <c r="E856" s="41">
        <v>8046.14</v>
      </c>
      <c r="F856" s="39">
        <v>8</v>
      </c>
      <c r="G856" s="39" t="s">
        <v>75</v>
      </c>
      <c r="H856" s="41">
        <v>1563.78</v>
      </c>
      <c r="I856" s="41">
        <v>1829.16</v>
      </c>
      <c r="J856" s="39" t="s">
        <v>137</v>
      </c>
      <c r="K856" s="42">
        <v>0.15</v>
      </c>
      <c r="L856" s="39" t="s">
        <v>68</v>
      </c>
      <c r="M856" s="39" t="s">
        <v>138</v>
      </c>
      <c r="N856" s="39" t="s">
        <v>160</v>
      </c>
      <c r="O856" s="43">
        <f t="shared" si="273"/>
        <v>14633.28</v>
      </c>
      <c r="P856" s="43">
        <f t="shared" si="274"/>
        <v>12438.29</v>
      </c>
      <c r="Q856" s="43">
        <f t="shared" si="275"/>
        <v>12510.24</v>
      </c>
      <c r="R856" s="43">
        <f t="shared" si="276"/>
        <v>-71.949999999998909</v>
      </c>
      <c r="S856" s="44">
        <f t="shared" si="277"/>
        <v>-5.7845572019947196E-3</v>
      </c>
      <c r="T856" s="39" t="str">
        <f t="shared" si="278"/>
        <v>Loss</v>
      </c>
      <c r="U856" s="39" t="str">
        <f t="shared" si="279"/>
        <v>10-19%</v>
      </c>
      <c r="V856" s="39" t="str">
        <f>IF(E856&gt;=Analysis!$B$4,"High",IF(E856&gt;=Analysis!$B$5,"Mid","Low"))</f>
        <v>High</v>
      </c>
      <c r="W856" s="39" t="str">
        <f t="shared" si="280"/>
        <v>2023-09</v>
      </c>
      <c r="X856" s="40">
        <f t="shared" si="281"/>
        <v>45199</v>
      </c>
      <c r="Y856" s="39" t="str">
        <f t="shared" si="282"/>
        <v>2023-Q3</v>
      </c>
      <c r="Z856" s="39" t="str">
        <f t="shared" si="283"/>
        <v>Sat</v>
      </c>
      <c r="AA856" s="39">
        <f t="shared" si="284"/>
        <v>6</v>
      </c>
      <c r="AB856" s="39">
        <f t="shared" si="285"/>
        <v>40</v>
      </c>
      <c r="AC856" s="39" t="str">
        <f t="shared" si="286"/>
        <v>Weekend</v>
      </c>
      <c r="AD856" s="39">
        <f t="shared" ca="1" si="287"/>
        <v>1120</v>
      </c>
      <c r="AE856" s="39">
        <f t="shared" ca="1" si="288"/>
        <v>36</v>
      </c>
      <c r="AF856" s="39" t="str">
        <f t="shared" si="289"/>
        <v>CHA</v>
      </c>
      <c r="AG856" s="39" t="str">
        <f t="shared" si="290"/>
        <v>NO-230930-0855</v>
      </c>
      <c r="AH856" s="39" t="str">
        <f>IF(AND(OR(Filter!$B$4="All",D856=Filter!$B$4),OR(Filter!$B$5="All",M856=Filter!$B$5),E856&gt;=Filter!$B$6),MAX(AH$1:AH855)+1,"")</f>
        <v/>
      </c>
      <c r="AI856" s="39">
        <f t="shared" si="291"/>
        <v>8</v>
      </c>
      <c r="AJ856" s="42">
        <f t="shared" si="292"/>
        <v>0.15</v>
      </c>
      <c r="AK856" s="41">
        <f t="shared" si="293"/>
        <v>1829.16</v>
      </c>
      <c r="AL856" s="39">
        <f>RANK(E856,$E$2:$E$1001,0)+COUNTIF($E$2:E856,E856)-1</f>
        <v>192</v>
      </c>
    </row>
    <row r="857" spans="1:38" x14ac:dyDescent="0.2">
      <c r="A857" s="39">
        <v>1079</v>
      </c>
      <c r="B857" s="40">
        <v>45162</v>
      </c>
      <c r="C857" s="39" t="s">
        <v>61</v>
      </c>
      <c r="D857" s="39" t="s">
        <v>64</v>
      </c>
      <c r="E857" s="41">
        <v>9972.66</v>
      </c>
      <c r="F857" s="39">
        <v>8</v>
      </c>
      <c r="G857" s="39" t="s">
        <v>60</v>
      </c>
      <c r="H857" s="41">
        <v>3808.23</v>
      </c>
      <c r="I857" s="41">
        <v>3891.62</v>
      </c>
      <c r="J857" s="39" t="s">
        <v>137</v>
      </c>
      <c r="K857" s="42">
        <v>0.26</v>
      </c>
      <c r="L857" s="39" t="s">
        <v>63</v>
      </c>
      <c r="M857" s="39" t="s">
        <v>138</v>
      </c>
      <c r="N857" s="39" t="s">
        <v>156</v>
      </c>
      <c r="O857" s="43">
        <f t="shared" si="273"/>
        <v>31132.959999999999</v>
      </c>
      <c r="P857" s="43">
        <f t="shared" si="274"/>
        <v>23038.39</v>
      </c>
      <c r="Q857" s="43">
        <f t="shared" si="275"/>
        <v>30465.84</v>
      </c>
      <c r="R857" s="43">
        <f t="shared" si="276"/>
        <v>-7427.4500000000007</v>
      </c>
      <c r="S857" s="44">
        <f t="shared" si="277"/>
        <v>-0.32239449023998645</v>
      </c>
      <c r="T857" s="39" t="str">
        <f t="shared" si="278"/>
        <v>Loss</v>
      </c>
      <c r="U857" s="39" t="str">
        <f t="shared" si="279"/>
        <v>20%+</v>
      </c>
      <c r="V857" s="39" t="str">
        <f>IF(E857&gt;=Analysis!$B$4,"High",IF(E857&gt;=Analysis!$B$5,"Mid","Low"))</f>
        <v>High</v>
      </c>
      <c r="W857" s="39" t="str">
        <f t="shared" si="280"/>
        <v>2023-08</v>
      </c>
      <c r="X857" s="40">
        <f t="shared" si="281"/>
        <v>45169</v>
      </c>
      <c r="Y857" s="39" t="str">
        <f t="shared" si="282"/>
        <v>2023-Q3</v>
      </c>
      <c r="Z857" s="39" t="str">
        <f t="shared" si="283"/>
        <v>Thu</v>
      </c>
      <c r="AA857" s="39">
        <f t="shared" si="284"/>
        <v>4</v>
      </c>
      <c r="AB857" s="39">
        <f t="shared" si="285"/>
        <v>35</v>
      </c>
      <c r="AC857" s="39" t="str">
        <f t="shared" si="286"/>
        <v>Weekday</v>
      </c>
      <c r="AD857" s="39">
        <f t="shared" ca="1" si="287"/>
        <v>1157</v>
      </c>
      <c r="AE857" s="39">
        <f t="shared" ca="1" si="288"/>
        <v>38</v>
      </c>
      <c r="AF857" s="39" t="str">
        <f t="shared" si="289"/>
        <v>ALI</v>
      </c>
      <c r="AG857" s="39" t="str">
        <f t="shared" si="290"/>
        <v>NO-230824-0856</v>
      </c>
      <c r="AH857" s="39">
        <f>IF(AND(OR(Filter!$B$4="All",D857=Filter!$B$4),OR(Filter!$B$5="All",M857=Filter!$B$5),E857&gt;=Filter!$B$6),MAX(AH$1:AH856)+1,"")</f>
        <v>79</v>
      </c>
      <c r="AI857" s="39">
        <f t="shared" si="291"/>
        <v>8</v>
      </c>
      <c r="AJ857" s="42">
        <f t="shared" si="292"/>
        <v>0.26</v>
      </c>
      <c r="AK857" s="41">
        <f t="shared" si="293"/>
        <v>3891.62</v>
      </c>
      <c r="AL857" s="39">
        <f>RANK(E857,$E$2:$E$1001,0)+COUNTIF($E$2:E857,E857)-1</f>
        <v>3</v>
      </c>
    </row>
    <row r="858" spans="1:38" x14ac:dyDescent="0.2">
      <c r="A858" s="39">
        <v>1085</v>
      </c>
      <c r="B858" s="40">
        <v>45266</v>
      </c>
      <c r="C858" s="39" t="s">
        <v>79</v>
      </c>
      <c r="D858" s="39" t="s">
        <v>64</v>
      </c>
      <c r="E858" s="41">
        <v>397.26</v>
      </c>
      <c r="F858" s="39">
        <v>42</v>
      </c>
      <c r="G858" s="39" t="s">
        <v>65</v>
      </c>
      <c r="H858" s="41">
        <v>3117.75</v>
      </c>
      <c r="I858" s="41">
        <v>3159.88</v>
      </c>
      <c r="J858" s="39" t="s">
        <v>143</v>
      </c>
      <c r="K858" s="42">
        <v>0.04</v>
      </c>
      <c r="L858" s="39" t="s">
        <v>68</v>
      </c>
      <c r="M858" s="39" t="s">
        <v>140</v>
      </c>
      <c r="N858" s="39" t="s">
        <v>148</v>
      </c>
      <c r="O858" s="43">
        <f t="shared" si="273"/>
        <v>132714.96</v>
      </c>
      <c r="P858" s="43">
        <f t="shared" si="274"/>
        <v>127406.36</v>
      </c>
      <c r="Q858" s="43">
        <f t="shared" si="275"/>
        <v>130945.5</v>
      </c>
      <c r="R858" s="43">
        <f t="shared" si="276"/>
        <v>-3539.1399999999994</v>
      </c>
      <c r="S858" s="44">
        <f t="shared" si="277"/>
        <v>-2.7778362084906902E-2</v>
      </c>
      <c r="T858" s="39" t="str">
        <f t="shared" si="278"/>
        <v>Loss</v>
      </c>
      <c r="U858" s="39" t="str">
        <f t="shared" si="279"/>
        <v>0-9%</v>
      </c>
      <c r="V858" s="39" t="str">
        <f>IF(E858&gt;=Analysis!$B$4,"High",IF(E858&gt;=Analysis!$B$5,"Mid","Low"))</f>
        <v>Low</v>
      </c>
      <c r="W858" s="39" t="str">
        <f t="shared" si="280"/>
        <v>2023-12</v>
      </c>
      <c r="X858" s="40">
        <f t="shared" si="281"/>
        <v>45291</v>
      </c>
      <c r="Y858" s="39" t="str">
        <f t="shared" si="282"/>
        <v>2023-Q4</v>
      </c>
      <c r="Z858" s="39" t="str">
        <f t="shared" si="283"/>
        <v>Wed</v>
      </c>
      <c r="AA858" s="39">
        <f t="shared" si="284"/>
        <v>3</v>
      </c>
      <c r="AB858" s="39">
        <f t="shared" si="285"/>
        <v>50</v>
      </c>
      <c r="AC858" s="39" t="str">
        <f t="shared" si="286"/>
        <v>Weekday</v>
      </c>
      <c r="AD858" s="39">
        <f t="shared" ca="1" si="287"/>
        <v>1053</v>
      </c>
      <c r="AE858" s="39">
        <f t="shared" ca="1" si="288"/>
        <v>34</v>
      </c>
      <c r="AF858" s="39" t="str">
        <f t="shared" si="289"/>
        <v>EVE</v>
      </c>
      <c r="AG858" s="39" t="str">
        <f t="shared" si="290"/>
        <v>NR-231206-0857</v>
      </c>
      <c r="AH858" s="39" t="str">
        <f>IF(AND(OR(Filter!$B$4="All",D858=Filter!$B$4),OR(Filter!$B$5="All",M858=Filter!$B$5),E858&gt;=Filter!$B$6),MAX(AH$1:AH857)+1,"")</f>
        <v/>
      </c>
      <c r="AI858" s="39">
        <f t="shared" si="291"/>
        <v>42</v>
      </c>
      <c r="AJ858" s="42">
        <f t="shared" si="292"/>
        <v>0.04</v>
      </c>
      <c r="AK858" s="41">
        <f t="shared" si="293"/>
        <v>3159.88</v>
      </c>
      <c r="AL858" s="39">
        <f>RANK(E858,$E$2:$E$1001,0)+COUNTIF($E$2:E858,E858)-1</f>
        <v>968</v>
      </c>
    </row>
    <row r="859" spans="1:38" x14ac:dyDescent="0.2">
      <c r="A859" s="39">
        <v>1014</v>
      </c>
      <c r="B859" s="40">
        <v>45154</v>
      </c>
      <c r="C859" s="39" t="s">
        <v>76</v>
      </c>
      <c r="D859" s="39" t="s">
        <v>69</v>
      </c>
      <c r="E859" s="41">
        <v>8983.92</v>
      </c>
      <c r="F859" s="39">
        <v>26</v>
      </c>
      <c r="G859" s="39" t="s">
        <v>75</v>
      </c>
      <c r="H859" s="41">
        <v>433.19</v>
      </c>
      <c r="I859" s="41">
        <v>800.6</v>
      </c>
      <c r="J859" s="39" t="s">
        <v>137</v>
      </c>
      <c r="K859" s="42">
        <v>0.2</v>
      </c>
      <c r="L859" s="39" t="s">
        <v>68</v>
      </c>
      <c r="M859" s="39" t="s">
        <v>138</v>
      </c>
      <c r="N859" s="39" t="s">
        <v>142</v>
      </c>
      <c r="O859" s="43">
        <f t="shared" si="273"/>
        <v>20815.599999999999</v>
      </c>
      <c r="P859" s="43">
        <f t="shared" si="274"/>
        <v>16652.48</v>
      </c>
      <c r="Q859" s="43">
        <f t="shared" si="275"/>
        <v>11262.94</v>
      </c>
      <c r="R859" s="43">
        <f t="shared" si="276"/>
        <v>5389.5399999999991</v>
      </c>
      <c r="S859" s="44">
        <f t="shared" si="277"/>
        <v>0.32364788908318753</v>
      </c>
      <c r="T859" s="39" t="str">
        <f t="shared" si="278"/>
        <v>OK</v>
      </c>
      <c r="U859" s="39" t="str">
        <f t="shared" si="279"/>
        <v>20%+</v>
      </c>
      <c r="V859" s="39" t="str">
        <f>IF(E859&gt;=Analysis!$B$4,"High",IF(E859&gt;=Analysis!$B$5,"Mid","Low"))</f>
        <v>High</v>
      </c>
      <c r="W859" s="39" t="str">
        <f t="shared" si="280"/>
        <v>2023-08</v>
      </c>
      <c r="X859" s="40">
        <f t="shared" si="281"/>
        <v>45169</v>
      </c>
      <c r="Y859" s="39" t="str">
        <f t="shared" si="282"/>
        <v>2023-Q3</v>
      </c>
      <c r="Z859" s="39" t="str">
        <f t="shared" si="283"/>
        <v>Wed</v>
      </c>
      <c r="AA859" s="39">
        <f t="shared" si="284"/>
        <v>3</v>
      </c>
      <c r="AB859" s="39">
        <f t="shared" si="285"/>
        <v>34</v>
      </c>
      <c r="AC859" s="39" t="str">
        <f t="shared" si="286"/>
        <v>Weekday</v>
      </c>
      <c r="AD859" s="39">
        <f t="shared" ca="1" si="287"/>
        <v>1165</v>
      </c>
      <c r="AE859" s="39">
        <f t="shared" ca="1" si="288"/>
        <v>38</v>
      </c>
      <c r="AF859" s="39" t="str">
        <f t="shared" si="289"/>
        <v>DAV</v>
      </c>
      <c r="AG859" s="39" t="str">
        <f t="shared" si="290"/>
        <v>SO-230816-0858</v>
      </c>
      <c r="AH859" s="39" t="str">
        <f>IF(AND(OR(Filter!$B$4="All",D859=Filter!$B$4),OR(Filter!$B$5="All",M859=Filter!$B$5),E859&gt;=Filter!$B$6),MAX(AH$1:AH858)+1,"")</f>
        <v/>
      </c>
      <c r="AI859" s="39">
        <f t="shared" si="291"/>
        <v>26</v>
      </c>
      <c r="AJ859" s="42">
        <f t="shared" si="292"/>
        <v>0.2</v>
      </c>
      <c r="AK859" s="41">
        <f t="shared" si="293"/>
        <v>800.6</v>
      </c>
      <c r="AL859" s="39">
        <f>RANK(E859,$E$2:$E$1001,0)+COUNTIF($E$2:E859,E859)-1</f>
        <v>93</v>
      </c>
    </row>
    <row r="860" spans="1:38" x14ac:dyDescent="0.2">
      <c r="A860" s="39">
        <v>1066</v>
      </c>
      <c r="B860" s="40">
        <v>44935</v>
      </c>
      <c r="C860" s="39" t="s">
        <v>61</v>
      </c>
      <c r="D860" s="39" t="s">
        <v>64</v>
      </c>
      <c r="E860" s="41">
        <v>6264.04</v>
      </c>
      <c r="F860" s="39">
        <v>48</v>
      </c>
      <c r="G860" s="39" t="s">
        <v>60</v>
      </c>
      <c r="H860" s="41">
        <v>2588.54</v>
      </c>
      <c r="I860" s="41">
        <v>2872.8</v>
      </c>
      <c r="J860" s="39" t="s">
        <v>143</v>
      </c>
      <c r="K860" s="42">
        <v>0.17</v>
      </c>
      <c r="L860" s="39" t="s">
        <v>68</v>
      </c>
      <c r="M860" s="39" t="s">
        <v>138</v>
      </c>
      <c r="N860" s="39" t="s">
        <v>156</v>
      </c>
      <c r="O860" s="43">
        <f t="shared" si="273"/>
        <v>137894.39999999999</v>
      </c>
      <c r="P860" s="43">
        <f t="shared" si="274"/>
        <v>114452.35</v>
      </c>
      <c r="Q860" s="43">
        <f t="shared" si="275"/>
        <v>124249.92</v>
      </c>
      <c r="R860" s="43">
        <f t="shared" si="276"/>
        <v>-9797.5699999999924</v>
      </c>
      <c r="S860" s="44">
        <f t="shared" si="277"/>
        <v>-8.5603921632015342E-2</v>
      </c>
      <c r="T860" s="39" t="str">
        <f t="shared" si="278"/>
        <v>Loss</v>
      </c>
      <c r="U860" s="39" t="str">
        <f t="shared" si="279"/>
        <v>10-19%</v>
      </c>
      <c r="V860" s="39" t="str">
        <f>IF(E860&gt;=Analysis!$B$4,"High",IF(E860&gt;=Analysis!$B$5,"Mid","Low"))</f>
        <v>Mid</v>
      </c>
      <c r="W860" s="39" t="str">
        <f t="shared" si="280"/>
        <v>2023-01</v>
      </c>
      <c r="X860" s="40">
        <f t="shared" si="281"/>
        <v>44957</v>
      </c>
      <c r="Y860" s="39" t="str">
        <f t="shared" si="282"/>
        <v>2023-Q1</v>
      </c>
      <c r="Z860" s="39" t="str">
        <f t="shared" si="283"/>
        <v>Mon</v>
      </c>
      <c r="AA860" s="39">
        <f t="shared" si="284"/>
        <v>1</v>
      </c>
      <c r="AB860" s="39">
        <f t="shared" si="285"/>
        <v>3</v>
      </c>
      <c r="AC860" s="39" t="str">
        <f t="shared" si="286"/>
        <v>Weekday</v>
      </c>
      <c r="AD860" s="39">
        <f t="shared" ca="1" si="287"/>
        <v>1384</v>
      </c>
      <c r="AE860" s="39">
        <f t="shared" ca="1" si="288"/>
        <v>45</v>
      </c>
      <c r="AF860" s="39" t="str">
        <f t="shared" si="289"/>
        <v>ALI</v>
      </c>
      <c r="AG860" s="39" t="str">
        <f t="shared" si="290"/>
        <v>NO-230109-0859</v>
      </c>
      <c r="AH860" s="39" t="str">
        <f>IF(AND(OR(Filter!$B$4="All",D860=Filter!$B$4),OR(Filter!$B$5="All",M860=Filter!$B$5),E860&gt;=Filter!$B$6),MAX(AH$1:AH859)+1,"")</f>
        <v/>
      </c>
      <c r="AI860" s="39">
        <f t="shared" si="291"/>
        <v>48</v>
      </c>
      <c r="AJ860" s="42">
        <f t="shared" si="292"/>
        <v>0.17</v>
      </c>
      <c r="AK860" s="41">
        <f t="shared" si="293"/>
        <v>2872.8</v>
      </c>
      <c r="AL860" s="39">
        <f>RANK(E860,$E$2:$E$1001,0)+COUNTIF($E$2:E860,E860)-1</f>
        <v>383</v>
      </c>
    </row>
    <row r="861" spans="1:38" x14ac:dyDescent="0.2">
      <c r="A861" s="39">
        <v>1075</v>
      </c>
      <c r="B861" s="40">
        <v>45092</v>
      </c>
      <c r="C861" s="39" t="s">
        <v>79</v>
      </c>
      <c r="D861" s="39" t="s">
        <v>64</v>
      </c>
      <c r="E861" s="41">
        <v>9736.49</v>
      </c>
      <c r="F861" s="39">
        <v>26</v>
      </c>
      <c r="G861" s="39" t="s">
        <v>75</v>
      </c>
      <c r="H861" s="41">
        <v>1749.34</v>
      </c>
      <c r="I861" s="41">
        <v>1935.25</v>
      </c>
      <c r="J861" s="39" t="s">
        <v>143</v>
      </c>
      <c r="K861" s="42">
        <v>0.14000000000000001</v>
      </c>
      <c r="L861" s="39" t="s">
        <v>73</v>
      </c>
      <c r="M861" s="39" t="s">
        <v>138</v>
      </c>
      <c r="N861" s="39" t="s">
        <v>148</v>
      </c>
      <c r="O861" s="43">
        <f t="shared" si="273"/>
        <v>50316.5</v>
      </c>
      <c r="P861" s="43">
        <f t="shared" si="274"/>
        <v>43272.19</v>
      </c>
      <c r="Q861" s="43">
        <f t="shared" si="275"/>
        <v>45482.84</v>
      </c>
      <c r="R861" s="43">
        <f t="shared" si="276"/>
        <v>-2210.6499999999942</v>
      </c>
      <c r="S861" s="44">
        <f t="shared" si="277"/>
        <v>-5.108708387534798E-2</v>
      </c>
      <c r="T861" s="39" t="str">
        <f t="shared" si="278"/>
        <v>Loss</v>
      </c>
      <c r="U861" s="39" t="str">
        <f t="shared" si="279"/>
        <v>10-19%</v>
      </c>
      <c r="V861" s="39" t="str">
        <f>IF(E861&gt;=Analysis!$B$4,"High",IF(E861&gt;=Analysis!$B$5,"Mid","Low"))</f>
        <v>High</v>
      </c>
      <c r="W861" s="39" t="str">
        <f t="shared" si="280"/>
        <v>2023-06</v>
      </c>
      <c r="X861" s="40">
        <f t="shared" si="281"/>
        <v>45107</v>
      </c>
      <c r="Y861" s="39" t="str">
        <f t="shared" si="282"/>
        <v>2023-Q2</v>
      </c>
      <c r="Z861" s="39" t="str">
        <f t="shared" si="283"/>
        <v>Thu</v>
      </c>
      <c r="AA861" s="39">
        <f t="shared" si="284"/>
        <v>4</v>
      </c>
      <c r="AB861" s="39">
        <f t="shared" si="285"/>
        <v>25</v>
      </c>
      <c r="AC861" s="39" t="str">
        <f t="shared" si="286"/>
        <v>Weekday</v>
      </c>
      <c r="AD861" s="39">
        <f t="shared" ca="1" si="287"/>
        <v>1227</v>
      </c>
      <c r="AE861" s="39">
        <f t="shared" ca="1" si="288"/>
        <v>40</v>
      </c>
      <c r="AF861" s="39" t="str">
        <f t="shared" si="289"/>
        <v>EVE</v>
      </c>
      <c r="AG861" s="39" t="str">
        <f t="shared" si="290"/>
        <v>NO-230615-0860</v>
      </c>
      <c r="AH861" s="39">
        <f>IF(AND(OR(Filter!$B$4="All",D861=Filter!$B$4),OR(Filter!$B$5="All",M861=Filter!$B$5),E861&gt;=Filter!$B$6),MAX(AH$1:AH860)+1,"")</f>
        <v>80</v>
      </c>
      <c r="AI861" s="39">
        <f t="shared" si="291"/>
        <v>26</v>
      </c>
      <c r="AJ861" s="42">
        <f t="shared" si="292"/>
        <v>0.14000000000000001</v>
      </c>
      <c r="AK861" s="41">
        <f t="shared" si="293"/>
        <v>1935.25</v>
      </c>
      <c r="AL861" s="39">
        <f>RANK(E861,$E$2:$E$1001,0)+COUNTIF($E$2:E861,E861)-1</f>
        <v>24</v>
      </c>
    </row>
    <row r="862" spans="1:38" x14ac:dyDescent="0.2">
      <c r="A862" s="39">
        <v>1051</v>
      </c>
      <c r="B862" s="40">
        <v>45245</v>
      </c>
      <c r="C862" s="39" t="s">
        <v>61</v>
      </c>
      <c r="D862" s="39" t="s">
        <v>64</v>
      </c>
      <c r="E862" s="41">
        <v>4703.59</v>
      </c>
      <c r="F862" s="39">
        <v>23</v>
      </c>
      <c r="G862" s="39" t="s">
        <v>65</v>
      </c>
      <c r="H862" s="41">
        <v>1676.42</v>
      </c>
      <c r="I862" s="41">
        <v>2082.52</v>
      </c>
      <c r="J862" s="39" t="s">
        <v>143</v>
      </c>
      <c r="K862" s="42">
        <v>0.15</v>
      </c>
      <c r="L862" s="39" t="s">
        <v>63</v>
      </c>
      <c r="M862" s="39" t="s">
        <v>140</v>
      </c>
      <c r="N862" s="39" t="s">
        <v>156</v>
      </c>
      <c r="O862" s="43">
        <f t="shared" si="273"/>
        <v>47897.96</v>
      </c>
      <c r="P862" s="43">
        <f t="shared" si="274"/>
        <v>40713.269999999997</v>
      </c>
      <c r="Q862" s="43">
        <f t="shared" si="275"/>
        <v>38557.660000000003</v>
      </c>
      <c r="R862" s="43">
        <f t="shared" si="276"/>
        <v>2155.6099999999933</v>
      </c>
      <c r="S862" s="44">
        <f t="shared" si="277"/>
        <v>5.2946127884102495E-2</v>
      </c>
      <c r="T862" s="39" t="str">
        <f t="shared" si="278"/>
        <v>OK</v>
      </c>
      <c r="U862" s="39" t="str">
        <f t="shared" si="279"/>
        <v>10-19%</v>
      </c>
      <c r="V862" s="39" t="str">
        <f>IF(E862&gt;=Analysis!$B$4,"High",IF(E862&gt;=Analysis!$B$5,"Mid","Low"))</f>
        <v>Mid</v>
      </c>
      <c r="W862" s="39" t="str">
        <f t="shared" si="280"/>
        <v>2023-11</v>
      </c>
      <c r="X862" s="40">
        <f t="shared" si="281"/>
        <v>45260</v>
      </c>
      <c r="Y862" s="39" t="str">
        <f t="shared" si="282"/>
        <v>2023-Q4</v>
      </c>
      <c r="Z862" s="39" t="str">
        <f t="shared" si="283"/>
        <v>Wed</v>
      </c>
      <c r="AA862" s="39">
        <f t="shared" si="284"/>
        <v>3</v>
      </c>
      <c r="AB862" s="39">
        <f t="shared" si="285"/>
        <v>47</v>
      </c>
      <c r="AC862" s="39" t="str">
        <f t="shared" si="286"/>
        <v>Weekday</v>
      </c>
      <c r="AD862" s="39">
        <f t="shared" ca="1" si="287"/>
        <v>1074</v>
      </c>
      <c r="AE862" s="39">
        <f t="shared" ca="1" si="288"/>
        <v>35</v>
      </c>
      <c r="AF862" s="39" t="str">
        <f t="shared" si="289"/>
        <v>ALI</v>
      </c>
      <c r="AG862" s="39" t="str">
        <f t="shared" si="290"/>
        <v>NR-231115-0861</v>
      </c>
      <c r="AH862" s="39" t="str">
        <f>IF(AND(OR(Filter!$B$4="All",D862=Filter!$B$4),OR(Filter!$B$5="All",M862=Filter!$B$5),E862&gt;=Filter!$B$6),MAX(AH$1:AH861)+1,"")</f>
        <v/>
      </c>
      <c r="AI862" s="39">
        <f t="shared" si="291"/>
        <v>23</v>
      </c>
      <c r="AJ862" s="42">
        <f t="shared" si="292"/>
        <v>0.15</v>
      </c>
      <c r="AK862" s="41">
        <f t="shared" si="293"/>
        <v>2082.52</v>
      </c>
      <c r="AL862" s="39">
        <f>RANK(E862,$E$2:$E$1001,0)+COUNTIF($E$2:E862,E862)-1</f>
        <v>529</v>
      </c>
    </row>
    <row r="863" spans="1:38" x14ac:dyDescent="0.2">
      <c r="A863" s="39">
        <v>1038</v>
      </c>
      <c r="B863" s="40">
        <v>45140</v>
      </c>
      <c r="C863" s="39" t="s">
        <v>61</v>
      </c>
      <c r="D863" s="39" t="s">
        <v>59</v>
      </c>
      <c r="E863" s="41">
        <v>8489.14</v>
      </c>
      <c r="F863" s="39">
        <v>43</v>
      </c>
      <c r="G863" s="39" t="s">
        <v>75</v>
      </c>
      <c r="H863" s="41">
        <v>3031.17</v>
      </c>
      <c r="I863" s="41">
        <v>3231.32</v>
      </c>
      <c r="J863" s="39" t="s">
        <v>137</v>
      </c>
      <c r="K863" s="42">
        <v>0.22</v>
      </c>
      <c r="L863" s="39" t="s">
        <v>68</v>
      </c>
      <c r="M863" s="39" t="s">
        <v>140</v>
      </c>
      <c r="N863" s="39" t="s">
        <v>159</v>
      </c>
      <c r="O863" s="43">
        <f t="shared" si="273"/>
        <v>138946.76</v>
      </c>
      <c r="P863" s="43">
        <f t="shared" si="274"/>
        <v>108378.47</v>
      </c>
      <c r="Q863" s="43">
        <f t="shared" si="275"/>
        <v>130340.31</v>
      </c>
      <c r="R863" s="43">
        <f t="shared" si="276"/>
        <v>-21961.839999999997</v>
      </c>
      <c r="S863" s="44">
        <f t="shared" si="277"/>
        <v>-0.2026402476432819</v>
      </c>
      <c r="T863" s="39" t="str">
        <f t="shared" si="278"/>
        <v>Loss</v>
      </c>
      <c r="U863" s="39" t="str">
        <f t="shared" si="279"/>
        <v>20%+</v>
      </c>
      <c r="V863" s="39" t="str">
        <f>IF(E863&gt;=Analysis!$B$4,"High",IF(E863&gt;=Analysis!$B$5,"Mid","Low"))</f>
        <v>High</v>
      </c>
      <c r="W863" s="39" t="str">
        <f t="shared" si="280"/>
        <v>2023-08</v>
      </c>
      <c r="X863" s="40">
        <f t="shared" si="281"/>
        <v>45169</v>
      </c>
      <c r="Y863" s="39" t="str">
        <f t="shared" si="282"/>
        <v>2023-Q3</v>
      </c>
      <c r="Z863" s="39" t="str">
        <f t="shared" si="283"/>
        <v>Wed</v>
      </c>
      <c r="AA863" s="39">
        <f t="shared" si="284"/>
        <v>3</v>
      </c>
      <c r="AB863" s="39">
        <f t="shared" si="285"/>
        <v>32</v>
      </c>
      <c r="AC863" s="39" t="str">
        <f t="shared" si="286"/>
        <v>Weekday</v>
      </c>
      <c r="AD863" s="39">
        <f t="shared" ca="1" si="287"/>
        <v>1179</v>
      </c>
      <c r="AE863" s="39">
        <f t="shared" ca="1" si="288"/>
        <v>38</v>
      </c>
      <c r="AF863" s="39" t="str">
        <f t="shared" si="289"/>
        <v>ALI</v>
      </c>
      <c r="AG863" s="39" t="str">
        <f t="shared" si="290"/>
        <v>ER-230802-0862</v>
      </c>
      <c r="AH863" s="39" t="str">
        <f>IF(AND(OR(Filter!$B$4="All",D863=Filter!$B$4),OR(Filter!$B$5="All",M863=Filter!$B$5),E863&gt;=Filter!$B$6),MAX(AH$1:AH862)+1,"")</f>
        <v/>
      </c>
      <c r="AI863" s="39">
        <f t="shared" si="291"/>
        <v>43</v>
      </c>
      <c r="AJ863" s="42">
        <f t="shared" si="292"/>
        <v>0.22</v>
      </c>
      <c r="AK863" s="41">
        <f t="shared" si="293"/>
        <v>3231.32</v>
      </c>
      <c r="AL863" s="39">
        <f>RANK(E863,$E$2:$E$1001,0)+COUNTIF($E$2:E863,E863)-1</f>
        <v>142</v>
      </c>
    </row>
    <row r="864" spans="1:38" x14ac:dyDescent="0.2">
      <c r="A864" s="39">
        <v>1064</v>
      </c>
      <c r="B864" s="40">
        <v>45043</v>
      </c>
      <c r="C864" s="39" t="s">
        <v>66</v>
      </c>
      <c r="D864" s="39" t="s">
        <v>64</v>
      </c>
      <c r="E864" s="41">
        <v>717.7</v>
      </c>
      <c r="F864" s="39">
        <v>13</v>
      </c>
      <c r="G864" s="39" t="s">
        <v>60</v>
      </c>
      <c r="H864" s="41">
        <v>1645.51</v>
      </c>
      <c r="I864" s="41">
        <v>2045.53</v>
      </c>
      <c r="J864" s="39" t="s">
        <v>137</v>
      </c>
      <c r="K864" s="42">
        <v>0.28000000000000003</v>
      </c>
      <c r="L864" s="39" t="s">
        <v>68</v>
      </c>
      <c r="M864" s="39" t="s">
        <v>140</v>
      </c>
      <c r="N864" s="39" t="s">
        <v>139</v>
      </c>
      <c r="O864" s="43">
        <f t="shared" si="273"/>
        <v>26591.89</v>
      </c>
      <c r="P864" s="43">
        <f t="shared" si="274"/>
        <v>19146.16</v>
      </c>
      <c r="Q864" s="43">
        <f t="shared" si="275"/>
        <v>21391.63</v>
      </c>
      <c r="R864" s="43">
        <f t="shared" si="276"/>
        <v>-2245.4700000000012</v>
      </c>
      <c r="S864" s="44">
        <f t="shared" si="277"/>
        <v>-0.11728043639037808</v>
      </c>
      <c r="T864" s="39" t="str">
        <f t="shared" si="278"/>
        <v>Loss</v>
      </c>
      <c r="U864" s="39" t="str">
        <f t="shared" si="279"/>
        <v>20%+</v>
      </c>
      <c r="V864" s="39" t="str">
        <f>IF(E864&gt;=Analysis!$B$4,"High",IF(E864&gt;=Analysis!$B$5,"Mid","Low"))</f>
        <v>Low</v>
      </c>
      <c r="W864" s="39" t="str">
        <f t="shared" si="280"/>
        <v>2023-04</v>
      </c>
      <c r="X864" s="40">
        <f t="shared" si="281"/>
        <v>45046</v>
      </c>
      <c r="Y864" s="39" t="str">
        <f t="shared" si="282"/>
        <v>2023-Q2</v>
      </c>
      <c r="Z864" s="39" t="str">
        <f t="shared" si="283"/>
        <v>Thu</v>
      </c>
      <c r="AA864" s="39">
        <f t="shared" si="284"/>
        <v>4</v>
      </c>
      <c r="AB864" s="39">
        <f t="shared" si="285"/>
        <v>18</v>
      </c>
      <c r="AC864" s="39" t="str">
        <f t="shared" si="286"/>
        <v>Weekday</v>
      </c>
      <c r="AD864" s="39">
        <f t="shared" ca="1" si="287"/>
        <v>1276</v>
      </c>
      <c r="AE864" s="39">
        <f t="shared" ca="1" si="288"/>
        <v>41</v>
      </c>
      <c r="AF864" s="39" t="str">
        <f t="shared" si="289"/>
        <v>BOB</v>
      </c>
      <c r="AG864" s="39" t="str">
        <f t="shared" si="290"/>
        <v>NR-230427-0863</v>
      </c>
      <c r="AH864" s="39" t="str">
        <f>IF(AND(OR(Filter!$B$4="All",D864=Filter!$B$4),OR(Filter!$B$5="All",M864=Filter!$B$5),E864&gt;=Filter!$B$6),MAX(AH$1:AH863)+1,"")</f>
        <v/>
      </c>
      <c r="AI864" s="39">
        <f t="shared" si="291"/>
        <v>13</v>
      </c>
      <c r="AJ864" s="42">
        <f t="shared" si="292"/>
        <v>0.28000000000000003</v>
      </c>
      <c r="AK864" s="41">
        <f t="shared" si="293"/>
        <v>2045.53</v>
      </c>
      <c r="AL864" s="39">
        <f>RANK(E864,$E$2:$E$1001,0)+COUNTIF($E$2:E864,E864)-1</f>
        <v>940</v>
      </c>
    </row>
    <row r="865" spans="1:38" x14ac:dyDescent="0.2">
      <c r="A865" s="39">
        <v>1098</v>
      </c>
      <c r="B865" s="40">
        <v>45270</v>
      </c>
      <c r="C865" s="39" t="s">
        <v>79</v>
      </c>
      <c r="D865" s="39" t="s">
        <v>59</v>
      </c>
      <c r="E865" s="41">
        <v>3419.26</v>
      </c>
      <c r="F865" s="39">
        <v>28</v>
      </c>
      <c r="G865" s="39" t="s">
        <v>65</v>
      </c>
      <c r="H865" s="41">
        <v>3895.62</v>
      </c>
      <c r="I865" s="41">
        <v>4055.44</v>
      </c>
      <c r="J865" s="39" t="s">
        <v>143</v>
      </c>
      <c r="K865" s="42">
        <v>0.03</v>
      </c>
      <c r="L865" s="39" t="s">
        <v>63</v>
      </c>
      <c r="M865" s="39" t="s">
        <v>140</v>
      </c>
      <c r="N865" s="39" t="s">
        <v>155</v>
      </c>
      <c r="O865" s="43">
        <f t="shared" si="273"/>
        <v>113552.32000000001</v>
      </c>
      <c r="P865" s="43">
        <f t="shared" si="274"/>
        <v>110145.75</v>
      </c>
      <c r="Q865" s="43">
        <f t="shared" si="275"/>
        <v>109077.36</v>
      </c>
      <c r="R865" s="43">
        <f t="shared" si="276"/>
        <v>1068.3899999999994</v>
      </c>
      <c r="S865" s="44">
        <f t="shared" si="277"/>
        <v>9.6997841496380879E-3</v>
      </c>
      <c r="T865" s="39" t="str">
        <f t="shared" si="278"/>
        <v>OK</v>
      </c>
      <c r="U865" s="39" t="str">
        <f t="shared" si="279"/>
        <v>0-9%</v>
      </c>
      <c r="V865" s="39" t="str">
        <f>IF(E865&gt;=Analysis!$B$4,"High",IF(E865&gt;=Analysis!$B$5,"Mid","Low"))</f>
        <v>Mid</v>
      </c>
      <c r="W865" s="39" t="str">
        <f t="shared" si="280"/>
        <v>2023-12</v>
      </c>
      <c r="X865" s="40">
        <f t="shared" si="281"/>
        <v>45291</v>
      </c>
      <c r="Y865" s="39" t="str">
        <f t="shared" si="282"/>
        <v>2023-Q4</v>
      </c>
      <c r="Z865" s="39" t="str">
        <f t="shared" si="283"/>
        <v>Sun</v>
      </c>
      <c r="AA865" s="39">
        <f t="shared" si="284"/>
        <v>7</v>
      </c>
      <c r="AB865" s="39">
        <f t="shared" si="285"/>
        <v>50</v>
      </c>
      <c r="AC865" s="39" t="str">
        <f t="shared" si="286"/>
        <v>Weekend</v>
      </c>
      <c r="AD865" s="39">
        <f t="shared" ca="1" si="287"/>
        <v>1049</v>
      </c>
      <c r="AE865" s="39">
        <f t="shared" ca="1" si="288"/>
        <v>34</v>
      </c>
      <c r="AF865" s="39" t="str">
        <f t="shared" si="289"/>
        <v>EVE</v>
      </c>
      <c r="AG865" s="39" t="str">
        <f t="shared" si="290"/>
        <v>ER-231210-0864</v>
      </c>
      <c r="AH865" s="39" t="str">
        <f>IF(AND(OR(Filter!$B$4="All",D865=Filter!$B$4),OR(Filter!$B$5="All",M865=Filter!$B$5),E865&gt;=Filter!$B$6),MAX(AH$1:AH864)+1,"")</f>
        <v/>
      </c>
      <c r="AI865" s="39">
        <f t="shared" si="291"/>
        <v>28</v>
      </c>
      <c r="AJ865" s="42">
        <f t="shared" si="292"/>
        <v>0.03</v>
      </c>
      <c r="AK865" s="41">
        <f t="shared" si="293"/>
        <v>4055.44</v>
      </c>
      <c r="AL865" s="39">
        <f>RANK(E865,$E$2:$E$1001,0)+COUNTIF($E$2:E865,E865)-1</f>
        <v>655</v>
      </c>
    </row>
    <row r="866" spans="1:38" x14ac:dyDescent="0.2">
      <c r="A866" s="39">
        <v>1038</v>
      </c>
      <c r="B866" s="40">
        <v>44998</v>
      </c>
      <c r="C866" s="39" t="s">
        <v>76</v>
      </c>
      <c r="D866" s="39" t="s">
        <v>64</v>
      </c>
      <c r="E866" s="41">
        <v>763.46</v>
      </c>
      <c r="F866" s="39">
        <v>9</v>
      </c>
      <c r="G866" s="39" t="s">
        <v>60</v>
      </c>
      <c r="H866" s="41">
        <v>400.42</v>
      </c>
      <c r="I866" s="41">
        <v>446.11</v>
      </c>
      <c r="J866" s="39" t="s">
        <v>143</v>
      </c>
      <c r="K866" s="42">
        <v>0.01</v>
      </c>
      <c r="L866" s="39" t="s">
        <v>63</v>
      </c>
      <c r="M866" s="39" t="s">
        <v>140</v>
      </c>
      <c r="N866" s="39" t="s">
        <v>152</v>
      </c>
      <c r="O866" s="43">
        <f t="shared" si="273"/>
        <v>4014.99</v>
      </c>
      <c r="P866" s="43">
        <f t="shared" si="274"/>
        <v>3974.84</v>
      </c>
      <c r="Q866" s="43">
        <f t="shared" si="275"/>
        <v>3603.78</v>
      </c>
      <c r="R866" s="43">
        <f t="shared" si="276"/>
        <v>371.05999999999995</v>
      </c>
      <c r="S866" s="44">
        <f t="shared" si="277"/>
        <v>9.3352185245192246E-2</v>
      </c>
      <c r="T866" s="39" t="str">
        <f t="shared" si="278"/>
        <v>OK</v>
      </c>
      <c r="U866" s="39" t="str">
        <f t="shared" si="279"/>
        <v>0-9%</v>
      </c>
      <c r="V866" s="39" t="str">
        <f>IF(E866&gt;=Analysis!$B$4,"High",IF(E866&gt;=Analysis!$B$5,"Mid","Low"))</f>
        <v>Low</v>
      </c>
      <c r="W866" s="39" t="str">
        <f t="shared" si="280"/>
        <v>2023-03</v>
      </c>
      <c r="X866" s="40">
        <f t="shared" si="281"/>
        <v>45016</v>
      </c>
      <c r="Y866" s="39" t="str">
        <f t="shared" si="282"/>
        <v>2023-Q1</v>
      </c>
      <c r="Z866" s="39" t="str">
        <f t="shared" si="283"/>
        <v>Mon</v>
      </c>
      <c r="AA866" s="39">
        <f t="shared" si="284"/>
        <v>1</v>
      </c>
      <c r="AB866" s="39">
        <f t="shared" si="285"/>
        <v>12</v>
      </c>
      <c r="AC866" s="39" t="str">
        <f t="shared" si="286"/>
        <v>Weekday</v>
      </c>
      <c r="AD866" s="39">
        <f t="shared" ca="1" si="287"/>
        <v>1321</v>
      </c>
      <c r="AE866" s="39">
        <f t="shared" ca="1" si="288"/>
        <v>43</v>
      </c>
      <c r="AF866" s="39" t="str">
        <f t="shared" si="289"/>
        <v>DAV</v>
      </c>
      <c r="AG866" s="39" t="str">
        <f t="shared" si="290"/>
        <v>NR-230313-0865</v>
      </c>
      <c r="AH866" s="39" t="str">
        <f>IF(AND(OR(Filter!$B$4="All",D866=Filter!$B$4),OR(Filter!$B$5="All",M866=Filter!$B$5),E866&gt;=Filter!$B$6),MAX(AH$1:AH865)+1,"")</f>
        <v/>
      </c>
      <c r="AI866" s="39">
        <f t="shared" si="291"/>
        <v>9</v>
      </c>
      <c r="AJ866" s="42">
        <f t="shared" si="292"/>
        <v>0.01</v>
      </c>
      <c r="AK866" s="41">
        <f t="shared" si="293"/>
        <v>446.11</v>
      </c>
      <c r="AL866" s="39">
        <f>RANK(E866,$E$2:$E$1001,0)+COUNTIF($E$2:E866,E866)-1</f>
        <v>932</v>
      </c>
    </row>
    <row r="867" spans="1:38" x14ac:dyDescent="0.2">
      <c r="A867" s="39">
        <v>1050</v>
      </c>
      <c r="B867" s="40">
        <v>44990</v>
      </c>
      <c r="C867" s="39" t="s">
        <v>66</v>
      </c>
      <c r="D867" s="39" t="s">
        <v>64</v>
      </c>
      <c r="E867" s="41">
        <v>9755.9</v>
      </c>
      <c r="F867" s="39">
        <v>20</v>
      </c>
      <c r="G867" s="39" t="s">
        <v>65</v>
      </c>
      <c r="H867" s="41">
        <v>3318.92</v>
      </c>
      <c r="I867" s="41">
        <v>3785.91</v>
      </c>
      <c r="J867" s="39" t="s">
        <v>143</v>
      </c>
      <c r="K867" s="42">
        <v>0.24</v>
      </c>
      <c r="L867" s="39" t="s">
        <v>63</v>
      </c>
      <c r="M867" s="39" t="s">
        <v>138</v>
      </c>
      <c r="N867" s="39" t="s">
        <v>139</v>
      </c>
      <c r="O867" s="43">
        <f t="shared" si="273"/>
        <v>75718.2</v>
      </c>
      <c r="P867" s="43">
        <f t="shared" si="274"/>
        <v>57545.83</v>
      </c>
      <c r="Q867" s="43">
        <f t="shared" si="275"/>
        <v>66378.399999999994</v>
      </c>
      <c r="R867" s="43">
        <f t="shared" si="276"/>
        <v>-8832.5699999999924</v>
      </c>
      <c r="S867" s="44">
        <f t="shared" si="277"/>
        <v>-0.15348757677141839</v>
      </c>
      <c r="T867" s="39" t="str">
        <f t="shared" si="278"/>
        <v>Loss</v>
      </c>
      <c r="U867" s="39" t="str">
        <f t="shared" si="279"/>
        <v>20%+</v>
      </c>
      <c r="V867" s="39" t="str">
        <f>IF(E867&gt;=Analysis!$B$4,"High",IF(E867&gt;=Analysis!$B$5,"Mid","Low"))</f>
        <v>High</v>
      </c>
      <c r="W867" s="39" t="str">
        <f t="shared" si="280"/>
        <v>2023-03</v>
      </c>
      <c r="X867" s="40">
        <f t="shared" si="281"/>
        <v>45016</v>
      </c>
      <c r="Y867" s="39" t="str">
        <f t="shared" si="282"/>
        <v>2023-Q1</v>
      </c>
      <c r="Z867" s="39" t="str">
        <f t="shared" si="283"/>
        <v>Sun</v>
      </c>
      <c r="AA867" s="39">
        <f t="shared" si="284"/>
        <v>7</v>
      </c>
      <c r="AB867" s="39">
        <f t="shared" si="285"/>
        <v>10</v>
      </c>
      <c r="AC867" s="39" t="str">
        <f t="shared" si="286"/>
        <v>Weekend</v>
      </c>
      <c r="AD867" s="39">
        <f t="shared" ca="1" si="287"/>
        <v>1329</v>
      </c>
      <c r="AE867" s="39">
        <f t="shared" ca="1" si="288"/>
        <v>43</v>
      </c>
      <c r="AF867" s="39" t="str">
        <f t="shared" si="289"/>
        <v>BOB</v>
      </c>
      <c r="AG867" s="39" t="str">
        <f t="shared" si="290"/>
        <v>NO-230305-0866</v>
      </c>
      <c r="AH867" s="39">
        <f>IF(AND(OR(Filter!$B$4="All",D867=Filter!$B$4),OR(Filter!$B$5="All",M867=Filter!$B$5),E867&gt;=Filter!$B$6),MAX(AH$1:AH866)+1,"")</f>
        <v>81</v>
      </c>
      <c r="AI867" s="39">
        <f t="shared" si="291"/>
        <v>20</v>
      </c>
      <c r="AJ867" s="42">
        <f t="shared" si="292"/>
        <v>0.24</v>
      </c>
      <c r="AK867" s="41">
        <f t="shared" si="293"/>
        <v>3785.91</v>
      </c>
      <c r="AL867" s="39">
        <f>RANK(E867,$E$2:$E$1001,0)+COUNTIF($E$2:E867,E867)-1</f>
        <v>22</v>
      </c>
    </row>
    <row r="868" spans="1:38" x14ac:dyDescent="0.2">
      <c r="A868" s="39">
        <v>1098</v>
      </c>
      <c r="B868" s="40">
        <v>45131</v>
      </c>
      <c r="C868" s="39" t="s">
        <v>61</v>
      </c>
      <c r="D868" s="39" t="s">
        <v>69</v>
      </c>
      <c r="E868" s="41">
        <v>8188.04</v>
      </c>
      <c r="F868" s="39">
        <v>19</v>
      </c>
      <c r="G868" s="39" t="s">
        <v>65</v>
      </c>
      <c r="H868" s="41">
        <v>4055.51</v>
      </c>
      <c r="I868" s="41">
        <v>4258.84</v>
      </c>
      <c r="J868" s="39" t="s">
        <v>137</v>
      </c>
      <c r="K868" s="42">
        <v>0.03</v>
      </c>
      <c r="L868" s="39" t="s">
        <v>73</v>
      </c>
      <c r="M868" s="39" t="s">
        <v>138</v>
      </c>
      <c r="N868" s="39" t="s">
        <v>150</v>
      </c>
      <c r="O868" s="43">
        <f t="shared" si="273"/>
        <v>80917.960000000006</v>
      </c>
      <c r="P868" s="43">
        <f t="shared" si="274"/>
        <v>78490.42</v>
      </c>
      <c r="Q868" s="43">
        <f t="shared" si="275"/>
        <v>77054.69</v>
      </c>
      <c r="R868" s="43">
        <f t="shared" si="276"/>
        <v>1435.7299999999959</v>
      </c>
      <c r="S868" s="44">
        <f t="shared" si="277"/>
        <v>1.8291786437121829E-2</v>
      </c>
      <c r="T868" s="39" t="str">
        <f t="shared" si="278"/>
        <v>OK</v>
      </c>
      <c r="U868" s="39" t="str">
        <f t="shared" si="279"/>
        <v>0-9%</v>
      </c>
      <c r="V868" s="39" t="str">
        <f>IF(E868&gt;=Analysis!$B$4,"High",IF(E868&gt;=Analysis!$B$5,"Mid","Low"))</f>
        <v>High</v>
      </c>
      <c r="W868" s="39" t="str">
        <f t="shared" si="280"/>
        <v>2023-07</v>
      </c>
      <c r="X868" s="40">
        <f t="shared" si="281"/>
        <v>45138</v>
      </c>
      <c r="Y868" s="39" t="str">
        <f t="shared" si="282"/>
        <v>2023-Q3</v>
      </c>
      <c r="Z868" s="39" t="str">
        <f t="shared" si="283"/>
        <v>Mon</v>
      </c>
      <c r="AA868" s="39">
        <f t="shared" si="284"/>
        <v>1</v>
      </c>
      <c r="AB868" s="39">
        <f t="shared" si="285"/>
        <v>31</v>
      </c>
      <c r="AC868" s="39" t="str">
        <f t="shared" si="286"/>
        <v>Weekday</v>
      </c>
      <c r="AD868" s="39">
        <f t="shared" ca="1" si="287"/>
        <v>1188</v>
      </c>
      <c r="AE868" s="39">
        <f t="shared" ca="1" si="288"/>
        <v>39</v>
      </c>
      <c r="AF868" s="39" t="str">
        <f t="shared" si="289"/>
        <v>ALI</v>
      </c>
      <c r="AG868" s="39" t="str">
        <f t="shared" si="290"/>
        <v>SO-230724-0867</v>
      </c>
      <c r="AH868" s="39" t="str">
        <f>IF(AND(OR(Filter!$B$4="All",D868=Filter!$B$4),OR(Filter!$B$5="All",M868=Filter!$B$5),E868&gt;=Filter!$B$6),MAX(AH$1:AH867)+1,"")</f>
        <v/>
      </c>
      <c r="AI868" s="39">
        <f t="shared" si="291"/>
        <v>19</v>
      </c>
      <c r="AJ868" s="42">
        <f t="shared" si="292"/>
        <v>0.03</v>
      </c>
      <c r="AK868" s="41">
        <f t="shared" si="293"/>
        <v>4258.84</v>
      </c>
      <c r="AL868" s="39">
        <f>RANK(E868,$E$2:$E$1001,0)+COUNTIF($E$2:E868,E868)-1</f>
        <v>172</v>
      </c>
    </row>
    <row r="869" spans="1:38" x14ac:dyDescent="0.2">
      <c r="A869" s="39">
        <v>1082</v>
      </c>
      <c r="B869" s="40">
        <v>45135</v>
      </c>
      <c r="C869" s="39" t="s">
        <v>61</v>
      </c>
      <c r="D869" s="39" t="s">
        <v>59</v>
      </c>
      <c r="E869" s="41">
        <v>8540.2199999999993</v>
      </c>
      <c r="F869" s="39">
        <v>48</v>
      </c>
      <c r="G869" s="39" t="s">
        <v>70</v>
      </c>
      <c r="H869" s="41">
        <v>3380.52</v>
      </c>
      <c r="I869" s="41">
        <v>3778.94</v>
      </c>
      <c r="J869" s="39" t="s">
        <v>137</v>
      </c>
      <c r="K869" s="42">
        <v>0.3</v>
      </c>
      <c r="L869" s="39" t="s">
        <v>63</v>
      </c>
      <c r="M869" s="39" t="s">
        <v>138</v>
      </c>
      <c r="N869" s="39" t="s">
        <v>159</v>
      </c>
      <c r="O869" s="43">
        <f t="shared" si="273"/>
        <v>181389.12</v>
      </c>
      <c r="P869" s="43">
        <f t="shared" si="274"/>
        <v>126972.38</v>
      </c>
      <c r="Q869" s="43">
        <f t="shared" si="275"/>
        <v>162264.95999999999</v>
      </c>
      <c r="R869" s="43">
        <f t="shared" si="276"/>
        <v>-35292.579999999987</v>
      </c>
      <c r="S869" s="44">
        <f t="shared" si="277"/>
        <v>-0.2779547804018479</v>
      </c>
      <c r="T869" s="39" t="str">
        <f t="shared" si="278"/>
        <v>Loss</v>
      </c>
      <c r="U869" s="39" t="str">
        <f t="shared" si="279"/>
        <v>20%+</v>
      </c>
      <c r="V869" s="39" t="str">
        <f>IF(E869&gt;=Analysis!$B$4,"High",IF(E869&gt;=Analysis!$B$5,"Mid","Low"))</f>
        <v>High</v>
      </c>
      <c r="W869" s="39" t="str">
        <f t="shared" si="280"/>
        <v>2023-07</v>
      </c>
      <c r="X869" s="40">
        <f t="shared" si="281"/>
        <v>45138</v>
      </c>
      <c r="Y869" s="39" t="str">
        <f t="shared" si="282"/>
        <v>2023-Q3</v>
      </c>
      <c r="Z869" s="39" t="str">
        <f t="shared" si="283"/>
        <v>Fri</v>
      </c>
      <c r="AA869" s="39">
        <f t="shared" si="284"/>
        <v>5</v>
      </c>
      <c r="AB869" s="39">
        <f t="shared" si="285"/>
        <v>31</v>
      </c>
      <c r="AC869" s="39" t="str">
        <f t="shared" si="286"/>
        <v>Weekday</v>
      </c>
      <c r="AD869" s="39">
        <f t="shared" ca="1" si="287"/>
        <v>1184</v>
      </c>
      <c r="AE869" s="39">
        <f t="shared" ca="1" si="288"/>
        <v>38</v>
      </c>
      <c r="AF869" s="39" t="str">
        <f t="shared" si="289"/>
        <v>ALI</v>
      </c>
      <c r="AG869" s="39" t="str">
        <f t="shared" si="290"/>
        <v>EO-230728-0868</v>
      </c>
      <c r="AH869" s="39" t="str">
        <f>IF(AND(OR(Filter!$B$4="All",D869=Filter!$B$4),OR(Filter!$B$5="All",M869=Filter!$B$5),E869&gt;=Filter!$B$6),MAX(AH$1:AH868)+1,"")</f>
        <v/>
      </c>
      <c r="AI869" s="39">
        <f t="shared" si="291"/>
        <v>48</v>
      </c>
      <c r="AJ869" s="42">
        <f t="shared" si="292"/>
        <v>0.3</v>
      </c>
      <c r="AK869" s="41">
        <f t="shared" si="293"/>
        <v>3778.94</v>
      </c>
      <c r="AL869" s="39">
        <f>RANK(E869,$E$2:$E$1001,0)+COUNTIF($E$2:E869,E869)-1</f>
        <v>138</v>
      </c>
    </row>
    <row r="870" spans="1:38" x14ac:dyDescent="0.2">
      <c r="A870" s="39">
        <v>1030</v>
      </c>
      <c r="B870" s="40">
        <v>44998</v>
      </c>
      <c r="C870" s="39" t="s">
        <v>61</v>
      </c>
      <c r="D870" s="39" t="s">
        <v>64</v>
      </c>
      <c r="E870" s="41">
        <v>9385.86</v>
      </c>
      <c r="F870" s="39">
        <v>39</v>
      </c>
      <c r="G870" s="39" t="s">
        <v>70</v>
      </c>
      <c r="H870" s="41">
        <v>2511.2800000000002</v>
      </c>
      <c r="I870" s="41">
        <v>2658.06</v>
      </c>
      <c r="J870" s="39" t="s">
        <v>143</v>
      </c>
      <c r="K870" s="42">
        <v>0.19</v>
      </c>
      <c r="L870" s="39" t="s">
        <v>73</v>
      </c>
      <c r="M870" s="39" t="s">
        <v>140</v>
      </c>
      <c r="N870" s="39" t="s">
        <v>156</v>
      </c>
      <c r="O870" s="43">
        <f t="shared" si="273"/>
        <v>103664.34</v>
      </c>
      <c r="P870" s="43">
        <f t="shared" si="274"/>
        <v>83968.12</v>
      </c>
      <c r="Q870" s="43">
        <f t="shared" si="275"/>
        <v>97939.92</v>
      </c>
      <c r="R870" s="43">
        <f t="shared" si="276"/>
        <v>-13971.800000000003</v>
      </c>
      <c r="S870" s="44">
        <f t="shared" si="277"/>
        <v>-0.16639410290476914</v>
      </c>
      <c r="T870" s="39" t="str">
        <f t="shared" si="278"/>
        <v>Loss</v>
      </c>
      <c r="U870" s="39" t="str">
        <f t="shared" si="279"/>
        <v>10-19%</v>
      </c>
      <c r="V870" s="39" t="str">
        <f>IF(E870&gt;=Analysis!$B$4,"High",IF(E870&gt;=Analysis!$B$5,"Mid","Low"))</f>
        <v>High</v>
      </c>
      <c r="W870" s="39" t="str">
        <f t="shared" si="280"/>
        <v>2023-03</v>
      </c>
      <c r="X870" s="40">
        <f t="shared" si="281"/>
        <v>45016</v>
      </c>
      <c r="Y870" s="39" t="str">
        <f t="shared" si="282"/>
        <v>2023-Q1</v>
      </c>
      <c r="Z870" s="39" t="str">
        <f t="shared" si="283"/>
        <v>Mon</v>
      </c>
      <c r="AA870" s="39">
        <f t="shared" si="284"/>
        <v>1</v>
      </c>
      <c r="AB870" s="39">
        <f t="shared" si="285"/>
        <v>12</v>
      </c>
      <c r="AC870" s="39" t="str">
        <f t="shared" si="286"/>
        <v>Weekday</v>
      </c>
      <c r="AD870" s="39">
        <f t="shared" ca="1" si="287"/>
        <v>1321</v>
      </c>
      <c r="AE870" s="39">
        <f t="shared" ca="1" si="288"/>
        <v>43</v>
      </c>
      <c r="AF870" s="39" t="str">
        <f t="shared" si="289"/>
        <v>ALI</v>
      </c>
      <c r="AG870" s="39" t="str">
        <f t="shared" si="290"/>
        <v>NR-230313-0869</v>
      </c>
      <c r="AH870" s="39">
        <f>IF(AND(OR(Filter!$B$4="All",D870=Filter!$B$4),OR(Filter!$B$5="All",M870=Filter!$B$5),E870&gt;=Filter!$B$6),MAX(AH$1:AH869)+1,"")</f>
        <v>82</v>
      </c>
      <c r="AI870" s="39">
        <f t="shared" si="291"/>
        <v>39</v>
      </c>
      <c r="AJ870" s="42">
        <f t="shared" si="292"/>
        <v>0.19</v>
      </c>
      <c r="AK870" s="41">
        <f t="shared" si="293"/>
        <v>2658.06</v>
      </c>
      <c r="AL870" s="39">
        <f>RANK(E870,$E$2:$E$1001,0)+COUNTIF($E$2:E870,E870)-1</f>
        <v>64</v>
      </c>
    </row>
    <row r="871" spans="1:38" x14ac:dyDescent="0.2">
      <c r="A871" s="39">
        <v>1079</v>
      </c>
      <c r="B871" s="40">
        <v>45203</v>
      </c>
      <c r="C871" s="39" t="s">
        <v>79</v>
      </c>
      <c r="D871" s="39" t="s">
        <v>59</v>
      </c>
      <c r="E871" s="41">
        <v>942.52</v>
      </c>
      <c r="F871" s="39">
        <v>12</v>
      </c>
      <c r="G871" s="39" t="s">
        <v>70</v>
      </c>
      <c r="H871" s="41">
        <v>4754.0200000000004</v>
      </c>
      <c r="I871" s="41">
        <v>5080.74</v>
      </c>
      <c r="J871" s="39" t="s">
        <v>143</v>
      </c>
      <c r="K871" s="42">
        <v>0.2</v>
      </c>
      <c r="L871" s="39" t="s">
        <v>68</v>
      </c>
      <c r="M871" s="39" t="s">
        <v>138</v>
      </c>
      <c r="N871" s="39" t="s">
        <v>155</v>
      </c>
      <c r="O871" s="43">
        <f t="shared" si="273"/>
        <v>60968.88</v>
      </c>
      <c r="P871" s="43">
        <f t="shared" si="274"/>
        <v>48775.1</v>
      </c>
      <c r="Q871" s="43">
        <f t="shared" si="275"/>
        <v>57048.24</v>
      </c>
      <c r="R871" s="43">
        <f t="shared" si="276"/>
        <v>-8273.14</v>
      </c>
      <c r="S871" s="44">
        <f t="shared" si="277"/>
        <v>-0.1696181043196221</v>
      </c>
      <c r="T871" s="39" t="str">
        <f t="shared" si="278"/>
        <v>Loss</v>
      </c>
      <c r="U871" s="39" t="str">
        <f t="shared" si="279"/>
        <v>20%+</v>
      </c>
      <c r="V871" s="39" t="str">
        <f>IF(E871&gt;=Analysis!$B$4,"High",IF(E871&gt;=Analysis!$B$5,"Mid","Low"))</f>
        <v>Low</v>
      </c>
      <c r="W871" s="39" t="str">
        <f t="shared" si="280"/>
        <v>2023-10</v>
      </c>
      <c r="X871" s="40">
        <f t="shared" si="281"/>
        <v>45230</v>
      </c>
      <c r="Y871" s="39" t="str">
        <f t="shared" si="282"/>
        <v>2023-Q4</v>
      </c>
      <c r="Z871" s="39" t="str">
        <f t="shared" si="283"/>
        <v>Wed</v>
      </c>
      <c r="AA871" s="39">
        <f t="shared" si="284"/>
        <v>3</v>
      </c>
      <c r="AB871" s="39">
        <f t="shared" si="285"/>
        <v>41</v>
      </c>
      <c r="AC871" s="39" t="str">
        <f t="shared" si="286"/>
        <v>Weekday</v>
      </c>
      <c r="AD871" s="39">
        <f t="shared" ca="1" si="287"/>
        <v>1116</v>
      </c>
      <c r="AE871" s="39">
        <f t="shared" ca="1" si="288"/>
        <v>36</v>
      </c>
      <c r="AF871" s="39" t="str">
        <f t="shared" si="289"/>
        <v>EVE</v>
      </c>
      <c r="AG871" s="39" t="str">
        <f t="shared" si="290"/>
        <v>EO-231004-0870</v>
      </c>
      <c r="AH871" s="39" t="str">
        <f>IF(AND(OR(Filter!$B$4="All",D871=Filter!$B$4),OR(Filter!$B$5="All",M871=Filter!$B$5),E871&gt;=Filter!$B$6),MAX(AH$1:AH870)+1,"")</f>
        <v/>
      </c>
      <c r="AI871" s="39">
        <f t="shared" si="291"/>
        <v>12</v>
      </c>
      <c r="AJ871" s="42">
        <f t="shared" si="292"/>
        <v>0.2</v>
      </c>
      <c r="AK871" s="41">
        <f t="shared" si="293"/>
        <v>5080.74</v>
      </c>
      <c r="AL871" s="39">
        <f>RANK(E871,$E$2:$E$1001,0)+COUNTIF($E$2:E871,E871)-1</f>
        <v>907</v>
      </c>
    </row>
    <row r="872" spans="1:38" x14ac:dyDescent="0.2">
      <c r="A872" s="39">
        <v>1091</v>
      </c>
      <c r="B872" s="40">
        <v>45200</v>
      </c>
      <c r="C872" s="39" t="s">
        <v>79</v>
      </c>
      <c r="D872" s="39" t="s">
        <v>59</v>
      </c>
      <c r="E872" s="41">
        <v>3917.42</v>
      </c>
      <c r="F872" s="39">
        <v>15</v>
      </c>
      <c r="G872" s="39" t="s">
        <v>65</v>
      </c>
      <c r="H872" s="41">
        <v>1534.7</v>
      </c>
      <c r="I872" s="41">
        <v>1972.62</v>
      </c>
      <c r="J872" s="39" t="s">
        <v>137</v>
      </c>
      <c r="K872" s="42">
        <v>0.06</v>
      </c>
      <c r="L872" s="39" t="s">
        <v>73</v>
      </c>
      <c r="M872" s="39" t="s">
        <v>140</v>
      </c>
      <c r="N872" s="39" t="s">
        <v>155</v>
      </c>
      <c r="O872" s="43">
        <f t="shared" si="273"/>
        <v>29589.3</v>
      </c>
      <c r="P872" s="43">
        <f t="shared" si="274"/>
        <v>27813.94</v>
      </c>
      <c r="Q872" s="43">
        <f t="shared" si="275"/>
        <v>23020.5</v>
      </c>
      <c r="R872" s="43">
        <f t="shared" si="276"/>
        <v>4793.4399999999987</v>
      </c>
      <c r="S872" s="44">
        <f t="shared" si="277"/>
        <v>0.17233948156931378</v>
      </c>
      <c r="T872" s="39" t="str">
        <f t="shared" si="278"/>
        <v>OK</v>
      </c>
      <c r="U872" s="39" t="str">
        <f t="shared" si="279"/>
        <v>0-9%</v>
      </c>
      <c r="V872" s="39" t="str">
        <f>IF(E872&gt;=Analysis!$B$4,"High",IF(E872&gt;=Analysis!$B$5,"Mid","Low"))</f>
        <v>Mid</v>
      </c>
      <c r="W872" s="39" t="str">
        <f t="shared" si="280"/>
        <v>2023-10</v>
      </c>
      <c r="X872" s="40">
        <f t="shared" si="281"/>
        <v>45230</v>
      </c>
      <c r="Y872" s="39" t="str">
        <f t="shared" si="282"/>
        <v>2023-Q4</v>
      </c>
      <c r="Z872" s="39" t="str">
        <f t="shared" si="283"/>
        <v>Sun</v>
      </c>
      <c r="AA872" s="39">
        <f t="shared" si="284"/>
        <v>7</v>
      </c>
      <c r="AB872" s="39">
        <f t="shared" si="285"/>
        <v>40</v>
      </c>
      <c r="AC872" s="39" t="str">
        <f t="shared" si="286"/>
        <v>Weekend</v>
      </c>
      <c r="AD872" s="39">
        <f t="shared" ca="1" si="287"/>
        <v>1119</v>
      </c>
      <c r="AE872" s="39">
        <f t="shared" ca="1" si="288"/>
        <v>36</v>
      </c>
      <c r="AF872" s="39" t="str">
        <f t="shared" si="289"/>
        <v>EVE</v>
      </c>
      <c r="AG872" s="39" t="str">
        <f t="shared" si="290"/>
        <v>ER-231001-0871</v>
      </c>
      <c r="AH872" s="39" t="str">
        <f>IF(AND(OR(Filter!$B$4="All",D872=Filter!$B$4),OR(Filter!$B$5="All",M872=Filter!$B$5),E872&gt;=Filter!$B$6),MAX(AH$1:AH871)+1,"")</f>
        <v/>
      </c>
      <c r="AI872" s="39">
        <f t="shared" si="291"/>
        <v>15</v>
      </c>
      <c r="AJ872" s="42">
        <f t="shared" si="292"/>
        <v>0.06</v>
      </c>
      <c r="AK872" s="41">
        <f t="shared" si="293"/>
        <v>1972.62</v>
      </c>
      <c r="AL872" s="39">
        <f>RANK(E872,$E$2:$E$1001,0)+COUNTIF($E$2:E872,E872)-1</f>
        <v>606</v>
      </c>
    </row>
    <row r="873" spans="1:38" x14ac:dyDescent="0.2">
      <c r="A873" s="39">
        <v>1051</v>
      </c>
      <c r="B873" s="40">
        <v>45246</v>
      </c>
      <c r="C873" s="39" t="s">
        <v>66</v>
      </c>
      <c r="D873" s="39" t="s">
        <v>74</v>
      </c>
      <c r="E873" s="41">
        <v>803.25</v>
      </c>
      <c r="F873" s="39">
        <v>31</v>
      </c>
      <c r="G873" s="39" t="s">
        <v>75</v>
      </c>
      <c r="H873" s="41">
        <v>144.88</v>
      </c>
      <c r="I873" s="41">
        <v>175.29</v>
      </c>
      <c r="J873" s="39" t="s">
        <v>143</v>
      </c>
      <c r="K873" s="42">
        <v>7.0000000000000007E-2</v>
      </c>
      <c r="L873" s="39" t="s">
        <v>63</v>
      </c>
      <c r="M873" s="39" t="s">
        <v>138</v>
      </c>
      <c r="N873" s="39" t="s">
        <v>141</v>
      </c>
      <c r="O873" s="43">
        <f t="shared" si="273"/>
        <v>5433.99</v>
      </c>
      <c r="P873" s="43">
        <f t="shared" si="274"/>
        <v>5053.6099999999997</v>
      </c>
      <c r="Q873" s="43">
        <f t="shared" si="275"/>
        <v>4491.28</v>
      </c>
      <c r="R873" s="43">
        <f t="shared" si="276"/>
        <v>562.32999999999993</v>
      </c>
      <c r="S873" s="44">
        <f t="shared" si="277"/>
        <v>0.11127293162709428</v>
      </c>
      <c r="T873" s="39" t="str">
        <f t="shared" si="278"/>
        <v>OK</v>
      </c>
      <c r="U873" s="39" t="str">
        <f t="shared" si="279"/>
        <v>0-9%</v>
      </c>
      <c r="V873" s="39" t="str">
        <f>IF(E873&gt;=Analysis!$B$4,"High",IF(E873&gt;=Analysis!$B$5,"Mid","Low"))</f>
        <v>Low</v>
      </c>
      <c r="W873" s="39" t="str">
        <f t="shared" si="280"/>
        <v>2023-11</v>
      </c>
      <c r="X873" s="40">
        <f t="shared" si="281"/>
        <v>45260</v>
      </c>
      <c r="Y873" s="39" t="str">
        <f t="shared" si="282"/>
        <v>2023-Q4</v>
      </c>
      <c r="Z873" s="39" t="str">
        <f t="shared" si="283"/>
        <v>Thu</v>
      </c>
      <c r="AA873" s="39">
        <f t="shared" si="284"/>
        <v>4</v>
      </c>
      <c r="AB873" s="39">
        <f t="shared" si="285"/>
        <v>47</v>
      </c>
      <c r="AC873" s="39" t="str">
        <f t="shared" si="286"/>
        <v>Weekday</v>
      </c>
      <c r="AD873" s="39">
        <f t="shared" ca="1" si="287"/>
        <v>1073</v>
      </c>
      <c r="AE873" s="39">
        <f t="shared" ca="1" si="288"/>
        <v>35</v>
      </c>
      <c r="AF873" s="39" t="str">
        <f t="shared" si="289"/>
        <v>BOB</v>
      </c>
      <c r="AG873" s="39" t="str">
        <f t="shared" si="290"/>
        <v>WO-231116-0872</v>
      </c>
      <c r="AH873" s="39" t="str">
        <f>IF(AND(OR(Filter!$B$4="All",D873=Filter!$B$4),OR(Filter!$B$5="All",M873=Filter!$B$5),E873&gt;=Filter!$B$6),MAX(AH$1:AH872)+1,"")</f>
        <v/>
      </c>
      <c r="AI873" s="39">
        <f t="shared" si="291"/>
        <v>31</v>
      </c>
      <c r="AJ873" s="42">
        <f t="shared" si="292"/>
        <v>7.0000000000000007E-2</v>
      </c>
      <c r="AK873" s="41">
        <f t="shared" si="293"/>
        <v>175.29</v>
      </c>
      <c r="AL873" s="39">
        <f>RANK(E873,$E$2:$E$1001,0)+COUNTIF($E$2:E873,E873)-1</f>
        <v>923</v>
      </c>
    </row>
    <row r="874" spans="1:38" x14ac:dyDescent="0.2">
      <c r="A874" s="39">
        <v>1063</v>
      </c>
      <c r="B874" s="40">
        <v>45264</v>
      </c>
      <c r="C874" s="39" t="s">
        <v>76</v>
      </c>
      <c r="D874" s="39" t="s">
        <v>69</v>
      </c>
      <c r="E874" s="41">
        <v>2186.85</v>
      </c>
      <c r="F874" s="39">
        <v>14</v>
      </c>
      <c r="G874" s="39" t="s">
        <v>60</v>
      </c>
      <c r="H874" s="41">
        <v>2188.35</v>
      </c>
      <c r="I874" s="41">
        <v>2605.36</v>
      </c>
      <c r="J874" s="39" t="s">
        <v>137</v>
      </c>
      <c r="K874" s="42">
        <v>0.2</v>
      </c>
      <c r="L874" s="39" t="s">
        <v>73</v>
      </c>
      <c r="M874" s="39" t="s">
        <v>140</v>
      </c>
      <c r="N874" s="39" t="s">
        <v>142</v>
      </c>
      <c r="O874" s="43">
        <f t="shared" si="273"/>
        <v>36475.040000000001</v>
      </c>
      <c r="P874" s="43">
        <f t="shared" si="274"/>
        <v>29180.03</v>
      </c>
      <c r="Q874" s="43">
        <f t="shared" si="275"/>
        <v>30636.9</v>
      </c>
      <c r="R874" s="43">
        <f t="shared" si="276"/>
        <v>-1456.8700000000026</v>
      </c>
      <c r="S874" s="44">
        <f t="shared" si="277"/>
        <v>-4.9926953467834087E-2</v>
      </c>
      <c r="T874" s="39" t="str">
        <f t="shared" si="278"/>
        <v>Loss</v>
      </c>
      <c r="U874" s="39" t="str">
        <f t="shared" si="279"/>
        <v>20%+</v>
      </c>
      <c r="V874" s="39" t="str">
        <f>IF(E874&gt;=Analysis!$B$4,"High",IF(E874&gt;=Analysis!$B$5,"Mid","Low"))</f>
        <v>Low</v>
      </c>
      <c r="W874" s="39" t="str">
        <f t="shared" si="280"/>
        <v>2023-12</v>
      </c>
      <c r="X874" s="40">
        <f t="shared" si="281"/>
        <v>45291</v>
      </c>
      <c r="Y874" s="39" t="str">
        <f t="shared" si="282"/>
        <v>2023-Q4</v>
      </c>
      <c r="Z874" s="39" t="str">
        <f t="shared" si="283"/>
        <v>Mon</v>
      </c>
      <c r="AA874" s="39">
        <f t="shared" si="284"/>
        <v>1</v>
      </c>
      <c r="AB874" s="39">
        <f t="shared" si="285"/>
        <v>50</v>
      </c>
      <c r="AC874" s="39" t="str">
        <f t="shared" si="286"/>
        <v>Weekday</v>
      </c>
      <c r="AD874" s="39">
        <f t="shared" ca="1" si="287"/>
        <v>1055</v>
      </c>
      <c r="AE874" s="39">
        <f t="shared" ca="1" si="288"/>
        <v>34</v>
      </c>
      <c r="AF874" s="39" t="str">
        <f t="shared" si="289"/>
        <v>DAV</v>
      </c>
      <c r="AG874" s="39" t="str">
        <f t="shared" si="290"/>
        <v>SR-231204-0873</v>
      </c>
      <c r="AH874" s="39" t="str">
        <f>IF(AND(OR(Filter!$B$4="All",D874=Filter!$B$4),OR(Filter!$B$5="All",M874=Filter!$B$5),E874&gt;=Filter!$B$6),MAX(AH$1:AH873)+1,"")</f>
        <v/>
      </c>
      <c r="AI874" s="39">
        <f t="shared" si="291"/>
        <v>14</v>
      </c>
      <c r="AJ874" s="42">
        <f t="shared" si="292"/>
        <v>0.2</v>
      </c>
      <c r="AK874" s="41">
        <f t="shared" si="293"/>
        <v>2605.36</v>
      </c>
      <c r="AL874" s="39">
        <f>RANK(E874,$E$2:$E$1001,0)+COUNTIF($E$2:E874,E874)-1</f>
        <v>793</v>
      </c>
    </row>
    <row r="875" spans="1:38" x14ac:dyDescent="0.2">
      <c r="A875" s="39">
        <v>1098</v>
      </c>
      <c r="B875" s="40">
        <v>45292</v>
      </c>
      <c r="C875" s="39" t="s">
        <v>66</v>
      </c>
      <c r="D875" s="39" t="s">
        <v>69</v>
      </c>
      <c r="E875" s="41">
        <v>2370.7199999999998</v>
      </c>
      <c r="F875" s="39">
        <v>11</v>
      </c>
      <c r="G875" s="39" t="s">
        <v>60</v>
      </c>
      <c r="H875" s="41">
        <v>213.41</v>
      </c>
      <c r="I875" s="41">
        <v>503.36</v>
      </c>
      <c r="J875" s="39" t="s">
        <v>137</v>
      </c>
      <c r="K875" s="42">
        <v>0.27</v>
      </c>
      <c r="L875" s="39" t="s">
        <v>63</v>
      </c>
      <c r="M875" s="39" t="s">
        <v>138</v>
      </c>
      <c r="N875" s="39" t="s">
        <v>144</v>
      </c>
      <c r="O875" s="43">
        <f t="shared" si="273"/>
        <v>5536.96</v>
      </c>
      <c r="P875" s="43">
        <f t="shared" si="274"/>
        <v>4041.98</v>
      </c>
      <c r="Q875" s="43">
        <f t="shared" si="275"/>
        <v>2347.5100000000002</v>
      </c>
      <c r="R875" s="43">
        <f t="shared" si="276"/>
        <v>1694.4699999999998</v>
      </c>
      <c r="S875" s="44">
        <f t="shared" si="277"/>
        <v>0.41921780909356299</v>
      </c>
      <c r="T875" s="39" t="str">
        <f t="shared" si="278"/>
        <v>OK</v>
      </c>
      <c r="U875" s="39" t="str">
        <f t="shared" si="279"/>
        <v>20%+</v>
      </c>
      <c r="V875" s="39" t="str">
        <f>IF(E875&gt;=Analysis!$B$4,"High",IF(E875&gt;=Analysis!$B$5,"Mid","Low"))</f>
        <v>Low</v>
      </c>
      <c r="W875" s="39" t="str">
        <f t="shared" si="280"/>
        <v>2024-01</v>
      </c>
      <c r="X875" s="40">
        <f t="shared" si="281"/>
        <v>45322</v>
      </c>
      <c r="Y875" s="39" t="str">
        <f t="shared" si="282"/>
        <v>2024-Q1</v>
      </c>
      <c r="Z875" s="39" t="str">
        <f t="shared" si="283"/>
        <v>Mon</v>
      </c>
      <c r="AA875" s="39">
        <f t="shared" si="284"/>
        <v>1</v>
      </c>
      <c r="AB875" s="39">
        <f t="shared" si="285"/>
        <v>1</v>
      </c>
      <c r="AC875" s="39" t="str">
        <f t="shared" si="286"/>
        <v>Weekday</v>
      </c>
      <c r="AD875" s="39">
        <f t="shared" ca="1" si="287"/>
        <v>1027</v>
      </c>
      <c r="AE875" s="39">
        <f t="shared" ca="1" si="288"/>
        <v>33</v>
      </c>
      <c r="AF875" s="39" t="str">
        <f t="shared" si="289"/>
        <v>BOB</v>
      </c>
      <c r="AG875" s="39" t="str">
        <f t="shared" si="290"/>
        <v>SO-240101-0874</v>
      </c>
      <c r="AH875" s="39" t="str">
        <f>IF(AND(OR(Filter!$B$4="All",D875=Filter!$B$4),OR(Filter!$B$5="All",M875=Filter!$B$5),E875&gt;=Filter!$B$6),MAX(AH$1:AH874)+1,"")</f>
        <v/>
      </c>
      <c r="AI875" s="39">
        <f t="shared" si="291"/>
        <v>11</v>
      </c>
      <c r="AJ875" s="42">
        <f t="shared" si="292"/>
        <v>0.27</v>
      </c>
      <c r="AK875" s="41">
        <f t="shared" si="293"/>
        <v>503.36</v>
      </c>
      <c r="AL875" s="39">
        <f>RANK(E875,$E$2:$E$1001,0)+COUNTIF($E$2:E875,E875)-1</f>
        <v>770</v>
      </c>
    </row>
    <row r="876" spans="1:38" x14ac:dyDescent="0.2">
      <c r="A876" s="39">
        <v>1052</v>
      </c>
      <c r="B876" s="40">
        <v>45021</v>
      </c>
      <c r="C876" s="39" t="s">
        <v>71</v>
      </c>
      <c r="D876" s="39" t="s">
        <v>69</v>
      </c>
      <c r="E876" s="41">
        <v>4744.16</v>
      </c>
      <c r="F876" s="39">
        <v>26</v>
      </c>
      <c r="G876" s="39" t="s">
        <v>60</v>
      </c>
      <c r="H876" s="41">
        <v>4771.99</v>
      </c>
      <c r="I876" s="41">
        <v>5079.6499999999996</v>
      </c>
      <c r="J876" s="39" t="s">
        <v>143</v>
      </c>
      <c r="K876" s="42">
        <v>0.28999999999999998</v>
      </c>
      <c r="L876" s="39" t="s">
        <v>73</v>
      </c>
      <c r="M876" s="39" t="s">
        <v>138</v>
      </c>
      <c r="N876" s="39" t="s">
        <v>151</v>
      </c>
      <c r="O876" s="43">
        <f t="shared" si="273"/>
        <v>132070.9</v>
      </c>
      <c r="P876" s="43">
        <f t="shared" si="274"/>
        <v>93770.34</v>
      </c>
      <c r="Q876" s="43">
        <f t="shared" si="275"/>
        <v>124071.74</v>
      </c>
      <c r="R876" s="43">
        <f t="shared" si="276"/>
        <v>-30301.400000000009</v>
      </c>
      <c r="S876" s="44">
        <f t="shared" si="277"/>
        <v>-0.32314482383235477</v>
      </c>
      <c r="T876" s="39" t="str">
        <f t="shared" si="278"/>
        <v>Loss</v>
      </c>
      <c r="U876" s="39" t="str">
        <f t="shared" si="279"/>
        <v>20%+</v>
      </c>
      <c r="V876" s="39" t="str">
        <f>IF(E876&gt;=Analysis!$B$4,"High",IF(E876&gt;=Analysis!$B$5,"Mid","Low"))</f>
        <v>Mid</v>
      </c>
      <c r="W876" s="39" t="str">
        <f t="shared" si="280"/>
        <v>2023-04</v>
      </c>
      <c r="X876" s="40">
        <f t="shared" si="281"/>
        <v>45046</v>
      </c>
      <c r="Y876" s="39" t="str">
        <f t="shared" si="282"/>
        <v>2023-Q2</v>
      </c>
      <c r="Z876" s="39" t="str">
        <f t="shared" si="283"/>
        <v>Wed</v>
      </c>
      <c r="AA876" s="39">
        <f t="shared" si="284"/>
        <v>3</v>
      </c>
      <c r="AB876" s="39">
        <f t="shared" si="285"/>
        <v>15</v>
      </c>
      <c r="AC876" s="39" t="str">
        <f t="shared" si="286"/>
        <v>Weekday</v>
      </c>
      <c r="AD876" s="39">
        <f t="shared" ca="1" si="287"/>
        <v>1298</v>
      </c>
      <c r="AE876" s="39">
        <f t="shared" ca="1" si="288"/>
        <v>42</v>
      </c>
      <c r="AF876" s="39" t="str">
        <f t="shared" si="289"/>
        <v>CHA</v>
      </c>
      <c r="AG876" s="39" t="str">
        <f t="shared" si="290"/>
        <v>SO-230405-0875</v>
      </c>
      <c r="AH876" s="39" t="str">
        <f>IF(AND(OR(Filter!$B$4="All",D876=Filter!$B$4),OR(Filter!$B$5="All",M876=Filter!$B$5),E876&gt;=Filter!$B$6),MAX(AH$1:AH875)+1,"")</f>
        <v/>
      </c>
      <c r="AI876" s="39">
        <f t="shared" si="291"/>
        <v>26</v>
      </c>
      <c r="AJ876" s="42">
        <f t="shared" si="292"/>
        <v>0.28999999999999998</v>
      </c>
      <c r="AK876" s="41">
        <f t="shared" si="293"/>
        <v>5079.6499999999996</v>
      </c>
      <c r="AL876" s="39">
        <f>RANK(E876,$E$2:$E$1001,0)+COUNTIF($E$2:E876,E876)-1</f>
        <v>525</v>
      </c>
    </row>
    <row r="877" spans="1:38" x14ac:dyDescent="0.2">
      <c r="A877" s="39">
        <v>1038</v>
      </c>
      <c r="B877" s="40">
        <v>45092</v>
      </c>
      <c r="C877" s="39" t="s">
        <v>61</v>
      </c>
      <c r="D877" s="39" t="s">
        <v>74</v>
      </c>
      <c r="E877" s="41">
        <v>2758.77</v>
      </c>
      <c r="F877" s="39">
        <v>42</v>
      </c>
      <c r="G877" s="39" t="s">
        <v>70</v>
      </c>
      <c r="H877" s="41">
        <v>1089.0899999999999</v>
      </c>
      <c r="I877" s="41">
        <v>1355.44</v>
      </c>
      <c r="J877" s="39" t="s">
        <v>143</v>
      </c>
      <c r="K877" s="42">
        <v>0.06</v>
      </c>
      <c r="L877" s="39" t="s">
        <v>68</v>
      </c>
      <c r="M877" s="39" t="s">
        <v>140</v>
      </c>
      <c r="N877" s="39" t="s">
        <v>158</v>
      </c>
      <c r="O877" s="43">
        <f t="shared" si="273"/>
        <v>56928.480000000003</v>
      </c>
      <c r="P877" s="43">
        <f t="shared" si="274"/>
        <v>53512.77</v>
      </c>
      <c r="Q877" s="43">
        <f t="shared" si="275"/>
        <v>45741.78</v>
      </c>
      <c r="R877" s="43">
        <f t="shared" si="276"/>
        <v>7770.989999999998</v>
      </c>
      <c r="S877" s="44">
        <f t="shared" si="277"/>
        <v>0.1452174873399377</v>
      </c>
      <c r="T877" s="39" t="str">
        <f t="shared" si="278"/>
        <v>OK</v>
      </c>
      <c r="U877" s="39" t="str">
        <f t="shared" si="279"/>
        <v>0-9%</v>
      </c>
      <c r="V877" s="39" t="str">
        <f>IF(E877&gt;=Analysis!$B$4,"High",IF(E877&gt;=Analysis!$B$5,"Mid","Low"))</f>
        <v>Mid</v>
      </c>
      <c r="W877" s="39" t="str">
        <f t="shared" si="280"/>
        <v>2023-06</v>
      </c>
      <c r="X877" s="40">
        <f t="shared" si="281"/>
        <v>45107</v>
      </c>
      <c r="Y877" s="39" t="str">
        <f t="shared" si="282"/>
        <v>2023-Q2</v>
      </c>
      <c r="Z877" s="39" t="str">
        <f t="shared" si="283"/>
        <v>Thu</v>
      </c>
      <c r="AA877" s="39">
        <f t="shared" si="284"/>
        <v>4</v>
      </c>
      <c r="AB877" s="39">
        <f t="shared" si="285"/>
        <v>25</v>
      </c>
      <c r="AC877" s="39" t="str">
        <f t="shared" si="286"/>
        <v>Weekday</v>
      </c>
      <c r="AD877" s="39">
        <f t="shared" ca="1" si="287"/>
        <v>1227</v>
      </c>
      <c r="AE877" s="39">
        <f t="shared" ca="1" si="288"/>
        <v>40</v>
      </c>
      <c r="AF877" s="39" t="str">
        <f t="shared" si="289"/>
        <v>ALI</v>
      </c>
      <c r="AG877" s="39" t="str">
        <f t="shared" si="290"/>
        <v>WR-230615-0876</v>
      </c>
      <c r="AH877" s="39" t="str">
        <f>IF(AND(OR(Filter!$B$4="All",D877=Filter!$B$4),OR(Filter!$B$5="All",M877=Filter!$B$5),E877&gt;=Filter!$B$6),MAX(AH$1:AH876)+1,"")</f>
        <v/>
      </c>
      <c r="AI877" s="39">
        <f t="shared" si="291"/>
        <v>42</v>
      </c>
      <c r="AJ877" s="42">
        <f t="shared" si="292"/>
        <v>0.06</v>
      </c>
      <c r="AK877" s="41">
        <f t="shared" si="293"/>
        <v>1355.44</v>
      </c>
      <c r="AL877" s="39">
        <f>RANK(E877,$E$2:$E$1001,0)+COUNTIF($E$2:E877,E877)-1</f>
        <v>724</v>
      </c>
    </row>
    <row r="878" spans="1:38" x14ac:dyDescent="0.2">
      <c r="A878" s="39">
        <v>1097</v>
      </c>
      <c r="B878" s="40">
        <v>44958</v>
      </c>
      <c r="C878" s="39" t="s">
        <v>61</v>
      </c>
      <c r="D878" s="39" t="s">
        <v>74</v>
      </c>
      <c r="E878" s="41">
        <v>1099.68</v>
      </c>
      <c r="F878" s="39">
        <v>27</v>
      </c>
      <c r="G878" s="39" t="s">
        <v>65</v>
      </c>
      <c r="H878" s="41">
        <v>3955.19</v>
      </c>
      <c r="I878" s="41">
        <v>4393.68</v>
      </c>
      <c r="J878" s="39" t="s">
        <v>137</v>
      </c>
      <c r="K878" s="42">
        <v>0.04</v>
      </c>
      <c r="L878" s="39" t="s">
        <v>73</v>
      </c>
      <c r="M878" s="39" t="s">
        <v>138</v>
      </c>
      <c r="N878" s="39" t="s">
        <v>158</v>
      </c>
      <c r="O878" s="43">
        <f t="shared" si="273"/>
        <v>118629.36</v>
      </c>
      <c r="P878" s="43">
        <f t="shared" si="274"/>
        <v>113884.19</v>
      </c>
      <c r="Q878" s="43">
        <f t="shared" si="275"/>
        <v>106790.13</v>
      </c>
      <c r="R878" s="43">
        <f t="shared" si="276"/>
        <v>7094.0599999999977</v>
      </c>
      <c r="S878" s="44">
        <f t="shared" si="277"/>
        <v>6.2291877388775362E-2</v>
      </c>
      <c r="T878" s="39" t="str">
        <f t="shared" si="278"/>
        <v>OK</v>
      </c>
      <c r="U878" s="39" t="str">
        <f t="shared" si="279"/>
        <v>0-9%</v>
      </c>
      <c r="V878" s="39" t="str">
        <f>IF(E878&gt;=Analysis!$B$4,"High",IF(E878&gt;=Analysis!$B$5,"Mid","Low"))</f>
        <v>Low</v>
      </c>
      <c r="W878" s="39" t="str">
        <f t="shared" si="280"/>
        <v>2023-02</v>
      </c>
      <c r="X878" s="40">
        <f t="shared" si="281"/>
        <v>44985</v>
      </c>
      <c r="Y878" s="39" t="str">
        <f t="shared" si="282"/>
        <v>2023-Q1</v>
      </c>
      <c r="Z878" s="39" t="str">
        <f t="shared" si="283"/>
        <v>Wed</v>
      </c>
      <c r="AA878" s="39">
        <f t="shared" si="284"/>
        <v>3</v>
      </c>
      <c r="AB878" s="39">
        <f t="shared" si="285"/>
        <v>6</v>
      </c>
      <c r="AC878" s="39" t="str">
        <f t="shared" si="286"/>
        <v>Weekday</v>
      </c>
      <c r="AD878" s="39">
        <f t="shared" ca="1" si="287"/>
        <v>1361</v>
      </c>
      <c r="AE878" s="39">
        <f t="shared" ca="1" si="288"/>
        <v>44</v>
      </c>
      <c r="AF878" s="39" t="str">
        <f t="shared" si="289"/>
        <v>ALI</v>
      </c>
      <c r="AG878" s="39" t="str">
        <f t="shared" si="290"/>
        <v>WO-230201-0877</v>
      </c>
      <c r="AH878" s="39" t="str">
        <f>IF(AND(OR(Filter!$B$4="All",D878=Filter!$B$4),OR(Filter!$B$5="All",M878=Filter!$B$5),E878&gt;=Filter!$B$6),MAX(AH$1:AH877)+1,"")</f>
        <v/>
      </c>
      <c r="AI878" s="39">
        <f t="shared" si="291"/>
        <v>27</v>
      </c>
      <c r="AJ878" s="42">
        <f t="shared" si="292"/>
        <v>0.04</v>
      </c>
      <c r="AK878" s="41">
        <f t="shared" si="293"/>
        <v>4393.68</v>
      </c>
      <c r="AL878" s="39">
        <f>RANK(E878,$E$2:$E$1001,0)+COUNTIF($E$2:E878,E878)-1</f>
        <v>898</v>
      </c>
    </row>
    <row r="879" spans="1:38" x14ac:dyDescent="0.2">
      <c r="A879" s="39">
        <v>1088</v>
      </c>
      <c r="B879" s="40">
        <v>44937</v>
      </c>
      <c r="C879" s="39" t="s">
        <v>61</v>
      </c>
      <c r="D879" s="39" t="s">
        <v>69</v>
      </c>
      <c r="E879" s="41">
        <v>1758.16</v>
      </c>
      <c r="F879" s="39">
        <v>11</v>
      </c>
      <c r="G879" s="39" t="s">
        <v>70</v>
      </c>
      <c r="H879" s="41">
        <v>3884.13</v>
      </c>
      <c r="I879" s="41">
        <v>3915.41</v>
      </c>
      <c r="J879" s="39" t="s">
        <v>137</v>
      </c>
      <c r="K879" s="42">
        <v>0.02</v>
      </c>
      <c r="L879" s="39" t="s">
        <v>68</v>
      </c>
      <c r="M879" s="39" t="s">
        <v>138</v>
      </c>
      <c r="N879" s="39" t="s">
        <v>150</v>
      </c>
      <c r="O879" s="43">
        <f t="shared" si="273"/>
        <v>43069.51</v>
      </c>
      <c r="P879" s="43">
        <f t="shared" si="274"/>
        <v>42208.12</v>
      </c>
      <c r="Q879" s="43">
        <f t="shared" si="275"/>
        <v>42725.43</v>
      </c>
      <c r="R879" s="43">
        <f t="shared" si="276"/>
        <v>-517.30999999999767</v>
      </c>
      <c r="S879" s="44">
        <f t="shared" si="277"/>
        <v>-1.2256172508986366E-2</v>
      </c>
      <c r="T879" s="39" t="str">
        <f t="shared" si="278"/>
        <v>Loss</v>
      </c>
      <c r="U879" s="39" t="str">
        <f t="shared" si="279"/>
        <v>0-9%</v>
      </c>
      <c r="V879" s="39" t="str">
        <f>IF(E879&gt;=Analysis!$B$4,"High",IF(E879&gt;=Analysis!$B$5,"Mid","Low"))</f>
        <v>Low</v>
      </c>
      <c r="W879" s="39" t="str">
        <f t="shared" si="280"/>
        <v>2023-01</v>
      </c>
      <c r="X879" s="40">
        <f t="shared" si="281"/>
        <v>44957</v>
      </c>
      <c r="Y879" s="39" t="str">
        <f t="shared" si="282"/>
        <v>2023-Q1</v>
      </c>
      <c r="Z879" s="39" t="str">
        <f t="shared" si="283"/>
        <v>Wed</v>
      </c>
      <c r="AA879" s="39">
        <f t="shared" si="284"/>
        <v>3</v>
      </c>
      <c r="AB879" s="39">
        <f t="shared" si="285"/>
        <v>3</v>
      </c>
      <c r="AC879" s="39" t="str">
        <f t="shared" si="286"/>
        <v>Weekday</v>
      </c>
      <c r="AD879" s="39">
        <f t="shared" ca="1" si="287"/>
        <v>1382</v>
      </c>
      <c r="AE879" s="39">
        <f t="shared" ca="1" si="288"/>
        <v>45</v>
      </c>
      <c r="AF879" s="39" t="str">
        <f t="shared" si="289"/>
        <v>ALI</v>
      </c>
      <c r="AG879" s="39" t="str">
        <f t="shared" si="290"/>
        <v>SO-230111-0878</v>
      </c>
      <c r="AH879" s="39" t="str">
        <f>IF(AND(OR(Filter!$B$4="All",D879=Filter!$B$4),OR(Filter!$B$5="All",M879=Filter!$B$5),E879&gt;=Filter!$B$6),MAX(AH$1:AH878)+1,"")</f>
        <v/>
      </c>
      <c r="AI879" s="39">
        <f t="shared" si="291"/>
        <v>11</v>
      </c>
      <c r="AJ879" s="42">
        <f t="shared" si="292"/>
        <v>0.02</v>
      </c>
      <c r="AK879" s="41">
        <f t="shared" si="293"/>
        <v>3915.41</v>
      </c>
      <c r="AL879" s="39">
        <f>RANK(E879,$E$2:$E$1001,0)+COUNTIF($E$2:E879,E879)-1</f>
        <v>840</v>
      </c>
    </row>
    <row r="880" spans="1:38" x14ac:dyDescent="0.2">
      <c r="A880" s="39">
        <v>1079</v>
      </c>
      <c r="B880" s="40">
        <v>45227</v>
      </c>
      <c r="C880" s="39" t="s">
        <v>66</v>
      </c>
      <c r="D880" s="39" t="s">
        <v>74</v>
      </c>
      <c r="E880" s="41">
        <v>1558.03</v>
      </c>
      <c r="F880" s="39">
        <v>38</v>
      </c>
      <c r="G880" s="39" t="s">
        <v>75</v>
      </c>
      <c r="H880" s="41">
        <v>1127.76</v>
      </c>
      <c r="I880" s="41">
        <v>1265.6600000000001</v>
      </c>
      <c r="J880" s="39" t="s">
        <v>137</v>
      </c>
      <c r="K880" s="42">
        <v>0.26</v>
      </c>
      <c r="L880" s="39" t="s">
        <v>63</v>
      </c>
      <c r="M880" s="39" t="s">
        <v>140</v>
      </c>
      <c r="N880" s="39" t="s">
        <v>141</v>
      </c>
      <c r="O880" s="43">
        <f t="shared" si="273"/>
        <v>48095.08</v>
      </c>
      <c r="P880" s="43">
        <f t="shared" si="274"/>
        <v>35590.36</v>
      </c>
      <c r="Q880" s="43">
        <f t="shared" si="275"/>
        <v>42854.879999999997</v>
      </c>
      <c r="R880" s="43">
        <f t="shared" si="276"/>
        <v>-7264.5199999999968</v>
      </c>
      <c r="S880" s="44">
        <f t="shared" si="277"/>
        <v>-0.20411482210351334</v>
      </c>
      <c r="T880" s="39" t="str">
        <f t="shared" si="278"/>
        <v>Loss</v>
      </c>
      <c r="U880" s="39" t="str">
        <f t="shared" si="279"/>
        <v>20%+</v>
      </c>
      <c r="V880" s="39" t="str">
        <f>IF(E880&gt;=Analysis!$B$4,"High",IF(E880&gt;=Analysis!$B$5,"Mid","Low"))</f>
        <v>Low</v>
      </c>
      <c r="W880" s="39" t="str">
        <f t="shared" si="280"/>
        <v>2023-10</v>
      </c>
      <c r="X880" s="40">
        <f t="shared" si="281"/>
        <v>45230</v>
      </c>
      <c r="Y880" s="39" t="str">
        <f t="shared" si="282"/>
        <v>2023-Q4</v>
      </c>
      <c r="Z880" s="39" t="str">
        <f t="shared" si="283"/>
        <v>Sat</v>
      </c>
      <c r="AA880" s="39">
        <f t="shared" si="284"/>
        <v>6</v>
      </c>
      <c r="AB880" s="39">
        <f t="shared" si="285"/>
        <v>44</v>
      </c>
      <c r="AC880" s="39" t="str">
        <f t="shared" si="286"/>
        <v>Weekend</v>
      </c>
      <c r="AD880" s="39">
        <f t="shared" ca="1" si="287"/>
        <v>1092</v>
      </c>
      <c r="AE880" s="39">
        <f t="shared" ca="1" si="288"/>
        <v>35</v>
      </c>
      <c r="AF880" s="39" t="str">
        <f t="shared" si="289"/>
        <v>BOB</v>
      </c>
      <c r="AG880" s="39" t="str">
        <f t="shared" si="290"/>
        <v>WR-231028-0879</v>
      </c>
      <c r="AH880" s="39" t="str">
        <f>IF(AND(OR(Filter!$B$4="All",D880=Filter!$B$4),OR(Filter!$B$5="All",M880=Filter!$B$5),E880&gt;=Filter!$B$6),MAX(AH$1:AH879)+1,"")</f>
        <v/>
      </c>
      <c r="AI880" s="39">
        <f t="shared" si="291"/>
        <v>38</v>
      </c>
      <c r="AJ880" s="42">
        <f t="shared" si="292"/>
        <v>0.26</v>
      </c>
      <c r="AK880" s="41">
        <f t="shared" si="293"/>
        <v>1265.6600000000001</v>
      </c>
      <c r="AL880" s="39">
        <f>RANK(E880,$E$2:$E$1001,0)+COUNTIF($E$2:E880,E880)-1</f>
        <v>863</v>
      </c>
    </row>
    <row r="881" spans="1:38" x14ac:dyDescent="0.2">
      <c r="A881" s="39">
        <v>1030</v>
      </c>
      <c r="B881" s="40">
        <v>45143</v>
      </c>
      <c r="C881" s="39" t="s">
        <v>66</v>
      </c>
      <c r="D881" s="39" t="s">
        <v>74</v>
      </c>
      <c r="E881" s="41">
        <v>9733.4599999999991</v>
      </c>
      <c r="F881" s="39">
        <v>34</v>
      </c>
      <c r="G881" s="39" t="s">
        <v>65</v>
      </c>
      <c r="H881" s="41">
        <v>3125.07</v>
      </c>
      <c r="I881" s="41">
        <v>3564.19</v>
      </c>
      <c r="J881" s="39" t="s">
        <v>137</v>
      </c>
      <c r="K881" s="42">
        <v>0.09</v>
      </c>
      <c r="L881" s="39" t="s">
        <v>68</v>
      </c>
      <c r="M881" s="39" t="s">
        <v>138</v>
      </c>
      <c r="N881" s="39" t="s">
        <v>141</v>
      </c>
      <c r="O881" s="43">
        <f t="shared" si="273"/>
        <v>121182.46</v>
      </c>
      <c r="P881" s="43">
        <f t="shared" si="274"/>
        <v>110276.04</v>
      </c>
      <c r="Q881" s="43">
        <f t="shared" si="275"/>
        <v>106252.38</v>
      </c>
      <c r="R881" s="43">
        <f t="shared" si="276"/>
        <v>4023.6599999999889</v>
      </c>
      <c r="S881" s="44">
        <f t="shared" si="277"/>
        <v>3.6487164392192441E-2</v>
      </c>
      <c r="T881" s="39" t="str">
        <f t="shared" si="278"/>
        <v>OK</v>
      </c>
      <c r="U881" s="39" t="str">
        <f t="shared" si="279"/>
        <v>0-9%</v>
      </c>
      <c r="V881" s="39" t="str">
        <f>IF(E881&gt;=Analysis!$B$4,"High",IF(E881&gt;=Analysis!$B$5,"Mid","Low"))</f>
        <v>High</v>
      </c>
      <c r="W881" s="39" t="str">
        <f t="shared" si="280"/>
        <v>2023-08</v>
      </c>
      <c r="X881" s="40">
        <f t="shared" si="281"/>
        <v>45169</v>
      </c>
      <c r="Y881" s="39" t="str">
        <f t="shared" si="282"/>
        <v>2023-Q3</v>
      </c>
      <c r="Z881" s="39" t="str">
        <f t="shared" si="283"/>
        <v>Sat</v>
      </c>
      <c r="AA881" s="39">
        <f t="shared" si="284"/>
        <v>6</v>
      </c>
      <c r="AB881" s="39">
        <f t="shared" si="285"/>
        <v>32</v>
      </c>
      <c r="AC881" s="39" t="str">
        <f t="shared" si="286"/>
        <v>Weekend</v>
      </c>
      <c r="AD881" s="39">
        <f t="shared" ca="1" si="287"/>
        <v>1176</v>
      </c>
      <c r="AE881" s="39">
        <f t="shared" ca="1" si="288"/>
        <v>38</v>
      </c>
      <c r="AF881" s="39" t="str">
        <f t="shared" si="289"/>
        <v>BOB</v>
      </c>
      <c r="AG881" s="39" t="str">
        <f t="shared" si="290"/>
        <v>WO-230805-0880</v>
      </c>
      <c r="AH881" s="39">
        <f>IF(AND(OR(Filter!$B$4="All",D881=Filter!$B$4),OR(Filter!$B$5="All",M881=Filter!$B$5),E881&gt;=Filter!$B$6),MAX(AH$1:AH880)+1,"")</f>
        <v>83</v>
      </c>
      <c r="AI881" s="39">
        <f t="shared" si="291"/>
        <v>34</v>
      </c>
      <c r="AJ881" s="42">
        <f t="shared" si="292"/>
        <v>0.09</v>
      </c>
      <c r="AK881" s="41">
        <f t="shared" si="293"/>
        <v>3564.19</v>
      </c>
      <c r="AL881" s="39">
        <f>RANK(E881,$E$2:$E$1001,0)+COUNTIF($E$2:E881,E881)-1</f>
        <v>26</v>
      </c>
    </row>
    <row r="882" spans="1:38" x14ac:dyDescent="0.2">
      <c r="A882" s="39">
        <v>1051</v>
      </c>
      <c r="B882" s="40">
        <v>45215</v>
      </c>
      <c r="C882" s="39" t="s">
        <v>61</v>
      </c>
      <c r="D882" s="39" t="s">
        <v>74</v>
      </c>
      <c r="E882" s="41">
        <v>7617</v>
      </c>
      <c r="F882" s="39">
        <v>43</v>
      </c>
      <c r="G882" s="39" t="s">
        <v>60</v>
      </c>
      <c r="H882" s="41">
        <v>287.99</v>
      </c>
      <c r="I882" s="41">
        <v>666.64</v>
      </c>
      <c r="J882" s="39" t="s">
        <v>137</v>
      </c>
      <c r="K882" s="42">
        <v>0</v>
      </c>
      <c r="L882" s="39" t="s">
        <v>63</v>
      </c>
      <c r="M882" s="39" t="s">
        <v>138</v>
      </c>
      <c r="N882" s="39" t="s">
        <v>158</v>
      </c>
      <c r="O882" s="43">
        <f t="shared" si="273"/>
        <v>28665.52</v>
      </c>
      <c r="P882" s="43">
        <f t="shared" si="274"/>
        <v>28665.52</v>
      </c>
      <c r="Q882" s="43">
        <f t="shared" si="275"/>
        <v>12383.57</v>
      </c>
      <c r="R882" s="43">
        <f t="shared" si="276"/>
        <v>16281.95</v>
      </c>
      <c r="S882" s="44">
        <f t="shared" si="277"/>
        <v>0.56799771990879633</v>
      </c>
      <c r="T882" s="39" t="str">
        <f t="shared" si="278"/>
        <v>OK</v>
      </c>
      <c r="U882" s="39" t="str">
        <f t="shared" si="279"/>
        <v>0-9%</v>
      </c>
      <c r="V882" s="39" t="str">
        <f>IF(E882&gt;=Analysis!$B$4,"High",IF(E882&gt;=Analysis!$B$5,"Mid","Low"))</f>
        <v>High</v>
      </c>
      <c r="W882" s="39" t="str">
        <f t="shared" si="280"/>
        <v>2023-10</v>
      </c>
      <c r="X882" s="40">
        <f t="shared" si="281"/>
        <v>45230</v>
      </c>
      <c r="Y882" s="39" t="str">
        <f t="shared" si="282"/>
        <v>2023-Q4</v>
      </c>
      <c r="Z882" s="39" t="str">
        <f t="shared" si="283"/>
        <v>Mon</v>
      </c>
      <c r="AA882" s="39">
        <f t="shared" si="284"/>
        <v>1</v>
      </c>
      <c r="AB882" s="39">
        <f t="shared" si="285"/>
        <v>43</v>
      </c>
      <c r="AC882" s="39" t="str">
        <f t="shared" si="286"/>
        <v>Weekday</v>
      </c>
      <c r="AD882" s="39">
        <f t="shared" ca="1" si="287"/>
        <v>1104</v>
      </c>
      <c r="AE882" s="39">
        <f t="shared" ca="1" si="288"/>
        <v>36</v>
      </c>
      <c r="AF882" s="39" t="str">
        <f t="shared" si="289"/>
        <v>ALI</v>
      </c>
      <c r="AG882" s="39" t="str">
        <f t="shared" si="290"/>
        <v>WO-231016-0881</v>
      </c>
      <c r="AH882" s="39" t="str">
        <f>IF(AND(OR(Filter!$B$4="All",D882=Filter!$B$4),OR(Filter!$B$5="All",M882=Filter!$B$5),E882&gt;=Filter!$B$6),MAX(AH$1:AH881)+1,"")</f>
        <v/>
      </c>
      <c r="AI882" s="39">
        <f t="shared" si="291"/>
        <v>43</v>
      </c>
      <c r="AJ882" s="42">
        <f t="shared" si="292"/>
        <v>0</v>
      </c>
      <c r="AK882" s="41">
        <f t="shared" si="293"/>
        <v>666.64</v>
      </c>
      <c r="AL882" s="39">
        <f>RANK(E882,$E$2:$E$1001,0)+COUNTIF($E$2:E882,E882)-1</f>
        <v>237</v>
      </c>
    </row>
    <row r="883" spans="1:38" x14ac:dyDescent="0.2">
      <c r="A883" s="39">
        <v>1081</v>
      </c>
      <c r="B883" s="40">
        <v>45028</v>
      </c>
      <c r="C883" s="39" t="s">
        <v>66</v>
      </c>
      <c r="D883" s="39" t="s">
        <v>69</v>
      </c>
      <c r="E883" s="41">
        <v>9680.84</v>
      </c>
      <c r="F883" s="39">
        <v>19</v>
      </c>
      <c r="G883" s="39" t="s">
        <v>70</v>
      </c>
      <c r="H883" s="41">
        <v>2443.69</v>
      </c>
      <c r="I883" s="41">
        <v>2462.34</v>
      </c>
      <c r="J883" s="39" t="s">
        <v>143</v>
      </c>
      <c r="K883" s="42">
        <v>7.0000000000000007E-2</v>
      </c>
      <c r="L883" s="39" t="s">
        <v>63</v>
      </c>
      <c r="M883" s="39" t="s">
        <v>140</v>
      </c>
      <c r="N883" s="39" t="s">
        <v>144</v>
      </c>
      <c r="O883" s="43">
        <f t="shared" si="273"/>
        <v>46784.46</v>
      </c>
      <c r="P883" s="43">
        <f t="shared" si="274"/>
        <v>43509.55</v>
      </c>
      <c r="Q883" s="43">
        <f t="shared" si="275"/>
        <v>46430.11</v>
      </c>
      <c r="R883" s="43">
        <f t="shared" si="276"/>
        <v>-2920.5599999999977</v>
      </c>
      <c r="S883" s="44">
        <f t="shared" si="277"/>
        <v>-6.7124573800464438E-2</v>
      </c>
      <c r="T883" s="39" t="str">
        <f t="shared" si="278"/>
        <v>Loss</v>
      </c>
      <c r="U883" s="39" t="str">
        <f t="shared" si="279"/>
        <v>0-9%</v>
      </c>
      <c r="V883" s="39" t="str">
        <f>IF(E883&gt;=Analysis!$B$4,"High",IF(E883&gt;=Analysis!$B$5,"Mid","Low"))</f>
        <v>High</v>
      </c>
      <c r="W883" s="39" t="str">
        <f t="shared" si="280"/>
        <v>2023-04</v>
      </c>
      <c r="X883" s="40">
        <f t="shared" si="281"/>
        <v>45046</v>
      </c>
      <c r="Y883" s="39" t="str">
        <f t="shared" si="282"/>
        <v>2023-Q2</v>
      </c>
      <c r="Z883" s="39" t="str">
        <f t="shared" si="283"/>
        <v>Wed</v>
      </c>
      <c r="AA883" s="39">
        <f t="shared" si="284"/>
        <v>3</v>
      </c>
      <c r="AB883" s="39">
        <f t="shared" si="285"/>
        <v>16</v>
      </c>
      <c r="AC883" s="39" t="str">
        <f t="shared" si="286"/>
        <v>Weekday</v>
      </c>
      <c r="AD883" s="39">
        <f t="shared" ca="1" si="287"/>
        <v>1291</v>
      </c>
      <c r="AE883" s="39">
        <f t="shared" ca="1" si="288"/>
        <v>42</v>
      </c>
      <c r="AF883" s="39" t="str">
        <f t="shared" si="289"/>
        <v>BOB</v>
      </c>
      <c r="AG883" s="39" t="str">
        <f t="shared" si="290"/>
        <v>SR-230412-0882</v>
      </c>
      <c r="AH883" s="39">
        <f>IF(AND(OR(Filter!$B$4="All",D883=Filter!$B$4),OR(Filter!$B$5="All",M883=Filter!$B$5),E883&gt;=Filter!$B$6),MAX(AH$1:AH882)+1,"")</f>
        <v>84</v>
      </c>
      <c r="AI883" s="39">
        <f t="shared" si="291"/>
        <v>19</v>
      </c>
      <c r="AJ883" s="42">
        <f t="shared" si="292"/>
        <v>7.0000000000000007E-2</v>
      </c>
      <c r="AK883" s="41">
        <f t="shared" si="293"/>
        <v>2462.34</v>
      </c>
      <c r="AL883" s="39">
        <f>RANK(E883,$E$2:$E$1001,0)+COUNTIF($E$2:E883,E883)-1</f>
        <v>32</v>
      </c>
    </row>
    <row r="884" spans="1:38" x14ac:dyDescent="0.2">
      <c r="A884" s="39">
        <v>1005</v>
      </c>
      <c r="B884" s="40">
        <v>45193</v>
      </c>
      <c r="C884" s="39" t="s">
        <v>79</v>
      </c>
      <c r="D884" s="39" t="s">
        <v>69</v>
      </c>
      <c r="E884" s="41">
        <v>4453.43</v>
      </c>
      <c r="F884" s="39">
        <v>6</v>
      </c>
      <c r="G884" s="39" t="s">
        <v>70</v>
      </c>
      <c r="H884" s="41">
        <v>122.5</v>
      </c>
      <c r="I884" s="41">
        <v>385.83</v>
      </c>
      <c r="J884" s="39" t="s">
        <v>137</v>
      </c>
      <c r="K884" s="42">
        <v>0.1</v>
      </c>
      <c r="L884" s="39" t="s">
        <v>68</v>
      </c>
      <c r="M884" s="39" t="s">
        <v>140</v>
      </c>
      <c r="N884" s="39" t="s">
        <v>147</v>
      </c>
      <c r="O884" s="43">
        <f t="shared" si="273"/>
        <v>2314.98</v>
      </c>
      <c r="P884" s="43">
        <f t="shared" si="274"/>
        <v>2083.48</v>
      </c>
      <c r="Q884" s="43">
        <f t="shared" si="275"/>
        <v>735</v>
      </c>
      <c r="R884" s="43">
        <f t="shared" si="276"/>
        <v>1348.48</v>
      </c>
      <c r="S884" s="44">
        <f t="shared" si="277"/>
        <v>0.64722483537158981</v>
      </c>
      <c r="T884" s="39" t="str">
        <f t="shared" si="278"/>
        <v>OK</v>
      </c>
      <c r="U884" s="39" t="str">
        <f t="shared" si="279"/>
        <v>10-19%</v>
      </c>
      <c r="V884" s="39" t="str">
        <f>IF(E884&gt;=Analysis!$B$4,"High",IF(E884&gt;=Analysis!$B$5,"Mid","Low"))</f>
        <v>Mid</v>
      </c>
      <c r="W884" s="39" t="str">
        <f t="shared" si="280"/>
        <v>2023-09</v>
      </c>
      <c r="X884" s="40">
        <f t="shared" si="281"/>
        <v>45199</v>
      </c>
      <c r="Y884" s="39" t="str">
        <f t="shared" si="282"/>
        <v>2023-Q3</v>
      </c>
      <c r="Z884" s="39" t="str">
        <f t="shared" si="283"/>
        <v>Sun</v>
      </c>
      <c r="AA884" s="39">
        <f t="shared" si="284"/>
        <v>7</v>
      </c>
      <c r="AB884" s="39">
        <f t="shared" si="285"/>
        <v>39</v>
      </c>
      <c r="AC884" s="39" t="str">
        <f t="shared" si="286"/>
        <v>Weekend</v>
      </c>
      <c r="AD884" s="39">
        <f t="shared" ca="1" si="287"/>
        <v>1126</v>
      </c>
      <c r="AE884" s="39">
        <f t="shared" ca="1" si="288"/>
        <v>37</v>
      </c>
      <c r="AF884" s="39" t="str">
        <f t="shared" si="289"/>
        <v>EVE</v>
      </c>
      <c r="AG884" s="39" t="str">
        <f t="shared" si="290"/>
        <v>SR-230924-0883</v>
      </c>
      <c r="AH884" s="39" t="str">
        <f>IF(AND(OR(Filter!$B$4="All",D884=Filter!$B$4),OR(Filter!$B$5="All",M884=Filter!$B$5),E884&gt;=Filter!$B$6),MAX(AH$1:AH883)+1,"")</f>
        <v/>
      </c>
      <c r="AI884" s="39">
        <f t="shared" si="291"/>
        <v>6</v>
      </c>
      <c r="AJ884" s="42">
        <f t="shared" si="292"/>
        <v>0.1</v>
      </c>
      <c r="AK884" s="41">
        <f t="shared" si="293"/>
        <v>385.83</v>
      </c>
      <c r="AL884" s="39">
        <f>RANK(E884,$E$2:$E$1001,0)+COUNTIF($E$2:E884,E884)-1</f>
        <v>551</v>
      </c>
    </row>
    <row r="885" spans="1:38" x14ac:dyDescent="0.2">
      <c r="A885" s="39">
        <v>1029</v>
      </c>
      <c r="B885" s="40">
        <v>45140</v>
      </c>
      <c r="C885" s="39" t="s">
        <v>79</v>
      </c>
      <c r="D885" s="39" t="s">
        <v>69</v>
      </c>
      <c r="E885" s="41">
        <v>2855.85</v>
      </c>
      <c r="F885" s="39">
        <v>46</v>
      </c>
      <c r="G885" s="39" t="s">
        <v>75</v>
      </c>
      <c r="H885" s="41">
        <v>4609.66</v>
      </c>
      <c r="I885" s="41">
        <v>4879.1499999999996</v>
      </c>
      <c r="J885" s="39" t="s">
        <v>137</v>
      </c>
      <c r="K885" s="42">
        <v>0.3</v>
      </c>
      <c r="L885" s="39" t="s">
        <v>68</v>
      </c>
      <c r="M885" s="39" t="s">
        <v>140</v>
      </c>
      <c r="N885" s="39" t="s">
        <v>147</v>
      </c>
      <c r="O885" s="43">
        <f t="shared" si="273"/>
        <v>224440.9</v>
      </c>
      <c r="P885" s="43">
        <f t="shared" si="274"/>
        <v>157108.63</v>
      </c>
      <c r="Q885" s="43">
        <f t="shared" si="275"/>
        <v>212044.36</v>
      </c>
      <c r="R885" s="43">
        <f t="shared" si="276"/>
        <v>-54935.729999999981</v>
      </c>
      <c r="S885" s="44">
        <f t="shared" si="277"/>
        <v>-0.34966716977927936</v>
      </c>
      <c r="T885" s="39" t="str">
        <f t="shared" si="278"/>
        <v>Loss</v>
      </c>
      <c r="U885" s="39" t="str">
        <f t="shared" si="279"/>
        <v>20%+</v>
      </c>
      <c r="V885" s="39" t="str">
        <f>IF(E885&gt;=Analysis!$B$4,"High",IF(E885&gt;=Analysis!$B$5,"Mid","Low"))</f>
        <v>Mid</v>
      </c>
      <c r="W885" s="39" t="str">
        <f t="shared" si="280"/>
        <v>2023-08</v>
      </c>
      <c r="X885" s="40">
        <f t="shared" si="281"/>
        <v>45169</v>
      </c>
      <c r="Y885" s="39" t="str">
        <f t="shared" si="282"/>
        <v>2023-Q3</v>
      </c>
      <c r="Z885" s="39" t="str">
        <f t="shared" si="283"/>
        <v>Wed</v>
      </c>
      <c r="AA885" s="39">
        <f t="shared" si="284"/>
        <v>3</v>
      </c>
      <c r="AB885" s="39">
        <f t="shared" si="285"/>
        <v>32</v>
      </c>
      <c r="AC885" s="39" t="str">
        <f t="shared" si="286"/>
        <v>Weekday</v>
      </c>
      <c r="AD885" s="39">
        <f t="shared" ca="1" si="287"/>
        <v>1179</v>
      </c>
      <c r="AE885" s="39">
        <f t="shared" ca="1" si="288"/>
        <v>38</v>
      </c>
      <c r="AF885" s="39" t="str">
        <f t="shared" si="289"/>
        <v>EVE</v>
      </c>
      <c r="AG885" s="39" t="str">
        <f t="shared" si="290"/>
        <v>SR-230802-0884</v>
      </c>
      <c r="AH885" s="39" t="str">
        <f>IF(AND(OR(Filter!$B$4="All",D885=Filter!$B$4),OR(Filter!$B$5="All",M885=Filter!$B$5),E885&gt;=Filter!$B$6),MAX(AH$1:AH884)+1,"")</f>
        <v/>
      </c>
      <c r="AI885" s="39">
        <f t="shared" si="291"/>
        <v>46</v>
      </c>
      <c r="AJ885" s="42">
        <f t="shared" si="292"/>
        <v>0.3</v>
      </c>
      <c r="AK885" s="41">
        <f t="shared" si="293"/>
        <v>4879.1499999999996</v>
      </c>
      <c r="AL885" s="39">
        <f>RANK(E885,$E$2:$E$1001,0)+COUNTIF($E$2:E885,E885)-1</f>
        <v>710</v>
      </c>
    </row>
    <row r="886" spans="1:38" x14ac:dyDescent="0.2">
      <c r="A886" s="39">
        <v>1004</v>
      </c>
      <c r="B886" s="40">
        <v>45105</v>
      </c>
      <c r="C886" s="39" t="s">
        <v>66</v>
      </c>
      <c r="D886" s="39" t="s">
        <v>74</v>
      </c>
      <c r="E886" s="41">
        <v>8003.1</v>
      </c>
      <c r="F886" s="39">
        <v>38</v>
      </c>
      <c r="G886" s="39" t="s">
        <v>75</v>
      </c>
      <c r="H886" s="41">
        <v>4881.63</v>
      </c>
      <c r="I886" s="41">
        <v>5088.0600000000004</v>
      </c>
      <c r="J886" s="39" t="s">
        <v>137</v>
      </c>
      <c r="K886" s="42">
        <v>0.16</v>
      </c>
      <c r="L886" s="39" t="s">
        <v>73</v>
      </c>
      <c r="M886" s="39" t="s">
        <v>140</v>
      </c>
      <c r="N886" s="39" t="s">
        <v>141</v>
      </c>
      <c r="O886" s="43">
        <f t="shared" si="273"/>
        <v>193346.28</v>
      </c>
      <c r="P886" s="43">
        <f t="shared" si="274"/>
        <v>162410.88</v>
      </c>
      <c r="Q886" s="43">
        <f t="shared" si="275"/>
        <v>185501.94</v>
      </c>
      <c r="R886" s="43">
        <f t="shared" si="276"/>
        <v>-23091.059999999998</v>
      </c>
      <c r="S886" s="44">
        <f t="shared" si="277"/>
        <v>-0.14217680490371087</v>
      </c>
      <c r="T886" s="39" t="str">
        <f t="shared" si="278"/>
        <v>Loss</v>
      </c>
      <c r="U886" s="39" t="str">
        <f t="shared" si="279"/>
        <v>10-19%</v>
      </c>
      <c r="V886" s="39" t="str">
        <f>IF(E886&gt;=Analysis!$B$4,"High",IF(E886&gt;=Analysis!$B$5,"Mid","Low"))</f>
        <v>High</v>
      </c>
      <c r="W886" s="39" t="str">
        <f t="shared" si="280"/>
        <v>2023-06</v>
      </c>
      <c r="X886" s="40">
        <f t="shared" si="281"/>
        <v>45107</v>
      </c>
      <c r="Y886" s="39" t="str">
        <f t="shared" si="282"/>
        <v>2023-Q2</v>
      </c>
      <c r="Z886" s="39" t="str">
        <f t="shared" si="283"/>
        <v>Wed</v>
      </c>
      <c r="AA886" s="39">
        <f t="shared" si="284"/>
        <v>3</v>
      </c>
      <c r="AB886" s="39">
        <f t="shared" si="285"/>
        <v>27</v>
      </c>
      <c r="AC886" s="39" t="str">
        <f t="shared" si="286"/>
        <v>Weekday</v>
      </c>
      <c r="AD886" s="39">
        <f t="shared" ca="1" si="287"/>
        <v>1214</v>
      </c>
      <c r="AE886" s="39">
        <f t="shared" ca="1" si="288"/>
        <v>39</v>
      </c>
      <c r="AF886" s="39" t="str">
        <f t="shared" si="289"/>
        <v>BOB</v>
      </c>
      <c r="AG886" s="39" t="str">
        <f t="shared" si="290"/>
        <v>WR-230628-0885</v>
      </c>
      <c r="AH886" s="39" t="str">
        <f>IF(AND(OR(Filter!$B$4="All",D886=Filter!$B$4),OR(Filter!$B$5="All",M886=Filter!$B$5),E886&gt;=Filter!$B$6),MAX(AH$1:AH885)+1,"")</f>
        <v/>
      </c>
      <c r="AI886" s="39">
        <f t="shared" si="291"/>
        <v>38</v>
      </c>
      <c r="AJ886" s="42">
        <f t="shared" si="292"/>
        <v>0.16</v>
      </c>
      <c r="AK886" s="41">
        <f t="shared" si="293"/>
        <v>5088.0600000000004</v>
      </c>
      <c r="AL886" s="39">
        <f>RANK(E886,$E$2:$E$1001,0)+COUNTIF($E$2:E886,E886)-1</f>
        <v>194</v>
      </c>
    </row>
    <row r="887" spans="1:38" x14ac:dyDescent="0.2">
      <c r="A887" s="39">
        <v>1010</v>
      </c>
      <c r="B887" s="40">
        <v>45014</v>
      </c>
      <c r="C887" s="39" t="s">
        <v>61</v>
      </c>
      <c r="D887" s="39" t="s">
        <v>69</v>
      </c>
      <c r="E887" s="41">
        <v>3329.91</v>
      </c>
      <c r="F887" s="39">
        <v>49</v>
      </c>
      <c r="G887" s="39" t="s">
        <v>70</v>
      </c>
      <c r="H887" s="41">
        <v>1150.3</v>
      </c>
      <c r="I887" s="41">
        <v>1306.02</v>
      </c>
      <c r="J887" s="39" t="s">
        <v>143</v>
      </c>
      <c r="K887" s="42">
        <v>0.06</v>
      </c>
      <c r="L887" s="39" t="s">
        <v>73</v>
      </c>
      <c r="M887" s="39" t="s">
        <v>140</v>
      </c>
      <c r="N887" s="39" t="s">
        <v>150</v>
      </c>
      <c r="O887" s="43">
        <f t="shared" si="273"/>
        <v>63994.98</v>
      </c>
      <c r="P887" s="43">
        <f t="shared" si="274"/>
        <v>60155.28</v>
      </c>
      <c r="Q887" s="43">
        <f t="shared" si="275"/>
        <v>56364.7</v>
      </c>
      <c r="R887" s="43">
        <f t="shared" si="276"/>
        <v>3790.5800000000017</v>
      </c>
      <c r="S887" s="44">
        <f t="shared" si="277"/>
        <v>6.3013255029317483E-2</v>
      </c>
      <c r="T887" s="39" t="str">
        <f t="shared" si="278"/>
        <v>OK</v>
      </c>
      <c r="U887" s="39" t="str">
        <f t="shared" si="279"/>
        <v>0-9%</v>
      </c>
      <c r="V887" s="39" t="str">
        <f>IF(E887&gt;=Analysis!$B$4,"High",IF(E887&gt;=Analysis!$B$5,"Mid","Low"))</f>
        <v>Mid</v>
      </c>
      <c r="W887" s="39" t="str">
        <f t="shared" si="280"/>
        <v>2023-03</v>
      </c>
      <c r="X887" s="40">
        <f t="shared" si="281"/>
        <v>45016</v>
      </c>
      <c r="Y887" s="39" t="str">
        <f t="shared" si="282"/>
        <v>2023-Q1</v>
      </c>
      <c r="Z887" s="39" t="str">
        <f t="shared" si="283"/>
        <v>Wed</v>
      </c>
      <c r="AA887" s="39">
        <f t="shared" si="284"/>
        <v>3</v>
      </c>
      <c r="AB887" s="39">
        <f t="shared" si="285"/>
        <v>14</v>
      </c>
      <c r="AC887" s="39" t="str">
        <f t="shared" si="286"/>
        <v>Weekday</v>
      </c>
      <c r="AD887" s="39">
        <f t="shared" ca="1" si="287"/>
        <v>1305</v>
      </c>
      <c r="AE887" s="39">
        <f t="shared" ca="1" si="288"/>
        <v>42</v>
      </c>
      <c r="AF887" s="39" t="str">
        <f t="shared" si="289"/>
        <v>ALI</v>
      </c>
      <c r="AG887" s="39" t="str">
        <f t="shared" si="290"/>
        <v>SR-230329-0886</v>
      </c>
      <c r="AH887" s="39" t="str">
        <f>IF(AND(OR(Filter!$B$4="All",D887=Filter!$B$4),OR(Filter!$B$5="All",M887=Filter!$B$5),E887&gt;=Filter!$B$6),MAX(AH$1:AH886)+1,"")</f>
        <v/>
      </c>
      <c r="AI887" s="39">
        <f t="shared" si="291"/>
        <v>49</v>
      </c>
      <c r="AJ887" s="42">
        <f t="shared" si="292"/>
        <v>0.06</v>
      </c>
      <c r="AK887" s="41">
        <f t="shared" si="293"/>
        <v>1306.02</v>
      </c>
      <c r="AL887" s="39">
        <f>RANK(E887,$E$2:$E$1001,0)+COUNTIF($E$2:E887,E887)-1</f>
        <v>664</v>
      </c>
    </row>
    <row r="888" spans="1:38" x14ac:dyDescent="0.2">
      <c r="A888" s="39">
        <v>1056</v>
      </c>
      <c r="B888" s="40">
        <v>44967</v>
      </c>
      <c r="C888" s="39" t="s">
        <v>66</v>
      </c>
      <c r="D888" s="39" t="s">
        <v>74</v>
      </c>
      <c r="E888" s="41">
        <v>3063.9</v>
      </c>
      <c r="F888" s="39">
        <v>42</v>
      </c>
      <c r="G888" s="39" t="s">
        <v>75</v>
      </c>
      <c r="H888" s="41">
        <v>1080.1199999999999</v>
      </c>
      <c r="I888" s="41">
        <v>1424.17</v>
      </c>
      <c r="J888" s="39" t="s">
        <v>143</v>
      </c>
      <c r="K888" s="42">
        <v>0.1</v>
      </c>
      <c r="L888" s="39" t="s">
        <v>68</v>
      </c>
      <c r="M888" s="39" t="s">
        <v>138</v>
      </c>
      <c r="N888" s="39" t="s">
        <v>141</v>
      </c>
      <c r="O888" s="43">
        <f t="shared" si="273"/>
        <v>59815.14</v>
      </c>
      <c r="P888" s="43">
        <f t="shared" si="274"/>
        <v>53833.63</v>
      </c>
      <c r="Q888" s="43">
        <f t="shared" si="275"/>
        <v>45365.04</v>
      </c>
      <c r="R888" s="43">
        <f t="shared" si="276"/>
        <v>8468.5899999999965</v>
      </c>
      <c r="S888" s="44">
        <f t="shared" si="277"/>
        <v>0.15731040243802985</v>
      </c>
      <c r="T888" s="39" t="str">
        <f t="shared" si="278"/>
        <v>OK</v>
      </c>
      <c r="U888" s="39" t="str">
        <f t="shared" si="279"/>
        <v>10-19%</v>
      </c>
      <c r="V888" s="39" t="str">
        <f>IF(E888&gt;=Analysis!$B$4,"High",IF(E888&gt;=Analysis!$B$5,"Mid","Low"))</f>
        <v>Mid</v>
      </c>
      <c r="W888" s="39" t="str">
        <f t="shared" si="280"/>
        <v>2023-02</v>
      </c>
      <c r="X888" s="40">
        <f t="shared" si="281"/>
        <v>44985</v>
      </c>
      <c r="Y888" s="39" t="str">
        <f t="shared" si="282"/>
        <v>2023-Q1</v>
      </c>
      <c r="Z888" s="39" t="str">
        <f t="shared" si="283"/>
        <v>Fri</v>
      </c>
      <c r="AA888" s="39">
        <f t="shared" si="284"/>
        <v>5</v>
      </c>
      <c r="AB888" s="39">
        <f t="shared" si="285"/>
        <v>7</v>
      </c>
      <c r="AC888" s="39" t="str">
        <f t="shared" si="286"/>
        <v>Weekday</v>
      </c>
      <c r="AD888" s="39">
        <f t="shared" ca="1" si="287"/>
        <v>1352</v>
      </c>
      <c r="AE888" s="39">
        <f t="shared" ca="1" si="288"/>
        <v>44</v>
      </c>
      <c r="AF888" s="39" t="str">
        <f t="shared" si="289"/>
        <v>BOB</v>
      </c>
      <c r="AG888" s="39" t="str">
        <f t="shared" si="290"/>
        <v>WO-230210-0887</v>
      </c>
      <c r="AH888" s="39" t="str">
        <f>IF(AND(OR(Filter!$B$4="All",D888=Filter!$B$4),OR(Filter!$B$5="All",M888=Filter!$B$5),E888&gt;=Filter!$B$6),MAX(AH$1:AH887)+1,"")</f>
        <v/>
      </c>
      <c r="AI888" s="39">
        <f t="shared" si="291"/>
        <v>42</v>
      </c>
      <c r="AJ888" s="42">
        <f t="shared" si="292"/>
        <v>0.1</v>
      </c>
      <c r="AK888" s="41">
        <f t="shared" si="293"/>
        <v>1424.17</v>
      </c>
      <c r="AL888" s="39">
        <f>RANK(E888,$E$2:$E$1001,0)+COUNTIF($E$2:E888,E888)-1</f>
        <v>689</v>
      </c>
    </row>
    <row r="889" spans="1:38" x14ac:dyDescent="0.2">
      <c r="A889" s="39">
        <v>1017</v>
      </c>
      <c r="B889" s="40">
        <v>45002</v>
      </c>
      <c r="C889" s="39" t="s">
        <v>66</v>
      </c>
      <c r="D889" s="39" t="s">
        <v>64</v>
      </c>
      <c r="E889" s="41">
        <v>2401.81</v>
      </c>
      <c r="F889" s="39">
        <v>28</v>
      </c>
      <c r="G889" s="39" t="s">
        <v>60</v>
      </c>
      <c r="H889" s="41">
        <v>3780.91</v>
      </c>
      <c r="I889" s="41">
        <v>3892.73</v>
      </c>
      <c r="J889" s="39" t="s">
        <v>137</v>
      </c>
      <c r="K889" s="42">
        <v>0.1</v>
      </c>
      <c r="L889" s="39" t="s">
        <v>68</v>
      </c>
      <c r="M889" s="39" t="s">
        <v>140</v>
      </c>
      <c r="N889" s="39" t="s">
        <v>139</v>
      </c>
      <c r="O889" s="43">
        <f t="shared" si="273"/>
        <v>108996.44</v>
      </c>
      <c r="P889" s="43">
        <f t="shared" si="274"/>
        <v>98096.8</v>
      </c>
      <c r="Q889" s="43">
        <f t="shared" si="275"/>
        <v>105865.48</v>
      </c>
      <c r="R889" s="43">
        <f t="shared" si="276"/>
        <v>-7768.679999999993</v>
      </c>
      <c r="S889" s="44">
        <f t="shared" si="277"/>
        <v>-7.9194020600060269E-2</v>
      </c>
      <c r="T889" s="39" t="str">
        <f t="shared" si="278"/>
        <v>Loss</v>
      </c>
      <c r="U889" s="39" t="str">
        <f t="shared" si="279"/>
        <v>10-19%</v>
      </c>
      <c r="V889" s="39" t="str">
        <f>IF(E889&gt;=Analysis!$B$4,"High",IF(E889&gt;=Analysis!$B$5,"Mid","Low"))</f>
        <v>Low</v>
      </c>
      <c r="W889" s="39" t="str">
        <f t="shared" si="280"/>
        <v>2023-03</v>
      </c>
      <c r="X889" s="40">
        <f t="shared" si="281"/>
        <v>45016</v>
      </c>
      <c r="Y889" s="39" t="str">
        <f t="shared" si="282"/>
        <v>2023-Q1</v>
      </c>
      <c r="Z889" s="39" t="str">
        <f t="shared" si="283"/>
        <v>Fri</v>
      </c>
      <c r="AA889" s="39">
        <f t="shared" si="284"/>
        <v>5</v>
      </c>
      <c r="AB889" s="39">
        <f t="shared" si="285"/>
        <v>12</v>
      </c>
      <c r="AC889" s="39" t="str">
        <f t="shared" si="286"/>
        <v>Weekday</v>
      </c>
      <c r="AD889" s="39">
        <f t="shared" ca="1" si="287"/>
        <v>1317</v>
      </c>
      <c r="AE889" s="39">
        <f t="shared" ca="1" si="288"/>
        <v>43</v>
      </c>
      <c r="AF889" s="39" t="str">
        <f t="shared" si="289"/>
        <v>BOB</v>
      </c>
      <c r="AG889" s="39" t="str">
        <f t="shared" si="290"/>
        <v>NR-230317-0888</v>
      </c>
      <c r="AH889" s="39" t="str">
        <f>IF(AND(OR(Filter!$B$4="All",D889=Filter!$B$4),OR(Filter!$B$5="All",M889=Filter!$B$5),E889&gt;=Filter!$B$6),MAX(AH$1:AH888)+1,"")</f>
        <v/>
      </c>
      <c r="AI889" s="39">
        <f t="shared" si="291"/>
        <v>28</v>
      </c>
      <c r="AJ889" s="42">
        <f t="shared" si="292"/>
        <v>0.1</v>
      </c>
      <c r="AK889" s="41">
        <f t="shared" si="293"/>
        <v>3892.73</v>
      </c>
      <c r="AL889" s="39">
        <f>RANK(E889,$E$2:$E$1001,0)+COUNTIF($E$2:E889,E889)-1</f>
        <v>765</v>
      </c>
    </row>
    <row r="890" spans="1:38" x14ac:dyDescent="0.2">
      <c r="A890" s="39">
        <v>1074</v>
      </c>
      <c r="B890" s="40">
        <v>44972</v>
      </c>
      <c r="C890" s="39" t="s">
        <v>66</v>
      </c>
      <c r="D890" s="39" t="s">
        <v>74</v>
      </c>
      <c r="E890" s="41">
        <v>1383.82</v>
      </c>
      <c r="F890" s="39">
        <v>1</v>
      </c>
      <c r="G890" s="39" t="s">
        <v>75</v>
      </c>
      <c r="H890" s="41">
        <v>1304.23</v>
      </c>
      <c r="I890" s="41">
        <v>1705.71</v>
      </c>
      <c r="J890" s="39" t="s">
        <v>137</v>
      </c>
      <c r="K890" s="42">
        <v>0.01</v>
      </c>
      <c r="L890" s="39" t="s">
        <v>68</v>
      </c>
      <c r="M890" s="39" t="s">
        <v>140</v>
      </c>
      <c r="N890" s="39" t="s">
        <v>141</v>
      </c>
      <c r="O890" s="43">
        <f t="shared" si="273"/>
        <v>1705.71</v>
      </c>
      <c r="P890" s="43">
        <f t="shared" si="274"/>
        <v>1688.65</v>
      </c>
      <c r="Q890" s="43">
        <f t="shared" si="275"/>
        <v>1304.23</v>
      </c>
      <c r="R890" s="43">
        <f t="shared" si="276"/>
        <v>384.42000000000007</v>
      </c>
      <c r="S890" s="44">
        <f t="shared" si="277"/>
        <v>0.22764930565836619</v>
      </c>
      <c r="T890" s="39" t="str">
        <f t="shared" si="278"/>
        <v>OK</v>
      </c>
      <c r="U890" s="39" t="str">
        <f t="shared" si="279"/>
        <v>0-9%</v>
      </c>
      <c r="V890" s="39" t="str">
        <f>IF(E890&gt;=Analysis!$B$4,"High",IF(E890&gt;=Analysis!$B$5,"Mid","Low"))</f>
        <v>Low</v>
      </c>
      <c r="W890" s="39" t="str">
        <f t="shared" si="280"/>
        <v>2023-02</v>
      </c>
      <c r="X890" s="40">
        <f t="shared" si="281"/>
        <v>44985</v>
      </c>
      <c r="Y890" s="39" t="str">
        <f t="shared" si="282"/>
        <v>2023-Q1</v>
      </c>
      <c r="Z890" s="39" t="str">
        <f t="shared" si="283"/>
        <v>Wed</v>
      </c>
      <c r="AA890" s="39">
        <f t="shared" si="284"/>
        <v>3</v>
      </c>
      <c r="AB890" s="39">
        <f t="shared" si="285"/>
        <v>8</v>
      </c>
      <c r="AC890" s="39" t="str">
        <f t="shared" si="286"/>
        <v>Weekday</v>
      </c>
      <c r="AD890" s="39">
        <f t="shared" ca="1" si="287"/>
        <v>1347</v>
      </c>
      <c r="AE890" s="39">
        <f t="shared" ca="1" si="288"/>
        <v>44</v>
      </c>
      <c r="AF890" s="39" t="str">
        <f t="shared" si="289"/>
        <v>BOB</v>
      </c>
      <c r="AG890" s="39" t="str">
        <f t="shared" si="290"/>
        <v>WR-230215-0889</v>
      </c>
      <c r="AH890" s="39" t="str">
        <f>IF(AND(OR(Filter!$B$4="All",D890=Filter!$B$4),OR(Filter!$B$5="All",M890=Filter!$B$5),E890&gt;=Filter!$B$6),MAX(AH$1:AH889)+1,"")</f>
        <v/>
      </c>
      <c r="AI890" s="39">
        <f t="shared" si="291"/>
        <v>1</v>
      </c>
      <c r="AJ890" s="42">
        <f t="shared" si="292"/>
        <v>0.01</v>
      </c>
      <c r="AK890" s="41">
        <f t="shared" si="293"/>
        <v>1705.71</v>
      </c>
      <c r="AL890" s="39">
        <f>RANK(E890,$E$2:$E$1001,0)+COUNTIF($E$2:E890,E890)-1</f>
        <v>877</v>
      </c>
    </row>
    <row r="891" spans="1:38" x14ac:dyDescent="0.2">
      <c r="A891" s="39">
        <v>1017</v>
      </c>
      <c r="B891" s="40">
        <v>45086</v>
      </c>
      <c r="C891" s="39" t="s">
        <v>71</v>
      </c>
      <c r="D891" s="39" t="s">
        <v>59</v>
      </c>
      <c r="E891" s="41">
        <v>2638.98</v>
      </c>
      <c r="F891" s="39">
        <v>35</v>
      </c>
      <c r="G891" s="39" t="s">
        <v>75</v>
      </c>
      <c r="H891" s="41">
        <v>4480.63</v>
      </c>
      <c r="I891" s="41">
        <v>4884.12</v>
      </c>
      <c r="J891" s="39" t="s">
        <v>143</v>
      </c>
      <c r="K891" s="42">
        <v>0.04</v>
      </c>
      <c r="L891" s="39" t="s">
        <v>68</v>
      </c>
      <c r="M891" s="39" t="s">
        <v>138</v>
      </c>
      <c r="N891" s="39" t="s">
        <v>145</v>
      </c>
      <c r="O891" s="43">
        <f t="shared" si="273"/>
        <v>170944.2</v>
      </c>
      <c r="P891" s="43">
        <f t="shared" si="274"/>
        <v>164106.43</v>
      </c>
      <c r="Q891" s="43">
        <f t="shared" si="275"/>
        <v>156822.04999999999</v>
      </c>
      <c r="R891" s="43">
        <f t="shared" si="276"/>
        <v>7284.3800000000047</v>
      </c>
      <c r="S891" s="44">
        <f t="shared" si="277"/>
        <v>4.4388144937404374E-2</v>
      </c>
      <c r="T891" s="39" t="str">
        <f t="shared" si="278"/>
        <v>OK</v>
      </c>
      <c r="U891" s="39" t="str">
        <f t="shared" si="279"/>
        <v>0-9%</v>
      </c>
      <c r="V891" s="39" t="str">
        <f>IF(E891&gt;=Analysis!$B$4,"High",IF(E891&gt;=Analysis!$B$5,"Mid","Low"))</f>
        <v>Mid</v>
      </c>
      <c r="W891" s="39" t="str">
        <f t="shared" si="280"/>
        <v>2023-06</v>
      </c>
      <c r="X891" s="40">
        <f t="shared" si="281"/>
        <v>45107</v>
      </c>
      <c r="Y891" s="39" t="str">
        <f t="shared" si="282"/>
        <v>2023-Q2</v>
      </c>
      <c r="Z891" s="39" t="str">
        <f t="shared" si="283"/>
        <v>Fri</v>
      </c>
      <c r="AA891" s="39">
        <f t="shared" si="284"/>
        <v>5</v>
      </c>
      <c r="AB891" s="39">
        <f t="shared" si="285"/>
        <v>24</v>
      </c>
      <c r="AC891" s="39" t="str">
        <f t="shared" si="286"/>
        <v>Weekday</v>
      </c>
      <c r="AD891" s="39">
        <f t="shared" ca="1" si="287"/>
        <v>1233</v>
      </c>
      <c r="AE891" s="39">
        <f t="shared" ca="1" si="288"/>
        <v>40</v>
      </c>
      <c r="AF891" s="39" t="str">
        <f t="shared" si="289"/>
        <v>CHA</v>
      </c>
      <c r="AG891" s="39" t="str">
        <f t="shared" si="290"/>
        <v>EO-230609-0890</v>
      </c>
      <c r="AH891" s="39" t="str">
        <f>IF(AND(OR(Filter!$B$4="All",D891=Filter!$B$4),OR(Filter!$B$5="All",M891=Filter!$B$5),E891&gt;=Filter!$B$6),MAX(AH$1:AH890)+1,"")</f>
        <v/>
      </c>
      <c r="AI891" s="39">
        <f t="shared" si="291"/>
        <v>35</v>
      </c>
      <c r="AJ891" s="42">
        <f t="shared" si="292"/>
        <v>0.04</v>
      </c>
      <c r="AK891" s="41">
        <f t="shared" si="293"/>
        <v>4884.12</v>
      </c>
      <c r="AL891" s="39">
        <f>RANK(E891,$E$2:$E$1001,0)+COUNTIF($E$2:E891,E891)-1</f>
        <v>739</v>
      </c>
    </row>
    <row r="892" spans="1:38" x14ac:dyDescent="0.2">
      <c r="A892" s="39">
        <v>1084</v>
      </c>
      <c r="B892" s="40">
        <v>45006</v>
      </c>
      <c r="C892" s="39" t="s">
        <v>79</v>
      </c>
      <c r="D892" s="39" t="s">
        <v>69</v>
      </c>
      <c r="E892" s="41">
        <v>3617.67</v>
      </c>
      <c r="F892" s="39">
        <v>40</v>
      </c>
      <c r="G892" s="39" t="s">
        <v>70</v>
      </c>
      <c r="H892" s="41">
        <v>2890.95</v>
      </c>
      <c r="I892" s="41">
        <v>3104.43</v>
      </c>
      <c r="J892" s="39" t="s">
        <v>143</v>
      </c>
      <c r="K892" s="42">
        <v>0.21</v>
      </c>
      <c r="L892" s="39" t="s">
        <v>63</v>
      </c>
      <c r="M892" s="39" t="s">
        <v>138</v>
      </c>
      <c r="N892" s="39" t="s">
        <v>147</v>
      </c>
      <c r="O892" s="43">
        <f t="shared" si="273"/>
        <v>124177.2</v>
      </c>
      <c r="P892" s="43">
        <f t="shared" si="274"/>
        <v>98099.99</v>
      </c>
      <c r="Q892" s="43">
        <f t="shared" si="275"/>
        <v>115638</v>
      </c>
      <c r="R892" s="43">
        <f t="shared" si="276"/>
        <v>-17538.009999999995</v>
      </c>
      <c r="S892" s="44">
        <f t="shared" si="277"/>
        <v>-0.17877687857052782</v>
      </c>
      <c r="T892" s="39" t="str">
        <f t="shared" si="278"/>
        <v>Loss</v>
      </c>
      <c r="U892" s="39" t="str">
        <f t="shared" si="279"/>
        <v>20%+</v>
      </c>
      <c r="V892" s="39" t="str">
        <f>IF(E892&gt;=Analysis!$B$4,"High",IF(E892&gt;=Analysis!$B$5,"Mid","Low"))</f>
        <v>Mid</v>
      </c>
      <c r="W892" s="39" t="str">
        <f t="shared" si="280"/>
        <v>2023-03</v>
      </c>
      <c r="X892" s="40">
        <f t="shared" si="281"/>
        <v>45016</v>
      </c>
      <c r="Y892" s="39" t="str">
        <f t="shared" si="282"/>
        <v>2023-Q1</v>
      </c>
      <c r="Z892" s="39" t="str">
        <f t="shared" si="283"/>
        <v>Tue</v>
      </c>
      <c r="AA892" s="39">
        <f t="shared" si="284"/>
        <v>2</v>
      </c>
      <c r="AB892" s="39">
        <f t="shared" si="285"/>
        <v>13</v>
      </c>
      <c r="AC892" s="39" t="str">
        <f t="shared" si="286"/>
        <v>Weekday</v>
      </c>
      <c r="AD892" s="39">
        <f t="shared" ca="1" si="287"/>
        <v>1313</v>
      </c>
      <c r="AE892" s="39">
        <f t="shared" ca="1" si="288"/>
        <v>43</v>
      </c>
      <c r="AF892" s="39" t="str">
        <f t="shared" si="289"/>
        <v>EVE</v>
      </c>
      <c r="AG892" s="39" t="str">
        <f t="shared" si="290"/>
        <v>SO-230321-0891</v>
      </c>
      <c r="AH892" s="39" t="str">
        <f>IF(AND(OR(Filter!$B$4="All",D892=Filter!$B$4),OR(Filter!$B$5="All",M892=Filter!$B$5),E892&gt;=Filter!$B$6),MAX(AH$1:AH891)+1,"")</f>
        <v/>
      </c>
      <c r="AI892" s="39">
        <f t="shared" si="291"/>
        <v>40</v>
      </c>
      <c r="AJ892" s="42">
        <f t="shared" si="292"/>
        <v>0.21</v>
      </c>
      <c r="AK892" s="41">
        <f t="shared" si="293"/>
        <v>3104.43</v>
      </c>
      <c r="AL892" s="39">
        <f>RANK(E892,$E$2:$E$1001,0)+COUNTIF($E$2:E892,E892)-1</f>
        <v>637</v>
      </c>
    </row>
    <row r="893" spans="1:38" x14ac:dyDescent="0.2">
      <c r="A893" s="39">
        <v>1088</v>
      </c>
      <c r="B893" s="40">
        <v>45236</v>
      </c>
      <c r="C893" s="39" t="s">
        <v>76</v>
      </c>
      <c r="D893" s="39" t="s">
        <v>69</v>
      </c>
      <c r="E893" s="41">
        <v>6772.54</v>
      </c>
      <c r="F893" s="39">
        <v>8</v>
      </c>
      <c r="G893" s="39" t="s">
        <v>70</v>
      </c>
      <c r="H893" s="41">
        <v>1786.35</v>
      </c>
      <c r="I893" s="41">
        <v>1935.29</v>
      </c>
      <c r="J893" s="39" t="s">
        <v>143</v>
      </c>
      <c r="K893" s="42">
        <v>0.04</v>
      </c>
      <c r="L893" s="39" t="s">
        <v>68</v>
      </c>
      <c r="M893" s="39" t="s">
        <v>138</v>
      </c>
      <c r="N893" s="39" t="s">
        <v>142</v>
      </c>
      <c r="O893" s="43">
        <f t="shared" si="273"/>
        <v>15482.32</v>
      </c>
      <c r="P893" s="43">
        <f t="shared" si="274"/>
        <v>14863.03</v>
      </c>
      <c r="Q893" s="43">
        <f t="shared" si="275"/>
        <v>14290.8</v>
      </c>
      <c r="R893" s="43">
        <f t="shared" si="276"/>
        <v>572.23000000000138</v>
      </c>
      <c r="S893" s="44">
        <f t="shared" si="277"/>
        <v>3.8500225055052795E-2</v>
      </c>
      <c r="T893" s="39" t="str">
        <f t="shared" si="278"/>
        <v>OK</v>
      </c>
      <c r="U893" s="39" t="str">
        <f t="shared" si="279"/>
        <v>0-9%</v>
      </c>
      <c r="V893" s="39" t="str">
        <f>IF(E893&gt;=Analysis!$B$4,"High",IF(E893&gt;=Analysis!$B$5,"Mid","Low"))</f>
        <v>Mid</v>
      </c>
      <c r="W893" s="39" t="str">
        <f t="shared" si="280"/>
        <v>2023-11</v>
      </c>
      <c r="X893" s="40">
        <f t="shared" si="281"/>
        <v>45260</v>
      </c>
      <c r="Y893" s="39" t="str">
        <f t="shared" si="282"/>
        <v>2023-Q4</v>
      </c>
      <c r="Z893" s="39" t="str">
        <f t="shared" si="283"/>
        <v>Mon</v>
      </c>
      <c r="AA893" s="39">
        <f t="shared" si="284"/>
        <v>1</v>
      </c>
      <c r="AB893" s="39">
        <f t="shared" si="285"/>
        <v>46</v>
      </c>
      <c r="AC893" s="39" t="str">
        <f t="shared" si="286"/>
        <v>Weekday</v>
      </c>
      <c r="AD893" s="39">
        <f t="shared" ca="1" si="287"/>
        <v>1083</v>
      </c>
      <c r="AE893" s="39">
        <f t="shared" ca="1" si="288"/>
        <v>35</v>
      </c>
      <c r="AF893" s="39" t="str">
        <f t="shared" si="289"/>
        <v>DAV</v>
      </c>
      <c r="AG893" s="39" t="str">
        <f t="shared" si="290"/>
        <v>SO-231106-0892</v>
      </c>
      <c r="AH893" s="39" t="str">
        <f>IF(AND(OR(Filter!$B$4="All",D893=Filter!$B$4),OR(Filter!$B$5="All",M893=Filter!$B$5),E893&gt;=Filter!$B$6),MAX(AH$1:AH892)+1,"")</f>
        <v/>
      </c>
      <c r="AI893" s="39">
        <f t="shared" si="291"/>
        <v>8</v>
      </c>
      <c r="AJ893" s="42">
        <f t="shared" si="292"/>
        <v>0.04</v>
      </c>
      <c r="AK893" s="41">
        <f t="shared" si="293"/>
        <v>1935.29</v>
      </c>
      <c r="AL893" s="39">
        <f>RANK(E893,$E$2:$E$1001,0)+COUNTIF($E$2:E893,E893)-1</f>
        <v>325</v>
      </c>
    </row>
    <row r="894" spans="1:38" x14ac:dyDescent="0.2">
      <c r="A894" s="39">
        <v>1069</v>
      </c>
      <c r="B894" s="40">
        <v>45012</v>
      </c>
      <c r="C894" s="39" t="s">
        <v>76</v>
      </c>
      <c r="D894" s="39" t="s">
        <v>59</v>
      </c>
      <c r="E894" s="41">
        <v>719.39</v>
      </c>
      <c r="F894" s="39">
        <v>47</v>
      </c>
      <c r="G894" s="39" t="s">
        <v>65</v>
      </c>
      <c r="H894" s="41">
        <v>4171.83</v>
      </c>
      <c r="I894" s="41">
        <v>4320.93</v>
      </c>
      <c r="J894" s="39" t="s">
        <v>143</v>
      </c>
      <c r="K894" s="42">
        <v>7.0000000000000007E-2</v>
      </c>
      <c r="L894" s="39" t="s">
        <v>68</v>
      </c>
      <c r="M894" s="39" t="s">
        <v>138</v>
      </c>
      <c r="N894" s="39" t="s">
        <v>157</v>
      </c>
      <c r="O894" s="43">
        <f t="shared" si="273"/>
        <v>203083.71</v>
      </c>
      <c r="P894" s="43">
        <f t="shared" si="274"/>
        <v>188867.85</v>
      </c>
      <c r="Q894" s="43">
        <f t="shared" si="275"/>
        <v>196076.01</v>
      </c>
      <c r="R894" s="43">
        <f t="shared" si="276"/>
        <v>-7208.1600000000035</v>
      </c>
      <c r="S894" s="44">
        <f t="shared" si="277"/>
        <v>-3.8165097977236481E-2</v>
      </c>
      <c r="T894" s="39" t="str">
        <f t="shared" si="278"/>
        <v>Loss</v>
      </c>
      <c r="U894" s="39" t="str">
        <f t="shared" si="279"/>
        <v>0-9%</v>
      </c>
      <c r="V894" s="39" t="str">
        <f>IF(E894&gt;=Analysis!$B$4,"High",IF(E894&gt;=Analysis!$B$5,"Mid","Low"))</f>
        <v>Low</v>
      </c>
      <c r="W894" s="39" t="str">
        <f t="shared" si="280"/>
        <v>2023-03</v>
      </c>
      <c r="X894" s="40">
        <f t="shared" si="281"/>
        <v>45016</v>
      </c>
      <c r="Y894" s="39" t="str">
        <f t="shared" si="282"/>
        <v>2023-Q1</v>
      </c>
      <c r="Z894" s="39" t="str">
        <f t="shared" si="283"/>
        <v>Mon</v>
      </c>
      <c r="AA894" s="39">
        <f t="shared" si="284"/>
        <v>1</v>
      </c>
      <c r="AB894" s="39">
        <f t="shared" si="285"/>
        <v>14</v>
      </c>
      <c r="AC894" s="39" t="str">
        <f t="shared" si="286"/>
        <v>Weekday</v>
      </c>
      <c r="AD894" s="39">
        <f t="shared" ca="1" si="287"/>
        <v>1307</v>
      </c>
      <c r="AE894" s="39">
        <f t="shared" ca="1" si="288"/>
        <v>42</v>
      </c>
      <c r="AF894" s="39" t="str">
        <f t="shared" si="289"/>
        <v>DAV</v>
      </c>
      <c r="AG894" s="39" t="str">
        <f t="shared" si="290"/>
        <v>EO-230327-0893</v>
      </c>
      <c r="AH894" s="39" t="str">
        <f>IF(AND(OR(Filter!$B$4="All",D894=Filter!$B$4),OR(Filter!$B$5="All",M894=Filter!$B$5),E894&gt;=Filter!$B$6),MAX(AH$1:AH893)+1,"")</f>
        <v/>
      </c>
      <c r="AI894" s="39">
        <f t="shared" si="291"/>
        <v>47</v>
      </c>
      <c r="AJ894" s="42">
        <f t="shared" si="292"/>
        <v>7.0000000000000007E-2</v>
      </c>
      <c r="AK894" s="41">
        <f t="shared" si="293"/>
        <v>4320.93</v>
      </c>
      <c r="AL894" s="39">
        <f>RANK(E894,$E$2:$E$1001,0)+COUNTIF($E$2:E894,E894)-1</f>
        <v>938</v>
      </c>
    </row>
    <row r="895" spans="1:38" x14ac:dyDescent="0.2">
      <c r="A895" s="39">
        <v>1034</v>
      </c>
      <c r="B895" s="40">
        <v>45018</v>
      </c>
      <c r="C895" s="39" t="s">
        <v>71</v>
      </c>
      <c r="D895" s="39" t="s">
        <v>74</v>
      </c>
      <c r="E895" s="41">
        <v>2184.02</v>
      </c>
      <c r="F895" s="39">
        <v>7</v>
      </c>
      <c r="G895" s="39" t="s">
        <v>65</v>
      </c>
      <c r="H895" s="41">
        <v>2492.36</v>
      </c>
      <c r="I895" s="41">
        <v>2738.68</v>
      </c>
      <c r="J895" s="39" t="s">
        <v>137</v>
      </c>
      <c r="K895" s="42">
        <v>0.11</v>
      </c>
      <c r="L895" s="39" t="s">
        <v>68</v>
      </c>
      <c r="M895" s="39" t="s">
        <v>138</v>
      </c>
      <c r="N895" s="39" t="s">
        <v>146</v>
      </c>
      <c r="O895" s="43">
        <f t="shared" si="273"/>
        <v>19170.759999999998</v>
      </c>
      <c r="P895" s="43">
        <f t="shared" si="274"/>
        <v>17061.98</v>
      </c>
      <c r="Q895" s="43">
        <f t="shared" si="275"/>
        <v>17446.52</v>
      </c>
      <c r="R895" s="43">
        <f t="shared" si="276"/>
        <v>-384.54000000000087</v>
      </c>
      <c r="S895" s="44">
        <f t="shared" si="277"/>
        <v>-2.2537829724334508E-2</v>
      </c>
      <c r="T895" s="39" t="str">
        <f t="shared" si="278"/>
        <v>Loss</v>
      </c>
      <c r="U895" s="39" t="str">
        <f t="shared" si="279"/>
        <v>10-19%</v>
      </c>
      <c r="V895" s="39" t="str">
        <f>IF(E895&gt;=Analysis!$B$4,"High",IF(E895&gt;=Analysis!$B$5,"Mid","Low"))</f>
        <v>Low</v>
      </c>
      <c r="W895" s="39" t="str">
        <f t="shared" si="280"/>
        <v>2023-04</v>
      </c>
      <c r="X895" s="40">
        <f t="shared" si="281"/>
        <v>45046</v>
      </c>
      <c r="Y895" s="39" t="str">
        <f t="shared" si="282"/>
        <v>2023-Q2</v>
      </c>
      <c r="Z895" s="39" t="str">
        <f t="shared" si="283"/>
        <v>Sun</v>
      </c>
      <c r="AA895" s="39">
        <f t="shared" si="284"/>
        <v>7</v>
      </c>
      <c r="AB895" s="39">
        <f t="shared" si="285"/>
        <v>14</v>
      </c>
      <c r="AC895" s="39" t="str">
        <f t="shared" si="286"/>
        <v>Weekend</v>
      </c>
      <c r="AD895" s="39">
        <f t="shared" ca="1" si="287"/>
        <v>1301</v>
      </c>
      <c r="AE895" s="39">
        <f t="shared" ca="1" si="288"/>
        <v>42</v>
      </c>
      <c r="AF895" s="39" t="str">
        <f t="shared" si="289"/>
        <v>CHA</v>
      </c>
      <c r="AG895" s="39" t="str">
        <f t="shared" si="290"/>
        <v>WO-230402-0894</v>
      </c>
      <c r="AH895" s="39" t="str">
        <f>IF(AND(OR(Filter!$B$4="All",D895=Filter!$B$4),OR(Filter!$B$5="All",M895=Filter!$B$5),E895&gt;=Filter!$B$6),MAX(AH$1:AH894)+1,"")</f>
        <v/>
      </c>
      <c r="AI895" s="39">
        <f t="shared" si="291"/>
        <v>7</v>
      </c>
      <c r="AJ895" s="42">
        <f t="shared" si="292"/>
        <v>0.11</v>
      </c>
      <c r="AK895" s="41">
        <f t="shared" si="293"/>
        <v>2738.68</v>
      </c>
      <c r="AL895" s="39">
        <f>RANK(E895,$E$2:$E$1001,0)+COUNTIF($E$2:E895,E895)-1</f>
        <v>794</v>
      </c>
    </row>
    <row r="896" spans="1:38" x14ac:dyDescent="0.2">
      <c r="A896" s="39">
        <v>1006</v>
      </c>
      <c r="B896" s="40">
        <v>45074</v>
      </c>
      <c r="C896" s="39" t="s">
        <v>66</v>
      </c>
      <c r="D896" s="39" t="s">
        <v>64</v>
      </c>
      <c r="E896" s="41">
        <v>8109.33</v>
      </c>
      <c r="F896" s="39">
        <v>11</v>
      </c>
      <c r="G896" s="39" t="s">
        <v>70</v>
      </c>
      <c r="H896" s="41">
        <v>4562.58</v>
      </c>
      <c r="I896" s="41">
        <v>4925.17</v>
      </c>
      <c r="J896" s="39" t="s">
        <v>143</v>
      </c>
      <c r="K896" s="42">
        <v>0.23</v>
      </c>
      <c r="L896" s="39" t="s">
        <v>68</v>
      </c>
      <c r="M896" s="39" t="s">
        <v>140</v>
      </c>
      <c r="N896" s="39" t="s">
        <v>139</v>
      </c>
      <c r="O896" s="43">
        <f t="shared" si="273"/>
        <v>54176.87</v>
      </c>
      <c r="P896" s="43">
        <f t="shared" si="274"/>
        <v>41716.19</v>
      </c>
      <c r="Q896" s="43">
        <f t="shared" si="275"/>
        <v>50188.38</v>
      </c>
      <c r="R896" s="43">
        <f t="shared" si="276"/>
        <v>-8472.1899999999951</v>
      </c>
      <c r="S896" s="44">
        <f t="shared" si="277"/>
        <v>-0.20309117395428478</v>
      </c>
      <c r="T896" s="39" t="str">
        <f t="shared" si="278"/>
        <v>Loss</v>
      </c>
      <c r="U896" s="39" t="str">
        <f t="shared" si="279"/>
        <v>20%+</v>
      </c>
      <c r="V896" s="39" t="str">
        <f>IF(E896&gt;=Analysis!$B$4,"High",IF(E896&gt;=Analysis!$B$5,"Mid","Low"))</f>
        <v>High</v>
      </c>
      <c r="W896" s="39" t="str">
        <f t="shared" si="280"/>
        <v>2023-05</v>
      </c>
      <c r="X896" s="40">
        <f t="shared" si="281"/>
        <v>45077</v>
      </c>
      <c r="Y896" s="39" t="str">
        <f t="shared" si="282"/>
        <v>2023-Q2</v>
      </c>
      <c r="Z896" s="39" t="str">
        <f t="shared" si="283"/>
        <v>Sun</v>
      </c>
      <c r="AA896" s="39">
        <f t="shared" si="284"/>
        <v>7</v>
      </c>
      <c r="AB896" s="39">
        <f t="shared" si="285"/>
        <v>22</v>
      </c>
      <c r="AC896" s="39" t="str">
        <f t="shared" si="286"/>
        <v>Weekend</v>
      </c>
      <c r="AD896" s="39">
        <f t="shared" ca="1" si="287"/>
        <v>1245</v>
      </c>
      <c r="AE896" s="39">
        <f t="shared" ca="1" si="288"/>
        <v>40</v>
      </c>
      <c r="AF896" s="39" t="str">
        <f t="shared" si="289"/>
        <v>BOB</v>
      </c>
      <c r="AG896" s="39" t="str">
        <f t="shared" si="290"/>
        <v>NR-230528-0895</v>
      </c>
      <c r="AH896" s="39" t="str">
        <f>IF(AND(OR(Filter!$B$4="All",D896=Filter!$B$4),OR(Filter!$B$5="All",M896=Filter!$B$5),E896&gt;=Filter!$B$6),MAX(AH$1:AH895)+1,"")</f>
        <v/>
      </c>
      <c r="AI896" s="39">
        <f t="shared" si="291"/>
        <v>11</v>
      </c>
      <c r="AJ896" s="42">
        <f t="shared" si="292"/>
        <v>0.23</v>
      </c>
      <c r="AK896" s="41">
        <f t="shared" si="293"/>
        <v>4925.17</v>
      </c>
      <c r="AL896" s="39">
        <f>RANK(E896,$E$2:$E$1001,0)+COUNTIF($E$2:E896,E896)-1</f>
        <v>178</v>
      </c>
    </row>
    <row r="897" spans="1:38" x14ac:dyDescent="0.2">
      <c r="A897" s="39">
        <v>1053</v>
      </c>
      <c r="B897" s="40">
        <v>45087</v>
      </c>
      <c r="C897" s="39" t="s">
        <v>71</v>
      </c>
      <c r="D897" s="39" t="s">
        <v>59</v>
      </c>
      <c r="E897" s="41">
        <v>1554.53</v>
      </c>
      <c r="F897" s="39">
        <v>39</v>
      </c>
      <c r="G897" s="39" t="s">
        <v>75</v>
      </c>
      <c r="H897" s="41">
        <v>4643.67</v>
      </c>
      <c r="I897" s="41">
        <v>4829.5200000000004</v>
      </c>
      <c r="J897" s="39" t="s">
        <v>137</v>
      </c>
      <c r="K897" s="42">
        <v>0.17</v>
      </c>
      <c r="L897" s="39" t="s">
        <v>63</v>
      </c>
      <c r="M897" s="39" t="s">
        <v>138</v>
      </c>
      <c r="N897" s="39" t="s">
        <v>145</v>
      </c>
      <c r="O897" s="43">
        <f t="shared" si="273"/>
        <v>188351.28</v>
      </c>
      <c r="P897" s="43">
        <f t="shared" si="274"/>
        <v>156331.56</v>
      </c>
      <c r="Q897" s="43">
        <f t="shared" si="275"/>
        <v>181103.13</v>
      </c>
      <c r="R897" s="43">
        <f t="shared" si="276"/>
        <v>-24771.570000000007</v>
      </c>
      <c r="S897" s="44">
        <f t="shared" si="277"/>
        <v>-0.15845533684945001</v>
      </c>
      <c r="T897" s="39" t="str">
        <f t="shared" si="278"/>
        <v>Loss</v>
      </c>
      <c r="U897" s="39" t="str">
        <f t="shared" si="279"/>
        <v>10-19%</v>
      </c>
      <c r="V897" s="39" t="str">
        <f>IF(E897&gt;=Analysis!$B$4,"High",IF(E897&gt;=Analysis!$B$5,"Mid","Low"))</f>
        <v>Low</v>
      </c>
      <c r="W897" s="39" t="str">
        <f t="shared" si="280"/>
        <v>2023-06</v>
      </c>
      <c r="X897" s="40">
        <f t="shared" si="281"/>
        <v>45107</v>
      </c>
      <c r="Y897" s="39" t="str">
        <f t="shared" si="282"/>
        <v>2023-Q2</v>
      </c>
      <c r="Z897" s="39" t="str">
        <f t="shared" si="283"/>
        <v>Sat</v>
      </c>
      <c r="AA897" s="39">
        <f t="shared" si="284"/>
        <v>6</v>
      </c>
      <c r="AB897" s="39">
        <f t="shared" si="285"/>
        <v>24</v>
      </c>
      <c r="AC897" s="39" t="str">
        <f t="shared" si="286"/>
        <v>Weekend</v>
      </c>
      <c r="AD897" s="39">
        <f t="shared" ca="1" si="287"/>
        <v>1232</v>
      </c>
      <c r="AE897" s="39">
        <f t="shared" ca="1" si="288"/>
        <v>40</v>
      </c>
      <c r="AF897" s="39" t="str">
        <f t="shared" si="289"/>
        <v>CHA</v>
      </c>
      <c r="AG897" s="39" t="str">
        <f t="shared" si="290"/>
        <v>EO-230610-0896</v>
      </c>
      <c r="AH897" s="39" t="str">
        <f>IF(AND(OR(Filter!$B$4="All",D897=Filter!$B$4),OR(Filter!$B$5="All",M897=Filter!$B$5),E897&gt;=Filter!$B$6),MAX(AH$1:AH896)+1,"")</f>
        <v/>
      </c>
      <c r="AI897" s="39">
        <f t="shared" si="291"/>
        <v>39</v>
      </c>
      <c r="AJ897" s="42">
        <f t="shared" si="292"/>
        <v>0.17</v>
      </c>
      <c r="AK897" s="41">
        <f t="shared" si="293"/>
        <v>4829.5200000000004</v>
      </c>
      <c r="AL897" s="39">
        <f>RANK(E897,$E$2:$E$1001,0)+COUNTIF($E$2:E897,E897)-1</f>
        <v>865</v>
      </c>
    </row>
    <row r="898" spans="1:38" x14ac:dyDescent="0.2">
      <c r="A898" s="39">
        <v>1066</v>
      </c>
      <c r="B898" s="40">
        <v>45128</v>
      </c>
      <c r="C898" s="39" t="s">
        <v>71</v>
      </c>
      <c r="D898" s="39" t="s">
        <v>59</v>
      </c>
      <c r="E898" s="41">
        <v>3492.19</v>
      </c>
      <c r="F898" s="39">
        <v>4</v>
      </c>
      <c r="G898" s="39" t="s">
        <v>75</v>
      </c>
      <c r="H898" s="41">
        <v>868.83</v>
      </c>
      <c r="I898" s="41">
        <v>1177.75</v>
      </c>
      <c r="J898" s="39" t="s">
        <v>137</v>
      </c>
      <c r="K898" s="42">
        <v>0.21</v>
      </c>
      <c r="L898" s="39" t="s">
        <v>73</v>
      </c>
      <c r="M898" s="39" t="s">
        <v>140</v>
      </c>
      <c r="N898" s="39" t="s">
        <v>145</v>
      </c>
      <c r="O898" s="43">
        <f t="shared" ref="O898:O961" si="294">ROUND(F898*I898,2)</f>
        <v>4711</v>
      </c>
      <c r="P898" s="43">
        <f t="shared" ref="P898:P961" si="295">ROUND(F898*I898*(1-K898),2)</f>
        <v>3721.69</v>
      </c>
      <c r="Q898" s="43">
        <f t="shared" ref="Q898:Q961" si="296">ROUND(F898*H898,2)</f>
        <v>3475.32</v>
      </c>
      <c r="R898" s="43">
        <f t="shared" ref="R898:R961" si="297">P898-Q898</f>
        <v>246.36999999999989</v>
      </c>
      <c r="S898" s="44">
        <f t="shared" ref="S898:S961" si="298">IF(P898=0,0,R898/P898)</f>
        <v>6.6198420609991662E-2</v>
      </c>
      <c r="T898" s="39" t="str">
        <f t="shared" ref="T898:T961" si="299">IF(R898&lt;0,"Loss","OK")</f>
        <v>OK</v>
      </c>
      <c r="U898" s="39" t="str">
        <f t="shared" ref="U898:U961" si="300">IF(K898&lt;0.1,"0-9%",IF(K898&lt;0.2,"10-19%","20%+"))</f>
        <v>20%+</v>
      </c>
      <c r="V898" s="39" t="str">
        <f>IF(E898&gt;=Analysis!$B$4,"High",IF(E898&gt;=Analysis!$B$5,"Mid","Low"))</f>
        <v>Mid</v>
      </c>
      <c r="W898" s="39" t="str">
        <f t="shared" ref="W898:W961" si="301">TEXT(B898,"yyyy-mm")</f>
        <v>2023-07</v>
      </c>
      <c r="X898" s="40">
        <f t="shared" ref="X898:X961" si="302">EOMONTH(B898,0)</f>
        <v>45138</v>
      </c>
      <c r="Y898" s="39" t="str">
        <f t="shared" ref="Y898:Y961" si="303">YEAR(B898)&amp;"-Q"&amp;ROUNDUP(MONTH(B898)/3,0)</f>
        <v>2023-Q3</v>
      </c>
      <c r="Z898" s="39" t="str">
        <f t="shared" ref="Z898:Z961" si="304">TEXT(B898,"ddd")</f>
        <v>Fri</v>
      </c>
      <c r="AA898" s="39">
        <f t="shared" ref="AA898:AA961" si="305">WEEKDAY(B898,2)</f>
        <v>5</v>
      </c>
      <c r="AB898" s="39">
        <f t="shared" ref="AB898:AB961" si="306">WEEKNUM(B898,2)</f>
        <v>30</v>
      </c>
      <c r="AC898" s="39" t="str">
        <f t="shared" ref="AC898:AC961" si="307">IF(AA898&gt;5,"Weekend","Weekday")</f>
        <v>Weekday</v>
      </c>
      <c r="AD898" s="39">
        <f t="shared" ref="AD898:AD961" ca="1" si="308">TODAY()-B898</f>
        <v>1191</v>
      </c>
      <c r="AE898" s="39">
        <f t="shared" ref="AE898:AE961" ca="1" si="309">DATEDIF(B898,TODAY(),"M")</f>
        <v>39</v>
      </c>
      <c r="AF898" s="39" t="str">
        <f t="shared" ref="AF898:AF961" si="310">UPPER(LEFT(C898,3))</f>
        <v>CHA</v>
      </c>
      <c r="AG898" s="39" t="str">
        <f t="shared" ref="AG898:AG961" si="311">UPPER(LEFT(D898,1))&amp;UPPER(LEFT(M898,1))&amp;"-"&amp;TEXT(B898,"yymmdd")&amp;"-"&amp;TEXT(ROW()-1,"0000")</f>
        <v>ER-230721-0897</v>
      </c>
      <c r="AH898" s="39" t="str">
        <f>IF(AND(OR(Filter!$B$4="All",D898=Filter!$B$4),OR(Filter!$B$5="All",M898=Filter!$B$5),E898&gt;=Filter!$B$6),MAX(AH$1:AH897)+1,"")</f>
        <v/>
      </c>
      <c r="AI898" s="39">
        <f t="shared" ref="AI898:AI961" si="312">F898</f>
        <v>4</v>
      </c>
      <c r="AJ898" s="42">
        <f t="shared" ref="AJ898:AJ961" si="313">K898</f>
        <v>0.21</v>
      </c>
      <c r="AK898" s="41">
        <f t="shared" ref="AK898:AK961" si="314">I898</f>
        <v>1177.75</v>
      </c>
      <c r="AL898" s="39">
        <f>RANK(E898,$E$2:$E$1001,0)+COUNTIF($E$2:E898,E898)-1</f>
        <v>650</v>
      </c>
    </row>
    <row r="899" spans="1:38" x14ac:dyDescent="0.2">
      <c r="A899" s="39">
        <v>1077</v>
      </c>
      <c r="B899" s="40">
        <v>45168</v>
      </c>
      <c r="C899" s="39" t="s">
        <v>61</v>
      </c>
      <c r="D899" s="39" t="s">
        <v>74</v>
      </c>
      <c r="E899" s="41">
        <v>8660.1200000000008</v>
      </c>
      <c r="F899" s="39">
        <v>25</v>
      </c>
      <c r="G899" s="39" t="s">
        <v>65</v>
      </c>
      <c r="H899" s="41">
        <v>61.5</v>
      </c>
      <c r="I899" s="41">
        <v>258.92</v>
      </c>
      <c r="J899" s="39" t="s">
        <v>143</v>
      </c>
      <c r="K899" s="42">
        <v>0.17</v>
      </c>
      <c r="L899" s="39" t="s">
        <v>73</v>
      </c>
      <c r="M899" s="39" t="s">
        <v>138</v>
      </c>
      <c r="N899" s="39" t="s">
        <v>158</v>
      </c>
      <c r="O899" s="43">
        <f t="shared" si="294"/>
        <v>6473</v>
      </c>
      <c r="P899" s="43">
        <f t="shared" si="295"/>
        <v>5372.59</v>
      </c>
      <c r="Q899" s="43">
        <f t="shared" si="296"/>
        <v>1537.5</v>
      </c>
      <c r="R899" s="43">
        <f t="shared" si="297"/>
        <v>3835.09</v>
      </c>
      <c r="S899" s="44">
        <f t="shared" si="298"/>
        <v>0.71382517556709146</v>
      </c>
      <c r="T899" s="39" t="str">
        <f t="shared" si="299"/>
        <v>OK</v>
      </c>
      <c r="U899" s="39" t="str">
        <f t="shared" si="300"/>
        <v>10-19%</v>
      </c>
      <c r="V899" s="39" t="str">
        <f>IF(E899&gt;=Analysis!$B$4,"High",IF(E899&gt;=Analysis!$B$5,"Mid","Low"))</f>
        <v>High</v>
      </c>
      <c r="W899" s="39" t="str">
        <f t="shared" si="301"/>
        <v>2023-08</v>
      </c>
      <c r="X899" s="40">
        <f t="shared" si="302"/>
        <v>45169</v>
      </c>
      <c r="Y899" s="39" t="str">
        <f t="shared" si="303"/>
        <v>2023-Q3</v>
      </c>
      <c r="Z899" s="39" t="str">
        <f t="shared" si="304"/>
        <v>Wed</v>
      </c>
      <c r="AA899" s="39">
        <f t="shared" si="305"/>
        <v>3</v>
      </c>
      <c r="AB899" s="39">
        <f t="shared" si="306"/>
        <v>36</v>
      </c>
      <c r="AC899" s="39" t="str">
        <f t="shared" si="307"/>
        <v>Weekday</v>
      </c>
      <c r="AD899" s="39">
        <f t="shared" ca="1" si="308"/>
        <v>1151</v>
      </c>
      <c r="AE899" s="39">
        <f t="shared" ca="1" si="309"/>
        <v>37</v>
      </c>
      <c r="AF899" s="39" t="str">
        <f t="shared" si="310"/>
        <v>ALI</v>
      </c>
      <c r="AG899" s="39" t="str">
        <f t="shared" si="311"/>
        <v>WO-230830-0898</v>
      </c>
      <c r="AH899" s="39" t="str">
        <f>IF(AND(OR(Filter!$B$4="All",D899=Filter!$B$4),OR(Filter!$B$5="All",M899=Filter!$B$5),E899&gt;=Filter!$B$6),MAX(AH$1:AH898)+1,"")</f>
        <v/>
      </c>
      <c r="AI899" s="39">
        <f t="shared" si="312"/>
        <v>25</v>
      </c>
      <c r="AJ899" s="42">
        <f t="shared" si="313"/>
        <v>0.17</v>
      </c>
      <c r="AK899" s="41">
        <f t="shared" si="314"/>
        <v>258.92</v>
      </c>
      <c r="AL899" s="39">
        <f>RANK(E899,$E$2:$E$1001,0)+COUNTIF($E$2:E899,E899)-1</f>
        <v>124</v>
      </c>
    </row>
    <row r="900" spans="1:38" x14ac:dyDescent="0.2">
      <c r="A900" s="39">
        <v>1043</v>
      </c>
      <c r="B900" s="40">
        <v>45279</v>
      </c>
      <c r="C900" s="39" t="s">
        <v>79</v>
      </c>
      <c r="D900" s="39" t="s">
        <v>69</v>
      </c>
      <c r="E900" s="41">
        <v>1633.76</v>
      </c>
      <c r="F900" s="39">
        <v>12</v>
      </c>
      <c r="G900" s="39" t="s">
        <v>65</v>
      </c>
      <c r="H900" s="41">
        <v>4920.46</v>
      </c>
      <c r="I900" s="41">
        <v>5079.68</v>
      </c>
      <c r="J900" s="39" t="s">
        <v>143</v>
      </c>
      <c r="K900" s="42">
        <v>0.21</v>
      </c>
      <c r="L900" s="39" t="s">
        <v>73</v>
      </c>
      <c r="M900" s="39" t="s">
        <v>140</v>
      </c>
      <c r="N900" s="39" t="s">
        <v>147</v>
      </c>
      <c r="O900" s="43">
        <f t="shared" si="294"/>
        <v>60956.160000000003</v>
      </c>
      <c r="P900" s="43">
        <f t="shared" si="295"/>
        <v>48155.37</v>
      </c>
      <c r="Q900" s="43">
        <f t="shared" si="296"/>
        <v>59045.52</v>
      </c>
      <c r="R900" s="43">
        <f t="shared" si="297"/>
        <v>-10890.149999999994</v>
      </c>
      <c r="S900" s="44">
        <f t="shared" si="298"/>
        <v>-0.22614611828338135</v>
      </c>
      <c r="T900" s="39" t="str">
        <f t="shared" si="299"/>
        <v>Loss</v>
      </c>
      <c r="U900" s="39" t="str">
        <f t="shared" si="300"/>
        <v>20%+</v>
      </c>
      <c r="V900" s="39" t="str">
        <f>IF(E900&gt;=Analysis!$B$4,"High",IF(E900&gt;=Analysis!$B$5,"Mid","Low"))</f>
        <v>Low</v>
      </c>
      <c r="W900" s="39" t="str">
        <f t="shared" si="301"/>
        <v>2023-12</v>
      </c>
      <c r="X900" s="40">
        <f t="shared" si="302"/>
        <v>45291</v>
      </c>
      <c r="Y900" s="39" t="str">
        <f t="shared" si="303"/>
        <v>2023-Q4</v>
      </c>
      <c r="Z900" s="39" t="str">
        <f t="shared" si="304"/>
        <v>Tue</v>
      </c>
      <c r="AA900" s="39">
        <f t="shared" si="305"/>
        <v>2</v>
      </c>
      <c r="AB900" s="39">
        <f t="shared" si="306"/>
        <v>52</v>
      </c>
      <c r="AC900" s="39" t="str">
        <f t="shared" si="307"/>
        <v>Weekday</v>
      </c>
      <c r="AD900" s="39">
        <f t="shared" ca="1" si="308"/>
        <v>1040</v>
      </c>
      <c r="AE900" s="39">
        <f t="shared" ca="1" si="309"/>
        <v>34</v>
      </c>
      <c r="AF900" s="39" t="str">
        <f t="shared" si="310"/>
        <v>EVE</v>
      </c>
      <c r="AG900" s="39" t="str">
        <f t="shared" si="311"/>
        <v>SR-231219-0899</v>
      </c>
      <c r="AH900" s="39" t="str">
        <f>IF(AND(OR(Filter!$B$4="All",D900=Filter!$B$4),OR(Filter!$B$5="All",M900=Filter!$B$5),E900&gt;=Filter!$B$6),MAX(AH$1:AH899)+1,"")</f>
        <v/>
      </c>
      <c r="AI900" s="39">
        <f t="shared" si="312"/>
        <v>12</v>
      </c>
      <c r="AJ900" s="42">
        <f t="shared" si="313"/>
        <v>0.21</v>
      </c>
      <c r="AK900" s="41">
        <f t="shared" si="314"/>
        <v>5079.68</v>
      </c>
      <c r="AL900" s="39">
        <f>RANK(E900,$E$2:$E$1001,0)+COUNTIF($E$2:E900,E900)-1</f>
        <v>856</v>
      </c>
    </row>
    <row r="901" spans="1:38" x14ac:dyDescent="0.2">
      <c r="A901" s="39">
        <v>1075</v>
      </c>
      <c r="B901" s="40">
        <v>44928</v>
      </c>
      <c r="C901" s="39" t="s">
        <v>76</v>
      </c>
      <c r="D901" s="39" t="s">
        <v>74</v>
      </c>
      <c r="E901" s="41">
        <v>919.09</v>
      </c>
      <c r="F901" s="39">
        <v>26</v>
      </c>
      <c r="G901" s="39" t="s">
        <v>65</v>
      </c>
      <c r="H901" s="41">
        <v>4535.38</v>
      </c>
      <c r="I901" s="41">
        <v>4557.5600000000004</v>
      </c>
      <c r="J901" s="39" t="s">
        <v>143</v>
      </c>
      <c r="K901" s="42">
        <v>0</v>
      </c>
      <c r="L901" s="39" t="s">
        <v>73</v>
      </c>
      <c r="M901" s="39" t="s">
        <v>138</v>
      </c>
      <c r="N901" s="39" t="s">
        <v>154</v>
      </c>
      <c r="O901" s="43">
        <f t="shared" si="294"/>
        <v>118496.56</v>
      </c>
      <c r="P901" s="43">
        <f t="shared" si="295"/>
        <v>118496.56</v>
      </c>
      <c r="Q901" s="43">
        <f t="shared" si="296"/>
        <v>117919.88</v>
      </c>
      <c r="R901" s="43">
        <f t="shared" si="297"/>
        <v>576.67999999999302</v>
      </c>
      <c r="S901" s="44">
        <f t="shared" si="298"/>
        <v>4.8666391665715281E-3</v>
      </c>
      <c r="T901" s="39" t="str">
        <f t="shared" si="299"/>
        <v>OK</v>
      </c>
      <c r="U901" s="39" t="str">
        <f t="shared" si="300"/>
        <v>0-9%</v>
      </c>
      <c r="V901" s="39" t="str">
        <f>IF(E901&gt;=Analysis!$B$4,"High",IF(E901&gt;=Analysis!$B$5,"Mid","Low"))</f>
        <v>Low</v>
      </c>
      <c r="W901" s="39" t="str">
        <f t="shared" si="301"/>
        <v>2023-01</v>
      </c>
      <c r="X901" s="40">
        <f t="shared" si="302"/>
        <v>44957</v>
      </c>
      <c r="Y901" s="39" t="str">
        <f t="shared" si="303"/>
        <v>2023-Q1</v>
      </c>
      <c r="Z901" s="39" t="str">
        <f t="shared" si="304"/>
        <v>Mon</v>
      </c>
      <c r="AA901" s="39">
        <f t="shared" si="305"/>
        <v>1</v>
      </c>
      <c r="AB901" s="39">
        <f t="shared" si="306"/>
        <v>2</v>
      </c>
      <c r="AC901" s="39" t="str">
        <f t="shared" si="307"/>
        <v>Weekday</v>
      </c>
      <c r="AD901" s="39">
        <f t="shared" ca="1" si="308"/>
        <v>1391</v>
      </c>
      <c r="AE901" s="39">
        <f t="shared" ca="1" si="309"/>
        <v>45</v>
      </c>
      <c r="AF901" s="39" t="str">
        <f t="shared" si="310"/>
        <v>DAV</v>
      </c>
      <c r="AG901" s="39" t="str">
        <f t="shared" si="311"/>
        <v>WO-230102-0900</v>
      </c>
      <c r="AH901" s="39" t="str">
        <f>IF(AND(OR(Filter!$B$4="All",D901=Filter!$B$4),OR(Filter!$B$5="All",M901=Filter!$B$5),E901&gt;=Filter!$B$6),MAX(AH$1:AH900)+1,"")</f>
        <v/>
      </c>
      <c r="AI901" s="39">
        <f t="shared" si="312"/>
        <v>26</v>
      </c>
      <c r="AJ901" s="42">
        <f t="shared" si="313"/>
        <v>0</v>
      </c>
      <c r="AK901" s="41">
        <f t="shared" si="314"/>
        <v>4557.5600000000004</v>
      </c>
      <c r="AL901" s="39">
        <f>RANK(E901,$E$2:$E$1001,0)+COUNTIF($E$2:E901,E901)-1</f>
        <v>910</v>
      </c>
    </row>
    <row r="902" spans="1:38" x14ac:dyDescent="0.2">
      <c r="A902" s="39">
        <v>1023</v>
      </c>
      <c r="B902" s="40">
        <v>45151</v>
      </c>
      <c r="C902" s="39" t="s">
        <v>66</v>
      </c>
      <c r="D902" s="39" t="s">
        <v>59</v>
      </c>
      <c r="E902" s="41">
        <v>4896.93</v>
      </c>
      <c r="F902" s="39">
        <v>38</v>
      </c>
      <c r="G902" s="39" t="s">
        <v>60</v>
      </c>
      <c r="H902" s="41">
        <v>324.45</v>
      </c>
      <c r="I902" s="41">
        <v>336.37</v>
      </c>
      <c r="J902" s="39" t="s">
        <v>143</v>
      </c>
      <c r="K902" s="42">
        <v>0.28000000000000003</v>
      </c>
      <c r="L902" s="39" t="s">
        <v>73</v>
      </c>
      <c r="M902" s="39" t="s">
        <v>140</v>
      </c>
      <c r="N902" s="39" t="s">
        <v>153</v>
      </c>
      <c r="O902" s="43">
        <f t="shared" si="294"/>
        <v>12782.06</v>
      </c>
      <c r="P902" s="43">
        <f t="shared" si="295"/>
        <v>9203.08</v>
      </c>
      <c r="Q902" s="43">
        <f t="shared" si="296"/>
        <v>12329.1</v>
      </c>
      <c r="R902" s="43">
        <f t="shared" si="297"/>
        <v>-3126.0200000000004</v>
      </c>
      <c r="S902" s="44">
        <f t="shared" si="298"/>
        <v>-0.33967106664290658</v>
      </c>
      <c r="T902" s="39" t="str">
        <f t="shared" si="299"/>
        <v>Loss</v>
      </c>
      <c r="U902" s="39" t="str">
        <f t="shared" si="300"/>
        <v>20%+</v>
      </c>
      <c r="V902" s="39" t="str">
        <f>IF(E902&gt;=Analysis!$B$4,"High",IF(E902&gt;=Analysis!$B$5,"Mid","Low"))</f>
        <v>Mid</v>
      </c>
      <c r="W902" s="39" t="str">
        <f t="shared" si="301"/>
        <v>2023-08</v>
      </c>
      <c r="X902" s="40">
        <f t="shared" si="302"/>
        <v>45169</v>
      </c>
      <c r="Y902" s="39" t="str">
        <f t="shared" si="303"/>
        <v>2023-Q3</v>
      </c>
      <c r="Z902" s="39" t="str">
        <f t="shared" si="304"/>
        <v>Sun</v>
      </c>
      <c r="AA902" s="39">
        <f t="shared" si="305"/>
        <v>7</v>
      </c>
      <c r="AB902" s="39">
        <f t="shared" si="306"/>
        <v>33</v>
      </c>
      <c r="AC902" s="39" t="str">
        <f t="shared" si="307"/>
        <v>Weekend</v>
      </c>
      <c r="AD902" s="39">
        <f t="shared" ca="1" si="308"/>
        <v>1168</v>
      </c>
      <c r="AE902" s="39">
        <f t="shared" ca="1" si="309"/>
        <v>38</v>
      </c>
      <c r="AF902" s="39" t="str">
        <f t="shared" si="310"/>
        <v>BOB</v>
      </c>
      <c r="AG902" s="39" t="str">
        <f t="shared" si="311"/>
        <v>ER-230813-0901</v>
      </c>
      <c r="AH902" s="39" t="str">
        <f>IF(AND(OR(Filter!$B$4="All",D902=Filter!$B$4),OR(Filter!$B$5="All",M902=Filter!$B$5),E902&gt;=Filter!$B$6),MAX(AH$1:AH901)+1,"")</f>
        <v/>
      </c>
      <c r="AI902" s="39">
        <f t="shared" si="312"/>
        <v>38</v>
      </c>
      <c r="AJ902" s="42">
        <f t="shared" si="313"/>
        <v>0.28000000000000003</v>
      </c>
      <c r="AK902" s="41">
        <f t="shared" si="314"/>
        <v>336.37</v>
      </c>
      <c r="AL902" s="39">
        <f>RANK(E902,$E$2:$E$1001,0)+COUNTIF($E$2:E902,E902)-1</f>
        <v>512</v>
      </c>
    </row>
    <row r="903" spans="1:38" x14ac:dyDescent="0.2">
      <c r="A903" s="39">
        <v>1055</v>
      </c>
      <c r="B903" s="40">
        <v>45215</v>
      </c>
      <c r="C903" s="39" t="s">
        <v>76</v>
      </c>
      <c r="D903" s="39" t="s">
        <v>59</v>
      </c>
      <c r="E903" s="41">
        <v>3093.95</v>
      </c>
      <c r="F903" s="39">
        <v>46</v>
      </c>
      <c r="G903" s="39" t="s">
        <v>60</v>
      </c>
      <c r="H903" s="41">
        <v>4173.5200000000004</v>
      </c>
      <c r="I903" s="41">
        <v>4294.8500000000004</v>
      </c>
      <c r="J903" s="39" t="s">
        <v>137</v>
      </c>
      <c r="K903" s="42">
        <v>0.03</v>
      </c>
      <c r="L903" s="39" t="s">
        <v>63</v>
      </c>
      <c r="M903" s="39" t="s">
        <v>140</v>
      </c>
      <c r="N903" s="39" t="s">
        <v>157</v>
      </c>
      <c r="O903" s="43">
        <f t="shared" si="294"/>
        <v>197563.1</v>
      </c>
      <c r="P903" s="43">
        <f t="shared" si="295"/>
        <v>191636.21</v>
      </c>
      <c r="Q903" s="43">
        <f t="shared" si="296"/>
        <v>191981.92</v>
      </c>
      <c r="R903" s="43">
        <f t="shared" si="297"/>
        <v>-345.71000000002095</v>
      </c>
      <c r="S903" s="44">
        <f t="shared" si="298"/>
        <v>-1.8039910098410993E-3</v>
      </c>
      <c r="T903" s="39" t="str">
        <f t="shared" si="299"/>
        <v>Loss</v>
      </c>
      <c r="U903" s="39" t="str">
        <f t="shared" si="300"/>
        <v>0-9%</v>
      </c>
      <c r="V903" s="39" t="str">
        <f>IF(E903&gt;=Analysis!$B$4,"High",IF(E903&gt;=Analysis!$B$5,"Mid","Low"))</f>
        <v>Mid</v>
      </c>
      <c r="W903" s="39" t="str">
        <f t="shared" si="301"/>
        <v>2023-10</v>
      </c>
      <c r="X903" s="40">
        <f t="shared" si="302"/>
        <v>45230</v>
      </c>
      <c r="Y903" s="39" t="str">
        <f t="shared" si="303"/>
        <v>2023-Q4</v>
      </c>
      <c r="Z903" s="39" t="str">
        <f t="shared" si="304"/>
        <v>Mon</v>
      </c>
      <c r="AA903" s="39">
        <f t="shared" si="305"/>
        <v>1</v>
      </c>
      <c r="AB903" s="39">
        <f t="shared" si="306"/>
        <v>43</v>
      </c>
      <c r="AC903" s="39" t="str">
        <f t="shared" si="307"/>
        <v>Weekday</v>
      </c>
      <c r="AD903" s="39">
        <f t="shared" ca="1" si="308"/>
        <v>1104</v>
      </c>
      <c r="AE903" s="39">
        <f t="shared" ca="1" si="309"/>
        <v>36</v>
      </c>
      <c r="AF903" s="39" t="str">
        <f t="shared" si="310"/>
        <v>DAV</v>
      </c>
      <c r="AG903" s="39" t="str">
        <f t="shared" si="311"/>
        <v>ER-231016-0902</v>
      </c>
      <c r="AH903" s="39" t="str">
        <f>IF(AND(OR(Filter!$B$4="All",D903=Filter!$B$4),OR(Filter!$B$5="All",M903=Filter!$B$5),E903&gt;=Filter!$B$6),MAX(AH$1:AH902)+1,"")</f>
        <v/>
      </c>
      <c r="AI903" s="39">
        <f t="shared" si="312"/>
        <v>46</v>
      </c>
      <c r="AJ903" s="42">
        <f t="shared" si="313"/>
        <v>0.03</v>
      </c>
      <c r="AK903" s="41">
        <f t="shared" si="314"/>
        <v>4294.8500000000004</v>
      </c>
      <c r="AL903" s="39">
        <f>RANK(E903,$E$2:$E$1001,0)+COUNTIF($E$2:E903,E903)-1</f>
        <v>686</v>
      </c>
    </row>
    <row r="904" spans="1:38" x14ac:dyDescent="0.2">
      <c r="A904" s="39">
        <v>1080</v>
      </c>
      <c r="B904" s="40">
        <v>45159</v>
      </c>
      <c r="C904" s="39" t="s">
        <v>76</v>
      </c>
      <c r="D904" s="39" t="s">
        <v>69</v>
      </c>
      <c r="E904" s="41">
        <v>5677.74</v>
      </c>
      <c r="F904" s="39">
        <v>12</v>
      </c>
      <c r="G904" s="39" t="s">
        <v>65</v>
      </c>
      <c r="H904" s="41">
        <v>2316.13</v>
      </c>
      <c r="I904" s="41">
        <v>2525.27</v>
      </c>
      <c r="J904" s="39" t="s">
        <v>137</v>
      </c>
      <c r="K904" s="42">
        <v>0.12</v>
      </c>
      <c r="L904" s="39" t="s">
        <v>73</v>
      </c>
      <c r="M904" s="39" t="s">
        <v>140</v>
      </c>
      <c r="N904" s="39" t="s">
        <v>142</v>
      </c>
      <c r="O904" s="43">
        <f t="shared" si="294"/>
        <v>30303.24</v>
      </c>
      <c r="P904" s="43">
        <f t="shared" si="295"/>
        <v>26666.85</v>
      </c>
      <c r="Q904" s="43">
        <f t="shared" si="296"/>
        <v>27793.56</v>
      </c>
      <c r="R904" s="43">
        <f t="shared" si="297"/>
        <v>-1126.7100000000028</v>
      </c>
      <c r="S904" s="44">
        <f t="shared" si="298"/>
        <v>-4.2251334522075266E-2</v>
      </c>
      <c r="T904" s="39" t="str">
        <f t="shared" si="299"/>
        <v>Loss</v>
      </c>
      <c r="U904" s="39" t="str">
        <f t="shared" si="300"/>
        <v>10-19%</v>
      </c>
      <c r="V904" s="39" t="str">
        <f>IF(E904&gt;=Analysis!$B$4,"High",IF(E904&gt;=Analysis!$B$5,"Mid","Low"))</f>
        <v>Mid</v>
      </c>
      <c r="W904" s="39" t="str">
        <f t="shared" si="301"/>
        <v>2023-08</v>
      </c>
      <c r="X904" s="40">
        <f t="shared" si="302"/>
        <v>45169</v>
      </c>
      <c r="Y904" s="39" t="str">
        <f t="shared" si="303"/>
        <v>2023-Q3</v>
      </c>
      <c r="Z904" s="39" t="str">
        <f t="shared" si="304"/>
        <v>Mon</v>
      </c>
      <c r="AA904" s="39">
        <f t="shared" si="305"/>
        <v>1</v>
      </c>
      <c r="AB904" s="39">
        <f t="shared" si="306"/>
        <v>35</v>
      </c>
      <c r="AC904" s="39" t="str">
        <f t="shared" si="307"/>
        <v>Weekday</v>
      </c>
      <c r="AD904" s="39">
        <f t="shared" ca="1" si="308"/>
        <v>1160</v>
      </c>
      <c r="AE904" s="39">
        <f t="shared" ca="1" si="309"/>
        <v>38</v>
      </c>
      <c r="AF904" s="39" t="str">
        <f t="shared" si="310"/>
        <v>DAV</v>
      </c>
      <c r="AG904" s="39" t="str">
        <f t="shared" si="311"/>
        <v>SR-230821-0903</v>
      </c>
      <c r="AH904" s="39" t="str">
        <f>IF(AND(OR(Filter!$B$4="All",D904=Filter!$B$4),OR(Filter!$B$5="All",M904=Filter!$B$5),E904&gt;=Filter!$B$6),MAX(AH$1:AH903)+1,"")</f>
        <v/>
      </c>
      <c r="AI904" s="39">
        <f t="shared" si="312"/>
        <v>12</v>
      </c>
      <c r="AJ904" s="42">
        <f t="shared" si="313"/>
        <v>0.12</v>
      </c>
      <c r="AK904" s="41">
        <f t="shared" si="314"/>
        <v>2525.27</v>
      </c>
      <c r="AL904" s="39">
        <f>RANK(E904,$E$2:$E$1001,0)+COUNTIF($E$2:E904,E904)-1</f>
        <v>441</v>
      </c>
    </row>
    <row r="905" spans="1:38" x14ac:dyDescent="0.2">
      <c r="A905" s="39">
        <v>1095</v>
      </c>
      <c r="B905" s="40">
        <v>45003</v>
      </c>
      <c r="C905" s="39" t="s">
        <v>79</v>
      </c>
      <c r="D905" s="39" t="s">
        <v>69</v>
      </c>
      <c r="E905" s="41">
        <v>8057.67</v>
      </c>
      <c r="F905" s="39">
        <v>43</v>
      </c>
      <c r="G905" s="39" t="s">
        <v>75</v>
      </c>
      <c r="H905" s="41">
        <v>1331.86</v>
      </c>
      <c r="I905" s="41">
        <v>1758.98</v>
      </c>
      <c r="J905" s="39" t="s">
        <v>137</v>
      </c>
      <c r="K905" s="42">
        <v>0.23</v>
      </c>
      <c r="L905" s="39" t="s">
        <v>63</v>
      </c>
      <c r="M905" s="39" t="s">
        <v>140</v>
      </c>
      <c r="N905" s="39" t="s">
        <v>147</v>
      </c>
      <c r="O905" s="43">
        <f t="shared" si="294"/>
        <v>75636.14</v>
      </c>
      <c r="P905" s="43">
        <f t="shared" si="295"/>
        <v>58239.83</v>
      </c>
      <c r="Q905" s="43">
        <f t="shared" si="296"/>
        <v>57269.98</v>
      </c>
      <c r="R905" s="43">
        <f t="shared" si="297"/>
        <v>969.84999999999854</v>
      </c>
      <c r="S905" s="44">
        <f t="shared" si="298"/>
        <v>1.6652692839247616E-2</v>
      </c>
      <c r="T905" s="39" t="str">
        <f t="shared" si="299"/>
        <v>OK</v>
      </c>
      <c r="U905" s="39" t="str">
        <f t="shared" si="300"/>
        <v>20%+</v>
      </c>
      <c r="V905" s="39" t="str">
        <f>IF(E905&gt;=Analysis!$B$4,"High",IF(E905&gt;=Analysis!$B$5,"Mid","Low"))</f>
        <v>High</v>
      </c>
      <c r="W905" s="39" t="str">
        <f t="shared" si="301"/>
        <v>2023-03</v>
      </c>
      <c r="X905" s="40">
        <f t="shared" si="302"/>
        <v>45016</v>
      </c>
      <c r="Y905" s="39" t="str">
        <f t="shared" si="303"/>
        <v>2023-Q1</v>
      </c>
      <c r="Z905" s="39" t="str">
        <f t="shared" si="304"/>
        <v>Sat</v>
      </c>
      <c r="AA905" s="39">
        <f t="shared" si="305"/>
        <v>6</v>
      </c>
      <c r="AB905" s="39">
        <f t="shared" si="306"/>
        <v>12</v>
      </c>
      <c r="AC905" s="39" t="str">
        <f t="shared" si="307"/>
        <v>Weekend</v>
      </c>
      <c r="AD905" s="39">
        <f t="shared" ca="1" si="308"/>
        <v>1316</v>
      </c>
      <c r="AE905" s="39">
        <f t="shared" ca="1" si="309"/>
        <v>43</v>
      </c>
      <c r="AF905" s="39" t="str">
        <f t="shared" si="310"/>
        <v>EVE</v>
      </c>
      <c r="AG905" s="39" t="str">
        <f t="shared" si="311"/>
        <v>SR-230318-0904</v>
      </c>
      <c r="AH905" s="39" t="str">
        <f>IF(AND(OR(Filter!$B$4="All",D905=Filter!$B$4),OR(Filter!$B$5="All",M905=Filter!$B$5),E905&gt;=Filter!$B$6),MAX(AH$1:AH904)+1,"")</f>
        <v/>
      </c>
      <c r="AI905" s="39">
        <f t="shared" si="312"/>
        <v>43</v>
      </c>
      <c r="AJ905" s="42">
        <f t="shared" si="313"/>
        <v>0.23</v>
      </c>
      <c r="AK905" s="41">
        <f t="shared" si="314"/>
        <v>1758.98</v>
      </c>
      <c r="AL905" s="39">
        <f>RANK(E905,$E$2:$E$1001,0)+COUNTIF($E$2:E905,E905)-1</f>
        <v>188</v>
      </c>
    </row>
    <row r="906" spans="1:38" x14ac:dyDescent="0.2">
      <c r="A906" s="39">
        <v>1075</v>
      </c>
      <c r="B906" s="40">
        <v>45042</v>
      </c>
      <c r="C906" s="39" t="s">
        <v>76</v>
      </c>
      <c r="D906" s="39" t="s">
        <v>69</v>
      </c>
      <c r="E906" s="41">
        <v>1457.77</v>
      </c>
      <c r="F906" s="39">
        <v>37</v>
      </c>
      <c r="G906" s="39" t="s">
        <v>65</v>
      </c>
      <c r="H906" s="41">
        <v>4399.8</v>
      </c>
      <c r="I906" s="41">
        <v>4801.0600000000004</v>
      </c>
      <c r="J906" s="39" t="s">
        <v>143</v>
      </c>
      <c r="K906" s="42">
        <v>0.13</v>
      </c>
      <c r="L906" s="39" t="s">
        <v>63</v>
      </c>
      <c r="M906" s="39" t="s">
        <v>140</v>
      </c>
      <c r="N906" s="39" t="s">
        <v>142</v>
      </c>
      <c r="O906" s="43">
        <f t="shared" si="294"/>
        <v>177639.22</v>
      </c>
      <c r="P906" s="43">
        <f t="shared" si="295"/>
        <v>154546.12</v>
      </c>
      <c r="Q906" s="43">
        <f t="shared" si="296"/>
        <v>162792.6</v>
      </c>
      <c r="R906" s="43">
        <f t="shared" si="297"/>
        <v>-8246.4800000000105</v>
      </c>
      <c r="S906" s="44">
        <f t="shared" si="298"/>
        <v>-5.3359346711518936E-2</v>
      </c>
      <c r="T906" s="39" t="str">
        <f t="shared" si="299"/>
        <v>Loss</v>
      </c>
      <c r="U906" s="39" t="str">
        <f t="shared" si="300"/>
        <v>10-19%</v>
      </c>
      <c r="V906" s="39" t="str">
        <f>IF(E906&gt;=Analysis!$B$4,"High",IF(E906&gt;=Analysis!$B$5,"Mid","Low"))</f>
        <v>Low</v>
      </c>
      <c r="W906" s="39" t="str">
        <f t="shared" si="301"/>
        <v>2023-04</v>
      </c>
      <c r="X906" s="40">
        <f t="shared" si="302"/>
        <v>45046</v>
      </c>
      <c r="Y906" s="39" t="str">
        <f t="shared" si="303"/>
        <v>2023-Q2</v>
      </c>
      <c r="Z906" s="39" t="str">
        <f t="shared" si="304"/>
        <v>Wed</v>
      </c>
      <c r="AA906" s="39">
        <f t="shared" si="305"/>
        <v>3</v>
      </c>
      <c r="AB906" s="39">
        <f t="shared" si="306"/>
        <v>18</v>
      </c>
      <c r="AC906" s="39" t="str">
        <f t="shared" si="307"/>
        <v>Weekday</v>
      </c>
      <c r="AD906" s="39">
        <f t="shared" ca="1" si="308"/>
        <v>1277</v>
      </c>
      <c r="AE906" s="39">
        <f t="shared" ca="1" si="309"/>
        <v>41</v>
      </c>
      <c r="AF906" s="39" t="str">
        <f t="shared" si="310"/>
        <v>DAV</v>
      </c>
      <c r="AG906" s="39" t="str">
        <f t="shared" si="311"/>
        <v>SR-230426-0905</v>
      </c>
      <c r="AH906" s="39" t="str">
        <f>IF(AND(OR(Filter!$B$4="All",D906=Filter!$B$4),OR(Filter!$B$5="All",M906=Filter!$B$5),E906&gt;=Filter!$B$6),MAX(AH$1:AH905)+1,"")</f>
        <v/>
      </c>
      <c r="AI906" s="39">
        <f t="shared" si="312"/>
        <v>37</v>
      </c>
      <c r="AJ906" s="42">
        <f t="shared" si="313"/>
        <v>0.13</v>
      </c>
      <c r="AK906" s="41">
        <f t="shared" si="314"/>
        <v>4801.0600000000004</v>
      </c>
      <c r="AL906" s="39">
        <f>RANK(E906,$E$2:$E$1001,0)+COUNTIF($E$2:E906,E906)-1</f>
        <v>872</v>
      </c>
    </row>
    <row r="907" spans="1:38" x14ac:dyDescent="0.2">
      <c r="A907" s="39">
        <v>1016</v>
      </c>
      <c r="B907" s="40">
        <v>45080</v>
      </c>
      <c r="C907" s="39" t="s">
        <v>76</v>
      </c>
      <c r="D907" s="39" t="s">
        <v>74</v>
      </c>
      <c r="E907" s="41">
        <v>5848.92</v>
      </c>
      <c r="F907" s="39">
        <v>46</v>
      </c>
      <c r="G907" s="39" t="s">
        <v>60</v>
      </c>
      <c r="H907" s="41">
        <v>1023.5</v>
      </c>
      <c r="I907" s="41">
        <v>1164.4100000000001</v>
      </c>
      <c r="J907" s="39" t="s">
        <v>137</v>
      </c>
      <c r="K907" s="42">
        <v>0.28000000000000003</v>
      </c>
      <c r="L907" s="39" t="s">
        <v>73</v>
      </c>
      <c r="M907" s="39" t="s">
        <v>140</v>
      </c>
      <c r="N907" s="39" t="s">
        <v>154</v>
      </c>
      <c r="O907" s="43">
        <f t="shared" si="294"/>
        <v>53562.86</v>
      </c>
      <c r="P907" s="43">
        <f t="shared" si="295"/>
        <v>38565.26</v>
      </c>
      <c r="Q907" s="43">
        <f t="shared" si="296"/>
        <v>47081</v>
      </c>
      <c r="R907" s="43">
        <f t="shared" si="297"/>
        <v>-8515.739999999998</v>
      </c>
      <c r="S907" s="44">
        <f t="shared" si="298"/>
        <v>-0.22081375828919597</v>
      </c>
      <c r="T907" s="39" t="str">
        <f t="shared" si="299"/>
        <v>Loss</v>
      </c>
      <c r="U907" s="39" t="str">
        <f t="shared" si="300"/>
        <v>20%+</v>
      </c>
      <c r="V907" s="39" t="str">
        <f>IF(E907&gt;=Analysis!$B$4,"High",IF(E907&gt;=Analysis!$B$5,"Mid","Low"))</f>
        <v>Mid</v>
      </c>
      <c r="W907" s="39" t="str">
        <f t="shared" si="301"/>
        <v>2023-06</v>
      </c>
      <c r="X907" s="40">
        <f t="shared" si="302"/>
        <v>45107</v>
      </c>
      <c r="Y907" s="39" t="str">
        <f t="shared" si="303"/>
        <v>2023-Q2</v>
      </c>
      <c r="Z907" s="39" t="str">
        <f t="shared" si="304"/>
        <v>Sat</v>
      </c>
      <c r="AA907" s="39">
        <f t="shared" si="305"/>
        <v>6</v>
      </c>
      <c r="AB907" s="39">
        <f t="shared" si="306"/>
        <v>23</v>
      </c>
      <c r="AC907" s="39" t="str">
        <f t="shared" si="307"/>
        <v>Weekend</v>
      </c>
      <c r="AD907" s="39">
        <f t="shared" ca="1" si="308"/>
        <v>1239</v>
      </c>
      <c r="AE907" s="39">
        <f t="shared" ca="1" si="309"/>
        <v>40</v>
      </c>
      <c r="AF907" s="39" t="str">
        <f t="shared" si="310"/>
        <v>DAV</v>
      </c>
      <c r="AG907" s="39" t="str">
        <f t="shared" si="311"/>
        <v>WR-230603-0906</v>
      </c>
      <c r="AH907" s="39" t="str">
        <f>IF(AND(OR(Filter!$B$4="All",D907=Filter!$B$4),OR(Filter!$B$5="All",M907=Filter!$B$5),E907&gt;=Filter!$B$6),MAX(AH$1:AH906)+1,"")</f>
        <v/>
      </c>
      <c r="AI907" s="39">
        <f t="shared" si="312"/>
        <v>46</v>
      </c>
      <c r="AJ907" s="42">
        <f t="shared" si="313"/>
        <v>0.28000000000000003</v>
      </c>
      <c r="AK907" s="41">
        <f t="shared" si="314"/>
        <v>1164.4100000000001</v>
      </c>
      <c r="AL907" s="39">
        <f>RANK(E907,$E$2:$E$1001,0)+COUNTIF($E$2:E907,E907)-1</f>
        <v>424</v>
      </c>
    </row>
    <row r="908" spans="1:38" x14ac:dyDescent="0.2">
      <c r="A908" s="39">
        <v>1008</v>
      </c>
      <c r="B908" s="40">
        <v>45029</v>
      </c>
      <c r="C908" s="39" t="s">
        <v>71</v>
      </c>
      <c r="D908" s="39" t="s">
        <v>69</v>
      </c>
      <c r="E908" s="41">
        <v>5104.54</v>
      </c>
      <c r="F908" s="39">
        <v>24</v>
      </c>
      <c r="G908" s="39" t="s">
        <v>75</v>
      </c>
      <c r="H908" s="41">
        <v>4739.13</v>
      </c>
      <c r="I908" s="41">
        <v>4868.95</v>
      </c>
      <c r="J908" s="39" t="s">
        <v>143</v>
      </c>
      <c r="K908" s="42">
        <v>0.14000000000000001</v>
      </c>
      <c r="L908" s="39" t="s">
        <v>73</v>
      </c>
      <c r="M908" s="39" t="s">
        <v>140</v>
      </c>
      <c r="N908" s="39" t="s">
        <v>151</v>
      </c>
      <c r="O908" s="43">
        <f t="shared" si="294"/>
        <v>116854.8</v>
      </c>
      <c r="P908" s="43">
        <f t="shared" si="295"/>
        <v>100495.13</v>
      </c>
      <c r="Q908" s="43">
        <f t="shared" si="296"/>
        <v>113739.12</v>
      </c>
      <c r="R908" s="43">
        <f t="shared" si="297"/>
        <v>-13243.989999999991</v>
      </c>
      <c r="S908" s="44">
        <f t="shared" si="298"/>
        <v>-0.1317873811397626</v>
      </c>
      <c r="T908" s="39" t="str">
        <f t="shared" si="299"/>
        <v>Loss</v>
      </c>
      <c r="U908" s="39" t="str">
        <f t="shared" si="300"/>
        <v>10-19%</v>
      </c>
      <c r="V908" s="39" t="str">
        <f>IF(E908&gt;=Analysis!$B$4,"High",IF(E908&gt;=Analysis!$B$5,"Mid","Low"))</f>
        <v>Mid</v>
      </c>
      <c r="W908" s="39" t="str">
        <f t="shared" si="301"/>
        <v>2023-04</v>
      </c>
      <c r="X908" s="40">
        <f t="shared" si="302"/>
        <v>45046</v>
      </c>
      <c r="Y908" s="39" t="str">
        <f t="shared" si="303"/>
        <v>2023-Q2</v>
      </c>
      <c r="Z908" s="39" t="str">
        <f t="shared" si="304"/>
        <v>Thu</v>
      </c>
      <c r="AA908" s="39">
        <f t="shared" si="305"/>
        <v>4</v>
      </c>
      <c r="AB908" s="39">
        <f t="shared" si="306"/>
        <v>16</v>
      </c>
      <c r="AC908" s="39" t="str">
        <f t="shared" si="307"/>
        <v>Weekday</v>
      </c>
      <c r="AD908" s="39">
        <f t="shared" ca="1" si="308"/>
        <v>1290</v>
      </c>
      <c r="AE908" s="39">
        <f t="shared" ca="1" si="309"/>
        <v>42</v>
      </c>
      <c r="AF908" s="39" t="str">
        <f t="shared" si="310"/>
        <v>CHA</v>
      </c>
      <c r="AG908" s="39" t="str">
        <f t="shared" si="311"/>
        <v>SR-230413-0907</v>
      </c>
      <c r="AH908" s="39" t="str">
        <f>IF(AND(OR(Filter!$B$4="All",D908=Filter!$B$4),OR(Filter!$B$5="All",M908=Filter!$B$5),E908&gt;=Filter!$B$6),MAX(AH$1:AH907)+1,"")</f>
        <v/>
      </c>
      <c r="AI908" s="39">
        <f t="shared" si="312"/>
        <v>24</v>
      </c>
      <c r="AJ908" s="42">
        <f t="shared" si="313"/>
        <v>0.14000000000000001</v>
      </c>
      <c r="AK908" s="41">
        <f t="shared" si="314"/>
        <v>4868.95</v>
      </c>
      <c r="AL908" s="39">
        <f>RANK(E908,$E$2:$E$1001,0)+COUNTIF($E$2:E908,E908)-1</f>
        <v>491</v>
      </c>
    </row>
    <row r="909" spans="1:38" x14ac:dyDescent="0.2">
      <c r="A909" s="39">
        <v>1004</v>
      </c>
      <c r="B909" s="40">
        <v>45120</v>
      </c>
      <c r="C909" s="39" t="s">
        <v>79</v>
      </c>
      <c r="D909" s="39" t="s">
        <v>59</v>
      </c>
      <c r="E909" s="41">
        <v>1526.38</v>
      </c>
      <c r="F909" s="39">
        <v>16</v>
      </c>
      <c r="G909" s="39" t="s">
        <v>60</v>
      </c>
      <c r="H909" s="41">
        <v>1067.83</v>
      </c>
      <c r="I909" s="41">
        <v>1189.22</v>
      </c>
      <c r="J909" s="39" t="s">
        <v>137</v>
      </c>
      <c r="K909" s="42">
        <v>0.26</v>
      </c>
      <c r="L909" s="39" t="s">
        <v>73</v>
      </c>
      <c r="M909" s="39" t="s">
        <v>140</v>
      </c>
      <c r="N909" s="39" t="s">
        <v>155</v>
      </c>
      <c r="O909" s="43">
        <f t="shared" si="294"/>
        <v>19027.52</v>
      </c>
      <c r="P909" s="43">
        <f t="shared" si="295"/>
        <v>14080.36</v>
      </c>
      <c r="Q909" s="43">
        <f t="shared" si="296"/>
        <v>17085.28</v>
      </c>
      <c r="R909" s="43">
        <f t="shared" si="297"/>
        <v>-3004.9199999999983</v>
      </c>
      <c r="S909" s="44">
        <f t="shared" si="298"/>
        <v>-0.21341215707552919</v>
      </c>
      <c r="T909" s="39" t="str">
        <f t="shared" si="299"/>
        <v>Loss</v>
      </c>
      <c r="U909" s="39" t="str">
        <f t="shared" si="300"/>
        <v>20%+</v>
      </c>
      <c r="V909" s="39" t="str">
        <f>IF(E909&gt;=Analysis!$B$4,"High",IF(E909&gt;=Analysis!$B$5,"Mid","Low"))</f>
        <v>Low</v>
      </c>
      <c r="W909" s="39" t="str">
        <f t="shared" si="301"/>
        <v>2023-07</v>
      </c>
      <c r="X909" s="40">
        <f t="shared" si="302"/>
        <v>45138</v>
      </c>
      <c r="Y909" s="39" t="str">
        <f t="shared" si="303"/>
        <v>2023-Q3</v>
      </c>
      <c r="Z909" s="39" t="str">
        <f t="shared" si="304"/>
        <v>Thu</v>
      </c>
      <c r="AA909" s="39">
        <f t="shared" si="305"/>
        <v>4</v>
      </c>
      <c r="AB909" s="39">
        <f t="shared" si="306"/>
        <v>29</v>
      </c>
      <c r="AC909" s="39" t="str">
        <f t="shared" si="307"/>
        <v>Weekday</v>
      </c>
      <c r="AD909" s="39">
        <f t="shared" ca="1" si="308"/>
        <v>1199</v>
      </c>
      <c r="AE909" s="39">
        <f t="shared" ca="1" si="309"/>
        <v>39</v>
      </c>
      <c r="AF909" s="39" t="str">
        <f t="shared" si="310"/>
        <v>EVE</v>
      </c>
      <c r="AG909" s="39" t="str">
        <f t="shared" si="311"/>
        <v>ER-230713-0908</v>
      </c>
      <c r="AH909" s="39" t="str">
        <f>IF(AND(OR(Filter!$B$4="All",D909=Filter!$B$4),OR(Filter!$B$5="All",M909=Filter!$B$5),E909&gt;=Filter!$B$6),MAX(AH$1:AH908)+1,"")</f>
        <v/>
      </c>
      <c r="AI909" s="39">
        <f t="shared" si="312"/>
        <v>16</v>
      </c>
      <c r="AJ909" s="42">
        <f t="shared" si="313"/>
        <v>0.26</v>
      </c>
      <c r="AK909" s="41">
        <f t="shared" si="314"/>
        <v>1189.22</v>
      </c>
      <c r="AL909" s="39">
        <f>RANK(E909,$E$2:$E$1001,0)+COUNTIF($E$2:E909,E909)-1</f>
        <v>866</v>
      </c>
    </row>
    <row r="910" spans="1:38" x14ac:dyDescent="0.2">
      <c r="A910" s="39">
        <v>1004</v>
      </c>
      <c r="B910" s="40">
        <v>45092</v>
      </c>
      <c r="C910" s="39" t="s">
        <v>61</v>
      </c>
      <c r="D910" s="39" t="s">
        <v>59</v>
      </c>
      <c r="E910" s="41">
        <v>6277.59</v>
      </c>
      <c r="F910" s="39">
        <v>13</v>
      </c>
      <c r="G910" s="39" t="s">
        <v>75</v>
      </c>
      <c r="H910" s="41">
        <v>3087.73</v>
      </c>
      <c r="I910" s="41">
        <v>3263.96</v>
      </c>
      <c r="J910" s="39" t="s">
        <v>143</v>
      </c>
      <c r="K910" s="42">
        <v>0.24</v>
      </c>
      <c r="L910" s="39" t="s">
        <v>68</v>
      </c>
      <c r="M910" s="39" t="s">
        <v>140</v>
      </c>
      <c r="N910" s="39" t="s">
        <v>159</v>
      </c>
      <c r="O910" s="43">
        <f t="shared" si="294"/>
        <v>42431.48</v>
      </c>
      <c r="P910" s="43">
        <f t="shared" si="295"/>
        <v>32247.919999999998</v>
      </c>
      <c r="Q910" s="43">
        <f t="shared" si="296"/>
        <v>40140.49</v>
      </c>
      <c r="R910" s="43">
        <f t="shared" si="297"/>
        <v>-7892.57</v>
      </c>
      <c r="S910" s="44">
        <f t="shared" si="298"/>
        <v>-0.24474663792269394</v>
      </c>
      <c r="T910" s="39" t="str">
        <f t="shared" si="299"/>
        <v>Loss</v>
      </c>
      <c r="U910" s="39" t="str">
        <f t="shared" si="300"/>
        <v>20%+</v>
      </c>
      <c r="V910" s="39" t="str">
        <f>IF(E910&gt;=Analysis!$B$4,"High",IF(E910&gt;=Analysis!$B$5,"Mid","Low"))</f>
        <v>Mid</v>
      </c>
      <c r="W910" s="39" t="str">
        <f t="shared" si="301"/>
        <v>2023-06</v>
      </c>
      <c r="X910" s="40">
        <f t="shared" si="302"/>
        <v>45107</v>
      </c>
      <c r="Y910" s="39" t="str">
        <f t="shared" si="303"/>
        <v>2023-Q2</v>
      </c>
      <c r="Z910" s="39" t="str">
        <f t="shared" si="304"/>
        <v>Thu</v>
      </c>
      <c r="AA910" s="39">
        <f t="shared" si="305"/>
        <v>4</v>
      </c>
      <c r="AB910" s="39">
        <f t="shared" si="306"/>
        <v>25</v>
      </c>
      <c r="AC910" s="39" t="str">
        <f t="shared" si="307"/>
        <v>Weekday</v>
      </c>
      <c r="AD910" s="39">
        <f t="shared" ca="1" si="308"/>
        <v>1227</v>
      </c>
      <c r="AE910" s="39">
        <f t="shared" ca="1" si="309"/>
        <v>40</v>
      </c>
      <c r="AF910" s="39" t="str">
        <f t="shared" si="310"/>
        <v>ALI</v>
      </c>
      <c r="AG910" s="39" t="str">
        <f t="shared" si="311"/>
        <v>ER-230615-0909</v>
      </c>
      <c r="AH910" s="39" t="str">
        <f>IF(AND(OR(Filter!$B$4="All",D910=Filter!$B$4),OR(Filter!$B$5="All",M910=Filter!$B$5),E910&gt;=Filter!$B$6),MAX(AH$1:AH909)+1,"")</f>
        <v/>
      </c>
      <c r="AI910" s="39">
        <f t="shared" si="312"/>
        <v>13</v>
      </c>
      <c r="AJ910" s="42">
        <f t="shared" si="313"/>
        <v>0.24</v>
      </c>
      <c r="AK910" s="41">
        <f t="shared" si="314"/>
        <v>3263.96</v>
      </c>
      <c r="AL910" s="39">
        <f>RANK(E910,$E$2:$E$1001,0)+COUNTIF($E$2:E910,E910)-1</f>
        <v>380</v>
      </c>
    </row>
    <row r="911" spans="1:38" x14ac:dyDescent="0.2">
      <c r="A911" s="39">
        <v>1056</v>
      </c>
      <c r="B911" s="40">
        <v>45285</v>
      </c>
      <c r="C911" s="39" t="s">
        <v>66</v>
      </c>
      <c r="D911" s="39" t="s">
        <v>64</v>
      </c>
      <c r="E911" s="41">
        <v>2809.04</v>
      </c>
      <c r="F911" s="39">
        <v>25</v>
      </c>
      <c r="G911" s="39" t="s">
        <v>60</v>
      </c>
      <c r="H911" s="41">
        <v>1154.28</v>
      </c>
      <c r="I911" s="41">
        <v>1408.4</v>
      </c>
      <c r="J911" s="39" t="s">
        <v>137</v>
      </c>
      <c r="K911" s="42">
        <v>0.28999999999999998</v>
      </c>
      <c r="L911" s="39" t="s">
        <v>63</v>
      </c>
      <c r="M911" s="39" t="s">
        <v>140</v>
      </c>
      <c r="N911" s="39" t="s">
        <v>139</v>
      </c>
      <c r="O911" s="43">
        <f t="shared" si="294"/>
        <v>35210</v>
      </c>
      <c r="P911" s="43">
        <f t="shared" si="295"/>
        <v>24999.1</v>
      </c>
      <c r="Q911" s="43">
        <f t="shared" si="296"/>
        <v>28857</v>
      </c>
      <c r="R911" s="43">
        <f t="shared" si="297"/>
        <v>-3857.9000000000015</v>
      </c>
      <c r="S911" s="44">
        <f t="shared" si="298"/>
        <v>-0.1543215555760008</v>
      </c>
      <c r="T911" s="39" t="str">
        <f t="shared" si="299"/>
        <v>Loss</v>
      </c>
      <c r="U911" s="39" t="str">
        <f t="shared" si="300"/>
        <v>20%+</v>
      </c>
      <c r="V911" s="39" t="str">
        <f>IF(E911&gt;=Analysis!$B$4,"High",IF(E911&gt;=Analysis!$B$5,"Mid","Low"))</f>
        <v>Mid</v>
      </c>
      <c r="W911" s="39" t="str">
        <f t="shared" si="301"/>
        <v>2023-12</v>
      </c>
      <c r="X911" s="40">
        <f t="shared" si="302"/>
        <v>45291</v>
      </c>
      <c r="Y911" s="39" t="str">
        <f t="shared" si="303"/>
        <v>2023-Q4</v>
      </c>
      <c r="Z911" s="39" t="str">
        <f t="shared" si="304"/>
        <v>Mon</v>
      </c>
      <c r="AA911" s="39">
        <f t="shared" si="305"/>
        <v>1</v>
      </c>
      <c r="AB911" s="39">
        <f t="shared" si="306"/>
        <v>53</v>
      </c>
      <c r="AC911" s="39" t="str">
        <f t="shared" si="307"/>
        <v>Weekday</v>
      </c>
      <c r="AD911" s="39">
        <f t="shared" ca="1" si="308"/>
        <v>1034</v>
      </c>
      <c r="AE911" s="39">
        <f t="shared" ca="1" si="309"/>
        <v>33</v>
      </c>
      <c r="AF911" s="39" t="str">
        <f t="shared" si="310"/>
        <v>BOB</v>
      </c>
      <c r="AG911" s="39" t="str">
        <f t="shared" si="311"/>
        <v>NR-231225-0910</v>
      </c>
      <c r="AH911" s="39" t="str">
        <f>IF(AND(OR(Filter!$B$4="All",D911=Filter!$B$4),OR(Filter!$B$5="All",M911=Filter!$B$5),E911&gt;=Filter!$B$6),MAX(AH$1:AH910)+1,"")</f>
        <v/>
      </c>
      <c r="AI911" s="39">
        <f t="shared" si="312"/>
        <v>25</v>
      </c>
      <c r="AJ911" s="42">
        <f t="shared" si="313"/>
        <v>0.28999999999999998</v>
      </c>
      <c r="AK911" s="41">
        <f t="shared" si="314"/>
        <v>1408.4</v>
      </c>
      <c r="AL911" s="39">
        <f>RANK(E911,$E$2:$E$1001,0)+COUNTIF($E$2:E911,E911)-1</f>
        <v>717</v>
      </c>
    </row>
    <row r="912" spans="1:38" x14ac:dyDescent="0.2">
      <c r="A912" s="39">
        <v>1025</v>
      </c>
      <c r="B912" s="40">
        <v>45016</v>
      </c>
      <c r="C912" s="39" t="s">
        <v>76</v>
      </c>
      <c r="D912" s="39" t="s">
        <v>74</v>
      </c>
      <c r="E912" s="41">
        <v>4929.5600000000004</v>
      </c>
      <c r="F912" s="39">
        <v>4</v>
      </c>
      <c r="G912" s="39" t="s">
        <v>75</v>
      </c>
      <c r="H912" s="41">
        <v>2751.06</v>
      </c>
      <c r="I912" s="41">
        <v>2976.01</v>
      </c>
      <c r="J912" s="39" t="s">
        <v>137</v>
      </c>
      <c r="K912" s="42">
        <v>0.28000000000000003</v>
      </c>
      <c r="L912" s="39" t="s">
        <v>73</v>
      </c>
      <c r="M912" s="39" t="s">
        <v>138</v>
      </c>
      <c r="N912" s="39" t="s">
        <v>154</v>
      </c>
      <c r="O912" s="43">
        <f t="shared" si="294"/>
        <v>11904.04</v>
      </c>
      <c r="P912" s="43">
        <f t="shared" si="295"/>
        <v>8570.91</v>
      </c>
      <c r="Q912" s="43">
        <f t="shared" si="296"/>
        <v>11004.24</v>
      </c>
      <c r="R912" s="43">
        <f t="shared" si="297"/>
        <v>-2433.33</v>
      </c>
      <c r="S912" s="44">
        <f t="shared" si="298"/>
        <v>-0.28390567629341573</v>
      </c>
      <c r="T912" s="39" t="str">
        <f t="shared" si="299"/>
        <v>Loss</v>
      </c>
      <c r="U912" s="39" t="str">
        <f t="shared" si="300"/>
        <v>20%+</v>
      </c>
      <c r="V912" s="39" t="str">
        <f>IF(E912&gt;=Analysis!$B$4,"High",IF(E912&gt;=Analysis!$B$5,"Mid","Low"))</f>
        <v>Mid</v>
      </c>
      <c r="W912" s="39" t="str">
        <f t="shared" si="301"/>
        <v>2023-03</v>
      </c>
      <c r="X912" s="40">
        <f t="shared" si="302"/>
        <v>45016</v>
      </c>
      <c r="Y912" s="39" t="str">
        <f t="shared" si="303"/>
        <v>2023-Q1</v>
      </c>
      <c r="Z912" s="39" t="str">
        <f t="shared" si="304"/>
        <v>Fri</v>
      </c>
      <c r="AA912" s="39">
        <f t="shared" si="305"/>
        <v>5</v>
      </c>
      <c r="AB912" s="39">
        <f t="shared" si="306"/>
        <v>14</v>
      </c>
      <c r="AC912" s="39" t="str">
        <f t="shared" si="307"/>
        <v>Weekday</v>
      </c>
      <c r="AD912" s="39">
        <f t="shared" ca="1" si="308"/>
        <v>1303</v>
      </c>
      <c r="AE912" s="39">
        <f t="shared" ca="1" si="309"/>
        <v>42</v>
      </c>
      <c r="AF912" s="39" t="str">
        <f t="shared" si="310"/>
        <v>DAV</v>
      </c>
      <c r="AG912" s="39" t="str">
        <f t="shared" si="311"/>
        <v>WO-230331-0911</v>
      </c>
      <c r="AH912" s="39" t="str">
        <f>IF(AND(OR(Filter!$B$4="All",D912=Filter!$B$4),OR(Filter!$B$5="All",M912=Filter!$B$5),E912&gt;=Filter!$B$6),MAX(AH$1:AH911)+1,"")</f>
        <v/>
      </c>
      <c r="AI912" s="39">
        <f t="shared" si="312"/>
        <v>4</v>
      </c>
      <c r="AJ912" s="42">
        <f t="shared" si="313"/>
        <v>0.28000000000000003</v>
      </c>
      <c r="AK912" s="41">
        <f t="shared" si="314"/>
        <v>2976.01</v>
      </c>
      <c r="AL912" s="39">
        <f>RANK(E912,$E$2:$E$1001,0)+COUNTIF($E$2:E912,E912)-1</f>
        <v>508</v>
      </c>
    </row>
    <row r="913" spans="1:38" x14ac:dyDescent="0.2">
      <c r="A913" s="39">
        <v>1067</v>
      </c>
      <c r="B913" s="40">
        <v>45100</v>
      </c>
      <c r="C913" s="39" t="s">
        <v>66</v>
      </c>
      <c r="D913" s="39" t="s">
        <v>64</v>
      </c>
      <c r="E913" s="41">
        <v>914.5</v>
      </c>
      <c r="F913" s="39">
        <v>11</v>
      </c>
      <c r="G913" s="39" t="s">
        <v>75</v>
      </c>
      <c r="H913" s="41">
        <v>3435.68</v>
      </c>
      <c r="I913" s="41">
        <v>3552.63</v>
      </c>
      <c r="J913" s="39" t="s">
        <v>143</v>
      </c>
      <c r="K913" s="42">
        <v>0.27</v>
      </c>
      <c r="L913" s="39" t="s">
        <v>68</v>
      </c>
      <c r="M913" s="39" t="s">
        <v>140</v>
      </c>
      <c r="N913" s="39" t="s">
        <v>139</v>
      </c>
      <c r="O913" s="43">
        <f t="shared" si="294"/>
        <v>39078.93</v>
      </c>
      <c r="P913" s="43">
        <f t="shared" si="295"/>
        <v>28527.62</v>
      </c>
      <c r="Q913" s="43">
        <f t="shared" si="296"/>
        <v>37792.480000000003</v>
      </c>
      <c r="R913" s="43">
        <f t="shared" si="297"/>
        <v>-9264.8600000000042</v>
      </c>
      <c r="S913" s="44">
        <f t="shared" si="298"/>
        <v>-0.3247680668769426</v>
      </c>
      <c r="T913" s="39" t="str">
        <f t="shared" si="299"/>
        <v>Loss</v>
      </c>
      <c r="U913" s="39" t="str">
        <f t="shared" si="300"/>
        <v>20%+</v>
      </c>
      <c r="V913" s="39" t="str">
        <f>IF(E913&gt;=Analysis!$B$4,"High",IF(E913&gt;=Analysis!$B$5,"Mid","Low"))</f>
        <v>Low</v>
      </c>
      <c r="W913" s="39" t="str">
        <f t="shared" si="301"/>
        <v>2023-06</v>
      </c>
      <c r="X913" s="40">
        <f t="shared" si="302"/>
        <v>45107</v>
      </c>
      <c r="Y913" s="39" t="str">
        <f t="shared" si="303"/>
        <v>2023-Q2</v>
      </c>
      <c r="Z913" s="39" t="str">
        <f t="shared" si="304"/>
        <v>Fri</v>
      </c>
      <c r="AA913" s="39">
        <f t="shared" si="305"/>
        <v>5</v>
      </c>
      <c r="AB913" s="39">
        <f t="shared" si="306"/>
        <v>26</v>
      </c>
      <c r="AC913" s="39" t="str">
        <f t="shared" si="307"/>
        <v>Weekday</v>
      </c>
      <c r="AD913" s="39">
        <f t="shared" ca="1" si="308"/>
        <v>1219</v>
      </c>
      <c r="AE913" s="39">
        <f t="shared" ca="1" si="309"/>
        <v>40</v>
      </c>
      <c r="AF913" s="39" t="str">
        <f t="shared" si="310"/>
        <v>BOB</v>
      </c>
      <c r="AG913" s="39" t="str">
        <f t="shared" si="311"/>
        <v>NR-230623-0912</v>
      </c>
      <c r="AH913" s="39" t="str">
        <f>IF(AND(OR(Filter!$B$4="All",D913=Filter!$B$4),OR(Filter!$B$5="All",M913=Filter!$B$5),E913&gt;=Filter!$B$6),MAX(AH$1:AH912)+1,"")</f>
        <v/>
      </c>
      <c r="AI913" s="39">
        <f t="shared" si="312"/>
        <v>11</v>
      </c>
      <c r="AJ913" s="42">
        <f t="shared" si="313"/>
        <v>0.27</v>
      </c>
      <c r="AK913" s="41">
        <f t="shared" si="314"/>
        <v>3552.63</v>
      </c>
      <c r="AL913" s="39">
        <f>RANK(E913,$E$2:$E$1001,0)+COUNTIF($E$2:E913,E913)-1</f>
        <v>911</v>
      </c>
    </row>
    <row r="914" spans="1:38" x14ac:dyDescent="0.2">
      <c r="A914" s="39">
        <v>1096</v>
      </c>
      <c r="B914" s="40">
        <v>45048</v>
      </c>
      <c r="C914" s="39" t="s">
        <v>61</v>
      </c>
      <c r="D914" s="39" t="s">
        <v>59</v>
      </c>
      <c r="E914" s="41">
        <v>4649.88</v>
      </c>
      <c r="F914" s="39">
        <v>32</v>
      </c>
      <c r="G914" s="39" t="s">
        <v>75</v>
      </c>
      <c r="H914" s="41">
        <v>991.63</v>
      </c>
      <c r="I914" s="41">
        <v>1065.55</v>
      </c>
      <c r="J914" s="39" t="s">
        <v>137</v>
      </c>
      <c r="K914" s="42">
        <v>0.22</v>
      </c>
      <c r="L914" s="39" t="s">
        <v>63</v>
      </c>
      <c r="M914" s="39" t="s">
        <v>140</v>
      </c>
      <c r="N914" s="39" t="s">
        <v>159</v>
      </c>
      <c r="O914" s="43">
        <f t="shared" si="294"/>
        <v>34097.599999999999</v>
      </c>
      <c r="P914" s="43">
        <f t="shared" si="295"/>
        <v>26596.13</v>
      </c>
      <c r="Q914" s="43">
        <f t="shared" si="296"/>
        <v>31732.16</v>
      </c>
      <c r="R914" s="43">
        <f t="shared" si="297"/>
        <v>-5136.0299999999988</v>
      </c>
      <c r="S914" s="44">
        <f t="shared" si="298"/>
        <v>-0.1931119301943553</v>
      </c>
      <c r="T914" s="39" t="str">
        <f t="shared" si="299"/>
        <v>Loss</v>
      </c>
      <c r="U914" s="39" t="str">
        <f t="shared" si="300"/>
        <v>20%+</v>
      </c>
      <c r="V914" s="39" t="str">
        <f>IF(E914&gt;=Analysis!$B$4,"High",IF(E914&gt;=Analysis!$B$5,"Mid","Low"))</f>
        <v>Mid</v>
      </c>
      <c r="W914" s="39" t="str">
        <f t="shared" si="301"/>
        <v>2023-05</v>
      </c>
      <c r="X914" s="40">
        <f t="shared" si="302"/>
        <v>45077</v>
      </c>
      <c r="Y914" s="39" t="str">
        <f t="shared" si="303"/>
        <v>2023-Q2</v>
      </c>
      <c r="Z914" s="39" t="str">
        <f t="shared" si="304"/>
        <v>Tue</v>
      </c>
      <c r="AA914" s="39">
        <f t="shared" si="305"/>
        <v>2</v>
      </c>
      <c r="AB914" s="39">
        <f t="shared" si="306"/>
        <v>19</v>
      </c>
      <c r="AC914" s="39" t="str">
        <f t="shared" si="307"/>
        <v>Weekday</v>
      </c>
      <c r="AD914" s="39">
        <f t="shared" ca="1" si="308"/>
        <v>1271</v>
      </c>
      <c r="AE914" s="39">
        <f t="shared" ca="1" si="309"/>
        <v>41</v>
      </c>
      <c r="AF914" s="39" t="str">
        <f t="shared" si="310"/>
        <v>ALI</v>
      </c>
      <c r="AG914" s="39" t="str">
        <f t="shared" si="311"/>
        <v>ER-230502-0913</v>
      </c>
      <c r="AH914" s="39" t="str">
        <f>IF(AND(OR(Filter!$B$4="All",D914=Filter!$B$4),OR(Filter!$B$5="All",M914=Filter!$B$5),E914&gt;=Filter!$B$6),MAX(AH$1:AH913)+1,"")</f>
        <v/>
      </c>
      <c r="AI914" s="39">
        <f t="shared" si="312"/>
        <v>32</v>
      </c>
      <c r="AJ914" s="42">
        <f t="shared" si="313"/>
        <v>0.22</v>
      </c>
      <c r="AK914" s="41">
        <f t="shared" si="314"/>
        <v>1065.55</v>
      </c>
      <c r="AL914" s="39">
        <f>RANK(E914,$E$2:$E$1001,0)+COUNTIF($E$2:E914,E914)-1</f>
        <v>534</v>
      </c>
    </row>
    <row r="915" spans="1:38" x14ac:dyDescent="0.2">
      <c r="A915" s="39">
        <v>1067</v>
      </c>
      <c r="B915" s="40">
        <v>45069</v>
      </c>
      <c r="C915" s="39" t="s">
        <v>66</v>
      </c>
      <c r="D915" s="39" t="s">
        <v>64</v>
      </c>
      <c r="E915" s="41">
        <v>3133.99</v>
      </c>
      <c r="F915" s="39">
        <v>49</v>
      </c>
      <c r="G915" s="39" t="s">
        <v>75</v>
      </c>
      <c r="H915" s="41">
        <v>2628.38</v>
      </c>
      <c r="I915" s="41">
        <v>2644.54</v>
      </c>
      <c r="J915" s="39" t="s">
        <v>137</v>
      </c>
      <c r="K915" s="42">
        <v>0.11</v>
      </c>
      <c r="L915" s="39" t="s">
        <v>68</v>
      </c>
      <c r="M915" s="39" t="s">
        <v>138</v>
      </c>
      <c r="N915" s="39" t="s">
        <v>139</v>
      </c>
      <c r="O915" s="43">
        <f t="shared" si="294"/>
        <v>129582.46</v>
      </c>
      <c r="P915" s="43">
        <f t="shared" si="295"/>
        <v>115328.39</v>
      </c>
      <c r="Q915" s="43">
        <f t="shared" si="296"/>
        <v>128790.62</v>
      </c>
      <c r="R915" s="43">
        <f t="shared" si="297"/>
        <v>-13462.229999999996</v>
      </c>
      <c r="S915" s="44">
        <f t="shared" si="298"/>
        <v>-0.11672954074881299</v>
      </c>
      <c r="T915" s="39" t="str">
        <f t="shared" si="299"/>
        <v>Loss</v>
      </c>
      <c r="U915" s="39" t="str">
        <f t="shared" si="300"/>
        <v>10-19%</v>
      </c>
      <c r="V915" s="39" t="str">
        <f>IF(E915&gt;=Analysis!$B$4,"High",IF(E915&gt;=Analysis!$B$5,"Mid","Low"))</f>
        <v>Mid</v>
      </c>
      <c r="W915" s="39" t="str">
        <f t="shared" si="301"/>
        <v>2023-05</v>
      </c>
      <c r="X915" s="40">
        <f t="shared" si="302"/>
        <v>45077</v>
      </c>
      <c r="Y915" s="39" t="str">
        <f t="shared" si="303"/>
        <v>2023-Q2</v>
      </c>
      <c r="Z915" s="39" t="str">
        <f t="shared" si="304"/>
        <v>Tue</v>
      </c>
      <c r="AA915" s="39">
        <f t="shared" si="305"/>
        <v>2</v>
      </c>
      <c r="AB915" s="39">
        <f t="shared" si="306"/>
        <v>22</v>
      </c>
      <c r="AC915" s="39" t="str">
        <f t="shared" si="307"/>
        <v>Weekday</v>
      </c>
      <c r="AD915" s="39">
        <f t="shared" ca="1" si="308"/>
        <v>1250</v>
      </c>
      <c r="AE915" s="39">
        <f t="shared" ca="1" si="309"/>
        <v>41</v>
      </c>
      <c r="AF915" s="39" t="str">
        <f t="shared" si="310"/>
        <v>BOB</v>
      </c>
      <c r="AG915" s="39" t="str">
        <f t="shared" si="311"/>
        <v>NO-230523-0914</v>
      </c>
      <c r="AH915" s="39" t="str">
        <f>IF(AND(OR(Filter!$B$4="All",D915=Filter!$B$4),OR(Filter!$B$5="All",M915=Filter!$B$5),E915&gt;=Filter!$B$6),MAX(AH$1:AH914)+1,"")</f>
        <v/>
      </c>
      <c r="AI915" s="39">
        <f t="shared" si="312"/>
        <v>49</v>
      </c>
      <c r="AJ915" s="42">
        <f t="shared" si="313"/>
        <v>0.11</v>
      </c>
      <c r="AK915" s="41">
        <f t="shared" si="314"/>
        <v>2644.54</v>
      </c>
      <c r="AL915" s="39">
        <f>RANK(E915,$E$2:$E$1001,0)+COUNTIF($E$2:E915,E915)-1</f>
        <v>681</v>
      </c>
    </row>
    <row r="916" spans="1:38" x14ac:dyDescent="0.2">
      <c r="A916" s="39">
        <v>1027</v>
      </c>
      <c r="B916" s="40">
        <v>45032</v>
      </c>
      <c r="C916" s="39" t="s">
        <v>61</v>
      </c>
      <c r="D916" s="39" t="s">
        <v>59</v>
      </c>
      <c r="E916" s="41">
        <v>8241.57</v>
      </c>
      <c r="F916" s="39">
        <v>7</v>
      </c>
      <c r="G916" s="39" t="s">
        <v>70</v>
      </c>
      <c r="H916" s="41">
        <v>2371.85</v>
      </c>
      <c r="I916" s="41">
        <v>2457.29</v>
      </c>
      <c r="J916" s="39" t="s">
        <v>143</v>
      </c>
      <c r="K916" s="42">
        <v>0.03</v>
      </c>
      <c r="L916" s="39" t="s">
        <v>68</v>
      </c>
      <c r="M916" s="39" t="s">
        <v>140</v>
      </c>
      <c r="N916" s="39" t="s">
        <v>159</v>
      </c>
      <c r="O916" s="43">
        <f t="shared" si="294"/>
        <v>17201.03</v>
      </c>
      <c r="P916" s="43">
        <f t="shared" si="295"/>
        <v>16685</v>
      </c>
      <c r="Q916" s="43">
        <f t="shared" si="296"/>
        <v>16602.95</v>
      </c>
      <c r="R916" s="43">
        <f t="shared" si="297"/>
        <v>82.049999999999272</v>
      </c>
      <c r="S916" s="44">
        <f t="shared" si="298"/>
        <v>4.9175906502846433E-3</v>
      </c>
      <c r="T916" s="39" t="str">
        <f t="shared" si="299"/>
        <v>OK</v>
      </c>
      <c r="U916" s="39" t="str">
        <f t="shared" si="300"/>
        <v>0-9%</v>
      </c>
      <c r="V916" s="39" t="str">
        <f>IF(E916&gt;=Analysis!$B$4,"High",IF(E916&gt;=Analysis!$B$5,"Mid","Low"))</f>
        <v>High</v>
      </c>
      <c r="W916" s="39" t="str">
        <f t="shared" si="301"/>
        <v>2023-04</v>
      </c>
      <c r="X916" s="40">
        <f t="shared" si="302"/>
        <v>45046</v>
      </c>
      <c r="Y916" s="39" t="str">
        <f t="shared" si="303"/>
        <v>2023-Q2</v>
      </c>
      <c r="Z916" s="39" t="str">
        <f t="shared" si="304"/>
        <v>Sun</v>
      </c>
      <c r="AA916" s="39">
        <f t="shared" si="305"/>
        <v>7</v>
      </c>
      <c r="AB916" s="39">
        <f t="shared" si="306"/>
        <v>16</v>
      </c>
      <c r="AC916" s="39" t="str">
        <f t="shared" si="307"/>
        <v>Weekend</v>
      </c>
      <c r="AD916" s="39">
        <f t="shared" ca="1" si="308"/>
        <v>1287</v>
      </c>
      <c r="AE916" s="39">
        <f t="shared" ca="1" si="309"/>
        <v>42</v>
      </c>
      <c r="AF916" s="39" t="str">
        <f t="shared" si="310"/>
        <v>ALI</v>
      </c>
      <c r="AG916" s="39" t="str">
        <f t="shared" si="311"/>
        <v>ER-230416-0915</v>
      </c>
      <c r="AH916" s="39" t="str">
        <f>IF(AND(OR(Filter!$B$4="All",D916=Filter!$B$4),OR(Filter!$B$5="All",M916=Filter!$B$5),E916&gt;=Filter!$B$6),MAX(AH$1:AH915)+1,"")</f>
        <v/>
      </c>
      <c r="AI916" s="39">
        <f t="shared" si="312"/>
        <v>7</v>
      </c>
      <c r="AJ916" s="42">
        <f t="shared" si="313"/>
        <v>0.03</v>
      </c>
      <c r="AK916" s="41">
        <f t="shared" si="314"/>
        <v>2457.29</v>
      </c>
      <c r="AL916" s="39">
        <f>RANK(E916,$E$2:$E$1001,0)+COUNTIF($E$2:E916,E916)-1</f>
        <v>167</v>
      </c>
    </row>
    <row r="917" spans="1:38" x14ac:dyDescent="0.2">
      <c r="A917" s="39">
        <v>1093</v>
      </c>
      <c r="B917" s="40">
        <v>45231</v>
      </c>
      <c r="C917" s="39" t="s">
        <v>71</v>
      </c>
      <c r="D917" s="39" t="s">
        <v>64</v>
      </c>
      <c r="E917" s="41">
        <v>664.09</v>
      </c>
      <c r="F917" s="39">
        <v>46</v>
      </c>
      <c r="G917" s="39" t="s">
        <v>60</v>
      </c>
      <c r="H917" s="41">
        <v>401.64</v>
      </c>
      <c r="I917" s="41">
        <v>757.26</v>
      </c>
      <c r="J917" s="39" t="s">
        <v>143</v>
      </c>
      <c r="K917" s="42">
        <v>0.21</v>
      </c>
      <c r="L917" s="39" t="s">
        <v>73</v>
      </c>
      <c r="M917" s="39" t="s">
        <v>140</v>
      </c>
      <c r="N917" s="39" t="s">
        <v>160</v>
      </c>
      <c r="O917" s="43">
        <f t="shared" si="294"/>
        <v>34833.96</v>
      </c>
      <c r="P917" s="43">
        <f t="shared" si="295"/>
        <v>27518.83</v>
      </c>
      <c r="Q917" s="43">
        <f t="shared" si="296"/>
        <v>18475.439999999999</v>
      </c>
      <c r="R917" s="43">
        <f t="shared" si="297"/>
        <v>9043.3900000000031</v>
      </c>
      <c r="S917" s="44">
        <f t="shared" si="298"/>
        <v>0.32862552659397232</v>
      </c>
      <c r="T917" s="39" t="str">
        <f t="shared" si="299"/>
        <v>OK</v>
      </c>
      <c r="U917" s="39" t="str">
        <f t="shared" si="300"/>
        <v>20%+</v>
      </c>
      <c r="V917" s="39" t="str">
        <f>IF(E917&gt;=Analysis!$B$4,"High",IF(E917&gt;=Analysis!$B$5,"Mid","Low"))</f>
        <v>Low</v>
      </c>
      <c r="W917" s="39" t="str">
        <f t="shared" si="301"/>
        <v>2023-11</v>
      </c>
      <c r="X917" s="40">
        <f t="shared" si="302"/>
        <v>45260</v>
      </c>
      <c r="Y917" s="39" t="str">
        <f t="shared" si="303"/>
        <v>2023-Q4</v>
      </c>
      <c r="Z917" s="39" t="str">
        <f t="shared" si="304"/>
        <v>Wed</v>
      </c>
      <c r="AA917" s="39">
        <f t="shared" si="305"/>
        <v>3</v>
      </c>
      <c r="AB917" s="39">
        <f t="shared" si="306"/>
        <v>45</v>
      </c>
      <c r="AC917" s="39" t="str">
        <f t="shared" si="307"/>
        <v>Weekday</v>
      </c>
      <c r="AD917" s="39">
        <f t="shared" ca="1" si="308"/>
        <v>1088</v>
      </c>
      <c r="AE917" s="39">
        <f t="shared" ca="1" si="309"/>
        <v>35</v>
      </c>
      <c r="AF917" s="39" t="str">
        <f t="shared" si="310"/>
        <v>CHA</v>
      </c>
      <c r="AG917" s="39" t="str">
        <f t="shared" si="311"/>
        <v>NR-231101-0916</v>
      </c>
      <c r="AH917" s="39" t="str">
        <f>IF(AND(OR(Filter!$B$4="All",D917=Filter!$B$4),OR(Filter!$B$5="All",M917=Filter!$B$5),E917&gt;=Filter!$B$6),MAX(AH$1:AH916)+1,"")</f>
        <v/>
      </c>
      <c r="AI917" s="39">
        <f t="shared" si="312"/>
        <v>46</v>
      </c>
      <c r="AJ917" s="42">
        <f t="shared" si="313"/>
        <v>0.21</v>
      </c>
      <c r="AK917" s="41">
        <f t="shared" si="314"/>
        <v>757.26</v>
      </c>
      <c r="AL917" s="39">
        <f>RANK(E917,$E$2:$E$1001,0)+COUNTIF($E$2:E917,E917)-1</f>
        <v>945</v>
      </c>
    </row>
    <row r="918" spans="1:38" x14ac:dyDescent="0.2">
      <c r="A918" s="39">
        <v>1032</v>
      </c>
      <c r="B918" s="40">
        <v>45286</v>
      </c>
      <c r="C918" s="39" t="s">
        <v>76</v>
      </c>
      <c r="D918" s="39" t="s">
        <v>69</v>
      </c>
      <c r="E918" s="41">
        <v>4244.21</v>
      </c>
      <c r="F918" s="39">
        <v>11</v>
      </c>
      <c r="G918" s="39" t="s">
        <v>60</v>
      </c>
      <c r="H918" s="41">
        <v>4100.62</v>
      </c>
      <c r="I918" s="41">
        <v>4230</v>
      </c>
      <c r="J918" s="39" t="s">
        <v>143</v>
      </c>
      <c r="K918" s="42">
        <v>0.28999999999999998</v>
      </c>
      <c r="L918" s="39" t="s">
        <v>63</v>
      </c>
      <c r="M918" s="39" t="s">
        <v>138</v>
      </c>
      <c r="N918" s="39" t="s">
        <v>142</v>
      </c>
      <c r="O918" s="43">
        <f t="shared" si="294"/>
        <v>46530</v>
      </c>
      <c r="P918" s="43">
        <f t="shared" si="295"/>
        <v>33036.300000000003</v>
      </c>
      <c r="Q918" s="43">
        <f t="shared" si="296"/>
        <v>45106.82</v>
      </c>
      <c r="R918" s="43">
        <f t="shared" si="297"/>
        <v>-12070.519999999997</v>
      </c>
      <c r="S918" s="44">
        <f t="shared" si="298"/>
        <v>-0.36537142476609052</v>
      </c>
      <c r="T918" s="39" t="str">
        <f t="shared" si="299"/>
        <v>Loss</v>
      </c>
      <c r="U918" s="39" t="str">
        <f t="shared" si="300"/>
        <v>20%+</v>
      </c>
      <c r="V918" s="39" t="str">
        <f>IF(E918&gt;=Analysis!$B$4,"High",IF(E918&gt;=Analysis!$B$5,"Mid","Low"))</f>
        <v>Mid</v>
      </c>
      <c r="W918" s="39" t="str">
        <f t="shared" si="301"/>
        <v>2023-12</v>
      </c>
      <c r="X918" s="40">
        <f t="shared" si="302"/>
        <v>45291</v>
      </c>
      <c r="Y918" s="39" t="str">
        <f t="shared" si="303"/>
        <v>2023-Q4</v>
      </c>
      <c r="Z918" s="39" t="str">
        <f t="shared" si="304"/>
        <v>Tue</v>
      </c>
      <c r="AA918" s="39">
        <f t="shared" si="305"/>
        <v>2</v>
      </c>
      <c r="AB918" s="39">
        <f t="shared" si="306"/>
        <v>53</v>
      </c>
      <c r="AC918" s="39" t="str">
        <f t="shared" si="307"/>
        <v>Weekday</v>
      </c>
      <c r="AD918" s="39">
        <f t="shared" ca="1" si="308"/>
        <v>1033</v>
      </c>
      <c r="AE918" s="39">
        <f t="shared" ca="1" si="309"/>
        <v>33</v>
      </c>
      <c r="AF918" s="39" t="str">
        <f t="shared" si="310"/>
        <v>DAV</v>
      </c>
      <c r="AG918" s="39" t="str">
        <f t="shared" si="311"/>
        <v>SO-231226-0917</v>
      </c>
      <c r="AH918" s="39" t="str">
        <f>IF(AND(OR(Filter!$B$4="All",D918=Filter!$B$4),OR(Filter!$B$5="All",M918=Filter!$B$5),E918&gt;=Filter!$B$6),MAX(AH$1:AH917)+1,"")</f>
        <v/>
      </c>
      <c r="AI918" s="39">
        <f t="shared" si="312"/>
        <v>11</v>
      </c>
      <c r="AJ918" s="42">
        <f t="shared" si="313"/>
        <v>0.28999999999999998</v>
      </c>
      <c r="AK918" s="41">
        <f t="shared" si="314"/>
        <v>4230</v>
      </c>
      <c r="AL918" s="39">
        <f>RANK(E918,$E$2:$E$1001,0)+COUNTIF($E$2:E918,E918)-1</f>
        <v>575</v>
      </c>
    </row>
    <row r="919" spans="1:38" x14ac:dyDescent="0.2">
      <c r="A919" s="39">
        <v>1050</v>
      </c>
      <c r="B919" s="40">
        <v>45243</v>
      </c>
      <c r="C919" s="39" t="s">
        <v>61</v>
      </c>
      <c r="D919" s="39" t="s">
        <v>64</v>
      </c>
      <c r="E919" s="41">
        <v>4638.47</v>
      </c>
      <c r="F919" s="39">
        <v>28</v>
      </c>
      <c r="G919" s="39" t="s">
        <v>70</v>
      </c>
      <c r="H919" s="41">
        <v>1711.63</v>
      </c>
      <c r="I919" s="41">
        <v>1951.24</v>
      </c>
      <c r="J919" s="39" t="s">
        <v>143</v>
      </c>
      <c r="K919" s="42">
        <v>0.22</v>
      </c>
      <c r="L919" s="39" t="s">
        <v>68</v>
      </c>
      <c r="M919" s="39" t="s">
        <v>138</v>
      </c>
      <c r="N919" s="39" t="s">
        <v>156</v>
      </c>
      <c r="O919" s="43">
        <f t="shared" si="294"/>
        <v>54634.720000000001</v>
      </c>
      <c r="P919" s="43">
        <f t="shared" si="295"/>
        <v>42615.08</v>
      </c>
      <c r="Q919" s="43">
        <f t="shared" si="296"/>
        <v>47925.64</v>
      </c>
      <c r="R919" s="43">
        <f t="shared" si="297"/>
        <v>-5310.5599999999977</v>
      </c>
      <c r="S919" s="44">
        <f t="shared" si="298"/>
        <v>-0.12461691964440751</v>
      </c>
      <c r="T919" s="39" t="str">
        <f t="shared" si="299"/>
        <v>Loss</v>
      </c>
      <c r="U919" s="39" t="str">
        <f t="shared" si="300"/>
        <v>20%+</v>
      </c>
      <c r="V919" s="39" t="str">
        <f>IF(E919&gt;=Analysis!$B$4,"High",IF(E919&gt;=Analysis!$B$5,"Mid","Low"))</f>
        <v>Mid</v>
      </c>
      <c r="W919" s="39" t="str">
        <f t="shared" si="301"/>
        <v>2023-11</v>
      </c>
      <c r="X919" s="40">
        <f t="shared" si="302"/>
        <v>45260</v>
      </c>
      <c r="Y919" s="39" t="str">
        <f t="shared" si="303"/>
        <v>2023-Q4</v>
      </c>
      <c r="Z919" s="39" t="str">
        <f t="shared" si="304"/>
        <v>Mon</v>
      </c>
      <c r="AA919" s="39">
        <f t="shared" si="305"/>
        <v>1</v>
      </c>
      <c r="AB919" s="39">
        <f t="shared" si="306"/>
        <v>47</v>
      </c>
      <c r="AC919" s="39" t="str">
        <f t="shared" si="307"/>
        <v>Weekday</v>
      </c>
      <c r="AD919" s="39">
        <f t="shared" ca="1" si="308"/>
        <v>1076</v>
      </c>
      <c r="AE919" s="39">
        <f t="shared" ca="1" si="309"/>
        <v>35</v>
      </c>
      <c r="AF919" s="39" t="str">
        <f t="shared" si="310"/>
        <v>ALI</v>
      </c>
      <c r="AG919" s="39" t="str">
        <f t="shared" si="311"/>
        <v>NO-231113-0918</v>
      </c>
      <c r="AH919" s="39" t="str">
        <f>IF(AND(OR(Filter!$B$4="All",D919=Filter!$B$4),OR(Filter!$B$5="All",M919=Filter!$B$5),E919&gt;=Filter!$B$6),MAX(AH$1:AH918)+1,"")</f>
        <v/>
      </c>
      <c r="AI919" s="39">
        <f t="shared" si="312"/>
        <v>28</v>
      </c>
      <c r="AJ919" s="42">
        <f t="shared" si="313"/>
        <v>0.22</v>
      </c>
      <c r="AK919" s="41">
        <f t="shared" si="314"/>
        <v>1951.24</v>
      </c>
      <c r="AL919" s="39">
        <f>RANK(E919,$E$2:$E$1001,0)+COUNTIF($E$2:E919,E919)-1</f>
        <v>536</v>
      </c>
    </row>
    <row r="920" spans="1:38" x14ac:dyDescent="0.2">
      <c r="A920" s="39">
        <v>1061</v>
      </c>
      <c r="B920" s="40">
        <v>45049</v>
      </c>
      <c r="C920" s="39" t="s">
        <v>66</v>
      </c>
      <c r="D920" s="39" t="s">
        <v>69</v>
      </c>
      <c r="E920" s="41">
        <v>7277.56</v>
      </c>
      <c r="F920" s="39">
        <v>41</v>
      </c>
      <c r="G920" s="39" t="s">
        <v>75</v>
      </c>
      <c r="H920" s="41">
        <v>2894.18</v>
      </c>
      <c r="I920" s="41">
        <v>3193.92</v>
      </c>
      <c r="J920" s="39" t="s">
        <v>143</v>
      </c>
      <c r="K920" s="42">
        <v>0.28000000000000003</v>
      </c>
      <c r="L920" s="39" t="s">
        <v>63</v>
      </c>
      <c r="M920" s="39" t="s">
        <v>140</v>
      </c>
      <c r="N920" s="39" t="s">
        <v>144</v>
      </c>
      <c r="O920" s="43">
        <f t="shared" si="294"/>
        <v>130950.72</v>
      </c>
      <c r="P920" s="43">
        <f t="shared" si="295"/>
        <v>94284.52</v>
      </c>
      <c r="Q920" s="43">
        <f t="shared" si="296"/>
        <v>118661.38</v>
      </c>
      <c r="R920" s="43">
        <f t="shared" si="297"/>
        <v>-24376.86</v>
      </c>
      <c r="S920" s="44">
        <f t="shared" si="298"/>
        <v>-0.25854572945802767</v>
      </c>
      <c r="T920" s="39" t="str">
        <f t="shared" si="299"/>
        <v>Loss</v>
      </c>
      <c r="U920" s="39" t="str">
        <f t="shared" si="300"/>
        <v>20%+</v>
      </c>
      <c r="V920" s="39" t="str">
        <f>IF(E920&gt;=Analysis!$B$4,"High",IF(E920&gt;=Analysis!$B$5,"Mid","Low"))</f>
        <v>Mid</v>
      </c>
      <c r="W920" s="39" t="str">
        <f t="shared" si="301"/>
        <v>2023-05</v>
      </c>
      <c r="X920" s="40">
        <f t="shared" si="302"/>
        <v>45077</v>
      </c>
      <c r="Y920" s="39" t="str">
        <f t="shared" si="303"/>
        <v>2023-Q2</v>
      </c>
      <c r="Z920" s="39" t="str">
        <f t="shared" si="304"/>
        <v>Wed</v>
      </c>
      <c r="AA920" s="39">
        <f t="shared" si="305"/>
        <v>3</v>
      </c>
      <c r="AB920" s="39">
        <f t="shared" si="306"/>
        <v>19</v>
      </c>
      <c r="AC920" s="39" t="str">
        <f t="shared" si="307"/>
        <v>Weekday</v>
      </c>
      <c r="AD920" s="39">
        <f t="shared" ca="1" si="308"/>
        <v>1270</v>
      </c>
      <c r="AE920" s="39">
        <f t="shared" ca="1" si="309"/>
        <v>41</v>
      </c>
      <c r="AF920" s="39" t="str">
        <f t="shared" si="310"/>
        <v>BOB</v>
      </c>
      <c r="AG920" s="39" t="str">
        <f t="shared" si="311"/>
        <v>SR-230503-0919</v>
      </c>
      <c r="AH920" s="39" t="str">
        <f>IF(AND(OR(Filter!$B$4="All",D920=Filter!$B$4),OR(Filter!$B$5="All",M920=Filter!$B$5),E920&gt;=Filter!$B$6),MAX(AH$1:AH919)+1,"")</f>
        <v/>
      </c>
      <c r="AI920" s="39">
        <f t="shared" si="312"/>
        <v>41</v>
      </c>
      <c r="AJ920" s="42">
        <f t="shared" si="313"/>
        <v>0.28000000000000003</v>
      </c>
      <c r="AK920" s="41">
        <f t="shared" si="314"/>
        <v>3193.92</v>
      </c>
      <c r="AL920" s="39">
        <f>RANK(E920,$E$2:$E$1001,0)+COUNTIF($E$2:E920,E920)-1</f>
        <v>271</v>
      </c>
    </row>
    <row r="921" spans="1:38" x14ac:dyDescent="0.2">
      <c r="A921" s="39">
        <v>1051</v>
      </c>
      <c r="B921" s="40">
        <v>44935</v>
      </c>
      <c r="C921" s="39" t="s">
        <v>76</v>
      </c>
      <c r="D921" s="39" t="s">
        <v>69</v>
      </c>
      <c r="E921" s="41">
        <v>5785.45</v>
      </c>
      <c r="F921" s="39">
        <v>23</v>
      </c>
      <c r="G921" s="39" t="s">
        <v>75</v>
      </c>
      <c r="H921" s="41">
        <v>2598.1799999999998</v>
      </c>
      <c r="I921" s="41">
        <v>3042.73</v>
      </c>
      <c r="J921" s="39" t="s">
        <v>137</v>
      </c>
      <c r="K921" s="42">
        <v>0.24</v>
      </c>
      <c r="L921" s="39" t="s">
        <v>73</v>
      </c>
      <c r="M921" s="39" t="s">
        <v>138</v>
      </c>
      <c r="N921" s="39" t="s">
        <v>142</v>
      </c>
      <c r="O921" s="43">
        <f t="shared" si="294"/>
        <v>69982.789999999994</v>
      </c>
      <c r="P921" s="43">
        <f t="shared" si="295"/>
        <v>53186.92</v>
      </c>
      <c r="Q921" s="43">
        <f t="shared" si="296"/>
        <v>59758.14</v>
      </c>
      <c r="R921" s="43">
        <f t="shared" si="297"/>
        <v>-6571.2200000000012</v>
      </c>
      <c r="S921" s="44">
        <f t="shared" si="298"/>
        <v>-0.12354954940049173</v>
      </c>
      <c r="T921" s="39" t="str">
        <f t="shared" si="299"/>
        <v>Loss</v>
      </c>
      <c r="U921" s="39" t="str">
        <f t="shared" si="300"/>
        <v>20%+</v>
      </c>
      <c r="V921" s="39" t="str">
        <f>IF(E921&gt;=Analysis!$B$4,"High",IF(E921&gt;=Analysis!$B$5,"Mid","Low"))</f>
        <v>Mid</v>
      </c>
      <c r="W921" s="39" t="str">
        <f t="shared" si="301"/>
        <v>2023-01</v>
      </c>
      <c r="X921" s="40">
        <f t="shared" si="302"/>
        <v>44957</v>
      </c>
      <c r="Y921" s="39" t="str">
        <f t="shared" si="303"/>
        <v>2023-Q1</v>
      </c>
      <c r="Z921" s="39" t="str">
        <f t="shared" si="304"/>
        <v>Mon</v>
      </c>
      <c r="AA921" s="39">
        <f t="shared" si="305"/>
        <v>1</v>
      </c>
      <c r="AB921" s="39">
        <f t="shared" si="306"/>
        <v>3</v>
      </c>
      <c r="AC921" s="39" t="str">
        <f t="shared" si="307"/>
        <v>Weekday</v>
      </c>
      <c r="AD921" s="39">
        <f t="shared" ca="1" si="308"/>
        <v>1384</v>
      </c>
      <c r="AE921" s="39">
        <f t="shared" ca="1" si="309"/>
        <v>45</v>
      </c>
      <c r="AF921" s="39" t="str">
        <f t="shared" si="310"/>
        <v>DAV</v>
      </c>
      <c r="AG921" s="39" t="str">
        <f t="shared" si="311"/>
        <v>SO-230109-0920</v>
      </c>
      <c r="AH921" s="39" t="str">
        <f>IF(AND(OR(Filter!$B$4="All",D921=Filter!$B$4),OR(Filter!$B$5="All",M921=Filter!$B$5),E921&gt;=Filter!$B$6),MAX(AH$1:AH920)+1,"")</f>
        <v/>
      </c>
      <c r="AI921" s="39">
        <f t="shared" si="312"/>
        <v>23</v>
      </c>
      <c r="AJ921" s="42">
        <f t="shared" si="313"/>
        <v>0.24</v>
      </c>
      <c r="AK921" s="41">
        <f t="shared" si="314"/>
        <v>3042.73</v>
      </c>
      <c r="AL921" s="39">
        <f>RANK(E921,$E$2:$E$1001,0)+COUNTIF($E$2:E921,E921)-1</f>
        <v>431</v>
      </c>
    </row>
    <row r="922" spans="1:38" x14ac:dyDescent="0.2">
      <c r="A922" s="39">
        <v>1019</v>
      </c>
      <c r="B922" s="40">
        <v>45188</v>
      </c>
      <c r="C922" s="39" t="s">
        <v>71</v>
      </c>
      <c r="D922" s="39" t="s">
        <v>74</v>
      </c>
      <c r="E922" s="41">
        <v>6705.4</v>
      </c>
      <c r="F922" s="39">
        <v>45</v>
      </c>
      <c r="G922" s="39" t="s">
        <v>60</v>
      </c>
      <c r="H922" s="41">
        <v>2590.64</v>
      </c>
      <c r="I922" s="41">
        <v>3036.18</v>
      </c>
      <c r="J922" s="39" t="s">
        <v>143</v>
      </c>
      <c r="K922" s="42">
        <v>0.05</v>
      </c>
      <c r="L922" s="39" t="s">
        <v>63</v>
      </c>
      <c r="M922" s="39" t="s">
        <v>140</v>
      </c>
      <c r="N922" s="39" t="s">
        <v>146</v>
      </c>
      <c r="O922" s="43">
        <f t="shared" si="294"/>
        <v>136628.1</v>
      </c>
      <c r="P922" s="43">
        <f t="shared" si="295"/>
        <v>129796.7</v>
      </c>
      <c r="Q922" s="43">
        <f t="shared" si="296"/>
        <v>116578.8</v>
      </c>
      <c r="R922" s="43">
        <f t="shared" si="297"/>
        <v>13217.899999999994</v>
      </c>
      <c r="S922" s="44">
        <f t="shared" si="298"/>
        <v>0.10183540875846608</v>
      </c>
      <c r="T922" s="39" t="str">
        <f t="shared" si="299"/>
        <v>OK</v>
      </c>
      <c r="U922" s="39" t="str">
        <f t="shared" si="300"/>
        <v>0-9%</v>
      </c>
      <c r="V922" s="39" t="str">
        <f>IF(E922&gt;=Analysis!$B$4,"High",IF(E922&gt;=Analysis!$B$5,"Mid","Low"))</f>
        <v>Mid</v>
      </c>
      <c r="W922" s="39" t="str">
        <f t="shared" si="301"/>
        <v>2023-09</v>
      </c>
      <c r="X922" s="40">
        <f t="shared" si="302"/>
        <v>45199</v>
      </c>
      <c r="Y922" s="39" t="str">
        <f t="shared" si="303"/>
        <v>2023-Q3</v>
      </c>
      <c r="Z922" s="39" t="str">
        <f t="shared" si="304"/>
        <v>Tue</v>
      </c>
      <c r="AA922" s="39">
        <f t="shared" si="305"/>
        <v>2</v>
      </c>
      <c r="AB922" s="39">
        <f t="shared" si="306"/>
        <v>39</v>
      </c>
      <c r="AC922" s="39" t="str">
        <f t="shared" si="307"/>
        <v>Weekday</v>
      </c>
      <c r="AD922" s="39">
        <f t="shared" ca="1" si="308"/>
        <v>1131</v>
      </c>
      <c r="AE922" s="39">
        <f t="shared" ca="1" si="309"/>
        <v>37</v>
      </c>
      <c r="AF922" s="39" t="str">
        <f t="shared" si="310"/>
        <v>CHA</v>
      </c>
      <c r="AG922" s="39" t="str">
        <f t="shared" si="311"/>
        <v>WR-230919-0921</v>
      </c>
      <c r="AH922" s="39" t="str">
        <f>IF(AND(OR(Filter!$B$4="All",D922=Filter!$B$4),OR(Filter!$B$5="All",M922=Filter!$B$5),E922&gt;=Filter!$B$6),MAX(AH$1:AH921)+1,"")</f>
        <v/>
      </c>
      <c r="AI922" s="39">
        <f t="shared" si="312"/>
        <v>45</v>
      </c>
      <c r="AJ922" s="42">
        <f t="shared" si="313"/>
        <v>0.05</v>
      </c>
      <c r="AK922" s="41">
        <f t="shared" si="314"/>
        <v>3036.18</v>
      </c>
      <c r="AL922" s="39">
        <f>RANK(E922,$E$2:$E$1001,0)+COUNTIF($E$2:E922,E922)-1</f>
        <v>334</v>
      </c>
    </row>
    <row r="923" spans="1:38" x14ac:dyDescent="0.2">
      <c r="A923" s="39">
        <v>1021</v>
      </c>
      <c r="B923" s="40">
        <v>44999</v>
      </c>
      <c r="C923" s="39" t="s">
        <v>76</v>
      </c>
      <c r="D923" s="39" t="s">
        <v>69</v>
      </c>
      <c r="E923" s="41">
        <v>7792.79</v>
      </c>
      <c r="F923" s="39">
        <v>23</v>
      </c>
      <c r="G923" s="39" t="s">
        <v>70</v>
      </c>
      <c r="H923" s="41">
        <v>580.75</v>
      </c>
      <c r="I923" s="41">
        <v>956.16</v>
      </c>
      <c r="J923" s="39" t="s">
        <v>137</v>
      </c>
      <c r="K923" s="42">
        <v>7.0000000000000007E-2</v>
      </c>
      <c r="L923" s="39" t="s">
        <v>68</v>
      </c>
      <c r="M923" s="39" t="s">
        <v>140</v>
      </c>
      <c r="N923" s="39" t="s">
        <v>142</v>
      </c>
      <c r="O923" s="43">
        <f t="shared" si="294"/>
        <v>21991.68</v>
      </c>
      <c r="P923" s="43">
        <f t="shared" si="295"/>
        <v>20452.259999999998</v>
      </c>
      <c r="Q923" s="43">
        <f t="shared" si="296"/>
        <v>13357.25</v>
      </c>
      <c r="R923" s="43">
        <f t="shared" si="297"/>
        <v>7095.0099999999984</v>
      </c>
      <c r="S923" s="44">
        <f t="shared" si="298"/>
        <v>0.34690591650996022</v>
      </c>
      <c r="T923" s="39" t="str">
        <f t="shared" si="299"/>
        <v>OK</v>
      </c>
      <c r="U923" s="39" t="str">
        <f t="shared" si="300"/>
        <v>0-9%</v>
      </c>
      <c r="V923" s="39" t="str">
        <f>IF(E923&gt;=Analysis!$B$4,"High",IF(E923&gt;=Analysis!$B$5,"Mid","Low"))</f>
        <v>High</v>
      </c>
      <c r="W923" s="39" t="str">
        <f t="shared" si="301"/>
        <v>2023-03</v>
      </c>
      <c r="X923" s="40">
        <f t="shared" si="302"/>
        <v>45016</v>
      </c>
      <c r="Y923" s="39" t="str">
        <f t="shared" si="303"/>
        <v>2023-Q1</v>
      </c>
      <c r="Z923" s="39" t="str">
        <f t="shared" si="304"/>
        <v>Tue</v>
      </c>
      <c r="AA923" s="39">
        <f t="shared" si="305"/>
        <v>2</v>
      </c>
      <c r="AB923" s="39">
        <f t="shared" si="306"/>
        <v>12</v>
      </c>
      <c r="AC923" s="39" t="str">
        <f t="shared" si="307"/>
        <v>Weekday</v>
      </c>
      <c r="AD923" s="39">
        <f t="shared" ca="1" si="308"/>
        <v>1320</v>
      </c>
      <c r="AE923" s="39">
        <f t="shared" ca="1" si="309"/>
        <v>43</v>
      </c>
      <c r="AF923" s="39" t="str">
        <f t="shared" si="310"/>
        <v>DAV</v>
      </c>
      <c r="AG923" s="39" t="str">
        <f t="shared" si="311"/>
        <v>SR-230314-0922</v>
      </c>
      <c r="AH923" s="39" t="str">
        <f>IF(AND(OR(Filter!$B$4="All",D923=Filter!$B$4),OR(Filter!$B$5="All",M923=Filter!$B$5),E923&gt;=Filter!$B$6),MAX(AH$1:AH922)+1,"")</f>
        <v/>
      </c>
      <c r="AI923" s="39">
        <f t="shared" si="312"/>
        <v>23</v>
      </c>
      <c r="AJ923" s="42">
        <f t="shared" si="313"/>
        <v>7.0000000000000007E-2</v>
      </c>
      <c r="AK923" s="41">
        <f t="shared" si="314"/>
        <v>956.16</v>
      </c>
      <c r="AL923" s="39">
        <f>RANK(E923,$E$2:$E$1001,0)+COUNTIF($E$2:E923,E923)-1</f>
        <v>219</v>
      </c>
    </row>
    <row r="924" spans="1:38" x14ac:dyDescent="0.2">
      <c r="A924" s="39">
        <v>1005</v>
      </c>
      <c r="B924" s="40">
        <v>45285</v>
      </c>
      <c r="C924" s="39" t="s">
        <v>61</v>
      </c>
      <c r="D924" s="39" t="s">
        <v>69</v>
      </c>
      <c r="E924" s="41">
        <v>8635.81</v>
      </c>
      <c r="F924" s="39">
        <v>28</v>
      </c>
      <c r="G924" s="39" t="s">
        <v>75</v>
      </c>
      <c r="H924" s="41">
        <v>2146.2399999999998</v>
      </c>
      <c r="I924" s="41">
        <v>2173.4699999999998</v>
      </c>
      <c r="J924" s="39" t="s">
        <v>137</v>
      </c>
      <c r="K924" s="42">
        <v>0.1</v>
      </c>
      <c r="L924" s="39" t="s">
        <v>68</v>
      </c>
      <c r="M924" s="39" t="s">
        <v>140</v>
      </c>
      <c r="N924" s="39" t="s">
        <v>150</v>
      </c>
      <c r="O924" s="43">
        <f t="shared" si="294"/>
        <v>60857.16</v>
      </c>
      <c r="P924" s="43">
        <f t="shared" si="295"/>
        <v>54771.44</v>
      </c>
      <c r="Q924" s="43">
        <f t="shared" si="296"/>
        <v>60094.720000000001</v>
      </c>
      <c r="R924" s="43">
        <f t="shared" si="297"/>
        <v>-5323.2799999999988</v>
      </c>
      <c r="S924" s="44">
        <f t="shared" si="298"/>
        <v>-9.7190798708231857E-2</v>
      </c>
      <c r="T924" s="39" t="str">
        <f t="shared" si="299"/>
        <v>Loss</v>
      </c>
      <c r="U924" s="39" t="str">
        <f t="shared" si="300"/>
        <v>10-19%</v>
      </c>
      <c r="V924" s="39" t="str">
        <f>IF(E924&gt;=Analysis!$B$4,"High",IF(E924&gt;=Analysis!$B$5,"Mid","Low"))</f>
        <v>High</v>
      </c>
      <c r="W924" s="39" t="str">
        <f t="shared" si="301"/>
        <v>2023-12</v>
      </c>
      <c r="X924" s="40">
        <f t="shared" si="302"/>
        <v>45291</v>
      </c>
      <c r="Y924" s="39" t="str">
        <f t="shared" si="303"/>
        <v>2023-Q4</v>
      </c>
      <c r="Z924" s="39" t="str">
        <f t="shared" si="304"/>
        <v>Mon</v>
      </c>
      <c r="AA924" s="39">
        <f t="shared" si="305"/>
        <v>1</v>
      </c>
      <c r="AB924" s="39">
        <f t="shared" si="306"/>
        <v>53</v>
      </c>
      <c r="AC924" s="39" t="str">
        <f t="shared" si="307"/>
        <v>Weekday</v>
      </c>
      <c r="AD924" s="39">
        <f t="shared" ca="1" si="308"/>
        <v>1034</v>
      </c>
      <c r="AE924" s="39">
        <f t="shared" ca="1" si="309"/>
        <v>33</v>
      </c>
      <c r="AF924" s="39" t="str">
        <f t="shared" si="310"/>
        <v>ALI</v>
      </c>
      <c r="AG924" s="39" t="str">
        <f t="shared" si="311"/>
        <v>SR-231225-0923</v>
      </c>
      <c r="AH924" s="39" t="str">
        <f>IF(AND(OR(Filter!$B$4="All",D924=Filter!$B$4),OR(Filter!$B$5="All",M924=Filter!$B$5),E924&gt;=Filter!$B$6),MAX(AH$1:AH923)+1,"")</f>
        <v/>
      </c>
      <c r="AI924" s="39">
        <f t="shared" si="312"/>
        <v>28</v>
      </c>
      <c r="AJ924" s="42">
        <f t="shared" si="313"/>
        <v>0.1</v>
      </c>
      <c r="AK924" s="41">
        <f t="shared" si="314"/>
        <v>2173.4699999999998</v>
      </c>
      <c r="AL924" s="39">
        <f>RANK(E924,$E$2:$E$1001,0)+COUNTIF($E$2:E924,E924)-1</f>
        <v>128</v>
      </c>
    </row>
    <row r="925" spans="1:38" x14ac:dyDescent="0.2">
      <c r="A925" s="39">
        <v>1082</v>
      </c>
      <c r="B925" s="40">
        <v>45149</v>
      </c>
      <c r="C925" s="39" t="s">
        <v>71</v>
      </c>
      <c r="D925" s="39" t="s">
        <v>64</v>
      </c>
      <c r="E925" s="41">
        <v>3207.37</v>
      </c>
      <c r="F925" s="39">
        <v>43</v>
      </c>
      <c r="G925" s="39" t="s">
        <v>75</v>
      </c>
      <c r="H925" s="41">
        <v>2289.2199999999998</v>
      </c>
      <c r="I925" s="41">
        <v>2581</v>
      </c>
      <c r="J925" s="39" t="s">
        <v>143</v>
      </c>
      <c r="K925" s="42">
        <v>0.05</v>
      </c>
      <c r="L925" s="39" t="s">
        <v>63</v>
      </c>
      <c r="M925" s="39" t="s">
        <v>138</v>
      </c>
      <c r="N925" s="39" t="s">
        <v>160</v>
      </c>
      <c r="O925" s="43">
        <f t="shared" si="294"/>
        <v>110983</v>
      </c>
      <c r="P925" s="43">
        <f t="shared" si="295"/>
        <v>105433.85</v>
      </c>
      <c r="Q925" s="43">
        <f t="shared" si="296"/>
        <v>98436.46</v>
      </c>
      <c r="R925" s="43">
        <f t="shared" si="297"/>
        <v>6997.3899999999994</v>
      </c>
      <c r="S925" s="44">
        <f t="shared" si="298"/>
        <v>6.6367584983380565E-2</v>
      </c>
      <c r="T925" s="39" t="str">
        <f t="shared" si="299"/>
        <v>OK</v>
      </c>
      <c r="U925" s="39" t="str">
        <f t="shared" si="300"/>
        <v>0-9%</v>
      </c>
      <c r="V925" s="39" t="str">
        <f>IF(E925&gt;=Analysis!$B$4,"High",IF(E925&gt;=Analysis!$B$5,"Mid","Low"))</f>
        <v>Mid</v>
      </c>
      <c r="W925" s="39" t="str">
        <f t="shared" si="301"/>
        <v>2023-08</v>
      </c>
      <c r="X925" s="40">
        <f t="shared" si="302"/>
        <v>45169</v>
      </c>
      <c r="Y925" s="39" t="str">
        <f t="shared" si="303"/>
        <v>2023-Q3</v>
      </c>
      <c r="Z925" s="39" t="str">
        <f t="shared" si="304"/>
        <v>Fri</v>
      </c>
      <c r="AA925" s="39">
        <f t="shared" si="305"/>
        <v>5</v>
      </c>
      <c r="AB925" s="39">
        <f t="shared" si="306"/>
        <v>33</v>
      </c>
      <c r="AC925" s="39" t="str">
        <f t="shared" si="307"/>
        <v>Weekday</v>
      </c>
      <c r="AD925" s="39">
        <f t="shared" ca="1" si="308"/>
        <v>1170</v>
      </c>
      <c r="AE925" s="39">
        <f t="shared" ca="1" si="309"/>
        <v>38</v>
      </c>
      <c r="AF925" s="39" t="str">
        <f t="shared" si="310"/>
        <v>CHA</v>
      </c>
      <c r="AG925" s="39" t="str">
        <f t="shared" si="311"/>
        <v>NO-230811-0924</v>
      </c>
      <c r="AH925" s="39" t="str">
        <f>IF(AND(OR(Filter!$B$4="All",D925=Filter!$B$4),OR(Filter!$B$5="All",M925=Filter!$B$5),E925&gt;=Filter!$B$6),MAX(AH$1:AH924)+1,"")</f>
        <v/>
      </c>
      <c r="AI925" s="39">
        <f t="shared" si="312"/>
        <v>43</v>
      </c>
      <c r="AJ925" s="42">
        <f t="shared" si="313"/>
        <v>0.05</v>
      </c>
      <c r="AK925" s="41">
        <f t="shared" si="314"/>
        <v>2581</v>
      </c>
      <c r="AL925" s="39">
        <f>RANK(E925,$E$2:$E$1001,0)+COUNTIF($E$2:E925,E925)-1</f>
        <v>672</v>
      </c>
    </row>
    <row r="926" spans="1:38" x14ac:dyDescent="0.2">
      <c r="A926" s="39">
        <v>1092</v>
      </c>
      <c r="B926" s="40">
        <v>44967</v>
      </c>
      <c r="C926" s="39" t="s">
        <v>66</v>
      </c>
      <c r="D926" s="39" t="s">
        <v>59</v>
      </c>
      <c r="E926" s="41">
        <v>5426.42</v>
      </c>
      <c r="F926" s="39">
        <v>47</v>
      </c>
      <c r="G926" s="39" t="s">
        <v>75</v>
      </c>
      <c r="H926" s="41">
        <v>3681.53</v>
      </c>
      <c r="I926" s="41">
        <v>4076.96</v>
      </c>
      <c r="J926" s="39" t="s">
        <v>137</v>
      </c>
      <c r="K926" s="42">
        <v>0.17</v>
      </c>
      <c r="L926" s="39" t="s">
        <v>68</v>
      </c>
      <c r="M926" s="39" t="s">
        <v>140</v>
      </c>
      <c r="N926" s="39" t="s">
        <v>153</v>
      </c>
      <c r="O926" s="43">
        <f t="shared" si="294"/>
        <v>191617.12</v>
      </c>
      <c r="P926" s="43">
        <f t="shared" si="295"/>
        <v>159042.21</v>
      </c>
      <c r="Q926" s="43">
        <f t="shared" si="296"/>
        <v>173031.91</v>
      </c>
      <c r="R926" s="43">
        <f t="shared" si="297"/>
        <v>-13989.700000000012</v>
      </c>
      <c r="S926" s="44">
        <f t="shared" si="298"/>
        <v>-8.7962183121072152E-2</v>
      </c>
      <c r="T926" s="39" t="str">
        <f t="shared" si="299"/>
        <v>Loss</v>
      </c>
      <c r="U926" s="39" t="str">
        <f t="shared" si="300"/>
        <v>10-19%</v>
      </c>
      <c r="V926" s="39" t="str">
        <f>IF(E926&gt;=Analysis!$B$4,"High",IF(E926&gt;=Analysis!$B$5,"Mid","Low"))</f>
        <v>Mid</v>
      </c>
      <c r="W926" s="39" t="str">
        <f t="shared" si="301"/>
        <v>2023-02</v>
      </c>
      <c r="X926" s="40">
        <f t="shared" si="302"/>
        <v>44985</v>
      </c>
      <c r="Y926" s="39" t="str">
        <f t="shared" si="303"/>
        <v>2023-Q1</v>
      </c>
      <c r="Z926" s="39" t="str">
        <f t="shared" si="304"/>
        <v>Fri</v>
      </c>
      <c r="AA926" s="39">
        <f t="shared" si="305"/>
        <v>5</v>
      </c>
      <c r="AB926" s="39">
        <f t="shared" si="306"/>
        <v>7</v>
      </c>
      <c r="AC926" s="39" t="str">
        <f t="shared" si="307"/>
        <v>Weekday</v>
      </c>
      <c r="AD926" s="39">
        <f t="shared" ca="1" si="308"/>
        <v>1352</v>
      </c>
      <c r="AE926" s="39">
        <f t="shared" ca="1" si="309"/>
        <v>44</v>
      </c>
      <c r="AF926" s="39" t="str">
        <f t="shared" si="310"/>
        <v>BOB</v>
      </c>
      <c r="AG926" s="39" t="str">
        <f t="shared" si="311"/>
        <v>ER-230210-0925</v>
      </c>
      <c r="AH926" s="39" t="str">
        <f>IF(AND(OR(Filter!$B$4="All",D926=Filter!$B$4),OR(Filter!$B$5="All",M926=Filter!$B$5),E926&gt;=Filter!$B$6),MAX(AH$1:AH925)+1,"")</f>
        <v/>
      </c>
      <c r="AI926" s="39">
        <f t="shared" si="312"/>
        <v>47</v>
      </c>
      <c r="AJ926" s="42">
        <f t="shared" si="313"/>
        <v>0.17</v>
      </c>
      <c r="AK926" s="41">
        <f t="shared" si="314"/>
        <v>4076.96</v>
      </c>
      <c r="AL926" s="39">
        <f>RANK(E926,$E$2:$E$1001,0)+COUNTIF($E$2:E926,E926)-1</f>
        <v>463</v>
      </c>
    </row>
    <row r="927" spans="1:38" x14ac:dyDescent="0.2">
      <c r="A927" s="39">
        <v>1042</v>
      </c>
      <c r="B927" s="40">
        <v>45130</v>
      </c>
      <c r="C927" s="39" t="s">
        <v>71</v>
      </c>
      <c r="D927" s="39" t="s">
        <v>74</v>
      </c>
      <c r="E927" s="41">
        <v>8417.07</v>
      </c>
      <c r="F927" s="39">
        <v>26</v>
      </c>
      <c r="G927" s="39" t="s">
        <v>65</v>
      </c>
      <c r="H927" s="41">
        <v>4208.09</v>
      </c>
      <c r="I927" s="41">
        <v>4226.5600000000004</v>
      </c>
      <c r="J927" s="39" t="s">
        <v>137</v>
      </c>
      <c r="K927" s="42">
        <v>0.28999999999999998</v>
      </c>
      <c r="L927" s="39" t="s">
        <v>68</v>
      </c>
      <c r="M927" s="39" t="s">
        <v>140</v>
      </c>
      <c r="N927" s="39" t="s">
        <v>146</v>
      </c>
      <c r="O927" s="43">
        <f t="shared" si="294"/>
        <v>109890.56</v>
      </c>
      <c r="P927" s="43">
        <f t="shared" si="295"/>
        <v>78022.3</v>
      </c>
      <c r="Q927" s="43">
        <f t="shared" si="296"/>
        <v>109410.34</v>
      </c>
      <c r="R927" s="43">
        <f t="shared" si="297"/>
        <v>-31388.039999999994</v>
      </c>
      <c r="S927" s="44">
        <f t="shared" si="298"/>
        <v>-0.40229575390625488</v>
      </c>
      <c r="T927" s="39" t="str">
        <f t="shared" si="299"/>
        <v>Loss</v>
      </c>
      <c r="U927" s="39" t="str">
        <f t="shared" si="300"/>
        <v>20%+</v>
      </c>
      <c r="V927" s="39" t="str">
        <f>IF(E927&gt;=Analysis!$B$4,"High",IF(E927&gt;=Analysis!$B$5,"Mid","Low"))</f>
        <v>High</v>
      </c>
      <c r="W927" s="39" t="str">
        <f t="shared" si="301"/>
        <v>2023-07</v>
      </c>
      <c r="X927" s="40">
        <f t="shared" si="302"/>
        <v>45138</v>
      </c>
      <c r="Y927" s="39" t="str">
        <f t="shared" si="303"/>
        <v>2023-Q3</v>
      </c>
      <c r="Z927" s="39" t="str">
        <f t="shared" si="304"/>
        <v>Sun</v>
      </c>
      <c r="AA927" s="39">
        <f t="shared" si="305"/>
        <v>7</v>
      </c>
      <c r="AB927" s="39">
        <f t="shared" si="306"/>
        <v>30</v>
      </c>
      <c r="AC927" s="39" t="str">
        <f t="shared" si="307"/>
        <v>Weekend</v>
      </c>
      <c r="AD927" s="39">
        <f t="shared" ca="1" si="308"/>
        <v>1189</v>
      </c>
      <c r="AE927" s="39">
        <f t="shared" ca="1" si="309"/>
        <v>39</v>
      </c>
      <c r="AF927" s="39" t="str">
        <f t="shared" si="310"/>
        <v>CHA</v>
      </c>
      <c r="AG927" s="39" t="str">
        <f t="shared" si="311"/>
        <v>WR-230723-0926</v>
      </c>
      <c r="AH927" s="39" t="str">
        <f>IF(AND(OR(Filter!$B$4="All",D927=Filter!$B$4),OR(Filter!$B$5="All",M927=Filter!$B$5),E927&gt;=Filter!$B$6),MAX(AH$1:AH926)+1,"")</f>
        <v/>
      </c>
      <c r="AI927" s="39">
        <f t="shared" si="312"/>
        <v>26</v>
      </c>
      <c r="AJ927" s="42">
        <f t="shared" si="313"/>
        <v>0.28999999999999998</v>
      </c>
      <c r="AK927" s="41">
        <f t="shared" si="314"/>
        <v>4226.5600000000004</v>
      </c>
      <c r="AL927" s="39">
        <f>RANK(E927,$E$2:$E$1001,0)+COUNTIF($E$2:E927,E927)-1</f>
        <v>148</v>
      </c>
    </row>
    <row r="928" spans="1:38" x14ac:dyDescent="0.2">
      <c r="A928" s="39">
        <v>1061</v>
      </c>
      <c r="B928" s="40">
        <v>45190</v>
      </c>
      <c r="C928" s="39" t="s">
        <v>71</v>
      </c>
      <c r="D928" s="39" t="s">
        <v>69</v>
      </c>
      <c r="E928" s="41">
        <v>9895.57</v>
      </c>
      <c r="F928" s="39">
        <v>25</v>
      </c>
      <c r="G928" s="39" t="s">
        <v>70</v>
      </c>
      <c r="H928" s="41">
        <v>2747.66</v>
      </c>
      <c r="I928" s="41">
        <v>3027.01</v>
      </c>
      <c r="J928" s="39" t="s">
        <v>143</v>
      </c>
      <c r="K928" s="42">
        <v>0.23</v>
      </c>
      <c r="L928" s="39" t="s">
        <v>68</v>
      </c>
      <c r="M928" s="39" t="s">
        <v>138</v>
      </c>
      <c r="N928" s="39" t="s">
        <v>151</v>
      </c>
      <c r="O928" s="43">
        <f t="shared" si="294"/>
        <v>75675.25</v>
      </c>
      <c r="P928" s="43">
        <f t="shared" si="295"/>
        <v>58269.94</v>
      </c>
      <c r="Q928" s="43">
        <f t="shared" si="296"/>
        <v>68691.5</v>
      </c>
      <c r="R928" s="43">
        <f t="shared" si="297"/>
        <v>-10421.559999999998</v>
      </c>
      <c r="S928" s="44">
        <f t="shared" si="298"/>
        <v>-0.17884967789566966</v>
      </c>
      <c r="T928" s="39" t="str">
        <f t="shared" si="299"/>
        <v>Loss</v>
      </c>
      <c r="U928" s="39" t="str">
        <f t="shared" si="300"/>
        <v>20%+</v>
      </c>
      <c r="V928" s="39" t="str">
        <f>IF(E928&gt;=Analysis!$B$4,"High",IF(E928&gt;=Analysis!$B$5,"Mid","Low"))</f>
        <v>High</v>
      </c>
      <c r="W928" s="39" t="str">
        <f t="shared" si="301"/>
        <v>2023-09</v>
      </c>
      <c r="X928" s="40">
        <f t="shared" si="302"/>
        <v>45199</v>
      </c>
      <c r="Y928" s="39" t="str">
        <f t="shared" si="303"/>
        <v>2023-Q3</v>
      </c>
      <c r="Z928" s="39" t="str">
        <f t="shared" si="304"/>
        <v>Thu</v>
      </c>
      <c r="AA928" s="39">
        <f t="shared" si="305"/>
        <v>4</v>
      </c>
      <c r="AB928" s="39">
        <f t="shared" si="306"/>
        <v>39</v>
      </c>
      <c r="AC928" s="39" t="str">
        <f t="shared" si="307"/>
        <v>Weekday</v>
      </c>
      <c r="AD928" s="39">
        <f t="shared" ca="1" si="308"/>
        <v>1129</v>
      </c>
      <c r="AE928" s="39">
        <f t="shared" ca="1" si="309"/>
        <v>37</v>
      </c>
      <c r="AF928" s="39" t="str">
        <f t="shared" si="310"/>
        <v>CHA</v>
      </c>
      <c r="AG928" s="39" t="str">
        <f t="shared" si="311"/>
        <v>SO-230921-0927</v>
      </c>
      <c r="AH928" s="39">
        <f>IF(AND(OR(Filter!$B$4="All",D928=Filter!$B$4),OR(Filter!$B$5="All",M928=Filter!$B$5),E928&gt;=Filter!$B$6),MAX(AH$1:AH927)+1,"")</f>
        <v>85</v>
      </c>
      <c r="AI928" s="39">
        <f t="shared" si="312"/>
        <v>25</v>
      </c>
      <c r="AJ928" s="42">
        <f t="shared" si="313"/>
        <v>0.23</v>
      </c>
      <c r="AK928" s="41">
        <f t="shared" si="314"/>
        <v>3027.01</v>
      </c>
      <c r="AL928" s="39">
        <f>RANK(E928,$E$2:$E$1001,0)+COUNTIF($E$2:E928,E928)-1</f>
        <v>11</v>
      </c>
    </row>
    <row r="929" spans="1:38" x14ac:dyDescent="0.2">
      <c r="A929" s="39">
        <v>1022</v>
      </c>
      <c r="B929" s="40">
        <v>45254</v>
      </c>
      <c r="C929" s="39" t="s">
        <v>79</v>
      </c>
      <c r="D929" s="39" t="s">
        <v>74</v>
      </c>
      <c r="E929" s="41">
        <v>8906.24</v>
      </c>
      <c r="F929" s="39">
        <v>29</v>
      </c>
      <c r="G929" s="39" t="s">
        <v>75</v>
      </c>
      <c r="H929" s="41">
        <v>479.58</v>
      </c>
      <c r="I929" s="41">
        <v>909.88</v>
      </c>
      <c r="J929" s="39" t="s">
        <v>137</v>
      </c>
      <c r="K929" s="42">
        <v>0.13</v>
      </c>
      <c r="L929" s="39" t="s">
        <v>73</v>
      </c>
      <c r="M929" s="39" t="s">
        <v>140</v>
      </c>
      <c r="N929" s="39" t="s">
        <v>149</v>
      </c>
      <c r="O929" s="43">
        <f t="shared" si="294"/>
        <v>26386.52</v>
      </c>
      <c r="P929" s="43">
        <f t="shared" si="295"/>
        <v>22956.27</v>
      </c>
      <c r="Q929" s="43">
        <f t="shared" si="296"/>
        <v>13907.82</v>
      </c>
      <c r="R929" s="43">
        <f t="shared" si="297"/>
        <v>9048.4500000000007</v>
      </c>
      <c r="S929" s="44">
        <f t="shared" si="298"/>
        <v>0.39416028823497895</v>
      </c>
      <c r="T929" s="39" t="str">
        <f t="shared" si="299"/>
        <v>OK</v>
      </c>
      <c r="U929" s="39" t="str">
        <f t="shared" si="300"/>
        <v>10-19%</v>
      </c>
      <c r="V929" s="39" t="str">
        <f>IF(E929&gt;=Analysis!$B$4,"High",IF(E929&gt;=Analysis!$B$5,"Mid","Low"))</f>
        <v>High</v>
      </c>
      <c r="W929" s="39" t="str">
        <f t="shared" si="301"/>
        <v>2023-11</v>
      </c>
      <c r="X929" s="40">
        <f t="shared" si="302"/>
        <v>45260</v>
      </c>
      <c r="Y929" s="39" t="str">
        <f t="shared" si="303"/>
        <v>2023-Q4</v>
      </c>
      <c r="Z929" s="39" t="str">
        <f t="shared" si="304"/>
        <v>Fri</v>
      </c>
      <c r="AA929" s="39">
        <f t="shared" si="305"/>
        <v>5</v>
      </c>
      <c r="AB929" s="39">
        <f t="shared" si="306"/>
        <v>48</v>
      </c>
      <c r="AC929" s="39" t="str">
        <f t="shared" si="307"/>
        <v>Weekday</v>
      </c>
      <c r="AD929" s="39">
        <f t="shared" ca="1" si="308"/>
        <v>1065</v>
      </c>
      <c r="AE929" s="39">
        <f t="shared" ca="1" si="309"/>
        <v>35</v>
      </c>
      <c r="AF929" s="39" t="str">
        <f t="shared" si="310"/>
        <v>EVE</v>
      </c>
      <c r="AG929" s="39" t="str">
        <f t="shared" si="311"/>
        <v>WR-231124-0928</v>
      </c>
      <c r="AH929" s="39" t="str">
        <f>IF(AND(OR(Filter!$B$4="All",D929=Filter!$B$4),OR(Filter!$B$5="All",M929=Filter!$B$5),E929&gt;=Filter!$B$6),MAX(AH$1:AH928)+1,"")</f>
        <v/>
      </c>
      <c r="AI929" s="39">
        <f t="shared" si="312"/>
        <v>29</v>
      </c>
      <c r="AJ929" s="42">
        <f t="shared" si="313"/>
        <v>0.13</v>
      </c>
      <c r="AK929" s="41">
        <f t="shared" si="314"/>
        <v>909.88</v>
      </c>
      <c r="AL929" s="39">
        <f>RANK(E929,$E$2:$E$1001,0)+COUNTIF($E$2:E929,E929)-1</f>
        <v>102</v>
      </c>
    </row>
    <row r="930" spans="1:38" x14ac:dyDescent="0.2">
      <c r="A930" s="39">
        <v>1021</v>
      </c>
      <c r="B930" s="40">
        <v>45104</v>
      </c>
      <c r="C930" s="39" t="s">
        <v>71</v>
      </c>
      <c r="D930" s="39" t="s">
        <v>64</v>
      </c>
      <c r="E930" s="41">
        <v>3777.53</v>
      </c>
      <c r="F930" s="39">
        <v>19</v>
      </c>
      <c r="G930" s="39" t="s">
        <v>65</v>
      </c>
      <c r="H930" s="41">
        <v>1222.4000000000001</v>
      </c>
      <c r="I930" s="41">
        <v>1464.71</v>
      </c>
      <c r="J930" s="39" t="s">
        <v>143</v>
      </c>
      <c r="K930" s="42">
        <v>0</v>
      </c>
      <c r="L930" s="39" t="s">
        <v>73</v>
      </c>
      <c r="M930" s="39" t="s">
        <v>140</v>
      </c>
      <c r="N930" s="39" t="s">
        <v>160</v>
      </c>
      <c r="O930" s="43">
        <f t="shared" si="294"/>
        <v>27829.49</v>
      </c>
      <c r="P930" s="43">
        <f t="shared" si="295"/>
        <v>27829.49</v>
      </c>
      <c r="Q930" s="43">
        <f t="shared" si="296"/>
        <v>23225.599999999999</v>
      </c>
      <c r="R930" s="43">
        <f t="shared" si="297"/>
        <v>4603.8900000000031</v>
      </c>
      <c r="S930" s="44">
        <f t="shared" si="298"/>
        <v>0.16543206505041963</v>
      </c>
      <c r="T930" s="39" t="str">
        <f t="shared" si="299"/>
        <v>OK</v>
      </c>
      <c r="U930" s="39" t="str">
        <f t="shared" si="300"/>
        <v>0-9%</v>
      </c>
      <c r="V930" s="39" t="str">
        <f>IF(E930&gt;=Analysis!$B$4,"High",IF(E930&gt;=Analysis!$B$5,"Mid","Low"))</f>
        <v>Mid</v>
      </c>
      <c r="W930" s="39" t="str">
        <f t="shared" si="301"/>
        <v>2023-06</v>
      </c>
      <c r="X930" s="40">
        <f t="shared" si="302"/>
        <v>45107</v>
      </c>
      <c r="Y930" s="39" t="str">
        <f t="shared" si="303"/>
        <v>2023-Q2</v>
      </c>
      <c r="Z930" s="39" t="str">
        <f t="shared" si="304"/>
        <v>Tue</v>
      </c>
      <c r="AA930" s="39">
        <f t="shared" si="305"/>
        <v>2</v>
      </c>
      <c r="AB930" s="39">
        <f t="shared" si="306"/>
        <v>27</v>
      </c>
      <c r="AC930" s="39" t="str">
        <f t="shared" si="307"/>
        <v>Weekday</v>
      </c>
      <c r="AD930" s="39">
        <f t="shared" ca="1" si="308"/>
        <v>1215</v>
      </c>
      <c r="AE930" s="39">
        <f t="shared" ca="1" si="309"/>
        <v>39</v>
      </c>
      <c r="AF930" s="39" t="str">
        <f t="shared" si="310"/>
        <v>CHA</v>
      </c>
      <c r="AG930" s="39" t="str">
        <f t="shared" si="311"/>
        <v>NR-230627-0929</v>
      </c>
      <c r="AH930" s="39" t="str">
        <f>IF(AND(OR(Filter!$B$4="All",D930=Filter!$B$4),OR(Filter!$B$5="All",M930=Filter!$B$5),E930&gt;=Filter!$B$6),MAX(AH$1:AH929)+1,"")</f>
        <v/>
      </c>
      <c r="AI930" s="39">
        <f t="shared" si="312"/>
        <v>19</v>
      </c>
      <c r="AJ930" s="42">
        <f t="shared" si="313"/>
        <v>0</v>
      </c>
      <c r="AK930" s="41">
        <f t="shared" si="314"/>
        <v>1464.71</v>
      </c>
      <c r="AL930" s="39">
        <f>RANK(E930,$E$2:$E$1001,0)+COUNTIF($E$2:E930,E930)-1</f>
        <v>619</v>
      </c>
    </row>
    <row r="931" spans="1:38" x14ac:dyDescent="0.2">
      <c r="A931" s="39">
        <v>1070</v>
      </c>
      <c r="B931" s="40">
        <v>45274</v>
      </c>
      <c r="C931" s="39" t="s">
        <v>71</v>
      </c>
      <c r="D931" s="39" t="s">
        <v>69</v>
      </c>
      <c r="E931" s="41">
        <v>2032.15</v>
      </c>
      <c r="F931" s="39">
        <v>33</v>
      </c>
      <c r="G931" s="39" t="s">
        <v>70</v>
      </c>
      <c r="H931" s="41">
        <v>866.42</v>
      </c>
      <c r="I931" s="41">
        <v>878.43</v>
      </c>
      <c r="J931" s="39" t="s">
        <v>143</v>
      </c>
      <c r="K931" s="42">
        <v>0.09</v>
      </c>
      <c r="L931" s="39" t="s">
        <v>68</v>
      </c>
      <c r="M931" s="39" t="s">
        <v>140</v>
      </c>
      <c r="N931" s="39" t="s">
        <v>151</v>
      </c>
      <c r="O931" s="43">
        <f t="shared" si="294"/>
        <v>28988.19</v>
      </c>
      <c r="P931" s="43">
        <f t="shared" si="295"/>
        <v>26379.25</v>
      </c>
      <c r="Q931" s="43">
        <f t="shared" si="296"/>
        <v>28591.86</v>
      </c>
      <c r="R931" s="43">
        <f t="shared" si="297"/>
        <v>-2212.6100000000006</v>
      </c>
      <c r="S931" s="44">
        <f t="shared" si="298"/>
        <v>-8.3876910829534593E-2</v>
      </c>
      <c r="T931" s="39" t="str">
        <f t="shared" si="299"/>
        <v>Loss</v>
      </c>
      <c r="U931" s="39" t="str">
        <f t="shared" si="300"/>
        <v>0-9%</v>
      </c>
      <c r="V931" s="39" t="str">
        <f>IF(E931&gt;=Analysis!$B$4,"High",IF(E931&gt;=Analysis!$B$5,"Mid","Low"))</f>
        <v>Low</v>
      </c>
      <c r="W931" s="39" t="str">
        <f t="shared" si="301"/>
        <v>2023-12</v>
      </c>
      <c r="X931" s="40">
        <f t="shared" si="302"/>
        <v>45291</v>
      </c>
      <c r="Y931" s="39" t="str">
        <f t="shared" si="303"/>
        <v>2023-Q4</v>
      </c>
      <c r="Z931" s="39" t="str">
        <f t="shared" si="304"/>
        <v>Thu</v>
      </c>
      <c r="AA931" s="39">
        <f t="shared" si="305"/>
        <v>4</v>
      </c>
      <c r="AB931" s="39">
        <f t="shared" si="306"/>
        <v>51</v>
      </c>
      <c r="AC931" s="39" t="str">
        <f t="shared" si="307"/>
        <v>Weekday</v>
      </c>
      <c r="AD931" s="39">
        <f t="shared" ca="1" si="308"/>
        <v>1045</v>
      </c>
      <c r="AE931" s="39">
        <f t="shared" ca="1" si="309"/>
        <v>34</v>
      </c>
      <c r="AF931" s="39" t="str">
        <f t="shared" si="310"/>
        <v>CHA</v>
      </c>
      <c r="AG931" s="39" t="str">
        <f t="shared" si="311"/>
        <v>SR-231214-0930</v>
      </c>
      <c r="AH931" s="39" t="str">
        <f>IF(AND(OR(Filter!$B$4="All",D931=Filter!$B$4),OR(Filter!$B$5="All",M931=Filter!$B$5),E931&gt;=Filter!$B$6),MAX(AH$1:AH930)+1,"")</f>
        <v/>
      </c>
      <c r="AI931" s="39">
        <f t="shared" si="312"/>
        <v>33</v>
      </c>
      <c r="AJ931" s="42">
        <f t="shared" si="313"/>
        <v>0.09</v>
      </c>
      <c r="AK931" s="41">
        <f t="shared" si="314"/>
        <v>878.43</v>
      </c>
      <c r="AL931" s="39">
        <f>RANK(E931,$E$2:$E$1001,0)+COUNTIF($E$2:E931,E931)-1</f>
        <v>815</v>
      </c>
    </row>
    <row r="932" spans="1:38" x14ac:dyDescent="0.2">
      <c r="A932" s="39">
        <v>1001</v>
      </c>
      <c r="B932" s="40">
        <v>45244</v>
      </c>
      <c r="C932" s="39" t="s">
        <v>76</v>
      </c>
      <c r="D932" s="39" t="s">
        <v>64</v>
      </c>
      <c r="E932" s="41">
        <v>4944.99</v>
      </c>
      <c r="F932" s="39">
        <v>36</v>
      </c>
      <c r="G932" s="39" t="s">
        <v>75</v>
      </c>
      <c r="H932" s="41">
        <v>666.84</v>
      </c>
      <c r="I932" s="41">
        <v>682.24</v>
      </c>
      <c r="J932" s="39" t="s">
        <v>143</v>
      </c>
      <c r="K932" s="42">
        <v>0.16</v>
      </c>
      <c r="L932" s="39" t="s">
        <v>63</v>
      </c>
      <c r="M932" s="39" t="s">
        <v>140</v>
      </c>
      <c r="N932" s="39" t="s">
        <v>152</v>
      </c>
      <c r="O932" s="43">
        <f t="shared" si="294"/>
        <v>24560.639999999999</v>
      </c>
      <c r="P932" s="43">
        <f t="shared" si="295"/>
        <v>20630.939999999999</v>
      </c>
      <c r="Q932" s="43">
        <f t="shared" si="296"/>
        <v>24006.240000000002</v>
      </c>
      <c r="R932" s="43">
        <f t="shared" si="297"/>
        <v>-3375.3000000000029</v>
      </c>
      <c r="S932" s="44">
        <f t="shared" si="298"/>
        <v>-0.16360379119904392</v>
      </c>
      <c r="T932" s="39" t="str">
        <f t="shared" si="299"/>
        <v>Loss</v>
      </c>
      <c r="U932" s="39" t="str">
        <f t="shared" si="300"/>
        <v>10-19%</v>
      </c>
      <c r="V932" s="39" t="str">
        <f>IF(E932&gt;=Analysis!$B$4,"High",IF(E932&gt;=Analysis!$B$5,"Mid","Low"))</f>
        <v>Mid</v>
      </c>
      <c r="W932" s="39" t="str">
        <f t="shared" si="301"/>
        <v>2023-11</v>
      </c>
      <c r="X932" s="40">
        <f t="shared" si="302"/>
        <v>45260</v>
      </c>
      <c r="Y932" s="39" t="str">
        <f t="shared" si="303"/>
        <v>2023-Q4</v>
      </c>
      <c r="Z932" s="39" t="str">
        <f t="shared" si="304"/>
        <v>Tue</v>
      </c>
      <c r="AA932" s="39">
        <f t="shared" si="305"/>
        <v>2</v>
      </c>
      <c r="AB932" s="39">
        <f t="shared" si="306"/>
        <v>47</v>
      </c>
      <c r="AC932" s="39" t="str">
        <f t="shared" si="307"/>
        <v>Weekday</v>
      </c>
      <c r="AD932" s="39">
        <f t="shared" ca="1" si="308"/>
        <v>1075</v>
      </c>
      <c r="AE932" s="39">
        <f t="shared" ca="1" si="309"/>
        <v>35</v>
      </c>
      <c r="AF932" s="39" t="str">
        <f t="shared" si="310"/>
        <v>DAV</v>
      </c>
      <c r="AG932" s="39" t="str">
        <f t="shared" si="311"/>
        <v>NR-231114-0931</v>
      </c>
      <c r="AH932" s="39" t="str">
        <f>IF(AND(OR(Filter!$B$4="All",D932=Filter!$B$4),OR(Filter!$B$5="All",M932=Filter!$B$5),E932&gt;=Filter!$B$6),MAX(AH$1:AH931)+1,"")</f>
        <v/>
      </c>
      <c r="AI932" s="39">
        <f t="shared" si="312"/>
        <v>36</v>
      </c>
      <c r="AJ932" s="42">
        <f t="shared" si="313"/>
        <v>0.16</v>
      </c>
      <c r="AK932" s="41">
        <f t="shared" si="314"/>
        <v>682.24</v>
      </c>
      <c r="AL932" s="39">
        <f>RANK(E932,$E$2:$E$1001,0)+COUNTIF($E$2:E932,E932)-1</f>
        <v>506</v>
      </c>
    </row>
    <row r="933" spans="1:38" x14ac:dyDescent="0.2">
      <c r="A933" s="39">
        <v>1005</v>
      </c>
      <c r="B933" s="40">
        <v>45010</v>
      </c>
      <c r="C933" s="39" t="s">
        <v>66</v>
      </c>
      <c r="D933" s="39" t="s">
        <v>74</v>
      </c>
      <c r="E933" s="41">
        <v>7442.25</v>
      </c>
      <c r="F933" s="39">
        <v>14</v>
      </c>
      <c r="G933" s="39" t="s">
        <v>60</v>
      </c>
      <c r="H933" s="41">
        <v>1861.2</v>
      </c>
      <c r="I933" s="41">
        <v>2075.35</v>
      </c>
      <c r="J933" s="39" t="s">
        <v>137</v>
      </c>
      <c r="K933" s="42">
        <v>0.1</v>
      </c>
      <c r="L933" s="39" t="s">
        <v>73</v>
      </c>
      <c r="M933" s="39" t="s">
        <v>140</v>
      </c>
      <c r="N933" s="39" t="s">
        <v>141</v>
      </c>
      <c r="O933" s="43">
        <f t="shared" si="294"/>
        <v>29054.9</v>
      </c>
      <c r="P933" s="43">
        <f t="shared" si="295"/>
        <v>26149.41</v>
      </c>
      <c r="Q933" s="43">
        <f t="shared" si="296"/>
        <v>26056.799999999999</v>
      </c>
      <c r="R933" s="43">
        <f t="shared" si="297"/>
        <v>92.610000000000582</v>
      </c>
      <c r="S933" s="44">
        <f t="shared" si="298"/>
        <v>3.5415713012263215E-3</v>
      </c>
      <c r="T933" s="39" t="str">
        <f t="shared" si="299"/>
        <v>OK</v>
      </c>
      <c r="U933" s="39" t="str">
        <f t="shared" si="300"/>
        <v>10-19%</v>
      </c>
      <c r="V933" s="39" t="str">
        <f>IF(E933&gt;=Analysis!$B$4,"High",IF(E933&gt;=Analysis!$B$5,"Mid","Low"))</f>
        <v>Mid</v>
      </c>
      <c r="W933" s="39" t="str">
        <f t="shared" si="301"/>
        <v>2023-03</v>
      </c>
      <c r="X933" s="40">
        <f t="shared" si="302"/>
        <v>45016</v>
      </c>
      <c r="Y933" s="39" t="str">
        <f t="shared" si="303"/>
        <v>2023-Q1</v>
      </c>
      <c r="Z933" s="39" t="str">
        <f t="shared" si="304"/>
        <v>Sat</v>
      </c>
      <c r="AA933" s="39">
        <f t="shared" si="305"/>
        <v>6</v>
      </c>
      <c r="AB933" s="39">
        <f t="shared" si="306"/>
        <v>13</v>
      </c>
      <c r="AC933" s="39" t="str">
        <f t="shared" si="307"/>
        <v>Weekend</v>
      </c>
      <c r="AD933" s="39">
        <f t="shared" ca="1" si="308"/>
        <v>1309</v>
      </c>
      <c r="AE933" s="39">
        <f t="shared" ca="1" si="309"/>
        <v>42</v>
      </c>
      <c r="AF933" s="39" t="str">
        <f t="shared" si="310"/>
        <v>BOB</v>
      </c>
      <c r="AG933" s="39" t="str">
        <f t="shared" si="311"/>
        <v>WR-230325-0932</v>
      </c>
      <c r="AH933" s="39" t="str">
        <f>IF(AND(OR(Filter!$B$4="All",D933=Filter!$B$4),OR(Filter!$B$5="All",M933=Filter!$B$5),E933&gt;=Filter!$B$6),MAX(AH$1:AH932)+1,"")</f>
        <v/>
      </c>
      <c r="AI933" s="39">
        <f t="shared" si="312"/>
        <v>14</v>
      </c>
      <c r="AJ933" s="42">
        <f t="shared" si="313"/>
        <v>0.1</v>
      </c>
      <c r="AK933" s="41">
        <f t="shared" si="314"/>
        <v>2075.35</v>
      </c>
      <c r="AL933" s="39">
        <f>RANK(E933,$E$2:$E$1001,0)+COUNTIF($E$2:E933,E933)-1</f>
        <v>256</v>
      </c>
    </row>
    <row r="934" spans="1:38" x14ac:dyDescent="0.2">
      <c r="A934" s="39">
        <v>1012</v>
      </c>
      <c r="B934" s="40">
        <v>45244</v>
      </c>
      <c r="C934" s="39" t="s">
        <v>76</v>
      </c>
      <c r="D934" s="39" t="s">
        <v>64</v>
      </c>
      <c r="E934" s="41">
        <v>4976.43</v>
      </c>
      <c r="F934" s="39">
        <v>14</v>
      </c>
      <c r="G934" s="39" t="s">
        <v>65</v>
      </c>
      <c r="H934" s="41">
        <v>1185.5</v>
      </c>
      <c r="I934" s="41">
        <v>1271.45</v>
      </c>
      <c r="J934" s="39" t="s">
        <v>137</v>
      </c>
      <c r="K934" s="42">
        <v>0.03</v>
      </c>
      <c r="L934" s="39" t="s">
        <v>63</v>
      </c>
      <c r="M934" s="39" t="s">
        <v>140</v>
      </c>
      <c r="N934" s="39" t="s">
        <v>152</v>
      </c>
      <c r="O934" s="43">
        <f t="shared" si="294"/>
        <v>17800.3</v>
      </c>
      <c r="P934" s="43">
        <f t="shared" si="295"/>
        <v>17266.29</v>
      </c>
      <c r="Q934" s="43">
        <f t="shared" si="296"/>
        <v>16597</v>
      </c>
      <c r="R934" s="43">
        <f t="shared" si="297"/>
        <v>669.29000000000087</v>
      </c>
      <c r="S934" s="44">
        <f t="shared" si="298"/>
        <v>3.8762814710050671E-2</v>
      </c>
      <c r="T934" s="39" t="str">
        <f t="shared" si="299"/>
        <v>OK</v>
      </c>
      <c r="U934" s="39" t="str">
        <f t="shared" si="300"/>
        <v>0-9%</v>
      </c>
      <c r="V934" s="39" t="str">
        <f>IF(E934&gt;=Analysis!$B$4,"High",IF(E934&gt;=Analysis!$B$5,"Mid","Low"))</f>
        <v>Mid</v>
      </c>
      <c r="W934" s="39" t="str">
        <f t="shared" si="301"/>
        <v>2023-11</v>
      </c>
      <c r="X934" s="40">
        <f t="shared" si="302"/>
        <v>45260</v>
      </c>
      <c r="Y934" s="39" t="str">
        <f t="shared" si="303"/>
        <v>2023-Q4</v>
      </c>
      <c r="Z934" s="39" t="str">
        <f t="shared" si="304"/>
        <v>Tue</v>
      </c>
      <c r="AA934" s="39">
        <f t="shared" si="305"/>
        <v>2</v>
      </c>
      <c r="AB934" s="39">
        <f t="shared" si="306"/>
        <v>47</v>
      </c>
      <c r="AC934" s="39" t="str">
        <f t="shared" si="307"/>
        <v>Weekday</v>
      </c>
      <c r="AD934" s="39">
        <f t="shared" ca="1" si="308"/>
        <v>1075</v>
      </c>
      <c r="AE934" s="39">
        <f t="shared" ca="1" si="309"/>
        <v>35</v>
      </c>
      <c r="AF934" s="39" t="str">
        <f t="shared" si="310"/>
        <v>DAV</v>
      </c>
      <c r="AG934" s="39" t="str">
        <f t="shared" si="311"/>
        <v>NR-231114-0933</v>
      </c>
      <c r="AH934" s="39" t="str">
        <f>IF(AND(OR(Filter!$B$4="All",D934=Filter!$B$4),OR(Filter!$B$5="All",M934=Filter!$B$5),E934&gt;=Filter!$B$6),MAX(AH$1:AH933)+1,"")</f>
        <v/>
      </c>
      <c r="AI934" s="39">
        <f t="shared" si="312"/>
        <v>14</v>
      </c>
      <c r="AJ934" s="42">
        <f t="shared" si="313"/>
        <v>0.03</v>
      </c>
      <c r="AK934" s="41">
        <f t="shared" si="314"/>
        <v>1271.45</v>
      </c>
      <c r="AL934" s="39">
        <f>RANK(E934,$E$2:$E$1001,0)+COUNTIF($E$2:E934,E934)-1</f>
        <v>503</v>
      </c>
    </row>
    <row r="935" spans="1:38" x14ac:dyDescent="0.2">
      <c r="A935" s="39">
        <v>1090</v>
      </c>
      <c r="B935" s="40">
        <v>45037</v>
      </c>
      <c r="C935" s="39" t="s">
        <v>76</v>
      </c>
      <c r="D935" s="39" t="s">
        <v>74</v>
      </c>
      <c r="E935" s="41">
        <v>4883.49</v>
      </c>
      <c r="F935" s="39">
        <v>35</v>
      </c>
      <c r="G935" s="39" t="s">
        <v>65</v>
      </c>
      <c r="H935" s="41">
        <v>1130.5999999999999</v>
      </c>
      <c r="I935" s="41">
        <v>1466.18</v>
      </c>
      <c r="J935" s="39" t="s">
        <v>137</v>
      </c>
      <c r="K935" s="42">
        <v>0.13</v>
      </c>
      <c r="L935" s="39" t="s">
        <v>68</v>
      </c>
      <c r="M935" s="39" t="s">
        <v>138</v>
      </c>
      <c r="N935" s="39" t="s">
        <v>154</v>
      </c>
      <c r="O935" s="43">
        <f t="shared" si="294"/>
        <v>51316.3</v>
      </c>
      <c r="P935" s="43">
        <f t="shared" si="295"/>
        <v>44645.18</v>
      </c>
      <c r="Q935" s="43">
        <f t="shared" si="296"/>
        <v>39571</v>
      </c>
      <c r="R935" s="43">
        <f t="shared" si="297"/>
        <v>5074.18</v>
      </c>
      <c r="S935" s="44">
        <f t="shared" si="298"/>
        <v>0.11365571826566721</v>
      </c>
      <c r="T935" s="39" t="str">
        <f t="shared" si="299"/>
        <v>OK</v>
      </c>
      <c r="U935" s="39" t="str">
        <f t="shared" si="300"/>
        <v>10-19%</v>
      </c>
      <c r="V935" s="39" t="str">
        <f>IF(E935&gt;=Analysis!$B$4,"High",IF(E935&gt;=Analysis!$B$5,"Mid","Low"))</f>
        <v>Mid</v>
      </c>
      <c r="W935" s="39" t="str">
        <f t="shared" si="301"/>
        <v>2023-04</v>
      </c>
      <c r="X935" s="40">
        <f t="shared" si="302"/>
        <v>45046</v>
      </c>
      <c r="Y935" s="39" t="str">
        <f t="shared" si="303"/>
        <v>2023-Q2</v>
      </c>
      <c r="Z935" s="39" t="str">
        <f t="shared" si="304"/>
        <v>Fri</v>
      </c>
      <c r="AA935" s="39">
        <f t="shared" si="305"/>
        <v>5</v>
      </c>
      <c r="AB935" s="39">
        <f t="shared" si="306"/>
        <v>17</v>
      </c>
      <c r="AC935" s="39" t="str">
        <f t="shared" si="307"/>
        <v>Weekday</v>
      </c>
      <c r="AD935" s="39">
        <f t="shared" ca="1" si="308"/>
        <v>1282</v>
      </c>
      <c r="AE935" s="39">
        <f t="shared" ca="1" si="309"/>
        <v>42</v>
      </c>
      <c r="AF935" s="39" t="str">
        <f t="shared" si="310"/>
        <v>DAV</v>
      </c>
      <c r="AG935" s="39" t="str">
        <f t="shared" si="311"/>
        <v>WO-230421-0934</v>
      </c>
      <c r="AH935" s="39" t="str">
        <f>IF(AND(OR(Filter!$B$4="All",D935=Filter!$B$4),OR(Filter!$B$5="All",M935=Filter!$B$5),E935&gt;=Filter!$B$6),MAX(AH$1:AH934)+1,"")</f>
        <v/>
      </c>
      <c r="AI935" s="39">
        <f t="shared" si="312"/>
        <v>35</v>
      </c>
      <c r="AJ935" s="42">
        <f t="shared" si="313"/>
        <v>0.13</v>
      </c>
      <c r="AK935" s="41">
        <f t="shared" si="314"/>
        <v>1466.18</v>
      </c>
      <c r="AL935" s="39">
        <f>RANK(E935,$E$2:$E$1001,0)+COUNTIF($E$2:E935,E935)-1</f>
        <v>515</v>
      </c>
    </row>
    <row r="936" spans="1:38" x14ac:dyDescent="0.2">
      <c r="A936" s="39">
        <v>1046</v>
      </c>
      <c r="B936" s="40">
        <v>45177</v>
      </c>
      <c r="C936" s="39" t="s">
        <v>61</v>
      </c>
      <c r="D936" s="39" t="s">
        <v>64</v>
      </c>
      <c r="E936" s="41">
        <v>8398.48</v>
      </c>
      <c r="F936" s="39">
        <v>30</v>
      </c>
      <c r="G936" s="39" t="s">
        <v>75</v>
      </c>
      <c r="H936" s="41">
        <v>320.73</v>
      </c>
      <c r="I936" s="41">
        <v>678.04</v>
      </c>
      <c r="J936" s="39" t="s">
        <v>137</v>
      </c>
      <c r="K936" s="42">
        <v>0.08</v>
      </c>
      <c r="L936" s="39" t="s">
        <v>68</v>
      </c>
      <c r="M936" s="39" t="s">
        <v>140</v>
      </c>
      <c r="N936" s="39" t="s">
        <v>156</v>
      </c>
      <c r="O936" s="43">
        <f t="shared" si="294"/>
        <v>20341.2</v>
      </c>
      <c r="P936" s="43">
        <f t="shared" si="295"/>
        <v>18713.900000000001</v>
      </c>
      <c r="Q936" s="43">
        <f t="shared" si="296"/>
        <v>9621.9</v>
      </c>
      <c r="R936" s="43">
        <f t="shared" si="297"/>
        <v>9092.0000000000018</v>
      </c>
      <c r="S936" s="44">
        <f t="shared" si="298"/>
        <v>0.48584207460764467</v>
      </c>
      <c r="T936" s="39" t="str">
        <f t="shared" si="299"/>
        <v>OK</v>
      </c>
      <c r="U936" s="39" t="str">
        <f t="shared" si="300"/>
        <v>0-9%</v>
      </c>
      <c r="V936" s="39" t="str">
        <f>IF(E936&gt;=Analysis!$B$4,"High",IF(E936&gt;=Analysis!$B$5,"Mid","Low"))</f>
        <v>High</v>
      </c>
      <c r="W936" s="39" t="str">
        <f t="shared" si="301"/>
        <v>2023-09</v>
      </c>
      <c r="X936" s="40">
        <f t="shared" si="302"/>
        <v>45199</v>
      </c>
      <c r="Y936" s="39" t="str">
        <f t="shared" si="303"/>
        <v>2023-Q3</v>
      </c>
      <c r="Z936" s="39" t="str">
        <f t="shared" si="304"/>
        <v>Fri</v>
      </c>
      <c r="AA936" s="39">
        <f t="shared" si="305"/>
        <v>5</v>
      </c>
      <c r="AB936" s="39">
        <f t="shared" si="306"/>
        <v>37</v>
      </c>
      <c r="AC936" s="39" t="str">
        <f t="shared" si="307"/>
        <v>Weekday</v>
      </c>
      <c r="AD936" s="39">
        <f t="shared" ca="1" si="308"/>
        <v>1142</v>
      </c>
      <c r="AE936" s="39">
        <f t="shared" ca="1" si="309"/>
        <v>37</v>
      </c>
      <c r="AF936" s="39" t="str">
        <f t="shared" si="310"/>
        <v>ALI</v>
      </c>
      <c r="AG936" s="39" t="str">
        <f t="shared" si="311"/>
        <v>NR-230908-0935</v>
      </c>
      <c r="AH936" s="39" t="str">
        <f>IF(AND(OR(Filter!$B$4="All",D936=Filter!$B$4),OR(Filter!$B$5="All",M936=Filter!$B$5),E936&gt;=Filter!$B$6),MAX(AH$1:AH935)+1,"")</f>
        <v/>
      </c>
      <c r="AI936" s="39">
        <f t="shared" si="312"/>
        <v>30</v>
      </c>
      <c r="AJ936" s="42">
        <f t="shared" si="313"/>
        <v>0.08</v>
      </c>
      <c r="AK936" s="41">
        <f t="shared" si="314"/>
        <v>678.04</v>
      </c>
      <c r="AL936" s="39">
        <f>RANK(E936,$E$2:$E$1001,0)+COUNTIF($E$2:E936,E936)-1</f>
        <v>152</v>
      </c>
    </row>
    <row r="937" spans="1:38" x14ac:dyDescent="0.2">
      <c r="A937" s="39">
        <v>1034</v>
      </c>
      <c r="B937" s="40">
        <v>44933</v>
      </c>
      <c r="C937" s="39" t="s">
        <v>76</v>
      </c>
      <c r="D937" s="39" t="s">
        <v>74</v>
      </c>
      <c r="E937" s="41">
        <v>3677.9</v>
      </c>
      <c r="F937" s="39">
        <v>28</v>
      </c>
      <c r="G937" s="39" t="s">
        <v>75</v>
      </c>
      <c r="H937" s="41">
        <v>137.47</v>
      </c>
      <c r="I937" s="41">
        <v>234.63</v>
      </c>
      <c r="J937" s="39" t="s">
        <v>143</v>
      </c>
      <c r="K937" s="42">
        <v>0.27</v>
      </c>
      <c r="L937" s="39" t="s">
        <v>63</v>
      </c>
      <c r="M937" s="39" t="s">
        <v>140</v>
      </c>
      <c r="N937" s="39" t="s">
        <v>154</v>
      </c>
      <c r="O937" s="43">
        <f t="shared" si="294"/>
        <v>6569.64</v>
      </c>
      <c r="P937" s="43">
        <f t="shared" si="295"/>
        <v>4795.84</v>
      </c>
      <c r="Q937" s="43">
        <f t="shared" si="296"/>
        <v>3849.16</v>
      </c>
      <c r="R937" s="43">
        <f t="shared" si="297"/>
        <v>946.68000000000029</v>
      </c>
      <c r="S937" s="44">
        <f t="shared" si="298"/>
        <v>0.19739607659971981</v>
      </c>
      <c r="T937" s="39" t="str">
        <f t="shared" si="299"/>
        <v>OK</v>
      </c>
      <c r="U937" s="39" t="str">
        <f t="shared" si="300"/>
        <v>20%+</v>
      </c>
      <c r="V937" s="39" t="str">
        <f>IF(E937&gt;=Analysis!$B$4,"High",IF(E937&gt;=Analysis!$B$5,"Mid","Low"))</f>
        <v>Mid</v>
      </c>
      <c r="W937" s="39" t="str">
        <f t="shared" si="301"/>
        <v>2023-01</v>
      </c>
      <c r="X937" s="40">
        <f t="shared" si="302"/>
        <v>44957</v>
      </c>
      <c r="Y937" s="39" t="str">
        <f t="shared" si="303"/>
        <v>2023-Q1</v>
      </c>
      <c r="Z937" s="39" t="str">
        <f t="shared" si="304"/>
        <v>Sat</v>
      </c>
      <c r="AA937" s="39">
        <f t="shared" si="305"/>
        <v>6</v>
      </c>
      <c r="AB937" s="39">
        <f t="shared" si="306"/>
        <v>2</v>
      </c>
      <c r="AC937" s="39" t="str">
        <f t="shared" si="307"/>
        <v>Weekend</v>
      </c>
      <c r="AD937" s="39">
        <f t="shared" ca="1" si="308"/>
        <v>1386</v>
      </c>
      <c r="AE937" s="39">
        <f t="shared" ca="1" si="309"/>
        <v>45</v>
      </c>
      <c r="AF937" s="39" t="str">
        <f t="shared" si="310"/>
        <v>DAV</v>
      </c>
      <c r="AG937" s="39" t="str">
        <f t="shared" si="311"/>
        <v>WR-230107-0936</v>
      </c>
      <c r="AH937" s="39" t="str">
        <f>IF(AND(OR(Filter!$B$4="All",D937=Filter!$B$4),OR(Filter!$B$5="All",M937=Filter!$B$5),E937&gt;=Filter!$B$6),MAX(AH$1:AH936)+1,"")</f>
        <v/>
      </c>
      <c r="AI937" s="39">
        <f t="shared" si="312"/>
        <v>28</v>
      </c>
      <c r="AJ937" s="42">
        <f t="shared" si="313"/>
        <v>0.27</v>
      </c>
      <c r="AK937" s="41">
        <f t="shared" si="314"/>
        <v>234.63</v>
      </c>
      <c r="AL937" s="39">
        <f>RANK(E937,$E$2:$E$1001,0)+COUNTIF($E$2:E937,E937)-1</f>
        <v>631</v>
      </c>
    </row>
    <row r="938" spans="1:38" x14ac:dyDescent="0.2">
      <c r="A938" s="39">
        <v>1049</v>
      </c>
      <c r="B938" s="40">
        <v>45010</v>
      </c>
      <c r="C938" s="39" t="s">
        <v>79</v>
      </c>
      <c r="D938" s="39" t="s">
        <v>59</v>
      </c>
      <c r="E938" s="41">
        <v>8611.9699999999993</v>
      </c>
      <c r="F938" s="39">
        <v>17</v>
      </c>
      <c r="G938" s="39" t="s">
        <v>65</v>
      </c>
      <c r="H938" s="41">
        <v>558.70000000000005</v>
      </c>
      <c r="I938" s="41">
        <v>1004.08</v>
      </c>
      <c r="J938" s="39" t="s">
        <v>137</v>
      </c>
      <c r="K938" s="42">
        <v>0.03</v>
      </c>
      <c r="L938" s="39" t="s">
        <v>73</v>
      </c>
      <c r="M938" s="39" t="s">
        <v>138</v>
      </c>
      <c r="N938" s="39" t="s">
        <v>155</v>
      </c>
      <c r="O938" s="43">
        <f t="shared" si="294"/>
        <v>17069.36</v>
      </c>
      <c r="P938" s="43">
        <f t="shared" si="295"/>
        <v>16557.28</v>
      </c>
      <c r="Q938" s="43">
        <f t="shared" si="296"/>
        <v>9497.9</v>
      </c>
      <c r="R938" s="43">
        <f t="shared" si="297"/>
        <v>7059.3799999999992</v>
      </c>
      <c r="S938" s="44">
        <f t="shared" si="298"/>
        <v>0.42636109312640724</v>
      </c>
      <c r="T938" s="39" t="str">
        <f t="shared" si="299"/>
        <v>OK</v>
      </c>
      <c r="U938" s="39" t="str">
        <f t="shared" si="300"/>
        <v>0-9%</v>
      </c>
      <c r="V938" s="39" t="str">
        <f>IF(E938&gt;=Analysis!$B$4,"High",IF(E938&gt;=Analysis!$B$5,"Mid","Low"))</f>
        <v>High</v>
      </c>
      <c r="W938" s="39" t="str">
        <f t="shared" si="301"/>
        <v>2023-03</v>
      </c>
      <c r="X938" s="40">
        <f t="shared" si="302"/>
        <v>45016</v>
      </c>
      <c r="Y938" s="39" t="str">
        <f t="shared" si="303"/>
        <v>2023-Q1</v>
      </c>
      <c r="Z938" s="39" t="str">
        <f t="shared" si="304"/>
        <v>Sat</v>
      </c>
      <c r="AA938" s="39">
        <f t="shared" si="305"/>
        <v>6</v>
      </c>
      <c r="AB938" s="39">
        <f t="shared" si="306"/>
        <v>13</v>
      </c>
      <c r="AC938" s="39" t="str">
        <f t="shared" si="307"/>
        <v>Weekend</v>
      </c>
      <c r="AD938" s="39">
        <f t="shared" ca="1" si="308"/>
        <v>1309</v>
      </c>
      <c r="AE938" s="39">
        <f t="shared" ca="1" si="309"/>
        <v>42</v>
      </c>
      <c r="AF938" s="39" t="str">
        <f t="shared" si="310"/>
        <v>EVE</v>
      </c>
      <c r="AG938" s="39" t="str">
        <f t="shared" si="311"/>
        <v>EO-230325-0937</v>
      </c>
      <c r="AH938" s="39" t="str">
        <f>IF(AND(OR(Filter!$B$4="All",D938=Filter!$B$4),OR(Filter!$B$5="All",M938=Filter!$B$5),E938&gt;=Filter!$B$6),MAX(AH$1:AH937)+1,"")</f>
        <v/>
      </c>
      <c r="AI938" s="39">
        <f t="shared" si="312"/>
        <v>17</v>
      </c>
      <c r="AJ938" s="42">
        <f t="shared" si="313"/>
        <v>0.03</v>
      </c>
      <c r="AK938" s="41">
        <f t="shared" si="314"/>
        <v>1004.08</v>
      </c>
      <c r="AL938" s="39">
        <f>RANK(E938,$E$2:$E$1001,0)+COUNTIF($E$2:E938,E938)-1</f>
        <v>130</v>
      </c>
    </row>
    <row r="939" spans="1:38" x14ac:dyDescent="0.2">
      <c r="A939" s="39">
        <v>1078</v>
      </c>
      <c r="B939" s="40">
        <v>45134</v>
      </c>
      <c r="C939" s="39" t="s">
        <v>79</v>
      </c>
      <c r="D939" s="39" t="s">
        <v>64</v>
      </c>
      <c r="E939" s="41">
        <v>4127.37</v>
      </c>
      <c r="F939" s="39">
        <v>3</v>
      </c>
      <c r="G939" s="39" t="s">
        <v>60</v>
      </c>
      <c r="H939" s="41">
        <v>902.38</v>
      </c>
      <c r="I939" s="41">
        <v>1128.9100000000001</v>
      </c>
      <c r="J939" s="39" t="s">
        <v>143</v>
      </c>
      <c r="K939" s="42">
        <v>0.01</v>
      </c>
      <c r="L939" s="39" t="s">
        <v>63</v>
      </c>
      <c r="M939" s="39" t="s">
        <v>140</v>
      </c>
      <c r="N939" s="39" t="s">
        <v>148</v>
      </c>
      <c r="O939" s="43">
        <f t="shared" si="294"/>
        <v>3386.73</v>
      </c>
      <c r="P939" s="43">
        <f t="shared" si="295"/>
        <v>3352.86</v>
      </c>
      <c r="Q939" s="43">
        <f t="shared" si="296"/>
        <v>2707.14</v>
      </c>
      <c r="R939" s="43">
        <f t="shared" si="297"/>
        <v>645.72000000000025</v>
      </c>
      <c r="S939" s="44">
        <f t="shared" si="298"/>
        <v>0.19258782054723436</v>
      </c>
      <c r="T939" s="39" t="str">
        <f t="shared" si="299"/>
        <v>OK</v>
      </c>
      <c r="U939" s="39" t="str">
        <f t="shared" si="300"/>
        <v>0-9%</v>
      </c>
      <c r="V939" s="39" t="str">
        <f>IF(E939&gt;=Analysis!$B$4,"High",IF(E939&gt;=Analysis!$B$5,"Mid","Low"))</f>
        <v>Mid</v>
      </c>
      <c r="W939" s="39" t="str">
        <f t="shared" si="301"/>
        <v>2023-07</v>
      </c>
      <c r="X939" s="40">
        <f t="shared" si="302"/>
        <v>45138</v>
      </c>
      <c r="Y939" s="39" t="str">
        <f t="shared" si="303"/>
        <v>2023-Q3</v>
      </c>
      <c r="Z939" s="39" t="str">
        <f t="shared" si="304"/>
        <v>Thu</v>
      </c>
      <c r="AA939" s="39">
        <f t="shared" si="305"/>
        <v>4</v>
      </c>
      <c r="AB939" s="39">
        <f t="shared" si="306"/>
        <v>31</v>
      </c>
      <c r="AC939" s="39" t="str">
        <f t="shared" si="307"/>
        <v>Weekday</v>
      </c>
      <c r="AD939" s="39">
        <f t="shared" ca="1" si="308"/>
        <v>1185</v>
      </c>
      <c r="AE939" s="39">
        <f t="shared" ca="1" si="309"/>
        <v>38</v>
      </c>
      <c r="AF939" s="39" t="str">
        <f t="shared" si="310"/>
        <v>EVE</v>
      </c>
      <c r="AG939" s="39" t="str">
        <f t="shared" si="311"/>
        <v>NR-230727-0938</v>
      </c>
      <c r="AH939" s="39" t="str">
        <f>IF(AND(OR(Filter!$B$4="All",D939=Filter!$B$4),OR(Filter!$B$5="All",M939=Filter!$B$5),E939&gt;=Filter!$B$6),MAX(AH$1:AH938)+1,"")</f>
        <v/>
      </c>
      <c r="AI939" s="39">
        <f t="shared" si="312"/>
        <v>3</v>
      </c>
      <c r="AJ939" s="42">
        <f t="shared" si="313"/>
        <v>0.01</v>
      </c>
      <c r="AK939" s="41">
        <f t="shared" si="314"/>
        <v>1128.9100000000001</v>
      </c>
      <c r="AL939" s="39">
        <f>RANK(E939,$E$2:$E$1001,0)+COUNTIF($E$2:E939,E939)-1</f>
        <v>586</v>
      </c>
    </row>
    <row r="940" spans="1:38" x14ac:dyDescent="0.2">
      <c r="A940" s="39">
        <v>1090</v>
      </c>
      <c r="B940" s="40">
        <v>45240</v>
      </c>
      <c r="C940" s="39" t="s">
        <v>61</v>
      </c>
      <c r="D940" s="39" t="s">
        <v>64</v>
      </c>
      <c r="E940" s="41">
        <v>3349.51</v>
      </c>
      <c r="F940" s="39">
        <v>16</v>
      </c>
      <c r="G940" s="39" t="s">
        <v>60</v>
      </c>
      <c r="H940" s="41">
        <v>2183.37</v>
      </c>
      <c r="I940" s="41">
        <v>2263.36</v>
      </c>
      <c r="J940" s="39" t="s">
        <v>137</v>
      </c>
      <c r="K940" s="42">
        <v>0</v>
      </c>
      <c r="L940" s="39" t="s">
        <v>63</v>
      </c>
      <c r="M940" s="39" t="s">
        <v>140</v>
      </c>
      <c r="N940" s="39" t="s">
        <v>156</v>
      </c>
      <c r="O940" s="43">
        <f t="shared" si="294"/>
        <v>36213.760000000002</v>
      </c>
      <c r="P940" s="43">
        <f t="shared" si="295"/>
        <v>36213.760000000002</v>
      </c>
      <c r="Q940" s="43">
        <f t="shared" si="296"/>
        <v>34933.919999999998</v>
      </c>
      <c r="R940" s="43">
        <f t="shared" si="297"/>
        <v>1279.8400000000038</v>
      </c>
      <c r="S940" s="44">
        <f t="shared" si="298"/>
        <v>3.5341262547716773E-2</v>
      </c>
      <c r="T940" s="39" t="str">
        <f t="shared" si="299"/>
        <v>OK</v>
      </c>
      <c r="U940" s="39" t="str">
        <f t="shared" si="300"/>
        <v>0-9%</v>
      </c>
      <c r="V940" s="39" t="str">
        <f>IF(E940&gt;=Analysis!$B$4,"High",IF(E940&gt;=Analysis!$B$5,"Mid","Low"))</f>
        <v>Mid</v>
      </c>
      <c r="W940" s="39" t="str">
        <f t="shared" si="301"/>
        <v>2023-11</v>
      </c>
      <c r="X940" s="40">
        <f t="shared" si="302"/>
        <v>45260</v>
      </c>
      <c r="Y940" s="39" t="str">
        <f t="shared" si="303"/>
        <v>2023-Q4</v>
      </c>
      <c r="Z940" s="39" t="str">
        <f t="shared" si="304"/>
        <v>Fri</v>
      </c>
      <c r="AA940" s="39">
        <f t="shared" si="305"/>
        <v>5</v>
      </c>
      <c r="AB940" s="39">
        <f t="shared" si="306"/>
        <v>46</v>
      </c>
      <c r="AC940" s="39" t="str">
        <f t="shared" si="307"/>
        <v>Weekday</v>
      </c>
      <c r="AD940" s="39">
        <f t="shared" ca="1" si="308"/>
        <v>1079</v>
      </c>
      <c r="AE940" s="39">
        <f t="shared" ca="1" si="309"/>
        <v>35</v>
      </c>
      <c r="AF940" s="39" t="str">
        <f t="shared" si="310"/>
        <v>ALI</v>
      </c>
      <c r="AG940" s="39" t="str">
        <f t="shared" si="311"/>
        <v>NR-231110-0939</v>
      </c>
      <c r="AH940" s="39" t="str">
        <f>IF(AND(OR(Filter!$B$4="All",D940=Filter!$B$4),OR(Filter!$B$5="All",M940=Filter!$B$5),E940&gt;=Filter!$B$6),MAX(AH$1:AH939)+1,"")</f>
        <v/>
      </c>
      <c r="AI940" s="39">
        <f t="shared" si="312"/>
        <v>16</v>
      </c>
      <c r="AJ940" s="42">
        <f t="shared" si="313"/>
        <v>0</v>
      </c>
      <c r="AK940" s="41">
        <f t="shared" si="314"/>
        <v>2263.36</v>
      </c>
      <c r="AL940" s="39">
        <f>RANK(E940,$E$2:$E$1001,0)+COUNTIF($E$2:E940,E940)-1</f>
        <v>661</v>
      </c>
    </row>
    <row r="941" spans="1:38" x14ac:dyDescent="0.2">
      <c r="A941" s="39">
        <v>1045</v>
      </c>
      <c r="B941" s="40">
        <v>44948</v>
      </c>
      <c r="C941" s="39" t="s">
        <v>66</v>
      </c>
      <c r="D941" s="39" t="s">
        <v>59</v>
      </c>
      <c r="E941" s="41">
        <v>4594.5</v>
      </c>
      <c r="F941" s="39">
        <v>46</v>
      </c>
      <c r="G941" s="39" t="s">
        <v>70</v>
      </c>
      <c r="H941" s="41">
        <v>2577.08</v>
      </c>
      <c r="I941" s="41">
        <v>2961.56</v>
      </c>
      <c r="J941" s="39" t="s">
        <v>137</v>
      </c>
      <c r="K941" s="42">
        <v>0.1</v>
      </c>
      <c r="L941" s="39" t="s">
        <v>68</v>
      </c>
      <c r="M941" s="39" t="s">
        <v>138</v>
      </c>
      <c r="N941" s="39" t="s">
        <v>153</v>
      </c>
      <c r="O941" s="43">
        <f t="shared" si="294"/>
        <v>136231.76</v>
      </c>
      <c r="P941" s="43">
        <f t="shared" si="295"/>
        <v>122608.58</v>
      </c>
      <c r="Q941" s="43">
        <f t="shared" si="296"/>
        <v>118545.68</v>
      </c>
      <c r="R941" s="43">
        <f t="shared" si="297"/>
        <v>4062.9000000000087</v>
      </c>
      <c r="S941" s="44">
        <f t="shared" si="298"/>
        <v>3.3137158916610961E-2</v>
      </c>
      <c r="T941" s="39" t="str">
        <f t="shared" si="299"/>
        <v>OK</v>
      </c>
      <c r="U941" s="39" t="str">
        <f t="shared" si="300"/>
        <v>10-19%</v>
      </c>
      <c r="V941" s="39" t="str">
        <f>IF(E941&gt;=Analysis!$B$4,"High",IF(E941&gt;=Analysis!$B$5,"Mid","Low"))</f>
        <v>Mid</v>
      </c>
      <c r="W941" s="39" t="str">
        <f t="shared" si="301"/>
        <v>2023-01</v>
      </c>
      <c r="X941" s="40">
        <f t="shared" si="302"/>
        <v>44957</v>
      </c>
      <c r="Y941" s="39" t="str">
        <f t="shared" si="303"/>
        <v>2023-Q1</v>
      </c>
      <c r="Z941" s="39" t="str">
        <f t="shared" si="304"/>
        <v>Sun</v>
      </c>
      <c r="AA941" s="39">
        <f t="shared" si="305"/>
        <v>7</v>
      </c>
      <c r="AB941" s="39">
        <f t="shared" si="306"/>
        <v>4</v>
      </c>
      <c r="AC941" s="39" t="str">
        <f t="shared" si="307"/>
        <v>Weekend</v>
      </c>
      <c r="AD941" s="39">
        <f t="shared" ca="1" si="308"/>
        <v>1371</v>
      </c>
      <c r="AE941" s="39">
        <f t="shared" ca="1" si="309"/>
        <v>45</v>
      </c>
      <c r="AF941" s="39" t="str">
        <f t="shared" si="310"/>
        <v>BOB</v>
      </c>
      <c r="AG941" s="39" t="str">
        <f t="shared" si="311"/>
        <v>EO-230122-0940</v>
      </c>
      <c r="AH941" s="39" t="str">
        <f>IF(AND(OR(Filter!$B$4="All",D941=Filter!$B$4),OR(Filter!$B$5="All",M941=Filter!$B$5),E941&gt;=Filter!$B$6),MAX(AH$1:AH940)+1,"")</f>
        <v/>
      </c>
      <c r="AI941" s="39">
        <f t="shared" si="312"/>
        <v>46</v>
      </c>
      <c r="AJ941" s="42">
        <f t="shared" si="313"/>
        <v>0.1</v>
      </c>
      <c r="AK941" s="41">
        <f t="shared" si="314"/>
        <v>2961.56</v>
      </c>
      <c r="AL941" s="39">
        <f>RANK(E941,$E$2:$E$1001,0)+COUNTIF($E$2:E941,E941)-1</f>
        <v>543</v>
      </c>
    </row>
    <row r="942" spans="1:38" x14ac:dyDescent="0.2">
      <c r="A942" s="39">
        <v>1027</v>
      </c>
      <c r="B942" s="40">
        <v>44929</v>
      </c>
      <c r="C942" s="39" t="s">
        <v>66</v>
      </c>
      <c r="D942" s="39" t="s">
        <v>59</v>
      </c>
      <c r="E942" s="41">
        <v>7648.22</v>
      </c>
      <c r="F942" s="39">
        <v>30</v>
      </c>
      <c r="G942" s="39" t="s">
        <v>75</v>
      </c>
      <c r="H942" s="41">
        <v>745.93</v>
      </c>
      <c r="I942" s="41">
        <v>1143.02</v>
      </c>
      <c r="J942" s="39" t="s">
        <v>137</v>
      </c>
      <c r="K942" s="42">
        <v>0.2</v>
      </c>
      <c r="L942" s="39" t="s">
        <v>73</v>
      </c>
      <c r="M942" s="39" t="s">
        <v>138</v>
      </c>
      <c r="N942" s="39" t="s">
        <v>153</v>
      </c>
      <c r="O942" s="43">
        <f t="shared" si="294"/>
        <v>34290.6</v>
      </c>
      <c r="P942" s="43">
        <f t="shared" si="295"/>
        <v>27432.48</v>
      </c>
      <c r="Q942" s="43">
        <f t="shared" si="296"/>
        <v>22377.9</v>
      </c>
      <c r="R942" s="43">
        <f t="shared" si="297"/>
        <v>5054.5799999999981</v>
      </c>
      <c r="S942" s="44">
        <f t="shared" si="298"/>
        <v>0.184255306118878</v>
      </c>
      <c r="T942" s="39" t="str">
        <f t="shared" si="299"/>
        <v>OK</v>
      </c>
      <c r="U942" s="39" t="str">
        <f t="shared" si="300"/>
        <v>20%+</v>
      </c>
      <c r="V942" s="39" t="str">
        <f>IF(E942&gt;=Analysis!$B$4,"High",IF(E942&gt;=Analysis!$B$5,"Mid","Low"))</f>
        <v>High</v>
      </c>
      <c r="W942" s="39" t="str">
        <f t="shared" si="301"/>
        <v>2023-01</v>
      </c>
      <c r="X942" s="40">
        <f t="shared" si="302"/>
        <v>44957</v>
      </c>
      <c r="Y942" s="39" t="str">
        <f t="shared" si="303"/>
        <v>2023-Q1</v>
      </c>
      <c r="Z942" s="39" t="str">
        <f t="shared" si="304"/>
        <v>Tue</v>
      </c>
      <c r="AA942" s="39">
        <f t="shared" si="305"/>
        <v>2</v>
      </c>
      <c r="AB942" s="39">
        <f t="shared" si="306"/>
        <v>2</v>
      </c>
      <c r="AC942" s="39" t="str">
        <f t="shared" si="307"/>
        <v>Weekday</v>
      </c>
      <c r="AD942" s="39">
        <f t="shared" ca="1" si="308"/>
        <v>1390</v>
      </c>
      <c r="AE942" s="39">
        <f t="shared" ca="1" si="309"/>
        <v>45</v>
      </c>
      <c r="AF942" s="39" t="str">
        <f t="shared" si="310"/>
        <v>BOB</v>
      </c>
      <c r="AG942" s="39" t="str">
        <f t="shared" si="311"/>
        <v>EO-230103-0941</v>
      </c>
      <c r="AH942" s="39" t="str">
        <f>IF(AND(OR(Filter!$B$4="All",D942=Filter!$B$4),OR(Filter!$B$5="All",M942=Filter!$B$5),E942&gt;=Filter!$B$6),MAX(AH$1:AH941)+1,"")</f>
        <v/>
      </c>
      <c r="AI942" s="39">
        <f t="shared" si="312"/>
        <v>30</v>
      </c>
      <c r="AJ942" s="42">
        <f t="shared" si="313"/>
        <v>0.2</v>
      </c>
      <c r="AK942" s="41">
        <f t="shared" si="314"/>
        <v>1143.02</v>
      </c>
      <c r="AL942" s="39">
        <f>RANK(E942,$E$2:$E$1001,0)+COUNTIF($E$2:E942,E942)-1</f>
        <v>232</v>
      </c>
    </row>
    <row r="943" spans="1:38" x14ac:dyDescent="0.2">
      <c r="A943" s="39">
        <v>1073</v>
      </c>
      <c r="B943" s="40">
        <v>45053</v>
      </c>
      <c r="C943" s="39" t="s">
        <v>76</v>
      </c>
      <c r="D943" s="39" t="s">
        <v>64</v>
      </c>
      <c r="E943" s="41">
        <v>1347.42</v>
      </c>
      <c r="F943" s="39">
        <v>29</v>
      </c>
      <c r="G943" s="39" t="s">
        <v>60</v>
      </c>
      <c r="H943" s="41">
        <v>2152.6799999999998</v>
      </c>
      <c r="I943" s="41">
        <v>2475.9299999999998</v>
      </c>
      <c r="J943" s="39" t="s">
        <v>137</v>
      </c>
      <c r="K943" s="42">
        <v>0.22</v>
      </c>
      <c r="L943" s="39" t="s">
        <v>63</v>
      </c>
      <c r="M943" s="39" t="s">
        <v>138</v>
      </c>
      <c r="N943" s="39" t="s">
        <v>152</v>
      </c>
      <c r="O943" s="43">
        <f t="shared" si="294"/>
        <v>71801.97</v>
      </c>
      <c r="P943" s="43">
        <f t="shared" si="295"/>
        <v>56005.54</v>
      </c>
      <c r="Q943" s="43">
        <f t="shared" si="296"/>
        <v>62427.72</v>
      </c>
      <c r="R943" s="43">
        <f t="shared" si="297"/>
        <v>-6422.18</v>
      </c>
      <c r="S943" s="44">
        <f t="shared" si="298"/>
        <v>-0.11467044153131994</v>
      </c>
      <c r="T943" s="39" t="str">
        <f t="shared" si="299"/>
        <v>Loss</v>
      </c>
      <c r="U943" s="39" t="str">
        <f t="shared" si="300"/>
        <v>20%+</v>
      </c>
      <c r="V943" s="39" t="str">
        <f>IF(E943&gt;=Analysis!$B$4,"High",IF(E943&gt;=Analysis!$B$5,"Mid","Low"))</f>
        <v>Low</v>
      </c>
      <c r="W943" s="39" t="str">
        <f t="shared" si="301"/>
        <v>2023-05</v>
      </c>
      <c r="X943" s="40">
        <f t="shared" si="302"/>
        <v>45077</v>
      </c>
      <c r="Y943" s="39" t="str">
        <f t="shared" si="303"/>
        <v>2023-Q2</v>
      </c>
      <c r="Z943" s="39" t="str">
        <f t="shared" si="304"/>
        <v>Sun</v>
      </c>
      <c r="AA943" s="39">
        <f t="shared" si="305"/>
        <v>7</v>
      </c>
      <c r="AB943" s="39">
        <f t="shared" si="306"/>
        <v>19</v>
      </c>
      <c r="AC943" s="39" t="str">
        <f t="shared" si="307"/>
        <v>Weekend</v>
      </c>
      <c r="AD943" s="39">
        <f t="shared" ca="1" si="308"/>
        <v>1266</v>
      </c>
      <c r="AE943" s="39">
        <f t="shared" ca="1" si="309"/>
        <v>41</v>
      </c>
      <c r="AF943" s="39" t="str">
        <f t="shared" si="310"/>
        <v>DAV</v>
      </c>
      <c r="AG943" s="39" t="str">
        <f t="shared" si="311"/>
        <v>NO-230507-0942</v>
      </c>
      <c r="AH943" s="39" t="str">
        <f>IF(AND(OR(Filter!$B$4="All",D943=Filter!$B$4),OR(Filter!$B$5="All",M943=Filter!$B$5),E943&gt;=Filter!$B$6),MAX(AH$1:AH942)+1,"")</f>
        <v/>
      </c>
      <c r="AI943" s="39">
        <f t="shared" si="312"/>
        <v>29</v>
      </c>
      <c r="AJ943" s="42">
        <f t="shared" si="313"/>
        <v>0.22</v>
      </c>
      <c r="AK943" s="41">
        <f t="shared" si="314"/>
        <v>2475.9299999999998</v>
      </c>
      <c r="AL943" s="39">
        <f>RANK(E943,$E$2:$E$1001,0)+COUNTIF($E$2:E943,E943)-1</f>
        <v>879</v>
      </c>
    </row>
    <row r="944" spans="1:38" x14ac:dyDescent="0.2">
      <c r="A944" s="39">
        <v>1026</v>
      </c>
      <c r="B944" s="40">
        <v>45223</v>
      </c>
      <c r="C944" s="39" t="s">
        <v>76</v>
      </c>
      <c r="D944" s="39" t="s">
        <v>59</v>
      </c>
      <c r="E944" s="41">
        <v>2044.55</v>
      </c>
      <c r="F944" s="39">
        <v>45</v>
      </c>
      <c r="G944" s="39" t="s">
        <v>70</v>
      </c>
      <c r="H944" s="41">
        <v>1741.66</v>
      </c>
      <c r="I944" s="41">
        <v>2169.86</v>
      </c>
      <c r="J944" s="39" t="s">
        <v>137</v>
      </c>
      <c r="K944" s="42">
        <v>0.14000000000000001</v>
      </c>
      <c r="L944" s="39" t="s">
        <v>73</v>
      </c>
      <c r="M944" s="39" t="s">
        <v>138</v>
      </c>
      <c r="N944" s="39" t="s">
        <v>157</v>
      </c>
      <c r="O944" s="43">
        <f t="shared" si="294"/>
        <v>97643.7</v>
      </c>
      <c r="P944" s="43">
        <f t="shared" si="295"/>
        <v>83973.58</v>
      </c>
      <c r="Q944" s="43">
        <f t="shared" si="296"/>
        <v>78374.7</v>
      </c>
      <c r="R944" s="43">
        <f t="shared" si="297"/>
        <v>5598.8800000000047</v>
      </c>
      <c r="S944" s="44">
        <f t="shared" si="298"/>
        <v>6.6674303989421493E-2</v>
      </c>
      <c r="T944" s="39" t="str">
        <f t="shared" si="299"/>
        <v>OK</v>
      </c>
      <c r="U944" s="39" t="str">
        <f t="shared" si="300"/>
        <v>10-19%</v>
      </c>
      <c r="V944" s="39" t="str">
        <f>IF(E944&gt;=Analysis!$B$4,"High",IF(E944&gt;=Analysis!$B$5,"Mid","Low"))</f>
        <v>Low</v>
      </c>
      <c r="W944" s="39" t="str">
        <f t="shared" si="301"/>
        <v>2023-10</v>
      </c>
      <c r="X944" s="40">
        <f t="shared" si="302"/>
        <v>45230</v>
      </c>
      <c r="Y944" s="39" t="str">
        <f t="shared" si="303"/>
        <v>2023-Q4</v>
      </c>
      <c r="Z944" s="39" t="str">
        <f t="shared" si="304"/>
        <v>Tue</v>
      </c>
      <c r="AA944" s="39">
        <f t="shared" si="305"/>
        <v>2</v>
      </c>
      <c r="AB944" s="39">
        <f t="shared" si="306"/>
        <v>44</v>
      </c>
      <c r="AC944" s="39" t="str">
        <f t="shared" si="307"/>
        <v>Weekday</v>
      </c>
      <c r="AD944" s="39">
        <f t="shared" ca="1" si="308"/>
        <v>1096</v>
      </c>
      <c r="AE944" s="39">
        <f t="shared" ca="1" si="309"/>
        <v>36</v>
      </c>
      <c r="AF944" s="39" t="str">
        <f t="shared" si="310"/>
        <v>DAV</v>
      </c>
      <c r="AG944" s="39" t="str">
        <f t="shared" si="311"/>
        <v>EO-231024-0943</v>
      </c>
      <c r="AH944" s="39" t="str">
        <f>IF(AND(OR(Filter!$B$4="All",D944=Filter!$B$4),OR(Filter!$B$5="All",M944=Filter!$B$5),E944&gt;=Filter!$B$6),MAX(AH$1:AH943)+1,"")</f>
        <v/>
      </c>
      <c r="AI944" s="39">
        <f t="shared" si="312"/>
        <v>45</v>
      </c>
      <c r="AJ944" s="42">
        <f t="shared" si="313"/>
        <v>0.14000000000000001</v>
      </c>
      <c r="AK944" s="41">
        <f t="shared" si="314"/>
        <v>2169.86</v>
      </c>
      <c r="AL944" s="39">
        <f>RANK(E944,$E$2:$E$1001,0)+COUNTIF($E$2:E944,E944)-1</f>
        <v>812</v>
      </c>
    </row>
    <row r="945" spans="1:38" x14ac:dyDescent="0.2">
      <c r="A945" s="39">
        <v>1047</v>
      </c>
      <c r="B945" s="40">
        <v>45114</v>
      </c>
      <c r="C945" s="39" t="s">
        <v>76</v>
      </c>
      <c r="D945" s="39" t="s">
        <v>69</v>
      </c>
      <c r="E945" s="41">
        <v>9519.2999999999993</v>
      </c>
      <c r="F945" s="39">
        <v>15</v>
      </c>
      <c r="G945" s="39" t="s">
        <v>60</v>
      </c>
      <c r="H945" s="41">
        <v>957.95</v>
      </c>
      <c r="I945" s="41">
        <v>1329.26</v>
      </c>
      <c r="J945" s="39" t="s">
        <v>143</v>
      </c>
      <c r="K945" s="42">
        <v>0.21</v>
      </c>
      <c r="L945" s="39" t="s">
        <v>68</v>
      </c>
      <c r="M945" s="39" t="s">
        <v>138</v>
      </c>
      <c r="N945" s="39" t="s">
        <v>142</v>
      </c>
      <c r="O945" s="43">
        <f t="shared" si="294"/>
        <v>19938.900000000001</v>
      </c>
      <c r="P945" s="43">
        <f t="shared" si="295"/>
        <v>15751.73</v>
      </c>
      <c r="Q945" s="43">
        <f t="shared" si="296"/>
        <v>14369.25</v>
      </c>
      <c r="R945" s="43">
        <f t="shared" si="297"/>
        <v>1382.4799999999996</v>
      </c>
      <c r="S945" s="44">
        <f t="shared" si="298"/>
        <v>8.7766867512330371E-2</v>
      </c>
      <c r="T945" s="39" t="str">
        <f t="shared" si="299"/>
        <v>OK</v>
      </c>
      <c r="U945" s="39" t="str">
        <f t="shared" si="300"/>
        <v>20%+</v>
      </c>
      <c r="V945" s="39" t="str">
        <f>IF(E945&gt;=Analysis!$B$4,"High",IF(E945&gt;=Analysis!$B$5,"Mid","Low"))</f>
        <v>High</v>
      </c>
      <c r="W945" s="39" t="str">
        <f t="shared" si="301"/>
        <v>2023-07</v>
      </c>
      <c r="X945" s="40">
        <f t="shared" si="302"/>
        <v>45138</v>
      </c>
      <c r="Y945" s="39" t="str">
        <f t="shared" si="303"/>
        <v>2023-Q3</v>
      </c>
      <c r="Z945" s="39" t="str">
        <f t="shared" si="304"/>
        <v>Fri</v>
      </c>
      <c r="AA945" s="39">
        <f t="shared" si="305"/>
        <v>5</v>
      </c>
      <c r="AB945" s="39">
        <f t="shared" si="306"/>
        <v>28</v>
      </c>
      <c r="AC945" s="39" t="str">
        <f t="shared" si="307"/>
        <v>Weekday</v>
      </c>
      <c r="AD945" s="39">
        <f t="shared" ca="1" si="308"/>
        <v>1205</v>
      </c>
      <c r="AE945" s="39">
        <f t="shared" ca="1" si="309"/>
        <v>39</v>
      </c>
      <c r="AF945" s="39" t="str">
        <f t="shared" si="310"/>
        <v>DAV</v>
      </c>
      <c r="AG945" s="39" t="str">
        <f t="shared" si="311"/>
        <v>SO-230707-0944</v>
      </c>
      <c r="AH945" s="39">
        <f>IF(AND(OR(Filter!$B$4="All",D945=Filter!$B$4),OR(Filter!$B$5="All",M945=Filter!$B$5),E945&gt;=Filter!$B$6),MAX(AH$1:AH944)+1,"")</f>
        <v>86</v>
      </c>
      <c r="AI945" s="39">
        <f t="shared" si="312"/>
        <v>15</v>
      </c>
      <c r="AJ945" s="42">
        <f t="shared" si="313"/>
        <v>0.21</v>
      </c>
      <c r="AK945" s="41">
        <f t="shared" si="314"/>
        <v>1329.26</v>
      </c>
      <c r="AL945" s="39">
        <f>RANK(E945,$E$2:$E$1001,0)+COUNTIF($E$2:E945,E945)-1</f>
        <v>48</v>
      </c>
    </row>
    <row r="946" spans="1:38" x14ac:dyDescent="0.2">
      <c r="A946" s="39">
        <v>1086</v>
      </c>
      <c r="B946" s="40">
        <v>45288</v>
      </c>
      <c r="C946" s="39" t="s">
        <v>66</v>
      </c>
      <c r="D946" s="39" t="s">
        <v>74</v>
      </c>
      <c r="E946" s="41">
        <v>1837.37</v>
      </c>
      <c r="F946" s="39">
        <v>46</v>
      </c>
      <c r="G946" s="39" t="s">
        <v>75</v>
      </c>
      <c r="H946" s="41">
        <v>83.86</v>
      </c>
      <c r="I946" s="41">
        <v>526.14</v>
      </c>
      <c r="J946" s="39" t="s">
        <v>137</v>
      </c>
      <c r="K946" s="42">
        <v>0.11</v>
      </c>
      <c r="L946" s="39" t="s">
        <v>73</v>
      </c>
      <c r="M946" s="39" t="s">
        <v>138</v>
      </c>
      <c r="N946" s="39" t="s">
        <v>141</v>
      </c>
      <c r="O946" s="43">
        <f t="shared" si="294"/>
        <v>24202.44</v>
      </c>
      <c r="P946" s="43">
        <f t="shared" si="295"/>
        <v>21540.17</v>
      </c>
      <c r="Q946" s="43">
        <f t="shared" si="296"/>
        <v>3857.56</v>
      </c>
      <c r="R946" s="43">
        <f t="shared" si="297"/>
        <v>17682.609999999997</v>
      </c>
      <c r="S946" s="44">
        <f t="shared" si="298"/>
        <v>0.82091320542038426</v>
      </c>
      <c r="T946" s="39" t="str">
        <f t="shared" si="299"/>
        <v>OK</v>
      </c>
      <c r="U946" s="39" t="str">
        <f t="shared" si="300"/>
        <v>10-19%</v>
      </c>
      <c r="V946" s="39" t="str">
        <f>IF(E946&gt;=Analysis!$B$4,"High",IF(E946&gt;=Analysis!$B$5,"Mid","Low"))</f>
        <v>Low</v>
      </c>
      <c r="W946" s="39" t="str">
        <f t="shared" si="301"/>
        <v>2023-12</v>
      </c>
      <c r="X946" s="40">
        <f t="shared" si="302"/>
        <v>45291</v>
      </c>
      <c r="Y946" s="39" t="str">
        <f t="shared" si="303"/>
        <v>2023-Q4</v>
      </c>
      <c r="Z946" s="39" t="str">
        <f t="shared" si="304"/>
        <v>Thu</v>
      </c>
      <c r="AA946" s="39">
        <f t="shared" si="305"/>
        <v>4</v>
      </c>
      <c r="AB946" s="39">
        <f t="shared" si="306"/>
        <v>53</v>
      </c>
      <c r="AC946" s="39" t="str">
        <f t="shared" si="307"/>
        <v>Weekday</v>
      </c>
      <c r="AD946" s="39">
        <f t="shared" ca="1" si="308"/>
        <v>1031</v>
      </c>
      <c r="AE946" s="39">
        <f t="shared" ca="1" si="309"/>
        <v>33</v>
      </c>
      <c r="AF946" s="39" t="str">
        <f t="shared" si="310"/>
        <v>BOB</v>
      </c>
      <c r="AG946" s="39" t="str">
        <f t="shared" si="311"/>
        <v>WO-231228-0945</v>
      </c>
      <c r="AH946" s="39" t="str">
        <f>IF(AND(OR(Filter!$B$4="All",D946=Filter!$B$4),OR(Filter!$B$5="All",M946=Filter!$B$5),E946&gt;=Filter!$B$6),MAX(AH$1:AH945)+1,"")</f>
        <v/>
      </c>
      <c r="AI946" s="39">
        <f t="shared" si="312"/>
        <v>46</v>
      </c>
      <c r="AJ946" s="42">
        <f t="shared" si="313"/>
        <v>0.11</v>
      </c>
      <c r="AK946" s="41">
        <f t="shared" si="314"/>
        <v>526.14</v>
      </c>
      <c r="AL946" s="39">
        <f>RANK(E946,$E$2:$E$1001,0)+COUNTIF($E$2:E946,E946)-1</f>
        <v>834</v>
      </c>
    </row>
    <row r="947" spans="1:38" x14ac:dyDescent="0.2">
      <c r="A947" s="39">
        <v>1056</v>
      </c>
      <c r="B947" s="40">
        <v>44940</v>
      </c>
      <c r="C947" s="39" t="s">
        <v>71</v>
      </c>
      <c r="D947" s="39" t="s">
        <v>74</v>
      </c>
      <c r="E947" s="41">
        <v>5720.5</v>
      </c>
      <c r="F947" s="39">
        <v>25</v>
      </c>
      <c r="G947" s="39" t="s">
        <v>70</v>
      </c>
      <c r="H947" s="41">
        <v>2361.7399999999998</v>
      </c>
      <c r="I947" s="41">
        <v>2584.35</v>
      </c>
      <c r="J947" s="39" t="s">
        <v>137</v>
      </c>
      <c r="K947" s="42">
        <v>0.2</v>
      </c>
      <c r="L947" s="39" t="s">
        <v>68</v>
      </c>
      <c r="M947" s="39" t="s">
        <v>138</v>
      </c>
      <c r="N947" s="39" t="s">
        <v>146</v>
      </c>
      <c r="O947" s="43">
        <f t="shared" si="294"/>
        <v>64608.75</v>
      </c>
      <c r="P947" s="43">
        <f t="shared" si="295"/>
        <v>51687</v>
      </c>
      <c r="Q947" s="43">
        <f t="shared" si="296"/>
        <v>59043.5</v>
      </c>
      <c r="R947" s="43">
        <f t="shared" si="297"/>
        <v>-7356.5</v>
      </c>
      <c r="S947" s="44">
        <f t="shared" si="298"/>
        <v>-0.14232785806876003</v>
      </c>
      <c r="T947" s="39" t="str">
        <f t="shared" si="299"/>
        <v>Loss</v>
      </c>
      <c r="U947" s="39" t="str">
        <f t="shared" si="300"/>
        <v>20%+</v>
      </c>
      <c r="V947" s="39" t="str">
        <f>IF(E947&gt;=Analysis!$B$4,"High",IF(E947&gt;=Analysis!$B$5,"Mid","Low"))</f>
        <v>Mid</v>
      </c>
      <c r="W947" s="39" t="str">
        <f t="shared" si="301"/>
        <v>2023-01</v>
      </c>
      <c r="X947" s="40">
        <f t="shared" si="302"/>
        <v>44957</v>
      </c>
      <c r="Y947" s="39" t="str">
        <f t="shared" si="303"/>
        <v>2023-Q1</v>
      </c>
      <c r="Z947" s="39" t="str">
        <f t="shared" si="304"/>
        <v>Sat</v>
      </c>
      <c r="AA947" s="39">
        <f t="shared" si="305"/>
        <v>6</v>
      </c>
      <c r="AB947" s="39">
        <f t="shared" si="306"/>
        <v>3</v>
      </c>
      <c r="AC947" s="39" t="str">
        <f t="shared" si="307"/>
        <v>Weekend</v>
      </c>
      <c r="AD947" s="39">
        <f t="shared" ca="1" si="308"/>
        <v>1379</v>
      </c>
      <c r="AE947" s="39">
        <f t="shared" ca="1" si="309"/>
        <v>45</v>
      </c>
      <c r="AF947" s="39" t="str">
        <f t="shared" si="310"/>
        <v>CHA</v>
      </c>
      <c r="AG947" s="39" t="str">
        <f t="shared" si="311"/>
        <v>WO-230114-0946</v>
      </c>
      <c r="AH947" s="39" t="str">
        <f>IF(AND(OR(Filter!$B$4="All",D947=Filter!$B$4),OR(Filter!$B$5="All",M947=Filter!$B$5),E947&gt;=Filter!$B$6),MAX(AH$1:AH946)+1,"")</f>
        <v/>
      </c>
      <c r="AI947" s="39">
        <f t="shared" si="312"/>
        <v>25</v>
      </c>
      <c r="AJ947" s="42">
        <f t="shared" si="313"/>
        <v>0.2</v>
      </c>
      <c r="AK947" s="41">
        <f t="shared" si="314"/>
        <v>2584.35</v>
      </c>
      <c r="AL947" s="39">
        <f>RANK(E947,$E$2:$E$1001,0)+COUNTIF($E$2:E947,E947)-1</f>
        <v>437</v>
      </c>
    </row>
    <row r="948" spans="1:38" x14ac:dyDescent="0.2">
      <c r="A948" s="39">
        <v>1094</v>
      </c>
      <c r="B948" s="40">
        <v>44938</v>
      </c>
      <c r="C948" s="39" t="s">
        <v>79</v>
      </c>
      <c r="D948" s="39" t="s">
        <v>74</v>
      </c>
      <c r="E948" s="41">
        <v>5835.21</v>
      </c>
      <c r="F948" s="39">
        <v>38</v>
      </c>
      <c r="G948" s="39" t="s">
        <v>70</v>
      </c>
      <c r="H948" s="41">
        <v>3443.98</v>
      </c>
      <c r="I948" s="41">
        <v>3820.3</v>
      </c>
      <c r="J948" s="39" t="s">
        <v>137</v>
      </c>
      <c r="K948" s="42">
        <v>0.01</v>
      </c>
      <c r="L948" s="39" t="s">
        <v>73</v>
      </c>
      <c r="M948" s="39" t="s">
        <v>140</v>
      </c>
      <c r="N948" s="39" t="s">
        <v>149</v>
      </c>
      <c r="O948" s="43">
        <f t="shared" si="294"/>
        <v>145171.4</v>
      </c>
      <c r="P948" s="43">
        <f t="shared" si="295"/>
        <v>143719.69</v>
      </c>
      <c r="Q948" s="43">
        <f t="shared" si="296"/>
        <v>130871.24</v>
      </c>
      <c r="R948" s="43">
        <f t="shared" si="297"/>
        <v>12848.449999999997</v>
      </c>
      <c r="S948" s="44">
        <f t="shared" si="298"/>
        <v>8.9399371791019006E-2</v>
      </c>
      <c r="T948" s="39" t="str">
        <f t="shared" si="299"/>
        <v>OK</v>
      </c>
      <c r="U948" s="39" t="str">
        <f t="shared" si="300"/>
        <v>0-9%</v>
      </c>
      <c r="V948" s="39" t="str">
        <f>IF(E948&gt;=Analysis!$B$4,"High",IF(E948&gt;=Analysis!$B$5,"Mid","Low"))</f>
        <v>Mid</v>
      </c>
      <c r="W948" s="39" t="str">
        <f t="shared" si="301"/>
        <v>2023-01</v>
      </c>
      <c r="X948" s="40">
        <f t="shared" si="302"/>
        <v>44957</v>
      </c>
      <c r="Y948" s="39" t="str">
        <f t="shared" si="303"/>
        <v>2023-Q1</v>
      </c>
      <c r="Z948" s="39" t="str">
        <f t="shared" si="304"/>
        <v>Thu</v>
      </c>
      <c r="AA948" s="39">
        <f t="shared" si="305"/>
        <v>4</v>
      </c>
      <c r="AB948" s="39">
        <f t="shared" si="306"/>
        <v>3</v>
      </c>
      <c r="AC948" s="39" t="str">
        <f t="shared" si="307"/>
        <v>Weekday</v>
      </c>
      <c r="AD948" s="39">
        <f t="shared" ca="1" si="308"/>
        <v>1381</v>
      </c>
      <c r="AE948" s="39">
        <f t="shared" ca="1" si="309"/>
        <v>45</v>
      </c>
      <c r="AF948" s="39" t="str">
        <f t="shared" si="310"/>
        <v>EVE</v>
      </c>
      <c r="AG948" s="39" t="str">
        <f t="shared" si="311"/>
        <v>WR-230112-0947</v>
      </c>
      <c r="AH948" s="39" t="str">
        <f>IF(AND(OR(Filter!$B$4="All",D948=Filter!$B$4),OR(Filter!$B$5="All",M948=Filter!$B$5),E948&gt;=Filter!$B$6),MAX(AH$1:AH947)+1,"")</f>
        <v/>
      </c>
      <c r="AI948" s="39">
        <f t="shared" si="312"/>
        <v>38</v>
      </c>
      <c r="AJ948" s="42">
        <f t="shared" si="313"/>
        <v>0.01</v>
      </c>
      <c r="AK948" s="41">
        <f t="shared" si="314"/>
        <v>3820.3</v>
      </c>
      <c r="AL948" s="39">
        <f>RANK(E948,$E$2:$E$1001,0)+COUNTIF($E$2:E948,E948)-1</f>
        <v>426</v>
      </c>
    </row>
    <row r="949" spans="1:38" x14ac:dyDescent="0.2">
      <c r="A949" s="39">
        <v>1063</v>
      </c>
      <c r="B949" s="40">
        <v>45013</v>
      </c>
      <c r="C949" s="39" t="s">
        <v>71</v>
      </c>
      <c r="D949" s="39" t="s">
        <v>69</v>
      </c>
      <c r="E949" s="41">
        <v>4947.28</v>
      </c>
      <c r="F949" s="39">
        <v>42</v>
      </c>
      <c r="G949" s="39" t="s">
        <v>70</v>
      </c>
      <c r="H949" s="41">
        <v>1170.07</v>
      </c>
      <c r="I949" s="41">
        <v>1669.95</v>
      </c>
      <c r="J949" s="39" t="s">
        <v>137</v>
      </c>
      <c r="K949" s="42">
        <v>0.12</v>
      </c>
      <c r="L949" s="39" t="s">
        <v>63</v>
      </c>
      <c r="M949" s="39" t="s">
        <v>140</v>
      </c>
      <c r="N949" s="39" t="s">
        <v>151</v>
      </c>
      <c r="O949" s="43">
        <f t="shared" si="294"/>
        <v>70137.899999999994</v>
      </c>
      <c r="P949" s="43">
        <f t="shared" si="295"/>
        <v>61721.35</v>
      </c>
      <c r="Q949" s="43">
        <f t="shared" si="296"/>
        <v>49142.94</v>
      </c>
      <c r="R949" s="43">
        <f t="shared" si="297"/>
        <v>12578.409999999996</v>
      </c>
      <c r="S949" s="44">
        <f t="shared" si="298"/>
        <v>0.20379350095226362</v>
      </c>
      <c r="T949" s="39" t="str">
        <f t="shared" si="299"/>
        <v>OK</v>
      </c>
      <c r="U949" s="39" t="str">
        <f t="shared" si="300"/>
        <v>10-19%</v>
      </c>
      <c r="V949" s="39" t="str">
        <f>IF(E949&gt;=Analysis!$B$4,"High",IF(E949&gt;=Analysis!$B$5,"Mid","Low"))</f>
        <v>Mid</v>
      </c>
      <c r="W949" s="39" t="str">
        <f t="shared" si="301"/>
        <v>2023-03</v>
      </c>
      <c r="X949" s="40">
        <f t="shared" si="302"/>
        <v>45016</v>
      </c>
      <c r="Y949" s="39" t="str">
        <f t="shared" si="303"/>
        <v>2023-Q1</v>
      </c>
      <c r="Z949" s="39" t="str">
        <f t="shared" si="304"/>
        <v>Tue</v>
      </c>
      <c r="AA949" s="39">
        <f t="shared" si="305"/>
        <v>2</v>
      </c>
      <c r="AB949" s="39">
        <f t="shared" si="306"/>
        <v>14</v>
      </c>
      <c r="AC949" s="39" t="str">
        <f t="shared" si="307"/>
        <v>Weekday</v>
      </c>
      <c r="AD949" s="39">
        <f t="shared" ca="1" si="308"/>
        <v>1306</v>
      </c>
      <c r="AE949" s="39">
        <f t="shared" ca="1" si="309"/>
        <v>42</v>
      </c>
      <c r="AF949" s="39" t="str">
        <f t="shared" si="310"/>
        <v>CHA</v>
      </c>
      <c r="AG949" s="39" t="str">
        <f t="shared" si="311"/>
        <v>SR-230328-0948</v>
      </c>
      <c r="AH949" s="39" t="str">
        <f>IF(AND(OR(Filter!$B$4="All",D949=Filter!$B$4),OR(Filter!$B$5="All",M949=Filter!$B$5),E949&gt;=Filter!$B$6),MAX(AH$1:AH948)+1,"")</f>
        <v/>
      </c>
      <c r="AI949" s="39">
        <f t="shared" si="312"/>
        <v>42</v>
      </c>
      <c r="AJ949" s="42">
        <f t="shared" si="313"/>
        <v>0.12</v>
      </c>
      <c r="AK949" s="41">
        <f t="shared" si="314"/>
        <v>1669.95</v>
      </c>
      <c r="AL949" s="39">
        <f>RANK(E949,$E$2:$E$1001,0)+COUNTIF($E$2:E949,E949)-1</f>
        <v>505</v>
      </c>
    </row>
    <row r="950" spans="1:38" x14ac:dyDescent="0.2">
      <c r="A950" s="39">
        <v>1048</v>
      </c>
      <c r="B950" s="40">
        <v>44938</v>
      </c>
      <c r="C950" s="39" t="s">
        <v>71</v>
      </c>
      <c r="D950" s="39" t="s">
        <v>59</v>
      </c>
      <c r="E950" s="41">
        <v>6482.98</v>
      </c>
      <c r="F950" s="39">
        <v>47</v>
      </c>
      <c r="G950" s="39" t="s">
        <v>60</v>
      </c>
      <c r="H950" s="41">
        <v>702.44</v>
      </c>
      <c r="I950" s="41">
        <v>1067.6600000000001</v>
      </c>
      <c r="J950" s="39" t="s">
        <v>143</v>
      </c>
      <c r="K950" s="42">
        <v>0.24</v>
      </c>
      <c r="L950" s="39" t="s">
        <v>68</v>
      </c>
      <c r="M950" s="39" t="s">
        <v>140</v>
      </c>
      <c r="N950" s="39" t="s">
        <v>145</v>
      </c>
      <c r="O950" s="43">
        <f t="shared" si="294"/>
        <v>50180.02</v>
      </c>
      <c r="P950" s="43">
        <f t="shared" si="295"/>
        <v>38136.82</v>
      </c>
      <c r="Q950" s="43">
        <f t="shared" si="296"/>
        <v>33014.68</v>
      </c>
      <c r="R950" s="43">
        <f t="shared" si="297"/>
        <v>5122.1399999999994</v>
      </c>
      <c r="S950" s="44">
        <f t="shared" si="298"/>
        <v>0.13430957274361102</v>
      </c>
      <c r="T950" s="39" t="str">
        <f t="shared" si="299"/>
        <v>OK</v>
      </c>
      <c r="U950" s="39" t="str">
        <f t="shared" si="300"/>
        <v>20%+</v>
      </c>
      <c r="V950" s="39" t="str">
        <f>IF(E950&gt;=Analysis!$B$4,"High",IF(E950&gt;=Analysis!$B$5,"Mid","Low"))</f>
        <v>Mid</v>
      </c>
      <c r="W950" s="39" t="str">
        <f t="shared" si="301"/>
        <v>2023-01</v>
      </c>
      <c r="X950" s="40">
        <f t="shared" si="302"/>
        <v>44957</v>
      </c>
      <c r="Y950" s="39" t="str">
        <f t="shared" si="303"/>
        <v>2023-Q1</v>
      </c>
      <c r="Z950" s="39" t="str">
        <f t="shared" si="304"/>
        <v>Thu</v>
      </c>
      <c r="AA950" s="39">
        <f t="shared" si="305"/>
        <v>4</v>
      </c>
      <c r="AB950" s="39">
        <f t="shared" si="306"/>
        <v>3</v>
      </c>
      <c r="AC950" s="39" t="str">
        <f t="shared" si="307"/>
        <v>Weekday</v>
      </c>
      <c r="AD950" s="39">
        <f t="shared" ca="1" si="308"/>
        <v>1381</v>
      </c>
      <c r="AE950" s="39">
        <f t="shared" ca="1" si="309"/>
        <v>45</v>
      </c>
      <c r="AF950" s="39" t="str">
        <f t="shared" si="310"/>
        <v>CHA</v>
      </c>
      <c r="AG950" s="39" t="str">
        <f t="shared" si="311"/>
        <v>ER-230112-0949</v>
      </c>
      <c r="AH950" s="39" t="str">
        <f>IF(AND(OR(Filter!$B$4="All",D950=Filter!$B$4),OR(Filter!$B$5="All",M950=Filter!$B$5),E950&gt;=Filter!$B$6),MAX(AH$1:AH949)+1,"")</f>
        <v/>
      </c>
      <c r="AI950" s="39">
        <f t="shared" si="312"/>
        <v>47</v>
      </c>
      <c r="AJ950" s="42">
        <f t="shared" si="313"/>
        <v>0.24</v>
      </c>
      <c r="AK950" s="41">
        <f t="shared" si="314"/>
        <v>1067.6600000000001</v>
      </c>
      <c r="AL950" s="39">
        <f>RANK(E950,$E$2:$E$1001,0)+COUNTIF($E$2:E950,E950)-1</f>
        <v>363</v>
      </c>
    </row>
    <row r="951" spans="1:38" x14ac:dyDescent="0.2">
      <c r="A951" s="39">
        <v>1061</v>
      </c>
      <c r="B951" s="40">
        <v>44951</v>
      </c>
      <c r="C951" s="39" t="s">
        <v>66</v>
      </c>
      <c r="D951" s="39" t="s">
        <v>59</v>
      </c>
      <c r="E951" s="41">
        <v>2375.2800000000002</v>
      </c>
      <c r="F951" s="39">
        <v>38</v>
      </c>
      <c r="G951" s="39" t="s">
        <v>75</v>
      </c>
      <c r="H951" s="41">
        <v>4440.8599999999997</v>
      </c>
      <c r="I951" s="41">
        <v>4506.8100000000004</v>
      </c>
      <c r="J951" s="39" t="s">
        <v>137</v>
      </c>
      <c r="K951" s="42">
        <v>0.24</v>
      </c>
      <c r="L951" s="39" t="s">
        <v>63</v>
      </c>
      <c r="M951" s="39" t="s">
        <v>138</v>
      </c>
      <c r="N951" s="39" t="s">
        <v>153</v>
      </c>
      <c r="O951" s="43">
        <f t="shared" si="294"/>
        <v>171258.78</v>
      </c>
      <c r="P951" s="43">
        <f t="shared" si="295"/>
        <v>130156.67</v>
      </c>
      <c r="Q951" s="43">
        <f t="shared" si="296"/>
        <v>168752.68</v>
      </c>
      <c r="R951" s="43">
        <f t="shared" si="297"/>
        <v>-38596.009999999995</v>
      </c>
      <c r="S951" s="44">
        <f t="shared" si="298"/>
        <v>-0.29653501430237877</v>
      </c>
      <c r="T951" s="39" t="str">
        <f t="shared" si="299"/>
        <v>Loss</v>
      </c>
      <c r="U951" s="39" t="str">
        <f t="shared" si="300"/>
        <v>20%+</v>
      </c>
      <c r="V951" s="39" t="str">
        <f>IF(E951&gt;=Analysis!$B$4,"High",IF(E951&gt;=Analysis!$B$5,"Mid","Low"))</f>
        <v>Low</v>
      </c>
      <c r="W951" s="39" t="str">
        <f t="shared" si="301"/>
        <v>2023-01</v>
      </c>
      <c r="X951" s="40">
        <f t="shared" si="302"/>
        <v>44957</v>
      </c>
      <c r="Y951" s="39" t="str">
        <f t="shared" si="303"/>
        <v>2023-Q1</v>
      </c>
      <c r="Z951" s="39" t="str">
        <f t="shared" si="304"/>
        <v>Wed</v>
      </c>
      <c r="AA951" s="39">
        <f t="shared" si="305"/>
        <v>3</v>
      </c>
      <c r="AB951" s="39">
        <f t="shared" si="306"/>
        <v>5</v>
      </c>
      <c r="AC951" s="39" t="str">
        <f t="shared" si="307"/>
        <v>Weekday</v>
      </c>
      <c r="AD951" s="39">
        <f t="shared" ca="1" si="308"/>
        <v>1368</v>
      </c>
      <c r="AE951" s="39">
        <f t="shared" ca="1" si="309"/>
        <v>44</v>
      </c>
      <c r="AF951" s="39" t="str">
        <f t="shared" si="310"/>
        <v>BOB</v>
      </c>
      <c r="AG951" s="39" t="str">
        <f t="shared" si="311"/>
        <v>EO-230125-0950</v>
      </c>
      <c r="AH951" s="39" t="str">
        <f>IF(AND(OR(Filter!$B$4="All",D951=Filter!$B$4),OR(Filter!$B$5="All",M951=Filter!$B$5),E951&gt;=Filter!$B$6),MAX(AH$1:AH950)+1,"")</f>
        <v/>
      </c>
      <c r="AI951" s="39">
        <f t="shared" si="312"/>
        <v>38</v>
      </c>
      <c r="AJ951" s="42">
        <f t="shared" si="313"/>
        <v>0.24</v>
      </c>
      <c r="AK951" s="41">
        <f t="shared" si="314"/>
        <v>4506.8100000000004</v>
      </c>
      <c r="AL951" s="39">
        <f>RANK(E951,$E$2:$E$1001,0)+COUNTIF($E$2:E951,E951)-1</f>
        <v>768</v>
      </c>
    </row>
    <row r="952" spans="1:38" x14ac:dyDescent="0.2">
      <c r="A952" s="39">
        <v>1081</v>
      </c>
      <c r="B952" s="40">
        <v>45227</v>
      </c>
      <c r="C952" s="39" t="s">
        <v>71</v>
      </c>
      <c r="D952" s="39" t="s">
        <v>64</v>
      </c>
      <c r="E952" s="41">
        <v>5571.36</v>
      </c>
      <c r="F952" s="39">
        <v>23</v>
      </c>
      <c r="G952" s="39" t="s">
        <v>70</v>
      </c>
      <c r="H952" s="41">
        <v>1411.37</v>
      </c>
      <c r="I952" s="41">
        <v>1675.35</v>
      </c>
      <c r="J952" s="39" t="s">
        <v>143</v>
      </c>
      <c r="K952" s="42">
        <v>0.21</v>
      </c>
      <c r="L952" s="39" t="s">
        <v>68</v>
      </c>
      <c r="M952" s="39" t="s">
        <v>140</v>
      </c>
      <c r="N952" s="39" t="s">
        <v>160</v>
      </c>
      <c r="O952" s="43">
        <f t="shared" si="294"/>
        <v>38533.050000000003</v>
      </c>
      <c r="P952" s="43">
        <f t="shared" si="295"/>
        <v>30441.11</v>
      </c>
      <c r="Q952" s="43">
        <f t="shared" si="296"/>
        <v>32461.51</v>
      </c>
      <c r="R952" s="43">
        <f t="shared" si="297"/>
        <v>-2020.3999999999978</v>
      </c>
      <c r="S952" s="44">
        <f t="shared" si="298"/>
        <v>-6.6370772944876116E-2</v>
      </c>
      <c r="T952" s="39" t="str">
        <f t="shared" si="299"/>
        <v>Loss</v>
      </c>
      <c r="U952" s="39" t="str">
        <f t="shared" si="300"/>
        <v>20%+</v>
      </c>
      <c r="V952" s="39" t="str">
        <f>IF(E952&gt;=Analysis!$B$4,"High",IF(E952&gt;=Analysis!$B$5,"Mid","Low"))</f>
        <v>Mid</v>
      </c>
      <c r="W952" s="39" t="str">
        <f t="shared" si="301"/>
        <v>2023-10</v>
      </c>
      <c r="X952" s="40">
        <f t="shared" si="302"/>
        <v>45230</v>
      </c>
      <c r="Y952" s="39" t="str">
        <f t="shared" si="303"/>
        <v>2023-Q4</v>
      </c>
      <c r="Z952" s="39" t="str">
        <f t="shared" si="304"/>
        <v>Sat</v>
      </c>
      <c r="AA952" s="39">
        <f t="shared" si="305"/>
        <v>6</v>
      </c>
      <c r="AB952" s="39">
        <f t="shared" si="306"/>
        <v>44</v>
      </c>
      <c r="AC952" s="39" t="str">
        <f t="shared" si="307"/>
        <v>Weekend</v>
      </c>
      <c r="AD952" s="39">
        <f t="shared" ca="1" si="308"/>
        <v>1092</v>
      </c>
      <c r="AE952" s="39">
        <f t="shared" ca="1" si="309"/>
        <v>35</v>
      </c>
      <c r="AF952" s="39" t="str">
        <f t="shared" si="310"/>
        <v>CHA</v>
      </c>
      <c r="AG952" s="39" t="str">
        <f t="shared" si="311"/>
        <v>NR-231028-0951</v>
      </c>
      <c r="AH952" s="39" t="str">
        <f>IF(AND(OR(Filter!$B$4="All",D952=Filter!$B$4),OR(Filter!$B$5="All",M952=Filter!$B$5),E952&gt;=Filter!$B$6),MAX(AH$1:AH951)+1,"")</f>
        <v/>
      </c>
      <c r="AI952" s="39">
        <f t="shared" si="312"/>
        <v>23</v>
      </c>
      <c r="AJ952" s="42">
        <f t="shared" si="313"/>
        <v>0.21</v>
      </c>
      <c r="AK952" s="41">
        <f t="shared" si="314"/>
        <v>1675.35</v>
      </c>
      <c r="AL952" s="39">
        <f>RANK(E952,$E$2:$E$1001,0)+COUNTIF($E$2:E952,E952)-1</f>
        <v>451</v>
      </c>
    </row>
    <row r="953" spans="1:38" x14ac:dyDescent="0.2">
      <c r="A953" s="39">
        <v>1026</v>
      </c>
      <c r="B953" s="40">
        <v>45169</v>
      </c>
      <c r="C953" s="39" t="s">
        <v>61</v>
      </c>
      <c r="D953" s="39" t="s">
        <v>59</v>
      </c>
      <c r="E953" s="41">
        <v>3784.52</v>
      </c>
      <c r="F953" s="39">
        <v>25</v>
      </c>
      <c r="G953" s="39" t="s">
        <v>65</v>
      </c>
      <c r="H953" s="41">
        <v>1156.8800000000001</v>
      </c>
      <c r="I953" s="41">
        <v>1454.68</v>
      </c>
      <c r="J953" s="39" t="s">
        <v>137</v>
      </c>
      <c r="K953" s="42">
        <v>0.06</v>
      </c>
      <c r="L953" s="39" t="s">
        <v>73</v>
      </c>
      <c r="M953" s="39" t="s">
        <v>138</v>
      </c>
      <c r="N953" s="39" t="s">
        <v>159</v>
      </c>
      <c r="O953" s="43">
        <f t="shared" si="294"/>
        <v>36367</v>
      </c>
      <c r="P953" s="43">
        <f t="shared" si="295"/>
        <v>34184.980000000003</v>
      </c>
      <c r="Q953" s="43">
        <f t="shared" si="296"/>
        <v>28922</v>
      </c>
      <c r="R953" s="43">
        <f t="shared" si="297"/>
        <v>5262.9800000000032</v>
      </c>
      <c r="S953" s="44">
        <f t="shared" si="298"/>
        <v>0.15395591865199285</v>
      </c>
      <c r="T953" s="39" t="str">
        <f t="shared" si="299"/>
        <v>OK</v>
      </c>
      <c r="U953" s="39" t="str">
        <f t="shared" si="300"/>
        <v>0-9%</v>
      </c>
      <c r="V953" s="39" t="str">
        <f>IF(E953&gt;=Analysis!$B$4,"High",IF(E953&gt;=Analysis!$B$5,"Mid","Low"))</f>
        <v>Mid</v>
      </c>
      <c r="W953" s="39" t="str">
        <f t="shared" si="301"/>
        <v>2023-08</v>
      </c>
      <c r="X953" s="40">
        <f t="shared" si="302"/>
        <v>45169</v>
      </c>
      <c r="Y953" s="39" t="str">
        <f t="shared" si="303"/>
        <v>2023-Q3</v>
      </c>
      <c r="Z953" s="39" t="str">
        <f t="shared" si="304"/>
        <v>Thu</v>
      </c>
      <c r="AA953" s="39">
        <f t="shared" si="305"/>
        <v>4</v>
      </c>
      <c r="AB953" s="39">
        <f t="shared" si="306"/>
        <v>36</v>
      </c>
      <c r="AC953" s="39" t="str">
        <f t="shared" si="307"/>
        <v>Weekday</v>
      </c>
      <c r="AD953" s="39">
        <f t="shared" ca="1" si="308"/>
        <v>1150</v>
      </c>
      <c r="AE953" s="39">
        <f t="shared" ca="1" si="309"/>
        <v>37</v>
      </c>
      <c r="AF953" s="39" t="str">
        <f t="shared" si="310"/>
        <v>ALI</v>
      </c>
      <c r="AG953" s="39" t="str">
        <f t="shared" si="311"/>
        <v>EO-230831-0952</v>
      </c>
      <c r="AH953" s="39" t="str">
        <f>IF(AND(OR(Filter!$B$4="All",D953=Filter!$B$4),OR(Filter!$B$5="All",M953=Filter!$B$5),E953&gt;=Filter!$B$6),MAX(AH$1:AH952)+1,"")</f>
        <v/>
      </c>
      <c r="AI953" s="39">
        <f t="shared" si="312"/>
        <v>25</v>
      </c>
      <c r="AJ953" s="42">
        <f t="shared" si="313"/>
        <v>0.06</v>
      </c>
      <c r="AK953" s="41">
        <f t="shared" si="314"/>
        <v>1454.68</v>
      </c>
      <c r="AL953" s="39">
        <f>RANK(E953,$E$2:$E$1001,0)+COUNTIF($E$2:E953,E953)-1</f>
        <v>616</v>
      </c>
    </row>
    <row r="954" spans="1:38" x14ac:dyDescent="0.2">
      <c r="A954" s="39">
        <v>1036</v>
      </c>
      <c r="B954" s="40">
        <v>45048</v>
      </c>
      <c r="C954" s="39" t="s">
        <v>76</v>
      </c>
      <c r="D954" s="39" t="s">
        <v>64</v>
      </c>
      <c r="E954" s="41">
        <v>6650.51</v>
      </c>
      <c r="F954" s="39">
        <v>42</v>
      </c>
      <c r="G954" s="39" t="s">
        <v>75</v>
      </c>
      <c r="H954" s="41">
        <v>4292.63</v>
      </c>
      <c r="I954" s="41">
        <v>4387.99</v>
      </c>
      <c r="J954" s="39" t="s">
        <v>143</v>
      </c>
      <c r="K954" s="42">
        <v>7.0000000000000007E-2</v>
      </c>
      <c r="L954" s="39" t="s">
        <v>73</v>
      </c>
      <c r="M954" s="39" t="s">
        <v>140</v>
      </c>
      <c r="N954" s="39" t="s">
        <v>152</v>
      </c>
      <c r="O954" s="43">
        <f t="shared" si="294"/>
        <v>184295.58</v>
      </c>
      <c r="P954" s="43">
        <f t="shared" si="295"/>
        <v>171394.89</v>
      </c>
      <c r="Q954" s="43">
        <f t="shared" si="296"/>
        <v>180290.46</v>
      </c>
      <c r="R954" s="43">
        <f t="shared" si="297"/>
        <v>-8895.5699999999779</v>
      </c>
      <c r="S954" s="44">
        <f t="shared" si="298"/>
        <v>-5.1901022253347091E-2</v>
      </c>
      <c r="T954" s="39" t="str">
        <f t="shared" si="299"/>
        <v>Loss</v>
      </c>
      <c r="U954" s="39" t="str">
        <f t="shared" si="300"/>
        <v>0-9%</v>
      </c>
      <c r="V954" s="39" t="str">
        <f>IF(E954&gt;=Analysis!$B$4,"High",IF(E954&gt;=Analysis!$B$5,"Mid","Low"))</f>
        <v>Mid</v>
      </c>
      <c r="W954" s="39" t="str">
        <f t="shared" si="301"/>
        <v>2023-05</v>
      </c>
      <c r="X954" s="40">
        <f t="shared" si="302"/>
        <v>45077</v>
      </c>
      <c r="Y954" s="39" t="str">
        <f t="shared" si="303"/>
        <v>2023-Q2</v>
      </c>
      <c r="Z954" s="39" t="str">
        <f t="shared" si="304"/>
        <v>Tue</v>
      </c>
      <c r="AA954" s="39">
        <f t="shared" si="305"/>
        <v>2</v>
      </c>
      <c r="AB954" s="39">
        <f t="shared" si="306"/>
        <v>19</v>
      </c>
      <c r="AC954" s="39" t="str">
        <f t="shared" si="307"/>
        <v>Weekday</v>
      </c>
      <c r="AD954" s="39">
        <f t="shared" ca="1" si="308"/>
        <v>1271</v>
      </c>
      <c r="AE954" s="39">
        <f t="shared" ca="1" si="309"/>
        <v>41</v>
      </c>
      <c r="AF954" s="39" t="str">
        <f t="shared" si="310"/>
        <v>DAV</v>
      </c>
      <c r="AG954" s="39" t="str">
        <f t="shared" si="311"/>
        <v>NR-230502-0953</v>
      </c>
      <c r="AH954" s="39" t="str">
        <f>IF(AND(OR(Filter!$B$4="All",D954=Filter!$B$4),OR(Filter!$B$5="All",M954=Filter!$B$5),E954&gt;=Filter!$B$6),MAX(AH$1:AH953)+1,"")</f>
        <v/>
      </c>
      <c r="AI954" s="39">
        <f t="shared" si="312"/>
        <v>42</v>
      </c>
      <c r="AJ954" s="42">
        <f t="shared" si="313"/>
        <v>7.0000000000000007E-2</v>
      </c>
      <c r="AK954" s="41">
        <f t="shared" si="314"/>
        <v>4387.99</v>
      </c>
      <c r="AL954" s="39">
        <f>RANK(E954,$E$2:$E$1001,0)+COUNTIF($E$2:E954,E954)-1</f>
        <v>343</v>
      </c>
    </row>
    <row r="955" spans="1:38" x14ac:dyDescent="0.2">
      <c r="A955" s="39">
        <v>1001</v>
      </c>
      <c r="B955" s="40">
        <v>45073</v>
      </c>
      <c r="C955" s="39" t="s">
        <v>61</v>
      </c>
      <c r="D955" s="39" t="s">
        <v>69</v>
      </c>
      <c r="E955" s="41">
        <v>1498.11</v>
      </c>
      <c r="F955" s="39">
        <v>7</v>
      </c>
      <c r="G955" s="39" t="s">
        <v>65</v>
      </c>
      <c r="H955" s="41">
        <v>4094.68</v>
      </c>
      <c r="I955" s="41">
        <v>4576.5</v>
      </c>
      <c r="J955" s="39" t="s">
        <v>143</v>
      </c>
      <c r="K955" s="42">
        <v>0.3</v>
      </c>
      <c r="L955" s="39" t="s">
        <v>68</v>
      </c>
      <c r="M955" s="39" t="s">
        <v>140</v>
      </c>
      <c r="N955" s="39" t="s">
        <v>150</v>
      </c>
      <c r="O955" s="43">
        <f t="shared" si="294"/>
        <v>32035.5</v>
      </c>
      <c r="P955" s="43">
        <f t="shared" si="295"/>
        <v>22424.85</v>
      </c>
      <c r="Q955" s="43">
        <f t="shared" si="296"/>
        <v>28662.76</v>
      </c>
      <c r="R955" s="43">
        <f t="shared" si="297"/>
        <v>-6237.91</v>
      </c>
      <c r="S955" s="44">
        <f t="shared" si="298"/>
        <v>-0.27816953067690531</v>
      </c>
      <c r="T955" s="39" t="str">
        <f t="shared" si="299"/>
        <v>Loss</v>
      </c>
      <c r="U955" s="39" t="str">
        <f t="shared" si="300"/>
        <v>20%+</v>
      </c>
      <c r="V955" s="39" t="str">
        <f>IF(E955&gt;=Analysis!$B$4,"High",IF(E955&gt;=Analysis!$B$5,"Mid","Low"))</f>
        <v>Low</v>
      </c>
      <c r="W955" s="39" t="str">
        <f t="shared" si="301"/>
        <v>2023-05</v>
      </c>
      <c r="X955" s="40">
        <f t="shared" si="302"/>
        <v>45077</v>
      </c>
      <c r="Y955" s="39" t="str">
        <f t="shared" si="303"/>
        <v>2023-Q2</v>
      </c>
      <c r="Z955" s="39" t="str">
        <f t="shared" si="304"/>
        <v>Sat</v>
      </c>
      <c r="AA955" s="39">
        <f t="shared" si="305"/>
        <v>6</v>
      </c>
      <c r="AB955" s="39">
        <f t="shared" si="306"/>
        <v>22</v>
      </c>
      <c r="AC955" s="39" t="str">
        <f t="shared" si="307"/>
        <v>Weekend</v>
      </c>
      <c r="AD955" s="39">
        <f t="shared" ca="1" si="308"/>
        <v>1246</v>
      </c>
      <c r="AE955" s="39">
        <f t="shared" ca="1" si="309"/>
        <v>40</v>
      </c>
      <c r="AF955" s="39" t="str">
        <f t="shared" si="310"/>
        <v>ALI</v>
      </c>
      <c r="AG955" s="39" t="str">
        <f t="shared" si="311"/>
        <v>SR-230527-0954</v>
      </c>
      <c r="AH955" s="39" t="str">
        <f>IF(AND(OR(Filter!$B$4="All",D955=Filter!$B$4),OR(Filter!$B$5="All",M955=Filter!$B$5),E955&gt;=Filter!$B$6),MAX(AH$1:AH954)+1,"")</f>
        <v/>
      </c>
      <c r="AI955" s="39">
        <f t="shared" si="312"/>
        <v>7</v>
      </c>
      <c r="AJ955" s="42">
        <f t="shared" si="313"/>
        <v>0.3</v>
      </c>
      <c r="AK955" s="41">
        <f t="shared" si="314"/>
        <v>4576.5</v>
      </c>
      <c r="AL955" s="39">
        <f>RANK(E955,$E$2:$E$1001,0)+COUNTIF($E$2:E955,E955)-1</f>
        <v>869</v>
      </c>
    </row>
    <row r="956" spans="1:38" x14ac:dyDescent="0.2">
      <c r="A956" s="39">
        <v>1008</v>
      </c>
      <c r="B956" s="40">
        <v>44981</v>
      </c>
      <c r="C956" s="39" t="s">
        <v>79</v>
      </c>
      <c r="D956" s="39" t="s">
        <v>74</v>
      </c>
      <c r="E956" s="41">
        <v>5751.69</v>
      </c>
      <c r="F956" s="39">
        <v>22</v>
      </c>
      <c r="G956" s="39" t="s">
        <v>65</v>
      </c>
      <c r="H956" s="41">
        <v>2269.3200000000002</v>
      </c>
      <c r="I956" s="41">
        <v>2365.35</v>
      </c>
      <c r="J956" s="39" t="s">
        <v>143</v>
      </c>
      <c r="K956" s="42">
        <v>0.03</v>
      </c>
      <c r="L956" s="39" t="s">
        <v>68</v>
      </c>
      <c r="M956" s="39" t="s">
        <v>140</v>
      </c>
      <c r="N956" s="39" t="s">
        <v>149</v>
      </c>
      <c r="O956" s="43">
        <f t="shared" si="294"/>
        <v>52037.7</v>
      </c>
      <c r="P956" s="43">
        <f t="shared" si="295"/>
        <v>50476.57</v>
      </c>
      <c r="Q956" s="43">
        <f t="shared" si="296"/>
        <v>49925.04</v>
      </c>
      <c r="R956" s="43">
        <f t="shared" si="297"/>
        <v>551.52999999999884</v>
      </c>
      <c r="S956" s="44">
        <f t="shared" si="298"/>
        <v>1.0926455581272634E-2</v>
      </c>
      <c r="T956" s="39" t="str">
        <f t="shared" si="299"/>
        <v>OK</v>
      </c>
      <c r="U956" s="39" t="str">
        <f t="shared" si="300"/>
        <v>0-9%</v>
      </c>
      <c r="V956" s="39" t="str">
        <f>IF(E956&gt;=Analysis!$B$4,"High",IF(E956&gt;=Analysis!$B$5,"Mid","Low"))</f>
        <v>Mid</v>
      </c>
      <c r="W956" s="39" t="str">
        <f t="shared" si="301"/>
        <v>2023-02</v>
      </c>
      <c r="X956" s="40">
        <f t="shared" si="302"/>
        <v>44985</v>
      </c>
      <c r="Y956" s="39" t="str">
        <f t="shared" si="303"/>
        <v>2023-Q1</v>
      </c>
      <c r="Z956" s="39" t="str">
        <f t="shared" si="304"/>
        <v>Fri</v>
      </c>
      <c r="AA956" s="39">
        <f t="shared" si="305"/>
        <v>5</v>
      </c>
      <c r="AB956" s="39">
        <f t="shared" si="306"/>
        <v>9</v>
      </c>
      <c r="AC956" s="39" t="str">
        <f t="shared" si="307"/>
        <v>Weekday</v>
      </c>
      <c r="AD956" s="39">
        <f t="shared" ca="1" si="308"/>
        <v>1338</v>
      </c>
      <c r="AE956" s="39">
        <f t="shared" ca="1" si="309"/>
        <v>44</v>
      </c>
      <c r="AF956" s="39" t="str">
        <f t="shared" si="310"/>
        <v>EVE</v>
      </c>
      <c r="AG956" s="39" t="str">
        <f t="shared" si="311"/>
        <v>WR-230224-0955</v>
      </c>
      <c r="AH956" s="39" t="str">
        <f>IF(AND(OR(Filter!$B$4="All",D956=Filter!$B$4),OR(Filter!$B$5="All",M956=Filter!$B$5),E956&gt;=Filter!$B$6),MAX(AH$1:AH955)+1,"")</f>
        <v/>
      </c>
      <c r="AI956" s="39">
        <f t="shared" si="312"/>
        <v>22</v>
      </c>
      <c r="AJ956" s="42">
        <f t="shared" si="313"/>
        <v>0.03</v>
      </c>
      <c r="AK956" s="41">
        <f t="shared" si="314"/>
        <v>2365.35</v>
      </c>
      <c r="AL956" s="39">
        <f>RANK(E956,$E$2:$E$1001,0)+COUNTIF($E$2:E956,E956)-1</f>
        <v>435</v>
      </c>
    </row>
    <row r="957" spans="1:38" x14ac:dyDescent="0.2">
      <c r="A957" s="39">
        <v>1099</v>
      </c>
      <c r="B957" s="40">
        <v>45164</v>
      </c>
      <c r="C957" s="39" t="s">
        <v>76</v>
      </c>
      <c r="D957" s="39" t="s">
        <v>74</v>
      </c>
      <c r="E957" s="41">
        <v>1934.18</v>
      </c>
      <c r="F957" s="39">
        <v>17</v>
      </c>
      <c r="G957" s="39" t="s">
        <v>70</v>
      </c>
      <c r="H957" s="41">
        <v>2471.73</v>
      </c>
      <c r="I957" s="41">
        <v>2568.73</v>
      </c>
      <c r="J957" s="39" t="s">
        <v>143</v>
      </c>
      <c r="K957" s="42">
        <v>0.05</v>
      </c>
      <c r="L957" s="39" t="s">
        <v>68</v>
      </c>
      <c r="M957" s="39" t="s">
        <v>140</v>
      </c>
      <c r="N957" s="39" t="s">
        <v>154</v>
      </c>
      <c r="O957" s="43">
        <f t="shared" si="294"/>
        <v>43668.41</v>
      </c>
      <c r="P957" s="43">
        <f t="shared" si="295"/>
        <v>41484.99</v>
      </c>
      <c r="Q957" s="43">
        <f t="shared" si="296"/>
        <v>42019.41</v>
      </c>
      <c r="R957" s="43">
        <f t="shared" si="297"/>
        <v>-534.42000000000553</v>
      </c>
      <c r="S957" s="44">
        <f t="shared" si="298"/>
        <v>-1.2882249700433954E-2</v>
      </c>
      <c r="T957" s="39" t="str">
        <f t="shared" si="299"/>
        <v>Loss</v>
      </c>
      <c r="U957" s="39" t="str">
        <f t="shared" si="300"/>
        <v>0-9%</v>
      </c>
      <c r="V957" s="39" t="str">
        <f>IF(E957&gt;=Analysis!$B$4,"High",IF(E957&gt;=Analysis!$B$5,"Mid","Low"))</f>
        <v>Low</v>
      </c>
      <c r="W957" s="39" t="str">
        <f t="shared" si="301"/>
        <v>2023-08</v>
      </c>
      <c r="X957" s="40">
        <f t="shared" si="302"/>
        <v>45169</v>
      </c>
      <c r="Y957" s="39" t="str">
        <f t="shared" si="303"/>
        <v>2023-Q3</v>
      </c>
      <c r="Z957" s="39" t="str">
        <f t="shared" si="304"/>
        <v>Sat</v>
      </c>
      <c r="AA957" s="39">
        <f t="shared" si="305"/>
        <v>6</v>
      </c>
      <c r="AB957" s="39">
        <f t="shared" si="306"/>
        <v>35</v>
      </c>
      <c r="AC957" s="39" t="str">
        <f t="shared" si="307"/>
        <v>Weekend</v>
      </c>
      <c r="AD957" s="39">
        <f t="shared" ca="1" si="308"/>
        <v>1155</v>
      </c>
      <c r="AE957" s="39">
        <f t="shared" ca="1" si="309"/>
        <v>37</v>
      </c>
      <c r="AF957" s="39" t="str">
        <f t="shared" si="310"/>
        <v>DAV</v>
      </c>
      <c r="AG957" s="39" t="str">
        <f t="shared" si="311"/>
        <v>WR-230826-0956</v>
      </c>
      <c r="AH957" s="39" t="str">
        <f>IF(AND(OR(Filter!$B$4="All",D957=Filter!$B$4),OR(Filter!$B$5="All",M957=Filter!$B$5),E957&gt;=Filter!$B$6),MAX(AH$1:AH956)+1,"")</f>
        <v/>
      </c>
      <c r="AI957" s="39">
        <f t="shared" si="312"/>
        <v>17</v>
      </c>
      <c r="AJ957" s="42">
        <f t="shared" si="313"/>
        <v>0.05</v>
      </c>
      <c r="AK957" s="41">
        <f t="shared" si="314"/>
        <v>2568.73</v>
      </c>
      <c r="AL957" s="39">
        <f>RANK(E957,$E$2:$E$1001,0)+COUNTIF($E$2:E957,E957)-1</f>
        <v>826</v>
      </c>
    </row>
    <row r="958" spans="1:38" x14ac:dyDescent="0.2">
      <c r="A958" s="39">
        <v>1052</v>
      </c>
      <c r="B958" s="40">
        <v>45282</v>
      </c>
      <c r="C958" s="39" t="s">
        <v>71</v>
      </c>
      <c r="D958" s="39" t="s">
        <v>74</v>
      </c>
      <c r="E958" s="41">
        <v>2858.57</v>
      </c>
      <c r="F958" s="39">
        <v>18</v>
      </c>
      <c r="G958" s="39" t="s">
        <v>70</v>
      </c>
      <c r="H958" s="41">
        <v>1127.8599999999999</v>
      </c>
      <c r="I958" s="41">
        <v>1586.29</v>
      </c>
      <c r="J958" s="39" t="s">
        <v>143</v>
      </c>
      <c r="K958" s="42">
        <v>0.04</v>
      </c>
      <c r="L958" s="39" t="s">
        <v>73</v>
      </c>
      <c r="M958" s="39" t="s">
        <v>138</v>
      </c>
      <c r="N958" s="39" t="s">
        <v>146</v>
      </c>
      <c r="O958" s="43">
        <f t="shared" si="294"/>
        <v>28553.22</v>
      </c>
      <c r="P958" s="43">
        <f t="shared" si="295"/>
        <v>27411.09</v>
      </c>
      <c r="Q958" s="43">
        <f t="shared" si="296"/>
        <v>20301.48</v>
      </c>
      <c r="R958" s="43">
        <f t="shared" si="297"/>
        <v>7109.6100000000006</v>
      </c>
      <c r="S958" s="44">
        <f t="shared" si="298"/>
        <v>0.2593698389958225</v>
      </c>
      <c r="T958" s="39" t="str">
        <f t="shared" si="299"/>
        <v>OK</v>
      </c>
      <c r="U958" s="39" t="str">
        <f t="shared" si="300"/>
        <v>0-9%</v>
      </c>
      <c r="V958" s="39" t="str">
        <f>IF(E958&gt;=Analysis!$B$4,"High",IF(E958&gt;=Analysis!$B$5,"Mid","Low"))</f>
        <v>Mid</v>
      </c>
      <c r="W958" s="39" t="str">
        <f t="shared" si="301"/>
        <v>2023-12</v>
      </c>
      <c r="X958" s="40">
        <f t="shared" si="302"/>
        <v>45291</v>
      </c>
      <c r="Y958" s="39" t="str">
        <f t="shared" si="303"/>
        <v>2023-Q4</v>
      </c>
      <c r="Z958" s="39" t="str">
        <f t="shared" si="304"/>
        <v>Fri</v>
      </c>
      <c r="AA958" s="39">
        <f t="shared" si="305"/>
        <v>5</v>
      </c>
      <c r="AB958" s="39">
        <f t="shared" si="306"/>
        <v>52</v>
      </c>
      <c r="AC958" s="39" t="str">
        <f t="shared" si="307"/>
        <v>Weekday</v>
      </c>
      <c r="AD958" s="39">
        <f t="shared" ca="1" si="308"/>
        <v>1037</v>
      </c>
      <c r="AE958" s="39">
        <f t="shared" ca="1" si="309"/>
        <v>34</v>
      </c>
      <c r="AF958" s="39" t="str">
        <f t="shared" si="310"/>
        <v>CHA</v>
      </c>
      <c r="AG958" s="39" t="str">
        <f t="shared" si="311"/>
        <v>WO-231222-0957</v>
      </c>
      <c r="AH958" s="39" t="str">
        <f>IF(AND(OR(Filter!$B$4="All",D958=Filter!$B$4),OR(Filter!$B$5="All",M958=Filter!$B$5),E958&gt;=Filter!$B$6),MAX(AH$1:AH957)+1,"")</f>
        <v/>
      </c>
      <c r="AI958" s="39">
        <f t="shared" si="312"/>
        <v>18</v>
      </c>
      <c r="AJ958" s="42">
        <f t="shared" si="313"/>
        <v>0.04</v>
      </c>
      <c r="AK958" s="41">
        <f t="shared" si="314"/>
        <v>1586.29</v>
      </c>
      <c r="AL958" s="39">
        <f>RANK(E958,$E$2:$E$1001,0)+COUNTIF($E$2:E958,E958)-1</f>
        <v>709</v>
      </c>
    </row>
    <row r="959" spans="1:38" x14ac:dyDescent="0.2">
      <c r="A959" s="39">
        <v>1079</v>
      </c>
      <c r="B959" s="40">
        <v>45099</v>
      </c>
      <c r="C959" s="39" t="s">
        <v>79</v>
      </c>
      <c r="D959" s="39" t="s">
        <v>59</v>
      </c>
      <c r="E959" s="41">
        <v>2265.23</v>
      </c>
      <c r="F959" s="39">
        <v>49</v>
      </c>
      <c r="G959" s="39" t="s">
        <v>60</v>
      </c>
      <c r="H959" s="41">
        <v>437.59</v>
      </c>
      <c r="I959" s="41">
        <v>675.54</v>
      </c>
      <c r="J959" s="39" t="s">
        <v>137</v>
      </c>
      <c r="K959" s="42">
        <v>0.1</v>
      </c>
      <c r="L959" s="39" t="s">
        <v>68</v>
      </c>
      <c r="M959" s="39" t="s">
        <v>138</v>
      </c>
      <c r="N959" s="39" t="s">
        <v>155</v>
      </c>
      <c r="O959" s="43">
        <f t="shared" si="294"/>
        <v>33101.46</v>
      </c>
      <c r="P959" s="43">
        <f t="shared" si="295"/>
        <v>29791.31</v>
      </c>
      <c r="Q959" s="43">
        <f t="shared" si="296"/>
        <v>21441.91</v>
      </c>
      <c r="R959" s="43">
        <f t="shared" si="297"/>
        <v>8349.4000000000015</v>
      </c>
      <c r="S959" s="44">
        <f t="shared" si="298"/>
        <v>0.2802629357352866</v>
      </c>
      <c r="T959" s="39" t="str">
        <f t="shared" si="299"/>
        <v>OK</v>
      </c>
      <c r="U959" s="39" t="str">
        <f t="shared" si="300"/>
        <v>10-19%</v>
      </c>
      <c r="V959" s="39" t="str">
        <f>IF(E959&gt;=Analysis!$B$4,"High",IF(E959&gt;=Analysis!$B$5,"Mid","Low"))</f>
        <v>Low</v>
      </c>
      <c r="W959" s="39" t="str">
        <f t="shared" si="301"/>
        <v>2023-06</v>
      </c>
      <c r="X959" s="40">
        <f t="shared" si="302"/>
        <v>45107</v>
      </c>
      <c r="Y959" s="39" t="str">
        <f t="shared" si="303"/>
        <v>2023-Q2</v>
      </c>
      <c r="Z959" s="39" t="str">
        <f t="shared" si="304"/>
        <v>Thu</v>
      </c>
      <c r="AA959" s="39">
        <f t="shared" si="305"/>
        <v>4</v>
      </c>
      <c r="AB959" s="39">
        <f t="shared" si="306"/>
        <v>26</v>
      </c>
      <c r="AC959" s="39" t="str">
        <f t="shared" si="307"/>
        <v>Weekday</v>
      </c>
      <c r="AD959" s="39">
        <f t="shared" ca="1" si="308"/>
        <v>1220</v>
      </c>
      <c r="AE959" s="39">
        <f t="shared" ca="1" si="309"/>
        <v>40</v>
      </c>
      <c r="AF959" s="39" t="str">
        <f t="shared" si="310"/>
        <v>EVE</v>
      </c>
      <c r="AG959" s="39" t="str">
        <f t="shared" si="311"/>
        <v>EO-230622-0958</v>
      </c>
      <c r="AH959" s="39" t="str">
        <f>IF(AND(OR(Filter!$B$4="All",D959=Filter!$B$4),OR(Filter!$B$5="All",M959=Filter!$B$5),E959&gt;=Filter!$B$6),MAX(AH$1:AH958)+1,"")</f>
        <v/>
      </c>
      <c r="AI959" s="39">
        <f t="shared" si="312"/>
        <v>49</v>
      </c>
      <c r="AJ959" s="42">
        <f t="shared" si="313"/>
        <v>0.1</v>
      </c>
      <c r="AK959" s="41">
        <f t="shared" si="314"/>
        <v>675.54</v>
      </c>
      <c r="AL959" s="39">
        <f>RANK(E959,$E$2:$E$1001,0)+COUNTIF($E$2:E959,E959)-1</f>
        <v>784</v>
      </c>
    </row>
    <row r="960" spans="1:38" x14ac:dyDescent="0.2">
      <c r="A960" s="39">
        <v>1047</v>
      </c>
      <c r="B960" s="40">
        <v>45147</v>
      </c>
      <c r="C960" s="39" t="s">
        <v>76</v>
      </c>
      <c r="D960" s="39" t="s">
        <v>64</v>
      </c>
      <c r="E960" s="41">
        <v>1910.09</v>
      </c>
      <c r="F960" s="39">
        <v>41</v>
      </c>
      <c r="G960" s="39" t="s">
        <v>60</v>
      </c>
      <c r="H960" s="41">
        <v>2888.49</v>
      </c>
      <c r="I960" s="41">
        <v>2929.45</v>
      </c>
      <c r="J960" s="39" t="s">
        <v>143</v>
      </c>
      <c r="K960" s="42">
        <v>0.06</v>
      </c>
      <c r="L960" s="39" t="s">
        <v>68</v>
      </c>
      <c r="M960" s="39" t="s">
        <v>140</v>
      </c>
      <c r="N960" s="39" t="s">
        <v>152</v>
      </c>
      <c r="O960" s="43">
        <f t="shared" si="294"/>
        <v>120107.45</v>
      </c>
      <c r="P960" s="43">
        <f t="shared" si="295"/>
        <v>112901</v>
      </c>
      <c r="Q960" s="43">
        <f t="shared" si="296"/>
        <v>118428.09</v>
      </c>
      <c r="R960" s="43">
        <f t="shared" si="297"/>
        <v>-5527.0899999999965</v>
      </c>
      <c r="S960" s="44">
        <f t="shared" si="298"/>
        <v>-4.8955190830904924E-2</v>
      </c>
      <c r="T960" s="39" t="str">
        <f t="shared" si="299"/>
        <v>Loss</v>
      </c>
      <c r="U960" s="39" t="str">
        <f t="shared" si="300"/>
        <v>0-9%</v>
      </c>
      <c r="V960" s="39" t="str">
        <f>IF(E960&gt;=Analysis!$B$4,"High",IF(E960&gt;=Analysis!$B$5,"Mid","Low"))</f>
        <v>Low</v>
      </c>
      <c r="W960" s="39" t="str">
        <f t="shared" si="301"/>
        <v>2023-08</v>
      </c>
      <c r="X960" s="40">
        <f t="shared" si="302"/>
        <v>45169</v>
      </c>
      <c r="Y960" s="39" t="str">
        <f t="shared" si="303"/>
        <v>2023-Q3</v>
      </c>
      <c r="Z960" s="39" t="str">
        <f t="shared" si="304"/>
        <v>Wed</v>
      </c>
      <c r="AA960" s="39">
        <f t="shared" si="305"/>
        <v>3</v>
      </c>
      <c r="AB960" s="39">
        <f t="shared" si="306"/>
        <v>33</v>
      </c>
      <c r="AC960" s="39" t="str">
        <f t="shared" si="307"/>
        <v>Weekday</v>
      </c>
      <c r="AD960" s="39">
        <f t="shared" ca="1" si="308"/>
        <v>1172</v>
      </c>
      <c r="AE960" s="39">
        <f t="shared" ca="1" si="309"/>
        <v>38</v>
      </c>
      <c r="AF960" s="39" t="str">
        <f t="shared" si="310"/>
        <v>DAV</v>
      </c>
      <c r="AG960" s="39" t="str">
        <f t="shared" si="311"/>
        <v>NR-230809-0959</v>
      </c>
      <c r="AH960" s="39" t="str">
        <f>IF(AND(OR(Filter!$B$4="All",D960=Filter!$B$4),OR(Filter!$B$5="All",M960=Filter!$B$5),E960&gt;=Filter!$B$6),MAX(AH$1:AH959)+1,"")</f>
        <v/>
      </c>
      <c r="AI960" s="39">
        <f t="shared" si="312"/>
        <v>41</v>
      </c>
      <c r="AJ960" s="42">
        <f t="shared" si="313"/>
        <v>0.06</v>
      </c>
      <c r="AK960" s="41">
        <f t="shared" si="314"/>
        <v>2929.45</v>
      </c>
      <c r="AL960" s="39">
        <f>RANK(E960,$E$2:$E$1001,0)+COUNTIF($E$2:E960,E960)-1</f>
        <v>828</v>
      </c>
    </row>
    <row r="961" spans="1:38" x14ac:dyDescent="0.2">
      <c r="A961" s="39">
        <v>1056</v>
      </c>
      <c r="B961" s="40">
        <v>45045</v>
      </c>
      <c r="C961" s="39" t="s">
        <v>71</v>
      </c>
      <c r="D961" s="39" t="s">
        <v>64</v>
      </c>
      <c r="E961" s="41">
        <v>8274.5400000000009</v>
      </c>
      <c r="F961" s="39">
        <v>10</v>
      </c>
      <c r="G961" s="39" t="s">
        <v>60</v>
      </c>
      <c r="H961" s="41">
        <v>536.80999999999995</v>
      </c>
      <c r="I961" s="41">
        <v>839.92</v>
      </c>
      <c r="J961" s="39" t="s">
        <v>137</v>
      </c>
      <c r="K961" s="42">
        <v>0.15</v>
      </c>
      <c r="L961" s="39" t="s">
        <v>63</v>
      </c>
      <c r="M961" s="39" t="s">
        <v>138</v>
      </c>
      <c r="N961" s="39" t="s">
        <v>160</v>
      </c>
      <c r="O961" s="43">
        <f t="shared" si="294"/>
        <v>8399.2000000000007</v>
      </c>
      <c r="P961" s="43">
        <f t="shared" si="295"/>
        <v>7139.32</v>
      </c>
      <c r="Q961" s="43">
        <f t="shared" si="296"/>
        <v>5368.1</v>
      </c>
      <c r="R961" s="43">
        <f t="shared" si="297"/>
        <v>1771.2199999999993</v>
      </c>
      <c r="S961" s="44">
        <f t="shared" si="298"/>
        <v>0.24809365597844044</v>
      </c>
      <c r="T961" s="39" t="str">
        <f t="shared" si="299"/>
        <v>OK</v>
      </c>
      <c r="U961" s="39" t="str">
        <f t="shared" si="300"/>
        <v>10-19%</v>
      </c>
      <c r="V961" s="39" t="str">
        <f>IF(E961&gt;=Analysis!$B$4,"High",IF(E961&gt;=Analysis!$B$5,"Mid","Low"))</f>
        <v>High</v>
      </c>
      <c r="W961" s="39" t="str">
        <f t="shared" si="301"/>
        <v>2023-04</v>
      </c>
      <c r="X961" s="40">
        <f t="shared" si="302"/>
        <v>45046</v>
      </c>
      <c r="Y961" s="39" t="str">
        <f t="shared" si="303"/>
        <v>2023-Q2</v>
      </c>
      <c r="Z961" s="39" t="str">
        <f t="shared" si="304"/>
        <v>Sat</v>
      </c>
      <c r="AA961" s="39">
        <f t="shared" si="305"/>
        <v>6</v>
      </c>
      <c r="AB961" s="39">
        <f t="shared" si="306"/>
        <v>18</v>
      </c>
      <c r="AC961" s="39" t="str">
        <f t="shared" si="307"/>
        <v>Weekend</v>
      </c>
      <c r="AD961" s="39">
        <f t="shared" ca="1" si="308"/>
        <v>1274</v>
      </c>
      <c r="AE961" s="39">
        <f t="shared" ca="1" si="309"/>
        <v>41</v>
      </c>
      <c r="AF961" s="39" t="str">
        <f t="shared" si="310"/>
        <v>CHA</v>
      </c>
      <c r="AG961" s="39" t="str">
        <f t="shared" si="311"/>
        <v>NO-230429-0960</v>
      </c>
      <c r="AH961" s="39" t="str">
        <f>IF(AND(OR(Filter!$B$4="All",D961=Filter!$B$4),OR(Filter!$B$5="All",M961=Filter!$B$5),E961&gt;=Filter!$B$6),MAX(AH$1:AH960)+1,"")</f>
        <v/>
      </c>
      <c r="AI961" s="39">
        <f t="shared" si="312"/>
        <v>10</v>
      </c>
      <c r="AJ961" s="42">
        <f t="shared" si="313"/>
        <v>0.15</v>
      </c>
      <c r="AK961" s="41">
        <f t="shared" si="314"/>
        <v>839.92</v>
      </c>
      <c r="AL961" s="39">
        <f>RANK(E961,$E$2:$E$1001,0)+COUNTIF($E$2:E961,E961)-1</f>
        <v>163</v>
      </c>
    </row>
    <row r="962" spans="1:38" x14ac:dyDescent="0.2">
      <c r="A962" s="39">
        <v>1086</v>
      </c>
      <c r="B962" s="40">
        <v>45235</v>
      </c>
      <c r="C962" s="39" t="s">
        <v>61</v>
      </c>
      <c r="D962" s="39" t="s">
        <v>69</v>
      </c>
      <c r="E962" s="41">
        <v>2928.5</v>
      </c>
      <c r="F962" s="39">
        <v>10</v>
      </c>
      <c r="G962" s="39" t="s">
        <v>75</v>
      </c>
      <c r="H962" s="41">
        <v>2273.91</v>
      </c>
      <c r="I962" s="41">
        <v>2578.8000000000002</v>
      </c>
      <c r="J962" s="39" t="s">
        <v>143</v>
      </c>
      <c r="K962" s="42">
        <v>0.14000000000000001</v>
      </c>
      <c r="L962" s="39" t="s">
        <v>68</v>
      </c>
      <c r="M962" s="39" t="s">
        <v>138</v>
      </c>
      <c r="N962" s="39" t="s">
        <v>150</v>
      </c>
      <c r="O962" s="43">
        <f t="shared" ref="O962:O1001" si="315">ROUND(F962*I962,2)</f>
        <v>25788</v>
      </c>
      <c r="P962" s="43">
        <f t="shared" ref="P962:P1001" si="316">ROUND(F962*I962*(1-K962),2)</f>
        <v>22177.68</v>
      </c>
      <c r="Q962" s="43">
        <f t="shared" ref="Q962:Q1001" si="317">ROUND(F962*H962,2)</f>
        <v>22739.1</v>
      </c>
      <c r="R962" s="43">
        <f t="shared" ref="R962:R1025" si="318">P962-Q962</f>
        <v>-561.41999999999825</v>
      </c>
      <c r="S962" s="44">
        <f t="shared" ref="S962:S1025" si="319">IF(P962=0,0,R962/P962)</f>
        <v>-2.531464066575035E-2</v>
      </c>
      <c r="T962" s="39" t="str">
        <f t="shared" ref="T962:T1001" si="320">IF(R962&lt;0,"Loss","OK")</f>
        <v>Loss</v>
      </c>
      <c r="U962" s="39" t="str">
        <f t="shared" ref="U962:U1001" si="321">IF(K962&lt;0.1,"0-9%",IF(K962&lt;0.2,"10-19%","20%+"))</f>
        <v>10-19%</v>
      </c>
      <c r="V962" s="39" t="str">
        <f>IF(E962&gt;=Analysis!$B$4,"High",IF(E962&gt;=Analysis!$B$5,"Mid","Low"))</f>
        <v>Mid</v>
      </c>
      <c r="W962" s="39" t="str">
        <f t="shared" ref="W962:W1001" si="322">TEXT(B962,"yyyy-mm")</f>
        <v>2023-11</v>
      </c>
      <c r="X962" s="40">
        <f t="shared" ref="X962:X1001" si="323">EOMONTH(B962,0)</f>
        <v>45260</v>
      </c>
      <c r="Y962" s="39" t="str">
        <f t="shared" ref="Y962:Y1001" si="324">YEAR(B962)&amp;"-Q"&amp;ROUNDUP(MONTH(B962)/3,0)</f>
        <v>2023-Q4</v>
      </c>
      <c r="Z962" s="39" t="str">
        <f t="shared" ref="Z962:Z1001" si="325">TEXT(B962,"ddd")</f>
        <v>Sun</v>
      </c>
      <c r="AA962" s="39">
        <f t="shared" ref="AA962:AA1001" si="326">WEEKDAY(B962,2)</f>
        <v>7</v>
      </c>
      <c r="AB962" s="39">
        <f t="shared" ref="AB962:AB1001" si="327">WEEKNUM(B962,2)</f>
        <v>45</v>
      </c>
      <c r="AC962" s="39" t="str">
        <f t="shared" ref="AC962:AC1001" si="328">IF(AA962&gt;5,"Weekend","Weekday")</f>
        <v>Weekend</v>
      </c>
      <c r="AD962" s="39">
        <f t="shared" ref="AD962:AD1001" ca="1" si="329">TODAY()-B962</f>
        <v>1084</v>
      </c>
      <c r="AE962" s="39">
        <f t="shared" ref="AE962:AE1001" ca="1" si="330">DATEDIF(B962,TODAY(),"M")</f>
        <v>35</v>
      </c>
      <c r="AF962" s="39" t="str">
        <f t="shared" ref="AF962:AF1001" si="331">UPPER(LEFT(C962,3))</f>
        <v>ALI</v>
      </c>
      <c r="AG962" s="39" t="str">
        <f t="shared" ref="AG962:AG1001" si="332">UPPER(LEFT(D962,1))&amp;UPPER(LEFT(M962,1))&amp;"-"&amp;TEXT(B962,"yymmdd")&amp;"-"&amp;TEXT(ROW()-1,"0000")</f>
        <v>SO-231105-0961</v>
      </c>
      <c r="AH962" s="39" t="str">
        <f>IF(AND(OR(Filter!$B$4="All",D962=Filter!$B$4),OR(Filter!$B$5="All",M962=Filter!$B$5),E962&gt;=Filter!$B$6),MAX(AH$1:AH961)+1,"")</f>
        <v/>
      </c>
      <c r="AI962" s="39">
        <f t="shared" ref="AI962:AI1001" si="333">F962</f>
        <v>10</v>
      </c>
      <c r="AJ962" s="42">
        <f t="shared" ref="AJ962:AJ1001" si="334">K962</f>
        <v>0.14000000000000001</v>
      </c>
      <c r="AK962" s="41">
        <f t="shared" ref="AK962:AK1001" si="335">I962</f>
        <v>2578.8000000000002</v>
      </c>
      <c r="AL962" s="39">
        <f>RANK(E962,$E$2:$E$1001,0)+COUNTIF($E$2:E962,E962)-1</f>
        <v>705</v>
      </c>
    </row>
    <row r="963" spans="1:38" x14ac:dyDescent="0.2">
      <c r="A963" s="39">
        <v>1014</v>
      </c>
      <c r="B963" s="40">
        <v>45109</v>
      </c>
      <c r="C963" s="39" t="s">
        <v>76</v>
      </c>
      <c r="D963" s="39" t="s">
        <v>59</v>
      </c>
      <c r="E963" s="41">
        <v>9278.5300000000007</v>
      </c>
      <c r="F963" s="39">
        <v>7</v>
      </c>
      <c r="G963" s="39" t="s">
        <v>60</v>
      </c>
      <c r="H963" s="41">
        <v>4705.46</v>
      </c>
      <c r="I963" s="41">
        <v>4747.07</v>
      </c>
      <c r="J963" s="39" t="s">
        <v>143</v>
      </c>
      <c r="K963" s="42">
        <v>0.27</v>
      </c>
      <c r="L963" s="39" t="s">
        <v>63</v>
      </c>
      <c r="M963" s="39" t="s">
        <v>140</v>
      </c>
      <c r="N963" s="39" t="s">
        <v>157</v>
      </c>
      <c r="O963" s="43">
        <f t="shared" si="315"/>
        <v>33229.49</v>
      </c>
      <c r="P963" s="43">
        <f t="shared" si="316"/>
        <v>24257.53</v>
      </c>
      <c r="Q963" s="43">
        <f t="shared" si="317"/>
        <v>32938.22</v>
      </c>
      <c r="R963" s="43">
        <f t="shared" si="318"/>
        <v>-8680.6900000000023</v>
      </c>
      <c r="S963" s="44">
        <f t="shared" si="319"/>
        <v>-0.35785547827829145</v>
      </c>
      <c r="T963" s="39" t="str">
        <f t="shared" si="320"/>
        <v>Loss</v>
      </c>
      <c r="U963" s="39" t="str">
        <f t="shared" si="321"/>
        <v>20%+</v>
      </c>
      <c r="V963" s="39" t="str">
        <f>IF(E963&gt;=Analysis!$B$4,"High",IF(E963&gt;=Analysis!$B$5,"Mid","Low"))</f>
        <v>High</v>
      </c>
      <c r="W963" s="39" t="str">
        <f t="shared" si="322"/>
        <v>2023-07</v>
      </c>
      <c r="X963" s="40">
        <f t="shared" si="323"/>
        <v>45138</v>
      </c>
      <c r="Y963" s="39" t="str">
        <f t="shared" si="324"/>
        <v>2023-Q3</v>
      </c>
      <c r="Z963" s="39" t="str">
        <f t="shared" si="325"/>
        <v>Sun</v>
      </c>
      <c r="AA963" s="39">
        <f t="shared" si="326"/>
        <v>7</v>
      </c>
      <c r="AB963" s="39">
        <f t="shared" si="327"/>
        <v>27</v>
      </c>
      <c r="AC963" s="39" t="str">
        <f t="shared" si="328"/>
        <v>Weekend</v>
      </c>
      <c r="AD963" s="39">
        <f t="shared" ca="1" si="329"/>
        <v>1210</v>
      </c>
      <c r="AE963" s="39">
        <f t="shared" ca="1" si="330"/>
        <v>39</v>
      </c>
      <c r="AF963" s="39" t="str">
        <f t="shared" si="331"/>
        <v>DAV</v>
      </c>
      <c r="AG963" s="39" t="str">
        <f t="shared" si="332"/>
        <v>ER-230702-0962</v>
      </c>
      <c r="AH963" s="39">
        <f>IF(AND(OR(Filter!$B$4="All",D963=Filter!$B$4),OR(Filter!$B$5="All",M963=Filter!$B$5),E963&gt;=Filter!$B$6),MAX(AH$1:AH962)+1,"")</f>
        <v>87</v>
      </c>
      <c r="AI963" s="39">
        <f t="shared" si="333"/>
        <v>7</v>
      </c>
      <c r="AJ963" s="42">
        <f t="shared" si="334"/>
        <v>0.27</v>
      </c>
      <c r="AK963" s="41">
        <f t="shared" si="335"/>
        <v>4747.07</v>
      </c>
      <c r="AL963" s="39">
        <f>RANK(E963,$E$2:$E$1001,0)+COUNTIF($E$2:E963,E963)-1</f>
        <v>70</v>
      </c>
    </row>
    <row r="964" spans="1:38" x14ac:dyDescent="0.2">
      <c r="A964" s="39">
        <v>1090</v>
      </c>
      <c r="B964" s="40">
        <v>45214</v>
      </c>
      <c r="C964" s="39" t="s">
        <v>71</v>
      </c>
      <c r="D964" s="39" t="s">
        <v>69</v>
      </c>
      <c r="E964" s="41">
        <v>9702.27</v>
      </c>
      <c r="F964" s="39">
        <v>48</v>
      </c>
      <c r="G964" s="39" t="s">
        <v>65</v>
      </c>
      <c r="H964" s="41">
        <v>4766.53</v>
      </c>
      <c r="I964" s="41">
        <v>5253.07</v>
      </c>
      <c r="J964" s="39" t="s">
        <v>137</v>
      </c>
      <c r="K964" s="42">
        <v>0.01</v>
      </c>
      <c r="L964" s="39" t="s">
        <v>63</v>
      </c>
      <c r="M964" s="39" t="s">
        <v>138</v>
      </c>
      <c r="N964" s="39" t="s">
        <v>151</v>
      </c>
      <c r="O964" s="43">
        <f t="shared" si="315"/>
        <v>252147.36</v>
      </c>
      <c r="P964" s="43">
        <f t="shared" si="316"/>
        <v>249625.89</v>
      </c>
      <c r="Q964" s="43">
        <f t="shared" si="317"/>
        <v>228793.44</v>
      </c>
      <c r="R964" s="43">
        <f t="shared" si="318"/>
        <v>20832.450000000012</v>
      </c>
      <c r="S964" s="44">
        <f t="shared" si="319"/>
        <v>8.3454684928714773E-2</v>
      </c>
      <c r="T964" s="39" t="str">
        <f t="shared" si="320"/>
        <v>OK</v>
      </c>
      <c r="U964" s="39" t="str">
        <f t="shared" si="321"/>
        <v>0-9%</v>
      </c>
      <c r="V964" s="39" t="str">
        <f>IF(E964&gt;=Analysis!$B$4,"High",IF(E964&gt;=Analysis!$B$5,"Mid","Low"))</f>
        <v>High</v>
      </c>
      <c r="W964" s="39" t="str">
        <f t="shared" si="322"/>
        <v>2023-10</v>
      </c>
      <c r="X964" s="40">
        <f t="shared" si="323"/>
        <v>45230</v>
      </c>
      <c r="Y964" s="39" t="str">
        <f t="shared" si="324"/>
        <v>2023-Q4</v>
      </c>
      <c r="Z964" s="39" t="str">
        <f t="shared" si="325"/>
        <v>Sun</v>
      </c>
      <c r="AA964" s="39">
        <f t="shared" si="326"/>
        <v>7</v>
      </c>
      <c r="AB964" s="39">
        <f t="shared" si="327"/>
        <v>42</v>
      </c>
      <c r="AC964" s="39" t="str">
        <f t="shared" si="328"/>
        <v>Weekend</v>
      </c>
      <c r="AD964" s="39">
        <f t="shared" ca="1" si="329"/>
        <v>1105</v>
      </c>
      <c r="AE964" s="39">
        <f t="shared" ca="1" si="330"/>
        <v>36</v>
      </c>
      <c r="AF964" s="39" t="str">
        <f t="shared" si="331"/>
        <v>CHA</v>
      </c>
      <c r="AG964" s="39" t="str">
        <f t="shared" si="332"/>
        <v>SO-231015-0963</v>
      </c>
      <c r="AH964" s="39">
        <f>IF(AND(OR(Filter!$B$4="All",D964=Filter!$B$4),OR(Filter!$B$5="All",M964=Filter!$B$5),E964&gt;=Filter!$B$6),MAX(AH$1:AH963)+1,"")</f>
        <v>88</v>
      </c>
      <c r="AI964" s="39">
        <f t="shared" si="333"/>
        <v>48</v>
      </c>
      <c r="AJ964" s="42">
        <f t="shared" si="334"/>
        <v>0.01</v>
      </c>
      <c r="AK964" s="41">
        <f t="shared" si="335"/>
        <v>5253.07</v>
      </c>
      <c r="AL964" s="39">
        <f>RANK(E964,$E$2:$E$1001,0)+COUNTIF($E$2:E964,E964)-1</f>
        <v>29</v>
      </c>
    </row>
    <row r="965" spans="1:38" x14ac:dyDescent="0.2">
      <c r="A965" s="39">
        <v>1028</v>
      </c>
      <c r="B965" s="40">
        <v>45233</v>
      </c>
      <c r="C965" s="39" t="s">
        <v>61</v>
      </c>
      <c r="D965" s="39" t="s">
        <v>64</v>
      </c>
      <c r="E965" s="41">
        <v>5755.48</v>
      </c>
      <c r="F965" s="39">
        <v>38</v>
      </c>
      <c r="G965" s="39" t="s">
        <v>60</v>
      </c>
      <c r="H965" s="41">
        <v>1234.69</v>
      </c>
      <c r="I965" s="41">
        <v>1511.26</v>
      </c>
      <c r="J965" s="39" t="s">
        <v>143</v>
      </c>
      <c r="K965" s="42">
        <v>0.1</v>
      </c>
      <c r="L965" s="39" t="s">
        <v>63</v>
      </c>
      <c r="M965" s="39" t="s">
        <v>138</v>
      </c>
      <c r="N965" s="39" t="s">
        <v>156</v>
      </c>
      <c r="O965" s="43">
        <f t="shared" si="315"/>
        <v>57427.88</v>
      </c>
      <c r="P965" s="43">
        <f t="shared" si="316"/>
        <v>51685.09</v>
      </c>
      <c r="Q965" s="43">
        <f t="shared" si="317"/>
        <v>46918.22</v>
      </c>
      <c r="R965" s="43">
        <f t="shared" si="318"/>
        <v>4766.8699999999953</v>
      </c>
      <c r="S965" s="44">
        <f t="shared" si="319"/>
        <v>9.2229112883425293E-2</v>
      </c>
      <c r="T965" s="39" t="str">
        <f t="shared" si="320"/>
        <v>OK</v>
      </c>
      <c r="U965" s="39" t="str">
        <f t="shared" si="321"/>
        <v>10-19%</v>
      </c>
      <c r="V965" s="39" t="str">
        <f>IF(E965&gt;=Analysis!$B$4,"High",IF(E965&gt;=Analysis!$B$5,"Mid","Low"))</f>
        <v>Mid</v>
      </c>
      <c r="W965" s="39" t="str">
        <f t="shared" si="322"/>
        <v>2023-11</v>
      </c>
      <c r="X965" s="40">
        <f t="shared" si="323"/>
        <v>45260</v>
      </c>
      <c r="Y965" s="39" t="str">
        <f t="shared" si="324"/>
        <v>2023-Q4</v>
      </c>
      <c r="Z965" s="39" t="str">
        <f t="shared" si="325"/>
        <v>Fri</v>
      </c>
      <c r="AA965" s="39">
        <f t="shared" si="326"/>
        <v>5</v>
      </c>
      <c r="AB965" s="39">
        <f t="shared" si="327"/>
        <v>45</v>
      </c>
      <c r="AC965" s="39" t="str">
        <f t="shared" si="328"/>
        <v>Weekday</v>
      </c>
      <c r="AD965" s="39">
        <f t="shared" ca="1" si="329"/>
        <v>1086</v>
      </c>
      <c r="AE965" s="39">
        <f t="shared" ca="1" si="330"/>
        <v>35</v>
      </c>
      <c r="AF965" s="39" t="str">
        <f t="shared" si="331"/>
        <v>ALI</v>
      </c>
      <c r="AG965" s="39" t="str">
        <f t="shared" si="332"/>
        <v>NO-231103-0964</v>
      </c>
      <c r="AH965" s="39" t="str">
        <f>IF(AND(OR(Filter!$B$4="All",D965=Filter!$B$4),OR(Filter!$B$5="All",M965=Filter!$B$5),E965&gt;=Filter!$B$6),MAX(AH$1:AH964)+1,"")</f>
        <v/>
      </c>
      <c r="AI965" s="39">
        <f t="shared" si="333"/>
        <v>38</v>
      </c>
      <c r="AJ965" s="42">
        <f t="shared" si="334"/>
        <v>0.1</v>
      </c>
      <c r="AK965" s="41">
        <f t="shared" si="335"/>
        <v>1511.26</v>
      </c>
      <c r="AL965" s="39">
        <f>RANK(E965,$E$2:$E$1001,0)+COUNTIF($E$2:E965,E965)-1</f>
        <v>434</v>
      </c>
    </row>
    <row r="966" spans="1:38" x14ac:dyDescent="0.2">
      <c r="A966" s="39">
        <v>1087</v>
      </c>
      <c r="B966" s="40">
        <v>45226</v>
      </c>
      <c r="C966" s="39" t="s">
        <v>79</v>
      </c>
      <c r="D966" s="39" t="s">
        <v>64</v>
      </c>
      <c r="E966" s="41">
        <v>1515.71</v>
      </c>
      <c r="F966" s="39">
        <v>27</v>
      </c>
      <c r="G966" s="39" t="s">
        <v>70</v>
      </c>
      <c r="H966" s="41">
        <v>3139.36</v>
      </c>
      <c r="I966" s="41">
        <v>3423.66</v>
      </c>
      <c r="J966" s="39" t="s">
        <v>143</v>
      </c>
      <c r="K966" s="42">
        <v>0.18</v>
      </c>
      <c r="L966" s="39" t="s">
        <v>73</v>
      </c>
      <c r="M966" s="39" t="s">
        <v>138</v>
      </c>
      <c r="N966" s="39" t="s">
        <v>148</v>
      </c>
      <c r="O966" s="43">
        <f t="shared" si="315"/>
        <v>92438.82</v>
      </c>
      <c r="P966" s="43">
        <f t="shared" si="316"/>
        <v>75799.83</v>
      </c>
      <c r="Q966" s="43">
        <f t="shared" si="317"/>
        <v>84762.72</v>
      </c>
      <c r="R966" s="43">
        <f t="shared" si="318"/>
        <v>-8962.89</v>
      </c>
      <c r="S966" s="44">
        <f t="shared" si="319"/>
        <v>-0.1182441965898868</v>
      </c>
      <c r="T966" s="39" t="str">
        <f t="shared" si="320"/>
        <v>Loss</v>
      </c>
      <c r="U966" s="39" t="str">
        <f t="shared" si="321"/>
        <v>10-19%</v>
      </c>
      <c r="V966" s="39" t="str">
        <f>IF(E966&gt;=Analysis!$B$4,"High",IF(E966&gt;=Analysis!$B$5,"Mid","Low"))</f>
        <v>Low</v>
      </c>
      <c r="W966" s="39" t="str">
        <f t="shared" si="322"/>
        <v>2023-10</v>
      </c>
      <c r="X966" s="40">
        <f t="shared" si="323"/>
        <v>45230</v>
      </c>
      <c r="Y966" s="39" t="str">
        <f t="shared" si="324"/>
        <v>2023-Q4</v>
      </c>
      <c r="Z966" s="39" t="str">
        <f t="shared" si="325"/>
        <v>Fri</v>
      </c>
      <c r="AA966" s="39">
        <f t="shared" si="326"/>
        <v>5</v>
      </c>
      <c r="AB966" s="39">
        <f t="shared" si="327"/>
        <v>44</v>
      </c>
      <c r="AC966" s="39" t="str">
        <f t="shared" si="328"/>
        <v>Weekday</v>
      </c>
      <c r="AD966" s="39">
        <f t="shared" ca="1" si="329"/>
        <v>1093</v>
      </c>
      <c r="AE966" s="39">
        <f t="shared" ca="1" si="330"/>
        <v>35</v>
      </c>
      <c r="AF966" s="39" t="str">
        <f t="shared" si="331"/>
        <v>EVE</v>
      </c>
      <c r="AG966" s="39" t="str">
        <f t="shared" si="332"/>
        <v>NO-231027-0965</v>
      </c>
      <c r="AH966" s="39" t="str">
        <f>IF(AND(OR(Filter!$B$4="All",D966=Filter!$B$4),OR(Filter!$B$5="All",M966=Filter!$B$5),E966&gt;=Filter!$B$6),MAX(AH$1:AH965)+1,"")</f>
        <v/>
      </c>
      <c r="AI966" s="39">
        <f t="shared" si="333"/>
        <v>27</v>
      </c>
      <c r="AJ966" s="42">
        <f t="shared" si="334"/>
        <v>0.18</v>
      </c>
      <c r="AK966" s="41">
        <f t="shared" si="335"/>
        <v>3423.66</v>
      </c>
      <c r="AL966" s="39">
        <f>RANK(E966,$E$2:$E$1001,0)+COUNTIF($E$2:E966,E966)-1</f>
        <v>867</v>
      </c>
    </row>
    <row r="967" spans="1:38" x14ac:dyDescent="0.2">
      <c r="A967" s="39">
        <v>1078</v>
      </c>
      <c r="B967" s="40">
        <v>45008</v>
      </c>
      <c r="C967" s="39" t="s">
        <v>79</v>
      </c>
      <c r="D967" s="39" t="s">
        <v>74</v>
      </c>
      <c r="E967" s="41">
        <v>3808.03</v>
      </c>
      <c r="F967" s="39">
        <v>33</v>
      </c>
      <c r="G967" s="39" t="s">
        <v>60</v>
      </c>
      <c r="H967" s="41">
        <v>2396.6799999999998</v>
      </c>
      <c r="I967" s="41">
        <v>2661.54</v>
      </c>
      <c r="J967" s="39" t="s">
        <v>143</v>
      </c>
      <c r="K967" s="42">
        <v>0.18</v>
      </c>
      <c r="L967" s="39" t="s">
        <v>63</v>
      </c>
      <c r="M967" s="39" t="s">
        <v>138</v>
      </c>
      <c r="N967" s="39" t="s">
        <v>149</v>
      </c>
      <c r="O967" s="43">
        <f t="shared" si="315"/>
        <v>87830.82</v>
      </c>
      <c r="P967" s="43">
        <f t="shared" si="316"/>
        <v>72021.27</v>
      </c>
      <c r="Q967" s="43">
        <f t="shared" si="317"/>
        <v>79090.44</v>
      </c>
      <c r="R967" s="43">
        <f t="shared" si="318"/>
        <v>-7069.1699999999983</v>
      </c>
      <c r="S967" s="44">
        <f t="shared" si="319"/>
        <v>-9.8153920362692826E-2</v>
      </c>
      <c r="T967" s="39" t="str">
        <f t="shared" si="320"/>
        <v>Loss</v>
      </c>
      <c r="U967" s="39" t="str">
        <f t="shared" si="321"/>
        <v>10-19%</v>
      </c>
      <c r="V967" s="39" t="str">
        <f>IF(E967&gt;=Analysis!$B$4,"High",IF(E967&gt;=Analysis!$B$5,"Mid","Low"))</f>
        <v>Mid</v>
      </c>
      <c r="W967" s="39" t="str">
        <f t="shared" si="322"/>
        <v>2023-03</v>
      </c>
      <c r="X967" s="40">
        <f t="shared" si="323"/>
        <v>45016</v>
      </c>
      <c r="Y967" s="39" t="str">
        <f t="shared" si="324"/>
        <v>2023-Q1</v>
      </c>
      <c r="Z967" s="39" t="str">
        <f t="shared" si="325"/>
        <v>Thu</v>
      </c>
      <c r="AA967" s="39">
        <f t="shared" si="326"/>
        <v>4</v>
      </c>
      <c r="AB967" s="39">
        <f t="shared" si="327"/>
        <v>13</v>
      </c>
      <c r="AC967" s="39" t="str">
        <f t="shared" si="328"/>
        <v>Weekday</v>
      </c>
      <c r="AD967" s="39">
        <f t="shared" ca="1" si="329"/>
        <v>1311</v>
      </c>
      <c r="AE967" s="39">
        <f t="shared" ca="1" si="330"/>
        <v>43</v>
      </c>
      <c r="AF967" s="39" t="str">
        <f t="shared" si="331"/>
        <v>EVE</v>
      </c>
      <c r="AG967" s="39" t="str">
        <f t="shared" si="332"/>
        <v>WO-230323-0966</v>
      </c>
      <c r="AH967" s="39" t="str">
        <f>IF(AND(OR(Filter!$B$4="All",D967=Filter!$B$4),OR(Filter!$B$5="All",M967=Filter!$B$5),E967&gt;=Filter!$B$6),MAX(AH$1:AH966)+1,"")</f>
        <v/>
      </c>
      <c r="AI967" s="39">
        <f t="shared" si="333"/>
        <v>33</v>
      </c>
      <c r="AJ967" s="42">
        <f t="shared" si="334"/>
        <v>0.18</v>
      </c>
      <c r="AK967" s="41">
        <f t="shared" si="335"/>
        <v>2661.54</v>
      </c>
      <c r="AL967" s="39">
        <f>RANK(E967,$E$2:$E$1001,0)+COUNTIF($E$2:E967,E967)-1</f>
        <v>612</v>
      </c>
    </row>
    <row r="968" spans="1:38" x14ac:dyDescent="0.2">
      <c r="A968" s="39">
        <v>1088</v>
      </c>
      <c r="B968" s="40">
        <v>45137</v>
      </c>
      <c r="C968" s="39" t="s">
        <v>79</v>
      </c>
      <c r="D968" s="39" t="s">
        <v>59</v>
      </c>
      <c r="E968" s="41">
        <v>7997.55</v>
      </c>
      <c r="F968" s="39">
        <v>1</v>
      </c>
      <c r="G968" s="39" t="s">
        <v>75</v>
      </c>
      <c r="H968" s="41">
        <v>4384.6400000000003</v>
      </c>
      <c r="I968" s="41">
        <v>4693.8999999999996</v>
      </c>
      <c r="J968" s="39" t="s">
        <v>143</v>
      </c>
      <c r="K968" s="42">
        <v>0.14000000000000001</v>
      </c>
      <c r="L968" s="39" t="s">
        <v>68</v>
      </c>
      <c r="M968" s="39" t="s">
        <v>140</v>
      </c>
      <c r="N968" s="39" t="s">
        <v>155</v>
      </c>
      <c r="O968" s="43">
        <f t="shared" si="315"/>
        <v>4693.8999999999996</v>
      </c>
      <c r="P968" s="43">
        <f t="shared" si="316"/>
        <v>4036.75</v>
      </c>
      <c r="Q968" s="43">
        <f t="shared" si="317"/>
        <v>4384.6400000000003</v>
      </c>
      <c r="R968" s="43">
        <f t="shared" si="318"/>
        <v>-347.89000000000033</v>
      </c>
      <c r="S968" s="44">
        <f t="shared" si="319"/>
        <v>-8.618071468384228E-2</v>
      </c>
      <c r="T968" s="39" t="str">
        <f t="shared" si="320"/>
        <v>Loss</v>
      </c>
      <c r="U968" s="39" t="str">
        <f t="shared" si="321"/>
        <v>10-19%</v>
      </c>
      <c r="V968" s="39" t="str">
        <f>IF(E968&gt;=Analysis!$B$4,"High",IF(E968&gt;=Analysis!$B$5,"Mid","Low"))</f>
        <v>High</v>
      </c>
      <c r="W968" s="39" t="str">
        <f t="shared" si="322"/>
        <v>2023-07</v>
      </c>
      <c r="X968" s="40">
        <f t="shared" si="323"/>
        <v>45138</v>
      </c>
      <c r="Y968" s="39" t="str">
        <f t="shared" si="324"/>
        <v>2023-Q3</v>
      </c>
      <c r="Z968" s="39" t="str">
        <f t="shared" si="325"/>
        <v>Sun</v>
      </c>
      <c r="AA968" s="39">
        <f t="shared" si="326"/>
        <v>7</v>
      </c>
      <c r="AB968" s="39">
        <f t="shared" si="327"/>
        <v>31</v>
      </c>
      <c r="AC968" s="39" t="str">
        <f t="shared" si="328"/>
        <v>Weekend</v>
      </c>
      <c r="AD968" s="39">
        <f t="shared" ca="1" si="329"/>
        <v>1182</v>
      </c>
      <c r="AE968" s="39">
        <f t="shared" ca="1" si="330"/>
        <v>38</v>
      </c>
      <c r="AF968" s="39" t="str">
        <f t="shared" si="331"/>
        <v>EVE</v>
      </c>
      <c r="AG968" s="39" t="str">
        <f t="shared" si="332"/>
        <v>ER-230730-0967</v>
      </c>
      <c r="AH968" s="39" t="str">
        <f>IF(AND(OR(Filter!$B$4="All",D968=Filter!$B$4),OR(Filter!$B$5="All",M968=Filter!$B$5),E968&gt;=Filter!$B$6),MAX(AH$1:AH967)+1,"")</f>
        <v/>
      </c>
      <c r="AI968" s="39">
        <f t="shared" si="333"/>
        <v>1</v>
      </c>
      <c r="AJ968" s="42">
        <f t="shared" si="334"/>
        <v>0.14000000000000001</v>
      </c>
      <c r="AK968" s="41">
        <f t="shared" si="335"/>
        <v>4693.8999999999996</v>
      </c>
      <c r="AL968" s="39">
        <f>RANK(E968,$E$2:$E$1001,0)+COUNTIF($E$2:E968,E968)-1</f>
        <v>195</v>
      </c>
    </row>
    <row r="969" spans="1:38" x14ac:dyDescent="0.2">
      <c r="A969" s="39">
        <v>1002</v>
      </c>
      <c r="B969" s="40">
        <v>45076</v>
      </c>
      <c r="C969" s="39" t="s">
        <v>79</v>
      </c>
      <c r="D969" s="39" t="s">
        <v>64</v>
      </c>
      <c r="E969" s="41">
        <v>3737.17</v>
      </c>
      <c r="F969" s="39">
        <v>44</v>
      </c>
      <c r="G969" s="39" t="s">
        <v>75</v>
      </c>
      <c r="H969" s="41">
        <v>1393.58</v>
      </c>
      <c r="I969" s="41">
        <v>1533.09</v>
      </c>
      <c r="J969" s="39" t="s">
        <v>137</v>
      </c>
      <c r="K969" s="42">
        <v>0.24</v>
      </c>
      <c r="L969" s="39" t="s">
        <v>73</v>
      </c>
      <c r="M969" s="39" t="s">
        <v>140</v>
      </c>
      <c r="N969" s="39" t="s">
        <v>148</v>
      </c>
      <c r="O969" s="43">
        <f t="shared" si="315"/>
        <v>67455.960000000006</v>
      </c>
      <c r="P969" s="43">
        <f t="shared" si="316"/>
        <v>51266.53</v>
      </c>
      <c r="Q969" s="43">
        <f t="shared" si="317"/>
        <v>61317.52</v>
      </c>
      <c r="R969" s="43">
        <f t="shared" si="318"/>
        <v>-10050.989999999998</v>
      </c>
      <c r="S969" s="44">
        <f t="shared" si="319"/>
        <v>-0.19605364357603292</v>
      </c>
      <c r="T969" s="39" t="str">
        <f t="shared" si="320"/>
        <v>Loss</v>
      </c>
      <c r="U969" s="39" t="str">
        <f t="shared" si="321"/>
        <v>20%+</v>
      </c>
      <c r="V969" s="39" t="str">
        <f>IF(E969&gt;=Analysis!$B$4,"High",IF(E969&gt;=Analysis!$B$5,"Mid","Low"))</f>
        <v>Mid</v>
      </c>
      <c r="W969" s="39" t="str">
        <f t="shared" si="322"/>
        <v>2023-05</v>
      </c>
      <c r="X969" s="40">
        <f t="shared" si="323"/>
        <v>45077</v>
      </c>
      <c r="Y969" s="39" t="str">
        <f t="shared" si="324"/>
        <v>2023-Q2</v>
      </c>
      <c r="Z969" s="39" t="str">
        <f t="shared" si="325"/>
        <v>Tue</v>
      </c>
      <c r="AA969" s="39">
        <f t="shared" si="326"/>
        <v>2</v>
      </c>
      <c r="AB969" s="39">
        <f t="shared" si="327"/>
        <v>23</v>
      </c>
      <c r="AC969" s="39" t="str">
        <f t="shared" si="328"/>
        <v>Weekday</v>
      </c>
      <c r="AD969" s="39">
        <f t="shared" ca="1" si="329"/>
        <v>1243</v>
      </c>
      <c r="AE969" s="39">
        <f t="shared" ca="1" si="330"/>
        <v>40</v>
      </c>
      <c r="AF969" s="39" t="str">
        <f t="shared" si="331"/>
        <v>EVE</v>
      </c>
      <c r="AG969" s="39" t="str">
        <f t="shared" si="332"/>
        <v>NR-230530-0968</v>
      </c>
      <c r="AH969" s="39" t="str">
        <f>IF(AND(OR(Filter!$B$4="All",D969=Filter!$B$4),OR(Filter!$B$5="All",M969=Filter!$B$5),E969&gt;=Filter!$B$6),MAX(AH$1:AH968)+1,"")</f>
        <v/>
      </c>
      <c r="AI969" s="39">
        <f t="shared" si="333"/>
        <v>44</v>
      </c>
      <c r="AJ969" s="42">
        <f t="shared" si="334"/>
        <v>0.24</v>
      </c>
      <c r="AK969" s="41">
        <f t="shared" si="335"/>
        <v>1533.09</v>
      </c>
      <c r="AL969" s="39">
        <f>RANK(E969,$E$2:$E$1001,0)+COUNTIF($E$2:E969,E969)-1</f>
        <v>629</v>
      </c>
    </row>
    <row r="970" spans="1:38" x14ac:dyDescent="0.2">
      <c r="A970" s="39">
        <v>1026</v>
      </c>
      <c r="B970" s="40">
        <v>44963</v>
      </c>
      <c r="C970" s="39" t="s">
        <v>66</v>
      </c>
      <c r="D970" s="39" t="s">
        <v>74</v>
      </c>
      <c r="E970" s="41">
        <v>961.47</v>
      </c>
      <c r="F970" s="39">
        <v>34</v>
      </c>
      <c r="G970" s="39" t="s">
        <v>65</v>
      </c>
      <c r="H970" s="41">
        <v>68.33</v>
      </c>
      <c r="I970" s="41">
        <v>219.08</v>
      </c>
      <c r="J970" s="39" t="s">
        <v>143</v>
      </c>
      <c r="K970" s="42">
        <v>0.02</v>
      </c>
      <c r="L970" s="39" t="s">
        <v>73</v>
      </c>
      <c r="M970" s="39" t="s">
        <v>138</v>
      </c>
      <c r="N970" s="39" t="s">
        <v>141</v>
      </c>
      <c r="O970" s="43">
        <f t="shared" si="315"/>
        <v>7448.72</v>
      </c>
      <c r="P970" s="43">
        <f t="shared" si="316"/>
        <v>7299.75</v>
      </c>
      <c r="Q970" s="43">
        <f t="shared" si="317"/>
        <v>2323.2199999999998</v>
      </c>
      <c r="R970" s="43">
        <f t="shared" si="318"/>
        <v>4976.5300000000007</v>
      </c>
      <c r="S970" s="44">
        <f t="shared" si="319"/>
        <v>0.68173978560909632</v>
      </c>
      <c r="T970" s="39" t="str">
        <f t="shared" si="320"/>
        <v>OK</v>
      </c>
      <c r="U970" s="39" t="str">
        <f t="shared" si="321"/>
        <v>0-9%</v>
      </c>
      <c r="V970" s="39" t="str">
        <f>IF(E970&gt;=Analysis!$B$4,"High",IF(E970&gt;=Analysis!$B$5,"Mid","Low"))</f>
        <v>Low</v>
      </c>
      <c r="W970" s="39" t="str">
        <f t="shared" si="322"/>
        <v>2023-02</v>
      </c>
      <c r="X970" s="40">
        <f t="shared" si="323"/>
        <v>44985</v>
      </c>
      <c r="Y970" s="39" t="str">
        <f t="shared" si="324"/>
        <v>2023-Q1</v>
      </c>
      <c r="Z970" s="39" t="str">
        <f t="shared" si="325"/>
        <v>Mon</v>
      </c>
      <c r="AA970" s="39">
        <f t="shared" si="326"/>
        <v>1</v>
      </c>
      <c r="AB970" s="39">
        <f t="shared" si="327"/>
        <v>7</v>
      </c>
      <c r="AC970" s="39" t="str">
        <f t="shared" si="328"/>
        <v>Weekday</v>
      </c>
      <c r="AD970" s="39">
        <f t="shared" ca="1" si="329"/>
        <v>1356</v>
      </c>
      <c r="AE970" s="39">
        <f t="shared" ca="1" si="330"/>
        <v>44</v>
      </c>
      <c r="AF970" s="39" t="str">
        <f t="shared" si="331"/>
        <v>BOB</v>
      </c>
      <c r="AG970" s="39" t="str">
        <f t="shared" si="332"/>
        <v>WO-230206-0969</v>
      </c>
      <c r="AH970" s="39" t="str">
        <f>IF(AND(OR(Filter!$B$4="All",D970=Filter!$B$4),OR(Filter!$B$5="All",M970=Filter!$B$5),E970&gt;=Filter!$B$6),MAX(AH$1:AH969)+1,"")</f>
        <v/>
      </c>
      <c r="AI970" s="39">
        <f t="shared" si="333"/>
        <v>34</v>
      </c>
      <c r="AJ970" s="42">
        <f t="shared" si="334"/>
        <v>0.02</v>
      </c>
      <c r="AK970" s="41">
        <f t="shared" si="335"/>
        <v>219.08</v>
      </c>
      <c r="AL970" s="39">
        <f>RANK(E970,$E$2:$E$1001,0)+COUNTIF($E$2:E970,E970)-1</f>
        <v>906</v>
      </c>
    </row>
    <row r="971" spans="1:38" x14ac:dyDescent="0.2">
      <c r="A971" s="39">
        <v>1014</v>
      </c>
      <c r="B971" s="40">
        <v>45278</v>
      </c>
      <c r="C971" s="39" t="s">
        <v>76</v>
      </c>
      <c r="D971" s="39" t="s">
        <v>59</v>
      </c>
      <c r="E971" s="41">
        <v>5612.17</v>
      </c>
      <c r="F971" s="39">
        <v>4</v>
      </c>
      <c r="G971" s="39" t="s">
        <v>75</v>
      </c>
      <c r="H971" s="41">
        <v>854.68</v>
      </c>
      <c r="I971" s="41">
        <v>1115.24</v>
      </c>
      <c r="J971" s="39" t="s">
        <v>143</v>
      </c>
      <c r="K971" s="42">
        <v>0.24</v>
      </c>
      <c r="L971" s="39" t="s">
        <v>73</v>
      </c>
      <c r="M971" s="39" t="s">
        <v>140</v>
      </c>
      <c r="N971" s="39" t="s">
        <v>157</v>
      </c>
      <c r="O971" s="43">
        <f t="shared" si="315"/>
        <v>4460.96</v>
      </c>
      <c r="P971" s="43">
        <f t="shared" si="316"/>
        <v>3390.33</v>
      </c>
      <c r="Q971" s="43">
        <f t="shared" si="317"/>
        <v>3418.72</v>
      </c>
      <c r="R971" s="43">
        <f t="shared" si="318"/>
        <v>-28.389999999999873</v>
      </c>
      <c r="S971" s="44">
        <f t="shared" si="319"/>
        <v>-8.3738161181949461E-3</v>
      </c>
      <c r="T971" s="39" t="str">
        <f t="shared" si="320"/>
        <v>Loss</v>
      </c>
      <c r="U971" s="39" t="str">
        <f t="shared" si="321"/>
        <v>20%+</v>
      </c>
      <c r="V971" s="39" t="str">
        <f>IF(E971&gt;=Analysis!$B$4,"High",IF(E971&gt;=Analysis!$B$5,"Mid","Low"))</f>
        <v>Mid</v>
      </c>
      <c r="W971" s="39" t="str">
        <f t="shared" si="322"/>
        <v>2023-12</v>
      </c>
      <c r="X971" s="40">
        <f t="shared" si="323"/>
        <v>45291</v>
      </c>
      <c r="Y971" s="39" t="str">
        <f t="shared" si="324"/>
        <v>2023-Q4</v>
      </c>
      <c r="Z971" s="39" t="str">
        <f t="shared" si="325"/>
        <v>Mon</v>
      </c>
      <c r="AA971" s="39">
        <f t="shared" si="326"/>
        <v>1</v>
      </c>
      <c r="AB971" s="39">
        <f t="shared" si="327"/>
        <v>52</v>
      </c>
      <c r="AC971" s="39" t="str">
        <f t="shared" si="328"/>
        <v>Weekday</v>
      </c>
      <c r="AD971" s="39">
        <f t="shared" ca="1" si="329"/>
        <v>1041</v>
      </c>
      <c r="AE971" s="39">
        <f t="shared" ca="1" si="330"/>
        <v>34</v>
      </c>
      <c r="AF971" s="39" t="str">
        <f t="shared" si="331"/>
        <v>DAV</v>
      </c>
      <c r="AG971" s="39" t="str">
        <f t="shared" si="332"/>
        <v>ER-231218-0970</v>
      </c>
      <c r="AH971" s="39" t="str">
        <f>IF(AND(OR(Filter!$B$4="All",D971=Filter!$B$4),OR(Filter!$B$5="All",M971=Filter!$B$5),E971&gt;=Filter!$B$6),MAX(AH$1:AH970)+1,"")</f>
        <v/>
      </c>
      <c r="AI971" s="39">
        <f t="shared" si="333"/>
        <v>4</v>
      </c>
      <c r="AJ971" s="42">
        <f t="shared" si="334"/>
        <v>0.24</v>
      </c>
      <c r="AK971" s="41">
        <f t="shared" si="335"/>
        <v>1115.24</v>
      </c>
      <c r="AL971" s="39">
        <f>RANK(E971,$E$2:$E$1001,0)+COUNTIF($E$2:E971,E971)-1</f>
        <v>448</v>
      </c>
    </row>
    <row r="972" spans="1:38" x14ac:dyDescent="0.2">
      <c r="A972" s="39">
        <v>1059</v>
      </c>
      <c r="B972" s="40">
        <v>45238</v>
      </c>
      <c r="C972" s="39" t="s">
        <v>76</v>
      </c>
      <c r="D972" s="39" t="s">
        <v>69</v>
      </c>
      <c r="E972" s="41">
        <v>8466.7000000000007</v>
      </c>
      <c r="F972" s="39">
        <v>17</v>
      </c>
      <c r="G972" s="39" t="s">
        <v>60</v>
      </c>
      <c r="H972" s="41">
        <v>1780.14</v>
      </c>
      <c r="I972" s="41">
        <v>2185.42</v>
      </c>
      <c r="J972" s="39" t="s">
        <v>137</v>
      </c>
      <c r="K972" s="42">
        <v>0.15</v>
      </c>
      <c r="L972" s="39" t="s">
        <v>73</v>
      </c>
      <c r="M972" s="39" t="s">
        <v>140</v>
      </c>
      <c r="N972" s="39" t="s">
        <v>142</v>
      </c>
      <c r="O972" s="43">
        <f t="shared" si="315"/>
        <v>37152.14</v>
      </c>
      <c r="P972" s="43">
        <f t="shared" si="316"/>
        <v>31579.32</v>
      </c>
      <c r="Q972" s="43">
        <f t="shared" si="317"/>
        <v>30262.38</v>
      </c>
      <c r="R972" s="43">
        <f t="shared" si="318"/>
        <v>1316.9399999999987</v>
      </c>
      <c r="S972" s="44">
        <f t="shared" si="319"/>
        <v>4.1702607909226627E-2</v>
      </c>
      <c r="T972" s="39" t="str">
        <f t="shared" si="320"/>
        <v>OK</v>
      </c>
      <c r="U972" s="39" t="str">
        <f t="shared" si="321"/>
        <v>10-19%</v>
      </c>
      <c r="V972" s="39" t="str">
        <f>IF(E972&gt;=Analysis!$B$4,"High",IF(E972&gt;=Analysis!$B$5,"Mid","Low"))</f>
        <v>High</v>
      </c>
      <c r="W972" s="39" t="str">
        <f t="shared" si="322"/>
        <v>2023-11</v>
      </c>
      <c r="X972" s="40">
        <f t="shared" si="323"/>
        <v>45260</v>
      </c>
      <c r="Y972" s="39" t="str">
        <f t="shared" si="324"/>
        <v>2023-Q4</v>
      </c>
      <c r="Z972" s="39" t="str">
        <f t="shared" si="325"/>
        <v>Wed</v>
      </c>
      <c r="AA972" s="39">
        <f t="shared" si="326"/>
        <v>3</v>
      </c>
      <c r="AB972" s="39">
        <f t="shared" si="327"/>
        <v>46</v>
      </c>
      <c r="AC972" s="39" t="str">
        <f t="shared" si="328"/>
        <v>Weekday</v>
      </c>
      <c r="AD972" s="39">
        <f t="shared" ca="1" si="329"/>
        <v>1081</v>
      </c>
      <c r="AE972" s="39">
        <f t="shared" ca="1" si="330"/>
        <v>35</v>
      </c>
      <c r="AF972" s="39" t="str">
        <f t="shared" si="331"/>
        <v>DAV</v>
      </c>
      <c r="AG972" s="39" t="str">
        <f t="shared" si="332"/>
        <v>SR-231108-0971</v>
      </c>
      <c r="AH972" s="39" t="str">
        <f>IF(AND(OR(Filter!$B$4="All",D972=Filter!$B$4),OR(Filter!$B$5="All",M972=Filter!$B$5),E972&gt;=Filter!$B$6),MAX(AH$1:AH971)+1,"")</f>
        <v/>
      </c>
      <c r="AI972" s="39">
        <f t="shared" si="333"/>
        <v>17</v>
      </c>
      <c r="AJ972" s="42">
        <f t="shared" si="334"/>
        <v>0.15</v>
      </c>
      <c r="AK972" s="41">
        <f t="shared" si="335"/>
        <v>2185.42</v>
      </c>
      <c r="AL972" s="39">
        <f>RANK(E972,$E$2:$E$1001,0)+COUNTIF($E$2:E972,E972)-1</f>
        <v>144</v>
      </c>
    </row>
    <row r="973" spans="1:38" x14ac:dyDescent="0.2">
      <c r="A973" s="39">
        <v>1056</v>
      </c>
      <c r="B973" s="40">
        <v>45287</v>
      </c>
      <c r="C973" s="39" t="s">
        <v>66</v>
      </c>
      <c r="D973" s="39" t="s">
        <v>59</v>
      </c>
      <c r="E973" s="41">
        <v>7979.67</v>
      </c>
      <c r="F973" s="39">
        <v>4</v>
      </c>
      <c r="G973" s="39" t="s">
        <v>70</v>
      </c>
      <c r="H973" s="41">
        <v>1612.82</v>
      </c>
      <c r="I973" s="41">
        <v>1647.25</v>
      </c>
      <c r="J973" s="39" t="s">
        <v>137</v>
      </c>
      <c r="K973" s="42">
        <v>0.04</v>
      </c>
      <c r="L973" s="39" t="s">
        <v>73</v>
      </c>
      <c r="M973" s="39" t="s">
        <v>140</v>
      </c>
      <c r="N973" s="39" t="s">
        <v>153</v>
      </c>
      <c r="O973" s="43">
        <f t="shared" si="315"/>
        <v>6589</v>
      </c>
      <c r="P973" s="43">
        <f t="shared" si="316"/>
        <v>6325.44</v>
      </c>
      <c r="Q973" s="43">
        <f t="shared" si="317"/>
        <v>6451.28</v>
      </c>
      <c r="R973" s="43">
        <f t="shared" si="318"/>
        <v>-125.84000000000015</v>
      </c>
      <c r="S973" s="44">
        <f t="shared" si="319"/>
        <v>-1.9894268224819166E-2</v>
      </c>
      <c r="T973" s="39" t="str">
        <f t="shared" si="320"/>
        <v>Loss</v>
      </c>
      <c r="U973" s="39" t="str">
        <f t="shared" si="321"/>
        <v>0-9%</v>
      </c>
      <c r="V973" s="39" t="str">
        <f>IF(E973&gt;=Analysis!$B$4,"High",IF(E973&gt;=Analysis!$B$5,"Mid","Low"))</f>
        <v>High</v>
      </c>
      <c r="W973" s="39" t="str">
        <f t="shared" si="322"/>
        <v>2023-12</v>
      </c>
      <c r="X973" s="40">
        <f t="shared" si="323"/>
        <v>45291</v>
      </c>
      <c r="Y973" s="39" t="str">
        <f t="shared" si="324"/>
        <v>2023-Q4</v>
      </c>
      <c r="Z973" s="39" t="str">
        <f t="shared" si="325"/>
        <v>Wed</v>
      </c>
      <c r="AA973" s="39">
        <f t="shared" si="326"/>
        <v>3</v>
      </c>
      <c r="AB973" s="39">
        <f t="shared" si="327"/>
        <v>53</v>
      </c>
      <c r="AC973" s="39" t="str">
        <f t="shared" si="328"/>
        <v>Weekday</v>
      </c>
      <c r="AD973" s="39">
        <f t="shared" ca="1" si="329"/>
        <v>1032</v>
      </c>
      <c r="AE973" s="39">
        <f t="shared" ca="1" si="330"/>
        <v>33</v>
      </c>
      <c r="AF973" s="39" t="str">
        <f t="shared" si="331"/>
        <v>BOB</v>
      </c>
      <c r="AG973" s="39" t="str">
        <f t="shared" si="332"/>
        <v>ER-231227-0972</v>
      </c>
      <c r="AH973" s="39" t="str">
        <f>IF(AND(OR(Filter!$B$4="All",D973=Filter!$B$4),OR(Filter!$B$5="All",M973=Filter!$B$5),E973&gt;=Filter!$B$6),MAX(AH$1:AH972)+1,"")</f>
        <v/>
      </c>
      <c r="AI973" s="39">
        <f t="shared" si="333"/>
        <v>4</v>
      </c>
      <c r="AJ973" s="42">
        <f t="shared" si="334"/>
        <v>0.04</v>
      </c>
      <c r="AK973" s="41">
        <f t="shared" si="335"/>
        <v>1647.25</v>
      </c>
      <c r="AL973" s="39">
        <f>RANK(E973,$E$2:$E$1001,0)+COUNTIF($E$2:E973,E973)-1</f>
        <v>198</v>
      </c>
    </row>
    <row r="974" spans="1:38" x14ac:dyDescent="0.2">
      <c r="A974" s="39">
        <v>1007</v>
      </c>
      <c r="B974" s="40">
        <v>44985</v>
      </c>
      <c r="C974" s="39" t="s">
        <v>71</v>
      </c>
      <c r="D974" s="39" t="s">
        <v>59</v>
      </c>
      <c r="E974" s="41">
        <v>1833.72</v>
      </c>
      <c r="F974" s="39">
        <v>43</v>
      </c>
      <c r="G974" s="39" t="s">
        <v>75</v>
      </c>
      <c r="H974" s="41">
        <v>3967.25</v>
      </c>
      <c r="I974" s="41">
        <v>4272.92</v>
      </c>
      <c r="J974" s="39" t="s">
        <v>143</v>
      </c>
      <c r="K974" s="42">
        <v>0.27</v>
      </c>
      <c r="L974" s="39" t="s">
        <v>73</v>
      </c>
      <c r="M974" s="39" t="s">
        <v>138</v>
      </c>
      <c r="N974" s="39" t="s">
        <v>145</v>
      </c>
      <c r="O974" s="43">
        <f t="shared" si="315"/>
        <v>183735.56</v>
      </c>
      <c r="P974" s="43">
        <f t="shared" si="316"/>
        <v>134126.96</v>
      </c>
      <c r="Q974" s="43">
        <f t="shared" si="317"/>
        <v>170591.75</v>
      </c>
      <c r="R974" s="43">
        <f t="shared" si="318"/>
        <v>-36464.790000000008</v>
      </c>
      <c r="S974" s="44">
        <f t="shared" si="319"/>
        <v>-0.27186771399277232</v>
      </c>
      <c r="T974" s="39" t="str">
        <f t="shared" si="320"/>
        <v>Loss</v>
      </c>
      <c r="U974" s="39" t="str">
        <f t="shared" si="321"/>
        <v>20%+</v>
      </c>
      <c r="V974" s="39" t="str">
        <f>IF(E974&gt;=Analysis!$B$4,"High",IF(E974&gt;=Analysis!$B$5,"Mid","Low"))</f>
        <v>Low</v>
      </c>
      <c r="W974" s="39" t="str">
        <f t="shared" si="322"/>
        <v>2023-02</v>
      </c>
      <c r="X974" s="40">
        <f t="shared" si="323"/>
        <v>44985</v>
      </c>
      <c r="Y974" s="39" t="str">
        <f t="shared" si="324"/>
        <v>2023-Q1</v>
      </c>
      <c r="Z974" s="39" t="str">
        <f t="shared" si="325"/>
        <v>Tue</v>
      </c>
      <c r="AA974" s="39">
        <f t="shared" si="326"/>
        <v>2</v>
      </c>
      <c r="AB974" s="39">
        <f t="shared" si="327"/>
        <v>10</v>
      </c>
      <c r="AC974" s="39" t="str">
        <f t="shared" si="328"/>
        <v>Weekday</v>
      </c>
      <c r="AD974" s="39">
        <f t="shared" ca="1" si="329"/>
        <v>1334</v>
      </c>
      <c r="AE974" s="39">
        <f t="shared" ca="1" si="330"/>
        <v>43</v>
      </c>
      <c r="AF974" s="39" t="str">
        <f t="shared" si="331"/>
        <v>CHA</v>
      </c>
      <c r="AG974" s="39" t="str">
        <f t="shared" si="332"/>
        <v>EO-230228-0973</v>
      </c>
      <c r="AH974" s="39" t="str">
        <f>IF(AND(OR(Filter!$B$4="All",D974=Filter!$B$4),OR(Filter!$B$5="All",M974=Filter!$B$5),E974&gt;=Filter!$B$6),MAX(AH$1:AH973)+1,"")</f>
        <v/>
      </c>
      <c r="AI974" s="39">
        <f t="shared" si="333"/>
        <v>43</v>
      </c>
      <c r="AJ974" s="42">
        <f t="shared" si="334"/>
        <v>0.27</v>
      </c>
      <c r="AK974" s="41">
        <f t="shared" si="335"/>
        <v>4272.92</v>
      </c>
      <c r="AL974" s="39">
        <f>RANK(E974,$E$2:$E$1001,0)+COUNTIF($E$2:E974,E974)-1</f>
        <v>836</v>
      </c>
    </row>
    <row r="975" spans="1:38" x14ac:dyDescent="0.2">
      <c r="A975" s="39">
        <v>1003</v>
      </c>
      <c r="B975" s="40">
        <v>45057</v>
      </c>
      <c r="C975" s="39" t="s">
        <v>71</v>
      </c>
      <c r="D975" s="39" t="s">
        <v>64</v>
      </c>
      <c r="E975" s="41">
        <v>6760.37</v>
      </c>
      <c r="F975" s="39">
        <v>26</v>
      </c>
      <c r="G975" s="39" t="s">
        <v>65</v>
      </c>
      <c r="H975" s="41">
        <v>3418.78</v>
      </c>
      <c r="I975" s="41">
        <v>3824.1</v>
      </c>
      <c r="J975" s="39" t="s">
        <v>143</v>
      </c>
      <c r="K975" s="42">
        <v>0.19</v>
      </c>
      <c r="L975" s="39" t="s">
        <v>73</v>
      </c>
      <c r="M975" s="39" t="s">
        <v>138</v>
      </c>
      <c r="N975" s="39" t="s">
        <v>160</v>
      </c>
      <c r="O975" s="43">
        <f t="shared" si="315"/>
        <v>99426.6</v>
      </c>
      <c r="P975" s="43">
        <f t="shared" si="316"/>
        <v>80535.55</v>
      </c>
      <c r="Q975" s="43">
        <f t="shared" si="317"/>
        <v>88888.28</v>
      </c>
      <c r="R975" s="43">
        <f t="shared" si="318"/>
        <v>-8352.7299999999959</v>
      </c>
      <c r="S975" s="44">
        <f t="shared" si="319"/>
        <v>-0.10371481910783494</v>
      </c>
      <c r="T975" s="39" t="str">
        <f t="shared" si="320"/>
        <v>Loss</v>
      </c>
      <c r="U975" s="39" t="str">
        <f t="shared" si="321"/>
        <v>10-19%</v>
      </c>
      <c r="V975" s="39" t="str">
        <f>IF(E975&gt;=Analysis!$B$4,"High",IF(E975&gt;=Analysis!$B$5,"Mid","Low"))</f>
        <v>Mid</v>
      </c>
      <c r="W975" s="39" t="str">
        <f t="shared" si="322"/>
        <v>2023-05</v>
      </c>
      <c r="X975" s="40">
        <f t="shared" si="323"/>
        <v>45077</v>
      </c>
      <c r="Y975" s="39" t="str">
        <f t="shared" si="324"/>
        <v>2023-Q2</v>
      </c>
      <c r="Z975" s="39" t="str">
        <f t="shared" si="325"/>
        <v>Thu</v>
      </c>
      <c r="AA975" s="39">
        <f t="shared" si="326"/>
        <v>4</v>
      </c>
      <c r="AB975" s="39">
        <f t="shared" si="327"/>
        <v>20</v>
      </c>
      <c r="AC975" s="39" t="str">
        <f t="shared" si="328"/>
        <v>Weekday</v>
      </c>
      <c r="AD975" s="39">
        <f t="shared" ca="1" si="329"/>
        <v>1262</v>
      </c>
      <c r="AE975" s="39">
        <f t="shared" ca="1" si="330"/>
        <v>41</v>
      </c>
      <c r="AF975" s="39" t="str">
        <f t="shared" si="331"/>
        <v>CHA</v>
      </c>
      <c r="AG975" s="39" t="str">
        <f t="shared" si="332"/>
        <v>NO-230511-0974</v>
      </c>
      <c r="AH975" s="39" t="str">
        <f>IF(AND(OR(Filter!$B$4="All",D975=Filter!$B$4),OR(Filter!$B$5="All",M975=Filter!$B$5),E975&gt;=Filter!$B$6),MAX(AH$1:AH974)+1,"")</f>
        <v/>
      </c>
      <c r="AI975" s="39">
        <f t="shared" si="333"/>
        <v>26</v>
      </c>
      <c r="AJ975" s="42">
        <f t="shared" si="334"/>
        <v>0.19</v>
      </c>
      <c r="AK975" s="41">
        <f t="shared" si="335"/>
        <v>3824.1</v>
      </c>
      <c r="AL975" s="39">
        <f>RANK(E975,$E$2:$E$1001,0)+COUNTIF($E$2:E975,E975)-1</f>
        <v>328</v>
      </c>
    </row>
    <row r="976" spans="1:38" x14ac:dyDescent="0.2">
      <c r="A976" s="39">
        <v>1023</v>
      </c>
      <c r="B976" s="40">
        <v>45128</v>
      </c>
      <c r="C976" s="39" t="s">
        <v>79</v>
      </c>
      <c r="D976" s="39" t="s">
        <v>64</v>
      </c>
      <c r="E976" s="41">
        <v>2282.9899999999998</v>
      </c>
      <c r="F976" s="39">
        <v>4</v>
      </c>
      <c r="G976" s="39" t="s">
        <v>60</v>
      </c>
      <c r="H976" s="41">
        <v>1532.8</v>
      </c>
      <c r="I976" s="41">
        <v>1619.69</v>
      </c>
      <c r="J976" s="39" t="s">
        <v>137</v>
      </c>
      <c r="K976" s="42">
        <v>0.05</v>
      </c>
      <c r="L976" s="39" t="s">
        <v>63</v>
      </c>
      <c r="M976" s="39" t="s">
        <v>140</v>
      </c>
      <c r="N976" s="39" t="s">
        <v>148</v>
      </c>
      <c r="O976" s="43">
        <f t="shared" si="315"/>
        <v>6478.76</v>
      </c>
      <c r="P976" s="43">
        <f t="shared" si="316"/>
        <v>6154.82</v>
      </c>
      <c r="Q976" s="43">
        <f t="shared" si="317"/>
        <v>6131.2</v>
      </c>
      <c r="R976" s="43">
        <f t="shared" si="318"/>
        <v>23.619999999999891</v>
      </c>
      <c r="S976" s="44">
        <f t="shared" si="319"/>
        <v>3.8376426930438082E-3</v>
      </c>
      <c r="T976" s="39" t="str">
        <f t="shared" si="320"/>
        <v>OK</v>
      </c>
      <c r="U976" s="39" t="str">
        <f t="shared" si="321"/>
        <v>0-9%</v>
      </c>
      <c r="V976" s="39" t="str">
        <f>IF(E976&gt;=Analysis!$B$4,"High",IF(E976&gt;=Analysis!$B$5,"Mid","Low"))</f>
        <v>Low</v>
      </c>
      <c r="W976" s="39" t="str">
        <f t="shared" si="322"/>
        <v>2023-07</v>
      </c>
      <c r="X976" s="40">
        <f t="shared" si="323"/>
        <v>45138</v>
      </c>
      <c r="Y976" s="39" t="str">
        <f t="shared" si="324"/>
        <v>2023-Q3</v>
      </c>
      <c r="Z976" s="39" t="str">
        <f t="shared" si="325"/>
        <v>Fri</v>
      </c>
      <c r="AA976" s="39">
        <f t="shared" si="326"/>
        <v>5</v>
      </c>
      <c r="AB976" s="39">
        <f t="shared" si="327"/>
        <v>30</v>
      </c>
      <c r="AC976" s="39" t="str">
        <f t="shared" si="328"/>
        <v>Weekday</v>
      </c>
      <c r="AD976" s="39">
        <f t="shared" ca="1" si="329"/>
        <v>1191</v>
      </c>
      <c r="AE976" s="39">
        <f t="shared" ca="1" si="330"/>
        <v>39</v>
      </c>
      <c r="AF976" s="39" t="str">
        <f t="shared" si="331"/>
        <v>EVE</v>
      </c>
      <c r="AG976" s="39" t="str">
        <f t="shared" si="332"/>
        <v>NR-230721-0975</v>
      </c>
      <c r="AH976" s="39" t="str">
        <f>IF(AND(OR(Filter!$B$4="All",D976=Filter!$B$4),OR(Filter!$B$5="All",M976=Filter!$B$5),E976&gt;=Filter!$B$6),MAX(AH$1:AH975)+1,"")</f>
        <v/>
      </c>
      <c r="AI976" s="39">
        <f t="shared" si="333"/>
        <v>4</v>
      </c>
      <c r="AJ976" s="42">
        <f t="shared" si="334"/>
        <v>0.05</v>
      </c>
      <c r="AK976" s="41">
        <f t="shared" si="335"/>
        <v>1619.69</v>
      </c>
      <c r="AL976" s="39">
        <f>RANK(E976,$E$2:$E$1001,0)+COUNTIF($E$2:E976,E976)-1</f>
        <v>780</v>
      </c>
    </row>
    <row r="977" spans="1:38" x14ac:dyDescent="0.2">
      <c r="A977" s="39">
        <v>1018</v>
      </c>
      <c r="B977" s="40">
        <v>45169</v>
      </c>
      <c r="C977" s="39" t="s">
        <v>61</v>
      </c>
      <c r="D977" s="39" t="s">
        <v>59</v>
      </c>
      <c r="E977" s="41">
        <v>2260.25</v>
      </c>
      <c r="F977" s="39">
        <v>1</v>
      </c>
      <c r="G977" s="39" t="s">
        <v>65</v>
      </c>
      <c r="H977" s="41">
        <v>2315.83</v>
      </c>
      <c r="I977" s="41">
        <v>2333.19</v>
      </c>
      <c r="J977" s="39" t="s">
        <v>143</v>
      </c>
      <c r="K977" s="42">
        <v>0.01</v>
      </c>
      <c r="L977" s="39" t="s">
        <v>68</v>
      </c>
      <c r="M977" s="39" t="s">
        <v>140</v>
      </c>
      <c r="N977" s="39" t="s">
        <v>159</v>
      </c>
      <c r="O977" s="43">
        <f t="shared" si="315"/>
        <v>2333.19</v>
      </c>
      <c r="P977" s="43">
        <f t="shared" si="316"/>
        <v>2309.86</v>
      </c>
      <c r="Q977" s="43">
        <f t="shared" si="317"/>
        <v>2315.83</v>
      </c>
      <c r="R977" s="43">
        <f t="shared" si="318"/>
        <v>-5.9699999999997999</v>
      </c>
      <c r="S977" s="44">
        <f t="shared" si="319"/>
        <v>-2.5845722251564163E-3</v>
      </c>
      <c r="T977" s="39" t="str">
        <f t="shared" si="320"/>
        <v>Loss</v>
      </c>
      <c r="U977" s="39" t="str">
        <f t="shared" si="321"/>
        <v>0-9%</v>
      </c>
      <c r="V977" s="39" t="str">
        <f>IF(E977&gt;=Analysis!$B$4,"High",IF(E977&gt;=Analysis!$B$5,"Mid","Low"))</f>
        <v>Low</v>
      </c>
      <c r="W977" s="39" t="str">
        <f t="shared" si="322"/>
        <v>2023-08</v>
      </c>
      <c r="X977" s="40">
        <f t="shared" si="323"/>
        <v>45169</v>
      </c>
      <c r="Y977" s="39" t="str">
        <f t="shared" si="324"/>
        <v>2023-Q3</v>
      </c>
      <c r="Z977" s="39" t="str">
        <f t="shared" si="325"/>
        <v>Thu</v>
      </c>
      <c r="AA977" s="39">
        <f t="shared" si="326"/>
        <v>4</v>
      </c>
      <c r="AB977" s="39">
        <f t="shared" si="327"/>
        <v>36</v>
      </c>
      <c r="AC977" s="39" t="str">
        <f t="shared" si="328"/>
        <v>Weekday</v>
      </c>
      <c r="AD977" s="39">
        <f t="shared" ca="1" si="329"/>
        <v>1150</v>
      </c>
      <c r="AE977" s="39">
        <f t="shared" ca="1" si="330"/>
        <v>37</v>
      </c>
      <c r="AF977" s="39" t="str">
        <f t="shared" si="331"/>
        <v>ALI</v>
      </c>
      <c r="AG977" s="39" t="str">
        <f t="shared" si="332"/>
        <v>ER-230831-0976</v>
      </c>
      <c r="AH977" s="39" t="str">
        <f>IF(AND(OR(Filter!$B$4="All",D977=Filter!$B$4),OR(Filter!$B$5="All",M977=Filter!$B$5),E977&gt;=Filter!$B$6),MAX(AH$1:AH976)+1,"")</f>
        <v/>
      </c>
      <c r="AI977" s="39">
        <f t="shared" si="333"/>
        <v>1</v>
      </c>
      <c r="AJ977" s="42">
        <f t="shared" si="334"/>
        <v>0.01</v>
      </c>
      <c r="AK977" s="41">
        <f t="shared" si="335"/>
        <v>2333.19</v>
      </c>
      <c r="AL977" s="39">
        <f>RANK(E977,$E$2:$E$1001,0)+COUNTIF($E$2:E977,E977)-1</f>
        <v>785</v>
      </c>
    </row>
    <row r="978" spans="1:38" x14ac:dyDescent="0.2">
      <c r="A978" s="39">
        <v>1038</v>
      </c>
      <c r="B978" s="40">
        <v>44961</v>
      </c>
      <c r="C978" s="39" t="s">
        <v>71</v>
      </c>
      <c r="D978" s="39" t="s">
        <v>64</v>
      </c>
      <c r="E978" s="41">
        <v>8753.31</v>
      </c>
      <c r="F978" s="39">
        <v>7</v>
      </c>
      <c r="G978" s="39" t="s">
        <v>75</v>
      </c>
      <c r="H978" s="41">
        <v>523.02</v>
      </c>
      <c r="I978" s="41">
        <v>686.25</v>
      </c>
      <c r="J978" s="39" t="s">
        <v>137</v>
      </c>
      <c r="K978" s="42">
        <v>0.04</v>
      </c>
      <c r="L978" s="39" t="s">
        <v>68</v>
      </c>
      <c r="M978" s="39" t="s">
        <v>138</v>
      </c>
      <c r="N978" s="39" t="s">
        <v>160</v>
      </c>
      <c r="O978" s="43">
        <f t="shared" si="315"/>
        <v>4803.75</v>
      </c>
      <c r="P978" s="43">
        <f t="shared" si="316"/>
        <v>4611.6000000000004</v>
      </c>
      <c r="Q978" s="43">
        <f t="shared" si="317"/>
        <v>3661.14</v>
      </c>
      <c r="R978" s="43">
        <f t="shared" si="318"/>
        <v>950.46000000000049</v>
      </c>
      <c r="S978" s="44">
        <f t="shared" si="319"/>
        <v>0.20610200364298734</v>
      </c>
      <c r="T978" s="39" t="str">
        <f t="shared" si="320"/>
        <v>OK</v>
      </c>
      <c r="U978" s="39" t="str">
        <f t="shared" si="321"/>
        <v>0-9%</v>
      </c>
      <c r="V978" s="39" t="str">
        <f>IF(E978&gt;=Analysis!$B$4,"High",IF(E978&gt;=Analysis!$B$5,"Mid","Low"))</f>
        <v>High</v>
      </c>
      <c r="W978" s="39" t="str">
        <f t="shared" si="322"/>
        <v>2023-02</v>
      </c>
      <c r="X978" s="40">
        <f t="shared" si="323"/>
        <v>44985</v>
      </c>
      <c r="Y978" s="39" t="str">
        <f t="shared" si="324"/>
        <v>2023-Q1</v>
      </c>
      <c r="Z978" s="39" t="str">
        <f t="shared" si="325"/>
        <v>Sat</v>
      </c>
      <c r="AA978" s="39">
        <f t="shared" si="326"/>
        <v>6</v>
      </c>
      <c r="AB978" s="39">
        <f t="shared" si="327"/>
        <v>6</v>
      </c>
      <c r="AC978" s="39" t="str">
        <f t="shared" si="328"/>
        <v>Weekend</v>
      </c>
      <c r="AD978" s="39">
        <f t="shared" ca="1" si="329"/>
        <v>1358</v>
      </c>
      <c r="AE978" s="39">
        <f t="shared" ca="1" si="330"/>
        <v>44</v>
      </c>
      <c r="AF978" s="39" t="str">
        <f t="shared" si="331"/>
        <v>CHA</v>
      </c>
      <c r="AG978" s="39" t="str">
        <f t="shared" si="332"/>
        <v>NO-230204-0977</v>
      </c>
      <c r="AH978" s="39" t="str">
        <f>IF(AND(OR(Filter!$B$4="All",D978=Filter!$B$4),OR(Filter!$B$5="All",M978=Filter!$B$5),E978&gt;=Filter!$B$6),MAX(AH$1:AH977)+1,"")</f>
        <v/>
      </c>
      <c r="AI978" s="39">
        <f t="shared" si="333"/>
        <v>7</v>
      </c>
      <c r="AJ978" s="42">
        <f t="shared" si="334"/>
        <v>0.04</v>
      </c>
      <c r="AK978" s="41">
        <f t="shared" si="335"/>
        <v>686.25</v>
      </c>
      <c r="AL978" s="39">
        <f>RANK(E978,$E$2:$E$1001,0)+COUNTIF($E$2:E978,E978)-1</f>
        <v>117</v>
      </c>
    </row>
    <row r="979" spans="1:38" x14ac:dyDescent="0.2">
      <c r="A979" s="39">
        <v>1099</v>
      </c>
      <c r="B979" s="40">
        <v>45019</v>
      </c>
      <c r="C979" s="39" t="s">
        <v>61</v>
      </c>
      <c r="D979" s="39" t="s">
        <v>64</v>
      </c>
      <c r="E979" s="41">
        <v>2571.7199999999998</v>
      </c>
      <c r="F979" s="39">
        <v>30</v>
      </c>
      <c r="G979" s="39" t="s">
        <v>75</v>
      </c>
      <c r="H979" s="41">
        <v>4495.82</v>
      </c>
      <c r="I979" s="41">
        <v>4794.01</v>
      </c>
      <c r="J979" s="39" t="s">
        <v>143</v>
      </c>
      <c r="K979" s="42">
        <v>0.18</v>
      </c>
      <c r="L979" s="39" t="s">
        <v>63</v>
      </c>
      <c r="M979" s="39" t="s">
        <v>140</v>
      </c>
      <c r="N979" s="39" t="s">
        <v>156</v>
      </c>
      <c r="O979" s="43">
        <f t="shared" si="315"/>
        <v>143820.29999999999</v>
      </c>
      <c r="P979" s="43">
        <f t="shared" si="316"/>
        <v>117932.65</v>
      </c>
      <c r="Q979" s="43">
        <f t="shared" si="317"/>
        <v>134874.6</v>
      </c>
      <c r="R979" s="43">
        <f t="shared" si="318"/>
        <v>-16941.950000000012</v>
      </c>
      <c r="S979" s="44">
        <f t="shared" si="319"/>
        <v>-0.14365784199710607</v>
      </c>
      <c r="T979" s="39" t="str">
        <f t="shared" si="320"/>
        <v>Loss</v>
      </c>
      <c r="U979" s="39" t="str">
        <f t="shared" si="321"/>
        <v>10-19%</v>
      </c>
      <c r="V979" s="39" t="str">
        <f>IF(E979&gt;=Analysis!$B$4,"High",IF(E979&gt;=Analysis!$B$5,"Mid","Low"))</f>
        <v>Mid</v>
      </c>
      <c r="W979" s="39" t="str">
        <f t="shared" si="322"/>
        <v>2023-04</v>
      </c>
      <c r="X979" s="40">
        <f t="shared" si="323"/>
        <v>45046</v>
      </c>
      <c r="Y979" s="39" t="str">
        <f t="shared" si="324"/>
        <v>2023-Q2</v>
      </c>
      <c r="Z979" s="39" t="str">
        <f t="shared" si="325"/>
        <v>Mon</v>
      </c>
      <c r="AA979" s="39">
        <f t="shared" si="326"/>
        <v>1</v>
      </c>
      <c r="AB979" s="39">
        <f t="shared" si="327"/>
        <v>15</v>
      </c>
      <c r="AC979" s="39" t="str">
        <f t="shared" si="328"/>
        <v>Weekday</v>
      </c>
      <c r="AD979" s="39">
        <f t="shared" ca="1" si="329"/>
        <v>1300</v>
      </c>
      <c r="AE979" s="39">
        <f t="shared" ca="1" si="330"/>
        <v>42</v>
      </c>
      <c r="AF979" s="39" t="str">
        <f t="shared" si="331"/>
        <v>ALI</v>
      </c>
      <c r="AG979" s="39" t="str">
        <f t="shared" si="332"/>
        <v>NR-230403-0978</v>
      </c>
      <c r="AH979" s="39" t="str">
        <f>IF(AND(OR(Filter!$B$4="All",D979=Filter!$B$4),OR(Filter!$B$5="All",M979=Filter!$B$5),E979&gt;=Filter!$B$6),MAX(AH$1:AH978)+1,"")</f>
        <v/>
      </c>
      <c r="AI979" s="39">
        <f t="shared" si="333"/>
        <v>30</v>
      </c>
      <c r="AJ979" s="42">
        <f t="shared" si="334"/>
        <v>0.18</v>
      </c>
      <c r="AK979" s="41">
        <f t="shared" si="335"/>
        <v>4794.01</v>
      </c>
      <c r="AL979" s="39">
        <f>RANK(E979,$E$2:$E$1001,0)+COUNTIF($E$2:E979,E979)-1</f>
        <v>746</v>
      </c>
    </row>
    <row r="980" spans="1:38" x14ac:dyDescent="0.2">
      <c r="A980" s="39">
        <v>1015</v>
      </c>
      <c r="B980" s="40">
        <v>45133</v>
      </c>
      <c r="C980" s="39" t="s">
        <v>76</v>
      </c>
      <c r="D980" s="39" t="s">
        <v>64</v>
      </c>
      <c r="E980" s="41">
        <v>2706.15</v>
      </c>
      <c r="F980" s="39">
        <v>9</v>
      </c>
      <c r="G980" s="39" t="s">
        <v>65</v>
      </c>
      <c r="H980" s="41">
        <v>4680.3500000000004</v>
      </c>
      <c r="I980" s="41">
        <v>4758.1099999999997</v>
      </c>
      <c r="J980" s="39" t="s">
        <v>137</v>
      </c>
      <c r="K980" s="42">
        <v>0.05</v>
      </c>
      <c r="L980" s="39" t="s">
        <v>63</v>
      </c>
      <c r="M980" s="39" t="s">
        <v>138</v>
      </c>
      <c r="N980" s="39" t="s">
        <v>152</v>
      </c>
      <c r="O980" s="43">
        <f t="shared" si="315"/>
        <v>42822.99</v>
      </c>
      <c r="P980" s="43">
        <f t="shared" si="316"/>
        <v>40681.839999999997</v>
      </c>
      <c r="Q980" s="43">
        <f t="shared" si="317"/>
        <v>42123.15</v>
      </c>
      <c r="R980" s="43">
        <f t="shared" si="318"/>
        <v>-1441.3100000000049</v>
      </c>
      <c r="S980" s="44">
        <f t="shared" si="319"/>
        <v>-3.5428830161074454E-2</v>
      </c>
      <c r="T980" s="39" t="str">
        <f t="shared" si="320"/>
        <v>Loss</v>
      </c>
      <c r="U980" s="39" t="str">
        <f t="shared" si="321"/>
        <v>0-9%</v>
      </c>
      <c r="V980" s="39" t="str">
        <f>IF(E980&gt;=Analysis!$B$4,"High",IF(E980&gt;=Analysis!$B$5,"Mid","Low"))</f>
        <v>Mid</v>
      </c>
      <c r="W980" s="39" t="str">
        <f t="shared" si="322"/>
        <v>2023-07</v>
      </c>
      <c r="X980" s="40">
        <f t="shared" si="323"/>
        <v>45138</v>
      </c>
      <c r="Y980" s="39" t="str">
        <f t="shared" si="324"/>
        <v>2023-Q3</v>
      </c>
      <c r="Z980" s="39" t="str">
        <f t="shared" si="325"/>
        <v>Wed</v>
      </c>
      <c r="AA980" s="39">
        <f t="shared" si="326"/>
        <v>3</v>
      </c>
      <c r="AB980" s="39">
        <f t="shared" si="327"/>
        <v>31</v>
      </c>
      <c r="AC980" s="39" t="str">
        <f t="shared" si="328"/>
        <v>Weekday</v>
      </c>
      <c r="AD980" s="39">
        <f t="shared" ca="1" si="329"/>
        <v>1186</v>
      </c>
      <c r="AE980" s="39">
        <f t="shared" ca="1" si="330"/>
        <v>38</v>
      </c>
      <c r="AF980" s="39" t="str">
        <f t="shared" si="331"/>
        <v>DAV</v>
      </c>
      <c r="AG980" s="39" t="str">
        <f t="shared" si="332"/>
        <v>NO-230726-0979</v>
      </c>
      <c r="AH980" s="39" t="str">
        <f>IF(AND(OR(Filter!$B$4="All",D980=Filter!$B$4),OR(Filter!$B$5="All",M980=Filter!$B$5),E980&gt;=Filter!$B$6),MAX(AH$1:AH979)+1,"")</f>
        <v/>
      </c>
      <c r="AI980" s="39">
        <f t="shared" si="333"/>
        <v>9</v>
      </c>
      <c r="AJ980" s="42">
        <f t="shared" si="334"/>
        <v>0.05</v>
      </c>
      <c r="AK980" s="41">
        <f t="shared" si="335"/>
        <v>4758.1099999999997</v>
      </c>
      <c r="AL980" s="39">
        <f>RANK(E980,$E$2:$E$1001,0)+COUNTIF($E$2:E980,E980)-1</f>
        <v>733</v>
      </c>
    </row>
    <row r="981" spans="1:38" x14ac:dyDescent="0.2">
      <c r="A981" s="39">
        <v>1064</v>
      </c>
      <c r="B981" s="40">
        <v>45279</v>
      </c>
      <c r="C981" s="39" t="s">
        <v>61</v>
      </c>
      <c r="D981" s="39" t="s">
        <v>74</v>
      </c>
      <c r="E981" s="41">
        <v>106.47</v>
      </c>
      <c r="F981" s="39">
        <v>35</v>
      </c>
      <c r="G981" s="39" t="s">
        <v>60</v>
      </c>
      <c r="H981" s="41">
        <v>4900.03</v>
      </c>
      <c r="I981" s="41">
        <v>5118.83</v>
      </c>
      <c r="J981" s="39" t="s">
        <v>137</v>
      </c>
      <c r="K981" s="42">
        <v>7.0000000000000007E-2</v>
      </c>
      <c r="L981" s="39" t="s">
        <v>73</v>
      </c>
      <c r="M981" s="39" t="s">
        <v>140</v>
      </c>
      <c r="N981" s="39" t="s">
        <v>158</v>
      </c>
      <c r="O981" s="43">
        <f t="shared" si="315"/>
        <v>179159.05</v>
      </c>
      <c r="P981" s="43">
        <f t="shared" si="316"/>
        <v>166617.92000000001</v>
      </c>
      <c r="Q981" s="43">
        <f t="shared" si="317"/>
        <v>171501.05</v>
      </c>
      <c r="R981" s="43">
        <f t="shared" si="318"/>
        <v>-4883.1299999999756</v>
      </c>
      <c r="S981" s="44">
        <f t="shared" si="319"/>
        <v>-2.9307351814258486E-2</v>
      </c>
      <c r="T981" s="39" t="str">
        <f t="shared" si="320"/>
        <v>Loss</v>
      </c>
      <c r="U981" s="39" t="str">
        <f t="shared" si="321"/>
        <v>0-9%</v>
      </c>
      <c r="V981" s="39" t="str">
        <f>IF(E981&gt;=Analysis!$B$4,"High",IF(E981&gt;=Analysis!$B$5,"Mid","Low"))</f>
        <v>Low</v>
      </c>
      <c r="W981" s="39" t="str">
        <f t="shared" si="322"/>
        <v>2023-12</v>
      </c>
      <c r="X981" s="40">
        <f t="shared" si="323"/>
        <v>45291</v>
      </c>
      <c r="Y981" s="39" t="str">
        <f t="shared" si="324"/>
        <v>2023-Q4</v>
      </c>
      <c r="Z981" s="39" t="str">
        <f t="shared" si="325"/>
        <v>Tue</v>
      </c>
      <c r="AA981" s="39">
        <f t="shared" si="326"/>
        <v>2</v>
      </c>
      <c r="AB981" s="39">
        <f t="shared" si="327"/>
        <v>52</v>
      </c>
      <c r="AC981" s="39" t="str">
        <f t="shared" si="328"/>
        <v>Weekday</v>
      </c>
      <c r="AD981" s="39">
        <f t="shared" ca="1" si="329"/>
        <v>1040</v>
      </c>
      <c r="AE981" s="39">
        <f t="shared" ca="1" si="330"/>
        <v>34</v>
      </c>
      <c r="AF981" s="39" t="str">
        <f t="shared" si="331"/>
        <v>ALI</v>
      </c>
      <c r="AG981" s="39" t="str">
        <f t="shared" si="332"/>
        <v>WR-231219-0980</v>
      </c>
      <c r="AH981" s="39" t="str">
        <f>IF(AND(OR(Filter!$B$4="All",D981=Filter!$B$4),OR(Filter!$B$5="All",M981=Filter!$B$5),E981&gt;=Filter!$B$6),MAX(AH$1:AH980)+1,"")</f>
        <v/>
      </c>
      <c r="AI981" s="39">
        <f t="shared" si="333"/>
        <v>35</v>
      </c>
      <c r="AJ981" s="42">
        <f t="shared" si="334"/>
        <v>7.0000000000000007E-2</v>
      </c>
      <c r="AK981" s="41">
        <f t="shared" si="335"/>
        <v>5118.83</v>
      </c>
      <c r="AL981" s="39">
        <f>RANK(E981,$E$2:$E$1001,0)+COUNTIF($E$2:E981,E981)-1</f>
        <v>999</v>
      </c>
    </row>
    <row r="982" spans="1:38" x14ac:dyDescent="0.2">
      <c r="A982" s="39">
        <v>1089</v>
      </c>
      <c r="B982" s="40">
        <v>45258</v>
      </c>
      <c r="C982" s="39" t="s">
        <v>76</v>
      </c>
      <c r="D982" s="39" t="s">
        <v>74</v>
      </c>
      <c r="E982" s="41">
        <v>8719.6200000000008</v>
      </c>
      <c r="F982" s="39">
        <v>8</v>
      </c>
      <c r="G982" s="39" t="s">
        <v>75</v>
      </c>
      <c r="H982" s="41">
        <v>4349.34</v>
      </c>
      <c r="I982" s="41">
        <v>4629.9799999999996</v>
      </c>
      <c r="J982" s="39" t="s">
        <v>137</v>
      </c>
      <c r="K982" s="42">
        <v>0.01</v>
      </c>
      <c r="L982" s="39" t="s">
        <v>73</v>
      </c>
      <c r="M982" s="39" t="s">
        <v>138</v>
      </c>
      <c r="N982" s="39" t="s">
        <v>154</v>
      </c>
      <c r="O982" s="43">
        <f t="shared" si="315"/>
        <v>37039.839999999997</v>
      </c>
      <c r="P982" s="43">
        <f t="shared" si="316"/>
        <v>36669.440000000002</v>
      </c>
      <c r="Q982" s="43">
        <f t="shared" si="317"/>
        <v>34794.720000000001</v>
      </c>
      <c r="R982" s="43">
        <f t="shared" si="318"/>
        <v>1874.7200000000012</v>
      </c>
      <c r="S982" s="44">
        <f t="shared" si="319"/>
        <v>5.1124860374197181E-2</v>
      </c>
      <c r="T982" s="39" t="str">
        <f t="shared" si="320"/>
        <v>OK</v>
      </c>
      <c r="U982" s="39" t="str">
        <f t="shared" si="321"/>
        <v>0-9%</v>
      </c>
      <c r="V982" s="39" t="str">
        <f>IF(E982&gt;=Analysis!$B$4,"High",IF(E982&gt;=Analysis!$B$5,"Mid","Low"))</f>
        <v>High</v>
      </c>
      <c r="W982" s="39" t="str">
        <f t="shared" si="322"/>
        <v>2023-11</v>
      </c>
      <c r="X982" s="40">
        <f t="shared" si="323"/>
        <v>45260</v>
      </c>
      <c r="Y982" s="39" t="str">
        <f t="shared" si="324"/>
        <v>2023-Q4</v>
      </c>
      <c r="Z982" s="39" t="str">
        <f t="shared" si="325"/>
        <v>Tue</v>
      </c>
      <c r="AA982" s="39">
        <f t="shared" si="326"/>
        <v>2</v>
      </c>
      <c r="AB982" s="39">
        <f t="shared" si="327"/>
        <v>49</v>
      </c>
      <c r="AC982" s="39" t="str">
        <f t="shared" si="328"/>
        <v>Weekday</v>
      </c>
      <c r="AD982" s="39">
        <f t="shared" ca="1" si="329"/>
        <v>1061</v>
      </c>
      <c r="AE982" s="39">
        <f t="shared" ca="1" si="330"/>
        <v>34</v>
      </c>
      <c r="AF982" s="39" t="str">
        <f t="shared" si="331"/>
        <v>DAV</v>
      </c>
      <c r="AG982" s="39" t="str">
        <f t="shared" si="332"/>
        <v>WO-231128-0981</v>
      </c>
      <c r="AH982" s="39" t="str">
        <f>IF(AND(OR(Filter!$B$4="All",D982=Filter!$B$4),OR(Filter!$B$5="All",M982=Filter!$B$5),E982&gt;=Filter!$B$6),MAX(AH$1:AH981)+1,"")</f>
        <v/>
      </c>
      <c r="AI982" s="39">
        <f t="shared" si="333"/>
        <v>8</v>
      </c>
      <c r="AJ982" s="42">
        <f t="shared" si="334"/>
        <v>0.01</v>
      </c>
      <c r="AK982" s="41">
        <f t="shared" si="335"/>
        <v>4629.9799999999996</v>
      </c>
      <c r="AL982" s="39">
        <f>RANK(E982,$E$2:$E$1001,0)+COUNTIF($E$2:E982,E982)-1</f>
        <v>119</v>
      </c>
    </row>
    <row r="983" spans="1:38" x14ac:dyDescent="0.2">
      <c r="A983" s="39">
        <v>1028</v>
      </c>
      <c r="B983" s="40">
        <v>45231</v>
      </c>
      <c r="C983" s="39" t="s">
        <v>66</v>
      </c>
      <c r="D983" s="39" t="s">
        <v>59</v>
      </c>
      <c r="E983" s="41">
        <v>7946.69</v>
      </c>
      <c r="F983" s="39">
        <v>24</v>
      </c>
      <c r="G983" s="39" t="s">
        <v>70</v>
      </c>
      <c r="H983" s="41">
        <v>911.11</v>
      </c>
      <c r="I983" s="41">
        <v>1214.56</v>
      </c>
      <c r="J983" s="39" t="s">
        <v>143</v>
      </c>
      <c r="K983" s="42">
        <v>0.22</v>
      </c>
      <c r="L983" s="39" t="s">
        <v>63</v>
      </c>
      <c r="M983" s="39" t="s">
        <v>138</v>
      </c>
      <c r="N983" s="39" t="s">
        <v>153</v>
      </c>
      <c r="O983" s="43">
        <f t="shared" si="315"/>
        <v>29149.439999999999</v>
      </c>
      <c r="P983" s="43">
        <f t="shared" si="316"/>
        <v>22736.560000000001</v>
      </c>
      <c r="Q983" s="43">
        <f t="shared" si="317"/>
        <v>21866.639999999999</v>
      </c>
      <c r="R983" s="43">
        <f t="shared" si="318"/>
        <v>869.92000000000189</v>
      </c>
      <c r="S983" s="44">
        <f t="shared" si="319"/>
        <v>3.8260845088263211E-2</v>
      </c>
      <c r="T983" s="39" t="str">
        <f t="shared" si="320"/>
        <v>OK</v>
      </c>
      <c r="U983" s="39" t="str">
        <f t="shared" si="321"/>
        <v>20%+</v>
      </c>
      <c r="V983" s="39" t="str">
        <f>IF(E983&gt;=Analysis!$B$4,"High",IF(E983&gt;=Analysis!$B$5,"Mid","Low"))</f>
        <v>High</v>
      </c>
      <c r="W983" s="39" t="str">
        <f t="shared" si="322"/>
        <v>2023-11</v>
      </c>
      <c r="X983" s="40">
        <f t="shared" si="323"/>
        <v>45260</v>
      </c>
      <c r="Y983" s="39" t="str">
        <f t="shared" si="324"/>
        <v>2023-Q4</v>
      </c>
      <c r="Z983" s="39" t="str">
        <f t="shared" si="325"/>
        <v>Wed</v>
      </c>
      <c r="AA983" s="39">
        <f t="shared" si="326"/>
        <v>3</v>
      </c>
      <c r="AB983" s="39">
        <f t="shared" si="327"/>
        <v>45</v>
      </c>
      <c r="AC983" s="39" t="str">
        <f t="shared" si="328"/>
        <v>Weekday</v>
      </c>
      <c r="AD983" s="39">
        <f t="shared" ca="1" si="329"/>
        <v>1088</v>
      </c>
      <c r="AE983" s="39">
        <f t="shared" ca="1" si="330"/>
        <v>35</v>
      </c>
      <c r="AF983" s="39" t="str">
        <f t="shared" si="331"/>
        <v>BOB</v>
      </c>
      <c r="AG983" s="39" t="str">
        <f t="shared" si="332"/>
        <v>EO-231101-0982</v>
      </c>
      <c r="AH983" s="39" t="str">
        <f>IF(AND(OR(Filter!$B$4="All",D983=Filter!$B$4),OR(Filter!$B$5="All",M983=Filter!$B$5),E983&gt;=Filter!$B$6),MAX(AH$1:AH982)+1,"")</f>
        <v/>
      </c>
      <c r="AI983" s="39">
        <f t="shared" si="333"/>
        <v>24</v>
      </c>
      <c r="AJ983" s="42">
        <f t="shared" si="334"/>
        <v>0.22</v>
      </c>
      <c r="AK983" s="41">
        <f t="shared" si="335"/>
        <v>1214.56</v>
      </c>
      <c r="AL983" s="39">
        <f>RANK(E983,$E$2:$E$1001,0)+COUNTIF($E$2:E983,E983)-1</f>
        <v>202</v>
      </c>
    </row>
    <row r="984" spans="1:38" x14ac:dyDescent="0.2">
      <c r="A984" s="39">
        <v>1074</v>
      </c>
      <c r="B984" s="40">
        <v>45276</v>
      </c>
      <c r="C984" s="39" t="s">
        <v>66</v>
      </c>
      <c r="D984" s="39" t="s">
        <v>64</v>
      </c>
      <c r="E984" s="41">
        <v>6310.56</v>
      </c>
      <c r="F984" s="39">
        <v>19</v>
      </c>
      <c r="G984" s="39" t="s">
        <v>75</v>
      </c>
      <c r="H984" s="41">
        <v>278.67</v>
      </c>
      <c r="I984" s="41">
        <v>423.13</v>
      </c>
      <c r="J984" s="39" t="s">
        <v>143</v>
      </c>
      <c r="K984" s="42">
        <v>0.24</v>
      </c>
      <c r="L984" s="39" t="s">
        <v>73</v>
      </c>
      <c r="M984" s="39" t="s">
        <v>138</v>
      </c>
      <c r="N984" s="39" t="s">
        <v>139</v>
      </c>
      <c r="O984" s="43">
        <f t="shared" si="315"/>
        <v>8039.47</v>
      </c>
      <c r="P984" s="43">
        <f t="shared" si="316"/>
        <v>6110</v>
      </c>
      <c r="Q984" s="43">
        <f t="shared" si="317"/>
        <v>5294.73</v>
      </c>
      <c r="R984" s="43">
        <f t="shared" si="318"/>
        <v>815.27000000000044</v>
      </c>
      <c r="S984" s="44">
        <f t="shared" si="319"/>
        <v>0.13343207855973821</v>
      </c>
      <c r="T984" s="39" t="str">
        <f t="shared" si="320"/>
        <v>OK</v>
      </c>
      <c r="U984" s="39" t="str">
        <f t="shared" si="321"/>
        <v>20%+</v>
      </c>
      <c r="V984" s="39" t="str">
        <f>IF(E984&gt;=Analysis!$B$4,"High",IF(E984&gt;=Analysis!$B$5,"Mid","Low"))</f>
        <v>Mid</v>
      </c>
      <c r="W984" s="39" t="str">
        <f t="shared" si="322"/>
        <v>2023-12</v>
      </c>
      <c r="X984" s="40">
        <f t="shared" si="323"/>
        <v>45291</v>
      </c>
      <c r="Y984" s="39" t="str">
        <f t="shared" si="324"/>
        <v>2023-Q4</v>
      </c>
      <c r="Z984" s="39" t="str">
        <f t="shared" si="325"/>
        <v>Sat</v>
      </c>
      <c r="AA984" s="39">
        <f t="shared" si="326"/>
        <v>6</v>
      </c>
      <c r="AB984" s="39">
        <f t="shared" si="327"/>
        <v>51</v>
      </c>
      <c r="AC984" s="39" t="str">
        <f t="shared" si="328"/>
        <v>Weekend</v>
      </c>
      <c r="AD984" s="39">
        <f t="shared" ca="1" si="329"/>
        <v>1043</v>
      </c>
      <c r="AE984" s="39">
        <f t="shared" ca="1" si="330"/>
        <v>34</v>
      </c>
      <c r="AF984" s="39" t="str">
        <f t="shared" si="331"/>
        <v>BOB</v>
      </c>
      <c r="AG984" s="39" t="str">
        <f t="shared" si="332"/>
        <v>NO-231216-0983</v>
      </c>
      <c r="AH984" s="39" t="str">
        <f>IF(AND(OR(Filter!$B$4="All",D984=Filter!$B$4),OR(Filter!$B$5="All",M984=Filter!$B$5),E984&gt;=Filter!$B$6),MAX(AH$1:AH983)+1,"")</f>
        <v/>
      </c>
      <c r="AI984" s="39">
        <f t="shared" si="333"/>
        <v>19</v>
      </c>
      <c r="AJ984" s="42">
        <f t="shared" si="334"/>
        <v>0.24</v>
      </c>
      <c r="AK984" s="41">
        <f t="shared" si="335"/>
        <v>423.13</v>
      </c>
      <c r="AL984" s="39">
        <f>RANK(E984,$E$2:$E$1001,0)+COUNTIF($E$2:E984,E984)-1</f>
        <v>377</v>
      </c>
    </row>
    <row r="985" spans="1:38" x14ac:dyDescent="0.2">
      <c r="A985" s="39">
        <v>1039</v>
      </c>
      <c r="B985" s="40">
        <v>45139</v>
      </c>
      <c r="C985" s="39" t="s">
        <v>79</v>
      </c>
      <c r="D985" s="39" t="s">
        <v>74</v>
      </c>
      <c r="E985" s="41">
        <v>7527.63</v>
      </c>
      <c r="F985" s="39">
        <v>36</v>
      </c>
      <c r="G985" s="39" t="s">
        <v>60</v>
      </c>
      <c r="H985" s="41">
        <v>2919</v>
      </c>
      <c r="I985" s="41">
        <v>3125.01</v>
      </c>
      <c r="J985" s="39" t="s">
        <v>143</v>
      </c>
      <c r="K985" s="42">
        <v>0.24</v>
      </c>
      <c r="L985" s="39" t="s">
        <v>68</v>
      </c>
      <c r="M985" s="39" t="s">
        <v>138</v>
      </c>
      <c r="N985" s="39" t="s">
        <v>149</v>
      </c>
      <c r="O985" s="43">
        <f t="shared" si="315"/>
        <v>112500.36</v>
      </c>
      <c r="P985" s="43">
        <f t="shared" si="316"/>
        <v>85500.27</v>
      </c>
      <c r="Q985" s="43">
        <f t="shared" si="317"/>
        <v>105084</v>
      </c>
      <c r="R985" s="43">
        <f t="shared" si="318"/>
        <v>-19583.729999999996</v>
      </c>
      <c r="S985" s="44">
        <f t="shared" si="319"/>
        <v>-0.22904875037236719</v>
      </c>
      <c r="T985" s="39" t="str">
        <f t="shared" si="320"/>
        <v>Loss</v>
      </c>
      <c r="U985" s="39" t="str">
        <f t="shared" si="321"/>
        <v>20%+</v>
      </c>
      <c r="V985" s="39" t="str">
        <f>IF(E985&gt;=Analysis!$B$4,"High",IF(E985&gt;=Analysis!$B$5,"Mid","Low"))</f>
        <v>High</v>
      </c>
      <c r="W985" s="39" t="str">
        <f t="shared" si="322"/>
        <v>2023-08</v>
      </c>
      <c r="X985" s="40">
        <f t="shared" si="323"/>
        <v>45169</v>
      </c>
      <c r="Y985" s="39" t="str">
        <f t="shared" si="324"/>
        <v>2023-Q3</v>
      </c>
      <c r="Z985" s="39" t="str">
        <f t="shared" si="325"/>
        <v>Tue</v>
      </c>
      <c r="AA985" s="39">
        <f t="shared" si="326"/>
        <v>2</v>
      </c>
      <c r="AB985" s="39">
        <f t="shared" si="327"/>
        <v>32</v>
      </c>
      <c r="AC985" s="39" t="str">
        <f t="shared" si="328"/>
        <v>Weekday</v>
      </c>
      <c r="AD985" s="39">
        <f t="shared" ca="1" si="329"/>
        <v>1180</v>
      </c>
      <c r="AE985" s="39">
        <f t="shared" ca="1" si="330"/>
        <v>38</v>
      </c>
      <c r="AF985" s="39" t="str">
        <f t="shared" si="331"/>
        <v>EVE</v>
      </c>
      <c r="AG985" s="39" t="str">
        <f t="shared" si="332"/>
        <v>WO-230801-0984</v>
      </c>
      <c r="AH985" s="39" t="str">
        <f>IF(AND(OR(Filter!$B$4="All",D985=Filter!$B$4),OR(Filter!$B$5="All",M985=Filter!$B$5),E985&gt;=Filter!$B$6),MAX(AH$1:AH984)+1,"")</f>
        <v/>
      </c>
      <c r="AI985" s="39">
        <f t="shared" si="333"/>
        <v>36</v>
      </c>
      <c r="AJ985" s="42">
        <f t="shared" si="334"/>
        <v>0.24</v>
      </c>
      <c r="AK985" s="41">
        <f t="shared" si="335"/>
        <v>3125.01</v>
      </c>
      <c r="AL985" s="39">
        <f>RANK(E985,$E$2:$E$1001,0)+COUNTIF($E$2:E985,E985)-1</f>
        <v>247</v>
      </c>
    </row>
    <row r="986" spans="1:38" x14ac:dyDescent="0.2">
      <c r="A986" s="39">
        <v>1057</v>
      </c>
      <c r="B986" s="40">
        <v>45085</v>
      </c>
      <c r="C986" s="39" t="s">
        <v>71</v>
      </c>
      <c r="D986" s="39" t="s">
        <v>59</v>
      </c>
      <c r="E986" s="41">
        <v>1605.28</v>
      </c>
      <c r="F986" s="39">
        <v>43</v>
      </c>
      <c r="G986" s="39" t="s">
        <v>75</v>
      </c>
      <c r="H986" s="41">
        <v>4567.3900000000003</v>
      </c>
      <c r="I986" s="41">
        <v>4958.78</v>
      </c>
      <c r="J986" s="39" t="s">
        <v>143</v>
      </c>
      <c r="K986" s="42">
        <v>0.04</v>
      </c>
      <c r="L986" s="39" t="s">
        <v>68</v>
      </c>
      <c r="M986" s="39" t="s">
        <v>140</v>
      </c>
      <c r="N986" s="39" t="s">
        <v>145</v>
      </c>
      <c r="O986" s="43">
        <f t="shared" si="315"/>
        <v>213227.54</v>
      </c>
      <c r="P986" s="43">
        <f t="shared" si="316"/>
        <v>204698.44</v>
      </c>
      <c r="Q986" s="43">
        <f t="shared" si="317"/>
        <v>196397.77</v>
      </c>
      <c r="R986" s="43">
        <f t="shared" si="318"/>
        <v>8300.6700000000128</v>
      </c>
      <c r="S986" s="44">
        <f t="shared" si="319"/>
        <v>4.0550724275182616E-2</v>
      </c>
      <c r="T986" s="39" t="str">
        <f t="shared" si="320"/>
        <v>OK</v>
      </c>
      <c r="U986" s="39" t="str">
        <f t="shared" si="321"/>
        <v>0-9%</v>
      </c>
      <c r="V986" s="39" t="str">
        <f>IF(E986&gt;=Analysis!$B$4,"High",IF(E986&gt;=Analysis!$B$5,"Mid","Low"))</f>
        <v>Low</v>
      </c>
      <c r="W986" s="39" t="str">
        <f t="shared" si="322"/>
        <v>2023-06</v>
      </c>
      <c r="X986" s="40">
        <f t="shared" si="323"/>
        <v>45107</v>
      </c>
      <c r="Y986" s="39" t="str">
        <f t="shared" si="324"/>
        <v>2023-Q2</v>
      </c>
      <c r="Z986" s="39" t="str">
        <f t="shared" si="325"/>
        <v>Thu</v>
      </c>
      <c r="AA986" s="39">
        <f t="shared" si="326"/>
        <v>4</v>
      </c>
      <c r="AB986" s="39">
        <f t="shared" si="327"/>
        <v>24</v>
      </c>
      <c r="AC986" s="39" t="str">
        <f t="shared" si="328"/>
        <v>Weekday</v>
      </c>
      <c r="AD986" s="39">
        <f t="shared" ca="1" si="329"/>
        <v>1234</v>
      </c>
      <c r="AE986" s="39">
        <f t="shared" ca="1" si="330"/>
        <v>40</v>
      </c>
      <c r="AF986" s="39" t="str">
        <f t="shared" si="331"/>
        <v>CHA</v>
      </c>
      <c r="AG986" s="39" t="str">
        <f t="shared" si="332"/>
        <v>ER-230608-0985</v>
      </c>
      <c r="AH986" s="39" t="str">
        <f>IF(AND(OR(Filter!$B$4="All",D986=Filter!$B$4),OR(Filter!$B$5="All",M986=Filter!$B$5),E986&gt;=Filter!$B$6),MAX(AH$1:AH985)+1,"")</f>
        <v/>
      </c>
      <c r="AI986" s="39">
        <f t="shared" si="333"/>
        <v>43</v>
      </c>
      <c r="AJ986" s="42">
        <f t="shared" si="334"/>
        <v>0.04</v>
      </c>
      <c r="AK986" s="41">
        <f t="shared" si="335"/>
        <v>4958.78</v>
      </c>
      <c r="AL986" s="39">
        <f>RANK(E986,$E$2:$E$1001,0)+COUNTIF($E$2:E986,E986)-1</f>
        <v>860</v>
      </c>
    </row>
    <row r="987" spans="1:38" x14ac:dyDescent="0.2">
      <c r="A987" s="39">
        <v>1017</v>
      </c>
      <c r="B987" s="40">
        <v>44950</v>
      </c>
      <c r="C987" s="39" t="s">
        <v>79</v>
      </c>
      <c r="D987" s="39" t="s">
        <v>64</v>
      </c>
      <c r="E987" s="41">
        <v>4637.3999999999996</v>
      </c>
      <c r="F987" s="39">
        <v>27</v>
      </c>
      <c r="G987" s="39" t="s">
        <v>65</v>
      </c>
      <c r="H987" s="41">
        <v>927.89</v>
      </c>
      <c r="I987" s="41">
        <v>1399.09</v>
      </c>
      <c r="J987" s="39" t="s">
        <v>137</v>
      </c>
      <c r="K987" s="42">
        <v>0.27</v>
      </c>
      <c r="L987" s="39" t="s">
        <v>73</v>
      </c>
      <c r="M987" s="39" t="s">
        <v>138</v>
      </c>
      <c r="N987" s="39" t="s">
        <v>148</v>
      </c>
      <c r="O987" s="43">
        <f t="shared" si="315"/>
        <v>37775.43</v>
      </c>
      <c r="P987" s="43">
        <f t="shared" si="316"/>
        <v>27576.06</v>
      </c>
      <c r="Q987" s="43">
        <f t="shared" si="317"/>
        <v>25053.03</v>
      </c>
      <c r="R987" s="43">
        <f t="shared" si="318"/>
        <v>2523.0300000000025</v>
      </c>
      <c r="S987" s="44">
        <f t="shared" si="319"/>
        <v>9.1493491093361495E-2</v>
      </c>
      <c r="T987" s="39" t="str">
        <f t="shared" si="320"/>
        <v>OK</v>
      </c>
      <c r="U987" s="39" t="str">
        <f t="shared" si="321"/>
        <v>20%+</v>
      </c>
      <c r="V987" s="39" t="str">
        <f>IF(E987&gt;=Analysis!$B$4,"High",IF(E987&gt;=Analysis!$B$5,"Mid","Low"))</f>
        <v>Mid</v>
      </c>
      <c r="W987" s="39" t="str">
        <f t="shared" si="322"/>
        <v>2023-01</v>
      </c>
      <c r="X987" s="40">
        <f t="shared" si="323"/>
        <v>44957</v>
      </c>
      <c r="Y987" s="39" t="str">
        <f t="shared" si="324"/>
        <v>2023-Q1</v>
      </c>
      <c r="Z987" s="39" t="str">
        <f t="shared" si="325"/>
        <v>Tue</v>
      </c>
      <c r="AA987" s="39">
        <f t="shared" si="326"/>
        <v>2</v>
      </c>
      <c r="AB987" s="39">
        <f t="shared" si="327"/>
        <v>5</v>
      </c>
      <c r="AC987" s="39" t="str">
        <f t="shared" si="328"/>
        <v>Weekday</v>
      </c>
      <c r="AD987" s="39">
        <f t="shared" ca="1" si="329"/>
        <v>1369</v>
      </c>
      <c r="AE987" s="39">
        <f t="shared" ca="1" si="330"/>
        <v>45</v>
      </c>
      <c r="AF987" s="39" t="str">
        <f t="shared" si="331"/>
        <v>EVE</v>
      </c>
      <c r="AG987" s="39" t="str">
        <f t="shared" si="332"/>
        <v>NO-230124-0986</v>
      </c>
      <c r="AH987" s="39" t="str">
        <f>IF(AND(OR(Filter!$B$4="All",D987=Filter!$B$4),OR(Filter!$B$5="All",M987=Filter!$B$5),E987&gt;=Filter!$B$6),MAX(AH$1:AH986)+1,"")</f>
        <v/>
      </c>
      <c r="AI987" s="39">
        <f t="shared" si="333"/>
        <v>27</v>
      </c>
      <c r="AJ987" s="42">
        <f t="shared" si="334"/>
        <v>0.27</v>
      </c>
      <c r="AK987" s="41">
        <f t="shared" si="335"/>
        <v>1399.09</v>
      </c>
      <c r="AL987" s="39">
        <f>RANK(E987,$E$2:$E$1001,0)+COUNTIF($E$2:E987,E987)-1</f>
        <v>537</v>
      </c>
    </row>
    <row r="988" spans="1:38" x14ac:dyDescent="0.2">
      <c r="A988" s="39">
        <v>1086</v>
      </c>
      <c r="B988" s="40">
        <v>45219</v>
      </c>
      <c r="C988" s="39" t="s">
        <v>76</v>
      </c>
      <c r="D988" s="39" t="s">
        <v>69</v>
      </c>
      <c r="E988" s="41">
        <v>3577.07</v>
      </c>
      <c r="F988" s="39">
        <v>32</v>
      </c>
      <c r="G988" s="39" t="s">
        <v>75</v>
      </c>
      <c r="H988" s="41">
        <v>84.86</v>
      </c>
      <c r="I988" s="41">
        <v>517.17999999999995</v>
      </c>
      <c r="J988" s="39" t="s">
        <v>137</v>
      </c>
      <c r="K988" s="42">
        <v>0.2</v>
      </c>
      <c r="L988" s="39" t="s">
        <v>73</v>
      </c>
      <c r="M988" s="39" t="s">
        <v>140</v>
      </c>
      <c r="N988" s="39" t="s">
        <v>142</v>
      </c>
      <c r="O988" s="43">
        <f t="shared" si="315"/>
        <v>16549.759999999998</v>
      </c>
      <c r="P988" s="43">
        <f t="shared" si="316"/>
        <v>13239.81</v>
      </c>
      <c r="Q988" s="43">
        <f t="shared" si="317"/>
        <v>2715.52</v>
      </c>
      <c r="R988" s="43">
        <f t="shared" si="318"/>
        <v>10524.289999999999</v>
      </c>
      <c r="S988" s="44">
        <f t="shared" si="319"/>
        <v>0.79489735879895551</v>
      </c>
      <c r="T988" s="39" t="str">
        <f t="shared" si="320"/>
        <v>OK</v>
      </c>
      <c r="U988" s="39" t="str">
        <f t="shared" si="321"/>
        <v>20%+</v>
      </c>
      <c r="V988" s="39" t="str">
        <f>IF(E988&gt;=Analysis!$B$4,"High",IF(E988&gt;=Analysis!$B$5,"Mid","Low"))</f>
        <v>Mid</v>
      </c>
      <c r="W988" s="39" t="str">
        <f t="shared" si="322"/>
        <v>2023-10</v>
      </c>
      <c r="X988" s="40">
        <f t="shared" si="323"/>
        <v>45230</v>
      </c>
      <c r="Y988" s="39" t="str">
        <f t="shared" si="324"/>
        <v>2023-Q4</v>
      </c>
      <c r="Z988" s="39" t="str">
        <f t="shared" si="325"/>
        <v>Fri</v>
      </c>
      <c r="AA988" s="39">
        <f t="shared" si="326"/>
        <v>5</v>
      </c>
      <c r="AB988" s="39">
        <f t="shared" si="327"/>
        <v>43</v>
      </c>
      <c r="AC988" s="39" t="str">
        <f t="shared" si="328"/>
        <v>Weekday</v>
      </c>
      <c r="AD988" s="39">
        <f t="shared" ca="1" si="329"/>
        <v>1100</v>
      </c>
      <c r="AE988" s="39">
        <f t="shared" ca="1" si="330"/>
        <v>36</v>
      </c>
      <c r="AF988" s="39" t="str">
        <f t="shared" si="331"/>
        <v>DAV</v>
      </c>
      <c r="AG988" s="39" t="str">
        <f t="shared" si="332"/>
        <v>SR-231020-0987</v>
      </c>
      <c r="AH988" s="39" t="str">
        <f>IF(AND(OR(Filter!$B$4="All",D988=Filter!$B$4),OR(Filter!$B$5="All",M988=Filter!$B$5),E988&gt;=Filter!$B$6),MAX(AH$1:AH987)+1,"")</f>
        <v/>
      </c>
      <c r="AI988" s="39">
        <f t="shared" si="333"/>
        <v>32</v>
      </c>
      <c r="AJ988" s="42">
        <f t="shared" si="334"/>
        <v>0.2</v>
      </c>
      <c r="AK988" s="41">
        <f t="shared" si="335"/>
        <v>517.17999999999995</v>
      </c>
      <c r="AL988" s="39">
        <f>RANK(E988,$E$2:$E$1001,0)+COUNTIF($E$2:E988,E988)-1</f>
        <v>644</v>
      </c>
    </row>
    <row r="989" spans="1:38" x14ac:dyDescent="0.2">
      <c r="A989" s="39">
        <v>1090</v>
      </c>
      <c r="B989" s="40">
        <v>44930</v>
      </c>
      <c r="C989" s="39" t="s">
        <v>79</v>
      </c>
      <c r="D989" s="39" t="s">
        <v>64</v>
      </c>
      <c r="E989" s="41">
        <v>1028.3900000000001</v>
      </c>
      <c r="F989" s="39">
        <v>14</v>
      </c>
      <c r="G989" s="39" t="s">
        <v>75</v>
      </c>
      <c r="H989" s="41">
        <v>4037.21</v>
      </c>
      <c r="I989" s="41">
        <v>4323.71</v>
      </c>
      <c r="J989" s="39" t="s">
        <v>137</v>
      </c>
      <c r="K989" s="42">
        <v>0.27</v>
      </c>
      <c r="L989" s="39" t="s">
        <v>73</v>
      </c>
      <c r="M989" s="39" t="s">
        <v>138</v>
      </c>
      <c r="N989" s="39" t="s">
        <v>148</v>
      </c>
      <c r="O989" s="43">
        <f t="shared" si="315"/>
        <v>60531.94</v>
      </c>
      <c r="P989" s="43">
        <f t="shared" si="316"/>
        <v>44188.32</v>
      </c>
      <c r="Q989" s="43">
        <f t="shared" si="317"/>
        <v>56520.94</v>
      </c>
      <c r="R989" s="43">
        <f t="shared" si="318"/>
        <v>-12332.620000000003</v>
      </c>
      <c r="S989" s="44">
        <f t="shared" si="319"/>
        <v>-0.27909230312444561</v>
      </c>
      <c r="T989" s="39" t="str">
        <f t="shared" si="320"/>
        <v>Loss</v>
      </c>
      <c r="U989" s="39" t="str">
        <f t="shared" si="321"/>
        <v>20%+</v>
      </c>
      <c r="V989" s="39" t="str">
        <f>IF(E989&gt;=Analysis!$B$4,"High",IF(E989&gt;=Analysis!$B$5,"Mid","Low"))</f>
        <v>Low</v>
      </c>
      <c r="W989" s="39" t="str">
        <f t="shared" si="322"/>
        <v>2023-01</v>
      </c>
      <c r="X989" s="40">
        <f t="shared" si="323"/>
        <v>44957</v>
      </c>
      <c r="Y989" s="39" t="str">
        <f t="shared" si="324"/>
        <v>2023-Q1</v>
      </c>
      <c r="Z989" s="39" t="str">
        <f t="shared" si="325"/>
        <v>Wed</v>
      </c>
      <c r="AA989" s="39">
        <f t="shared" si="326"/>
        <v>3</v>
      </c>
      <c r="AB989" s="39">
        <f t="shared" si="327"/>
        <v>2</v>
      </c>
      <c r="AC989" s="39" t="str">
        <f t="shared" si="328"/>
        <v>Weekday</v>
      </c>
      <c r="AD989" s="39">
        <f t="shared" ca="1" si="329"/>
        <v>1389</v>
      </c>
      <c r="AE989" s="39">
        <f t="shared" ca="1" si="330"/>
        <v>45</v>
      </c>
      <c r="AF989" s="39" t="str">
        <f t="shared" si="331"/>
        <v>EVE</v>
      </c>
      <c r="AG989" s="39" t="str">
        <f t="shared" si="332"/>
        <v>NO-230104-0988</v>
      </c>
      <c r="AH989" s="39" t="str">
        <f>IF(AND(OR(Filter!$B$4="All",D989=Filter!$B$4),OR(Filter!$B$5="All",M989=Filter!$B$5),E989&gt;=Filter!$B$6),MAX(AH$1:AH988)+1,"")</f>
        <v/>
      </c>
      <c r="AI989" s="39">
        <f t="shared" si="333"/>
        <v>14</v>
      </c>
      <c r="AJ989" s="42">
        <f t="shared" si="334"/>
        <v>0.27</v>
      </c>
      <c r="AK989" s="41">
        <f t="shared" si="335"/>
        <v>4323.71</v>
      </c>
      <c r="AL989" s="39">
        <f>RANK(E989,$E$2:$E$1001,0)+COUNTIF($E$2:E989,E989)-1</f>
        <v>901</v>
      </c>
    </row>
    <row r="990" spans="1:38" x14ac:dyDescent="0.2">
      <c r="A990" s="39">
        <v>1044</v>
      </c>
      <c r="B990" s="40">
        <v>45146</v>
      </c>
      <c r="C990" s="39" t="s">
        <v>61</v>
      </c>
      <c r="D990" s="39" t="s">
        <v>64</v>
      </c>
      <c r="E990" s="41">
        <v>4912.6899999999996</v>
      </c>
      <c r="F990" s="39">
        <v>18</v>
      </c>
      <c r="G990" s="39" t="s">
        <v>60</v>
      </c>
      <c r="H990" s="41">
        <v>430.14</v>
      </c>
      <c r="I990" s="41">
        <v>641.17999999999995</v>
      </c>
      <c r="J990" s="39" t="s">
        <v>143</v>
      </c>
      <c r="K990" s="42">
        <v>0.13</v>
      </c>
      <c r="L990" s="39" t="s">
        <v>68</v>
      </c>
      <c r="M990" s="39" t="s">
        <v>138</v>
      </c>
      <c r="N990" s="39" t="s">
        <v>156</v>
      </c>
      <c r="O990" s="43">
        <f t="shared" si="315"/>
        <v>11541.24</v>
      </c>
      <c r="P990" s="43">
        <f t="shared" si="316"/>
        <v>10040.879999999999</v>
      </c>
      <c r="Q990" s="43">
        <f t="shared" si="317"/>
        <v>7742.52</v>
      </c>
      <c r="R990" s="43">
        <f t="shared" si="318"/>
        <v>2298.3599999999988</v>
      </c>
      <c r="S990" s="44">
        <f t="shared" si="319"/>
        <v>0.22890025575447559</v>
      </c>
      <c r="T990" s="39" t="str">
        <f t="shared" si="320"/>
        <v>OK</v>
      </c>
      <c r="U990" s="39" t="str">
        <f t="shared" si="321"/>
        <v>10-19%</v>
      </c>
      <c r="V990" s="39" t="str">
        <f>IF(E990&gt;=Analysis!$B$4,"High",IF(E990&gt;=Analysis!$B$5,"Mid","Low"))</f>
        <v>Mid</v>
      </c>
      <c r="W990" s="39" t="str">
        <f t="shared" si="322"/>
        <v>2023-08</v>
      </c>
      <c r="X990" s="40">
        <f t="shared" si="323"/>
        <v>45169</v>
      </c>
      <c r="Y990" s="39" t="str">
        <f t="shared" si="324"/>
        <v>2023-Q3</v>
      </c>
      <c r="Z990" s="39" t="str">
        <f t="shared" si="325"/>
        <v>Tue</v>
      </c>
      <c r="AA990" s="39">
        <f t="shared" si="326"/>
        <v>2</v>
      </c>
      <c r="AB990" s="39">
        <f t="shared" si="327"/>
        <v>33</v>
      </c>
      <c r="AC990" s="39" t="str">
        <f t="shared" si="328"/>
        <v>Weekday</v>
      </c>
      <c r="AD990" s="39">
        <f t="shared" ca="1" si="329"/>
        <v>1173</v>
      </c>
      <c r="AE990" s="39">
        <f t="shared" ca="1" si="330"/>
        <v>38</v>
      </c>
      <c r="AF990" s="39" t="str">
        <f t="shared" si="331"/>
        <v>ALI</v>
      </c>
      <c r="AG990" s="39" t="str">
        <f t="shared" si="332"/>
        <v>NO-230808-0989</v>
      </c>
      <c r="AH990" s="39" t="str">
        <f>IF(AND(OR(Filter!$B$4="All",D990=Filter!$B$4),OR(Filter!$B$5="All",M990=Filter!$B$5),E990&gt;=Filter!$B$6),MAX(AH$1:AH989)+1,"")</f>
        <v/>
      </c>
      <c r="AI990" s="39">
        <f t="shared" si="333"/>
        <v>18</v>
      </c>
      <c r="AJ990" s="42">
        <f t="shared" si="334"/>
        <v>0.13</v>
      </c>
      <c r="AK990" s="41">
        <f t="shared" si="335"/>
        <v>641.17999999999995</v>
      </c>
      <c r="AL990" s="39">
        <f>RANK(E990,$E$2:$E$1001,0)+COUNTIF($E$2:E990,E990)-1</f>
        <v>510</v>
      </c>
    </row>
    <row r="991" spans="1:38" x14ac:dyDescent="0.2">
      <c r="A991" s="39">
        <v>1025</v>
      </c>
      <c r="B991" s="40">
        <v>45290</v>
      </c>
      <c r="C991" s="39" t="s">
        <v>76</v>
      </c>
      <c r="D991" s="39" t="s">
        <v>74</v>
      </c>
      <c r="E991" s="41">
        <v>9215.32</v>
      </c>
      <c r="F991" s="39">
        <v>28</v>
      </c>
      <c r="G991" s="39" t="s">
        <v>65</v>
      </c>
      <c r="H991" s="41">
        <v>2097.84</v>
      </c>
      <c r="I991" s="41">
        <v>2270.9899999999998</v>
      </c>
      <c r="J991" s="39" t="s">
        <v>143</v>
      </c>
      <c r="K991" s="42">
        <v>0.13</v>
      </c>
      <c r="L991" s="39" t="s">
        <v>73</v>
      </c>
      <c r="M991" s="39" t="s">
        <v>140</v>
      </c>
      <c r="N991" s="39" t="s">
        <v>154</v>
      </c>
      <c r="O991" s="43">
        <f t="shared" si="315"/>
        <v>63587.72</v>
      </c>
      <c r="P991" s="43">
        <f t="shared" si="316"/>
        <v>55321.32</v>
      </c>
      <c r="Q991" s="43">
        <f t="shared" si="317"/>
        <v>58739.519999999997</v>
      </c>
      <c r="R991" s="43">
        <f t="shared" si="318"/>
        <v>-3418.1999999999971</v>
      </c>
      <c r="S991" s="44">
        <f t="shared" si="319"/>
        <v>-6.1788113515729506E-2</v>
      </c>
      <c r="T991" s="39" t="str">
        <f t="shared" si="320"/>
        <v>Loss</v>
      </c>
      <c r="U991" s="39" t="str">
        <f t="shared" si="321"/>
        <v>10-19%</v>
      </c>
      <c r="V991" s="39" t="str">
        <f>IF(E991&gt;=Analysis!$B$4,"High",IF(E991&gt;=Analysis!$B$5,"Mid","Low"))</f>
        <v>High</v>
      </c>
      <c r="W991" s="39" t="str">
        <f t="shared" si="322"/>
        <v>2023-12</v>
      </c>
      <c r="X991" s="40">
        <f t="shared" si="323"/>
        <v>45291</v>
      </c>
      <c r="Y991" s="39" t="str">
        <f t="shared" si="324"/>
        <v>2023-Q4</v>
      </c>
      <c r="Z991" s="39" t="str">
        <f t="shared" si="325"/>
        <v>Sat</v>
      </c>
      <c r="AA991" s="39">
        <f t="shared" si="326"/>
        <v>6</v>
      </c>
      <c r="AB991" s="39">
        <f t="shared" si="327"/>
        <v>53</v>
      </c>
      <c r="AC991" s="39" t="str">
        <f t="shared" si="328"/>
        <v>Weekend</v>
      </c>
      <c r="AD991" s="39">
        <f t="shared" ca="1" si="329"/>
        <v>1029</v>
      </c>
      <c r="AE991" s="39">
        <f t="shared" ca="1" si="330"/>
        <v>33</v>
      </c>
      <c r="AF991" s="39" t="str">
        <f t="shared" si="331"/>
        <v>DAV</v>
      </c>
      <c r="AG991" s="39" t="str">
        <f t="shared" si="332"/>
        <v>WR-231230-0990</v>
      </c>
      <c r="AH991" s="39">
        <f>IF(AND(OR(Filter!$B$4="All",D991=Filter!$B$4),OR(Filter!$B$5="All",M991=Filter!$B$5),E991&gt;=Filter!$B$6),MAX(AH$1:AH990)+1,"")</f>
        <v>89</v>
      </c>
      <c r="AI991" s="39">
        <f t="shared" si="333"/>
        <v>28</v>
      </c>
      <c r="AJ991" s="42">
        <f t="shared" si="334"/>
        <v>0.13</v>
      </c>
      <c r="AK991" s="41">
        <f t="shared" si="335"/>
        <v>2270.9899999999998</v>
      </c>
      <c r="AL991" s="39">
        <f>RANK(E991,$E$2:$E$1001,0)+COUNTIF($E$2:E991,E991)-1</f>
        <v>76</v>
      </c>
    </row>
    <row r="992" spans="1:38" x14ac:dyDescent="0.2">
      <c r="A992" s="39">
        <v>1017</v>
      </c>
      <c r="B992" s="40">
        <v>44946</v>
      </c>
      <c r="C992" s="39" t="s">
        <v>66</v>
      </c>
      <c r="D992" s="39" t="s">
        <v>59</v>
      </c>
      <c r="E992" s="41">
        <v>496.59</v>
      </c>
      <c r="F992" s="39">
        <v>29</v>
      </c>
      <c r="G992" s="39" t="s">
        <v>60</v>
      </c>
      <c r="H992" s="41">
        <v>3410.49</v>
      </c>
      <c r="I992" s="41">
        <v>3481.72</v>
      </c>
      <c r="J992" s="39" t="s">
        <v>143</v>
      </c>
      <c r="K992" s="42">
        <v>0.24</v>
      </c>
      <c r="L992" s="39" t="s">
        <v>63</v>
      </c>
      <c r="M992" s="39" t="s">
        <v>140</v>
      </c>
      <c r="N992" s="39" t="s">
        <v>153</v>
      </c>
      <c r="O992" s="43">
        <f t="shared" si="315"/>
        <v>100969.88</v>
      </c>
      <c r="P992" s="43">
        <f t="shared" si="316"/>
        <v>76737.11</v>
      </c>
      <c r="Q992" s="43">
        <f t="shared" si="317"/>
        <v>98904.21</v>
      </c>
      <c r="R992" s="43">
        <f t="shared" si="318"/>
        <v>-22167.100000000006</v>
      </c>
      <c r="S992" s="44">
        <f t="shared" si="319"/>
        <v>-0.288870665053714</v>
      </c>
      <c r="T992" s="39" t="str">
        <f t="shared" si="320"/>
        <v>Loss</v>
      </c>
      <c r="U992" s="39" t="str">
        <f t="shared" si="321"/>
        <v>20%+</v>
      </c>
      <c r="V992" s="39" t="str">
        <f>IF(E992&gt;=Analysis!$B$4,"High",IF(E992&gt;=Analysis!$B$5,"Mid","Low"))</f>
        <v>Low</v>
      </c>
      <c r="W992" s="39" t="str">
        <f t="shared" si="322"/>
        <v>2023-01</v>
      </c>
      <c r="X992" s="40">
        <f t="shared" si="323"/>
        <v>44957</v>
      </c>
      <c r="Y992" s="39" t="str">
        <f t="shared" si="324"/>
        <v>2023-Q1</v>
      </c>
      <c r="Z992" s="39" t="str">
        <f t="shared" si="325"/>
        <v>Fri</v>
      </c>
      <c r="AA992" s="39">
        <f t="shared" si="326"/>
        <v>5</v>
      </c>
      <c r="AB992" s="39">
        <f t="shared" si="327"/>
        <v>4</v>
      </c>
      <c r="AC992" s="39" t="str">
        <f t="shared" si="328"/>
        <v>Weekday</v>
      </c>
      <c r="AD992" s="39">
        <f t="shared" ca="1" si="329"/>
        <v>1373</v>
      </c>
      <c r="AE992" s="39">
        <f t="shared" ca="1" si="330"/>
        <v>45</v>
      </c>
      <c r="AF992" s="39" t="str">
        <f t="shared" si="331"/>
        <v>BOB</v>
      </c>
      <c r="AG992" s="39" t="str">
        <f t="shared" si="332"/>
        <v>ER-230120-0991</v>
      </c>
      <c r="AH992" s="39" t="str">
        <f>IF(AND(OR(Filter!$B$4="All",D992=Filter!$B$4),OR(Filter!$B$5="All",M992=Filter!$B$5),E992&gt;=Filter!$B$6),MAX(AH$1:AH991)+1,"")</f>
        <v/>
      </c>
      <c r="AI992" s="39">
        <f t="shared" si="333"/>
        <v>29</v>
      </c>
      <c r="AJ992" s="42">
        <f t="shared" si="334"/>
        <v>0.24</v>
      </c>
      <c r="AK992" s="41">
        <f t="shared" si="335"/>
        <v>3481.72</v>
      </c>
      <c r="AL992" s="39">
        <f>RANK(E992,$E$2:$E$1001,0)+COUNTIF($E$2:E992,E992)-1</f>
        <v>959</v>
      </c>
    </row>
    <row r="993" spans="1:38" x14ac:dyDescent="0.2">
      <c r="A993" s="39">
        <v>1013</v>
      </c>
      <c r="B993" s="40">
        <v>45078</v>
      </c>
      <c r="C993" s="39" t="s">
        <v>71</v>
      </c>
      <c r="D993" s="39" t="s">
        <v>59</v>
      </c>
      <c r="E993" s="41">
        <v>2985.46</v>
      </c>
      <c r="F993" s="39">
        <v>16</v>
      </c>
      <c r="G993" s="39" t="s">
        <v>75</v>
      </c>
      <c r="H993" s="41">
        <v>1222.1500000000001</v>
      </c>
      <c r="I993" s="41">
        <v>1284.3599999999999</v>
      </c>
      <c r="J993" s="39" t="s">
        <v>137</v>
      </c>
      <c r="K993" s="42">
        <v>0.03</v>
      </c>
      <c r="L993" s="39" t="s">
        <v>73</v>
      </c>
      <c r="M993" s="39" t="s">
        <v>140</v>
      </c>
      <c r="N993" s="39" t="s">
        <v>145</v>
      </c>
      <c r="O993" s="43">
        <f t="shared" si="315"/>
        <v>20549.759999999998</v>
      </c>
      <c r="P993" s="43">
        <f t="shared" si="316"/>
        <v>19933.27</v>
      </c>
      <c r="Q993" s="43">
        <f t="shared" si="317"/>
        <v>19554.400000000001</v>
      </c>
      <c r="R993" s="43">
        <f t="shared" si="318"/>
        <v>378.86999999999898</v>
      </c>
      <c r="S993" s="44">
        <f t="shared" si="319"/>
        <v>1.9006916577159642E-2</v>
      </c>
      <c r="T993" s="39" t="str">
        <f t="shared" si="320"/>
        <v>OK</v>
      </c>
      <c r="U993" s="39" t="str">
        <f t="shared" si="321"/>
        <v>0-9%</v>
      </c>
      <c r="V993" s="39" t="str">
        <f>IF(E993&gt;=Analysis!$B$4,"High",IF(E993&gt;=Analysis!$B$5,"Mid","Low"))</f>
        <v>Mid</v>
      </c>
      <c r="W993" s="39" t="str">
        <f t="shared" si="322"/>
        <v>2023-06</v>
      </c>
      <c r="X993" s="40">
        <f t="shared" si="323"/>
        <v>45107</v>
      </c>
      <c r="Y993" s="39" t="str">
        <f t="shared" si="324"/>
        <v>2023-Q2</v>
      </c>
      <c r="Z993" s="39" t="str">
        <f t="shared" si="325"/>
        <v>Thu</v>
      </c>
      <c r="AA993" s="39">
        <f t="shared" si="326"/>
        <v>4</v>
      </c>
      <c r="AB993" s="39">
        <f t="shared" si="327"/>
        <v>23</v>
      </c>
      <c r="AC993" s="39" t="str">
        <f t="shared" si="328"/>
        <v>Weekday</v>
      </c>
      <c r="AD993" s="39">
        <f t="shared" ca="1" si="329"/>
        <v>1241</v>
      </c>
      <c r="AE993" s="39">
        <f t="shared" ca="1" si="330"/>
        <v>40</v>
      </c>
      <c r="AF993" s="39" t="str">
        <f t="shared" si="331"/>
        <v>CHA</v>
      </c>
      <c r="AG993" s="39" t="str">
        <f t="shared" si="332"/>
        <v>ER-230601-0992</v>
      </c>
      <c r="AH993" s="39" t="str">
        <f>IF(AND(OR(Filter!$B$4="All",D993=Filter!$B$4),OR(Filter!$B$5="All",M993=Filter!$B$5),E993&gt;=Filter!$B$6),MAX(AH$1:AH992)+1,"")</f>
        <v/>
      </c>
      <c r="AI993" s="39">
        <f t="shared" si="333"/>
        <v>16</v>
      </c>
      <c r="AJ993" s="42">
        <f t="shared" si="334"/>
        <v>0.03</v>
      </c>
      <c r="AK993" s="41">
        <f t="shared" si="335"/>
        <v>1284.3599999999999</v>
      </c>
      <c r="AL993" s="39">
        <f>RANK(E993,$E$2:$E$1001,0)+COUNTIF($E$2:E993,E993)-1</f>
        <v>695</v>
      </c>
    </row>
    <row r="994" spans="1:38" x14ac:dyDescent="0.2">
      <c r="A994" s="39">
        <v>1084</v>
      </c>
      <c r="B994" s="40">
        <v>44976</v>
      </c>
      <c r="C994" s="39" t="s">
        <v>76</v>
      </c>
      <c r="D994" s="39" t="s">
        <v>74</v>
      </c>
      <c r="E994" s="41">
        <v>2154.66</v>
      </c>
      <c r="F994" s="39">
        <v>35</v>
      </c>
      <c r="G994" s="39" t="s">
        <v>70</v>
      </c>
      <c r="H994" s="41">
        <v>465.61</v>
      </c>
      <c r="I994" s="41">
        <v>812.91</v>
      </c>
      <c r="J994" s="39" t="s">
        <v>143</v>
      </c>
      <c r="K994" s="42">
        <v>0.16</v>
      </c>
      <c r="L994" s="39" t="s">
        <v>63</v>
      </c>
      <c r="M994" s="39" t="s">
        <v>138</v>
      </c>
      <c r="N994" s="39" t="s">
        <v>154</v>
      </c>
      <c r="O994" s="43">
        <f t="shared" si="315"/>
        <v>28451.85</v>
      </c>
      <c r="P994" s="43">
        <f t="shared" si="316"/>
        <v>23899.55</v>
      </c>
      <c r="Q994" s="43">
        <f t="shared" si="317"/>
        <v>16296.35</v>
      </c>
      <c r="R994" s="43">
        <f t="shared" si="318"/>
        <v>7603.1999999999989</v>
      </c>
      <c r="S994" s="44">
        <f t="shared" si="319"/>
        <v>0.31813151293643599</v>
      </c>
      <c r="T994" s="39" t="str">
        <f t="shared" si="320"/>
        <v>OK</v>
      </c>
      <c r="U994" s="39" t="str">
        <f t="shared" si="321"/>
        <v>10-19%</v>
      </c>
      <c r="V994" s="39" t="str">
        <f>IF(E994&gt;=Analysis!$B$4,"High",IF(E994&gt;=Analysis!$B$5,"Mid","Low"))</f>
        <v>Low</v>
      </c>
      <c r="W994" s="39" t="str">
        <f t="shared" si="322"/>
        <v>2023-02</v>
      </c>
      <c r="X994" s="40">
        <f t="shared" si="323"/>
        <v>44985</v>
      </c>
      <c r="Y994" s="39" t="str">
        <f t="shared" si="324"/>
        <v>2023-Q1</v>
      </c>
      <c r="Z994" s="39" t="str">
        <f t="shared" si="325"/>
        <v>Sun</v>
      </c>
      <c r="AA994" s="39">
        <f t="shared" si="326"/>
        <v>7</v>
      </c>
      <c r="AB994" s="39">
        <f t="shared" si="327"/>
        <v>8</v>
      </c>
      <c r="AC994" s="39" t="str">
        <f t="shared" si="328"/>
        <v>Weekend</v>
      </c>
      <c r="AD994" s="39">
        <f t="shared" ca="1" si="329"/>
        <v>1343</v>
      </c>
      <c r="AE994" s="39">
        <f t="shared" ca="1" si="330"/>
        <v>44</v>
      </c>
      <c r="AF994" s="39" t="str">
        <f t="shared" si="331"/>
        <v>DAV</v>
      </c>
      <c r="AG994" s="39" t="str">
        <f t="shared" si="332"/>
        <v>WO-230219-0993</v>
      </c>
      <c r="AH994" s="39" t="str">
        <f>IF(AND(OR(Filter!$B$4="All",D994=Filter!$B$4),OR(Filter!$B$5="All",M994=Filter!$B$5),E994&gt;=Filter!$B$6),MAX(AH$1:AH993)+1,"")</f>
        <v/>
      </c>
      <c r="AI994" s="39">
        <f t="shared" si="333"/>
        <v>35</v>
      </c>
      <c r="AJ994" s="42">
        <f t="shared" si="334"/>
        <v>0.16</v>
      </c>
      <c r="AK994" s="41">
        <f t="shared" si="335"/>
        <v>812.91</v>
      </c>
      <c r="AL994" s="39">
        <f>RANK(E994,$E$2:$E$1001,0)+COUNTIF($E$2:E994,E994)-1</f>
        <v>797</v>
      </c>
    </row>
    <row r="995" spans="1:38" x14ac:dyDescent="0.2">
      <c r="A995" s="39">
        <v>1025</v>
      </c>
      <c r="B995" s="40">
        <v>45103</v>
      </c>
      <c r="C995" s="39" t="s">
        <v>76</v>
      </c>
      <c r="D995" s="39" t="s">
        <v>64</v>
      </c>
      <c r="E995" s="41">
        <v>2457.65</v>
      </c>
      <c r="F995" s="39">
        <v>47</v>
      </c>
      <c r="G995" s="39" t="s">
        <v>75</v>
      </c>
      <c r="H995" s="41">
        <v>3861.61</v>
      </c>
      <c r="I995" s="41">
        <v>3998.91</v>
      </c>
      <c r="J995" s="39" t="s">
        <v>143</v>
      </c>
      <c r="K995" s="42">
        <v>0.25</v>
      </c>
      <c r="L995" s="39" t="s">
        <v>73</v>
      </c>
      <c r="M995" s="39" t="s">
        <v>138</v>
      </c>
      <c r="N995" s="39" t="s">
        <v>152</v>
      </c>
      <c r="O995" s="43">
        <f t="shared" si="315"/>
        <v>187948.77</v>
      </c>
      <c r="P995" s="43">
        <f t="shared" si="316"/>
        <v>140961.57999999999</v>
      </c>
      <c r="Q995" s="43">
        <f t="shared" si="317"/>
        <v>181495.67</v>
      </c>
      <c r="R995" s="43">
        <f t="shared" si="318"/>
        <v>-40534.090000000026</v>
      </c>
      <c r="S995" s="44">
        <f t="shared" si="319"/>
        <v>-0.28755416901541564</v>
      </c>
      <c r="T995" s="39" t="str">
        <f t="shared" si="320"/>
        <v>Loss</v>
      </c>
      <c r="U995" s="39" t="str">
        <f t="shared" si="321"/>
        <v>20%+</v>
      </c>
      <c r="V995" s="39" t="str">
        <f>IF(E995&gt;=Analysis!$B$4,"High",IF(E995&gt;=Analysis!$B$5,"Mid","Low"))</f>
        <v>Low</v>
      </c>
      <c r="W995" s="39" t="str">
        <f t="shared" si="322"/>
        <v>2023-06</v>
      </c>
      <c r="X995" s="40">
        <f t="shared" si="323"/>
        <v>45107</v>
      </c>
      <c r="Y995" s="39" t="str">
        <f t="shared" si="324"/>
        <v>2023-Q2</v>
      </c>
      <c r="Z995" s="39" t="str">
        <f t="shared" si="325"/>
        <v>Mon</v>
      </c>
      <c r="AA995" s="39">
        <f t="shared" si="326"/>
        <v>1</v>
      </c>
      <c r="AB995" s="39">
        <f t="shared" si="327"/>
        <v>27</v>
      </c>
      <c r="AC995" s="39" t="str">
        <f t="shared" si="328"/>
        <v>Weekday</v>
      </c>
      <c r="AD995" s="39">
        <f t="shared" ca="1" si="329"/>
        <v>1216</v>
      </c>
      <c r="AE995" s="39">
        <f t="shared" ca="1" si="330"/>
        <v>39</v>
      </c>
      <c r="AF995" s="39" t="str">
        <f t="shared" si="331"/>
        <v>DAV</v>
      </c>
      <c r="AG995" s="39" t="str">
        <f t="shared" si="332"/>
        <v>NO-230626-0994</v>
      </c>
      <c r="AH995" s="39" t="str">
        <f>IF(AND(OR(Filter!$B$4="All",D995=Filter!$B$4),OR(Filter!$B$5="All",M995=Filter!$B$5),E995&gt;=Filter!$B$6),MAX(AH$1:AH994)+1,"")</f>
        <v/>
      </c>
      <c r="AI995" s="39">
        <f t="shared" si="333"/>
        <v>47</v>
      </c>
      <c r="AJ995" s="42">
        <f t="shared" si="334"/>
        <v>0.25</v>
      </c>
      <c r="AK995" s="41">
        <f t="shared" si="335"/>
        <v>3998.91</v>
      </c>
      <c r="AL995" s="39">
        <f>RANK(E995,$E$2:$E$1001,0)+COUNTIF($E$2:E995,E995)-1</f>
        <v>762</v>
      </c>
    </row>
    <row r="996" spans="1:38" x14ac:dyDescent="0.2">
      <c r="A996" s="39">
        <v>1068</v>
      </c>
      <c r="B996" s="40">
        <v>45022</v>
      </c>
      <c r="C996" s="39" t="s">
        <v>61</v>
      </c>
      <c r="D996" s="39" t="s">
        <v>69</v>
      </c>
      <c r="E996" s="41">
        <v>9093.5</v>
      </c>
      <c r="F996" s="39">
        <v>31</v>
      </c>
      <c r="G996" s="39" t="s">
        <v>60</v>
      </c>
      <c r="H996" s="41">
        <v>3169.37</v>
      </c>
      <c r="I996" s="41">
        <v>3304.15</v>
      </c>
      <c r="J996" s="39" t="s">
        <v>137</v>
      </c>
      <c r="K996" s="42">
        <v>0.25</v>
      </c>
      <c r="L996" s="39" t="s">
        <v>73</v>
      </c>
      <c r="M996" s="39" t="s">
        <v>140</v>
      </c>
      <c r="N996" s="39" t="s">
        <v>150</v>
      </c>
      <c r="O996" s="43">
        <f t="shared" si="315"/>
        <v>102428.65</v>
      </c>
      <c r="P996" s="43">
        <f t="shared" si="316"/>
        <v>76821.490000000005</v>
      </c>
      <c r="Q996" s="43">
        <f t="shared" si="317"/>
        <v>98250.47</v>
      </c>
      <c r="R996" s="43">
        <f t="shared" si="318"/>
        <v>-21428.979999999996</v>
      </c>
      <c r="S996" s="44">
        <f t="shared" si="319"/>
        <v>-0.27894512329818122</v>
      </c>
      <c r="T996" s="39" t="str">
        <f t="shared" si="320"/>
        <v>Loss</v>
      </c>
      <c r="U996" s="39" t="str">
        <f t="shared" si="321"/>
        <v>20%+</v>
      </c>
      <c r="V996" s="39" t="str">
        <f>IF(E996&gt;=Analysis!$B$4,"High",IF(E996&gt;=Analysis!$B$5,"Mid","Low"))</f>
        <v>High</v>
      </c>
      <c r="W996" s="39" t="str">
        <f t="shared" si="322"/>
        <v>2023-04</v>
      </c>
      <c r="X996" s="40">
        <f t="shared" si="323"/>
        <v>45046</v>
      </c>
      <c r="Y996" s="39" t="str">
        <f t="shared" si="324"/>
        <v>2023-Q2</v>
      </c>
      <c r="Z996" s="39" t="str">
        <f t="shared" si="325"/>
        <v>Thu</v>
      </c>
      <c r="AA996" s="39">
        <f t="shared" si="326"/>
        <v>4</v>
      </c>
      <c r="AB996" s="39">
        <f t="shared" si="327"/>
        <v>15</v>
      </c>
      <c r="AC996" s="39" t="str">
        <f t="shared" si="328"/>
        <v>Weekday</v>
      </c>
      <c r="AD996" s="39">
        <f t="shared" ca="1" si="329"/>
        <v>1297</v>
      </c>
      <c r="AE996" s="39">
        <f t="shared" ca="1" si="330"/>
        <v>42</v>
      </c>
      <c r="AF996" s="39" t="str">
        <f t="shared" si="331"/>
        <v>ALI</v>
      </c>
      <c r="AG996" s="39" t="str">
        <f t="shared" si="332"/>
        <v>SR-230406-0995</v>
      </c>
      <c r="AH996" s="39">
        <f>IF(AND(OR(Filter!$B$4="All",D996=Filter!$B$4),OR(Filter!$B$5="All",M996=Filter!$B$5),E996&gt;=Filter!$B$6),MAX(AH$1:AH995)+1,"")</f>
        <v>90</v>
      </c>
      <c r="AI996" s="39">
        <f t="shared" si="333"/>
        <v>31</v>
      </c>
      <c r="AJ996" s="42">
        <f t="shared" si="334"/>
        <v>0.25</v>
      </c>
      <c r="AK996" s="41">
        <f t="shared" si="335"/>
        <v>3304.15</v>
      </c>
      <c r="AL996" s="39">
        <f>RANK(E996,$E$2:$E$1001,0)+COUNTIF($E$2:E996,E996)-1</f>
        <v>83</v>
      </c>
    </row>
    <row r="997" spans="1:38" x14ac:dyDescent="0.2">
      <c r="A997" s="39">
        <v>1010</v>
      </c>
      <c r="B997" s="40">
        <v>45031</v>
      </c>
      <c r="C997" s="39" t="s">
        <v>71</v>
      </c>
      <c r="D997" s="39" t="s">
        <v>64</v>
      </c>
      <c r="E997" s="41">
        <v>4733.88</v>
      </c>
      <c r="F997" s="39">
        <v>4</v>
      </c>
      <c r="G997" s="39" t="s">
        <v>70</v>
      </c>
      <c r="H997" s="41">
        <v>4943.03</v>
      </c>
      <c r="I997" s="41">
        <v>5442.15</v>
      </c>
      <c r="J997" s="39" t="s">
        <v>137</v>
      </c>
      <c r="K997" s="42">
        <v>0.28999999999999998</v>
      </c>
      <c r="L997" s="39" t="s">
        <v>68</v>
      </c>
      <c r="M997" s="39" t="s">
        <v>138</v>
      </c>
      <c r="N997" s="39" t="s">
        <v>160</v>
      </c>
      <c r="O997" s="43">
        <f t="shared" si="315"/>
        <v>21768.6</v>
      </c>
      <c r="P997" s="43">
        <f t="shared" si="316"/>
        <v>15455.71</v>
      </c>
      <c r="Q997" s="43">
        <f t="shared" si="317"/>
        <v>19772.12</v>
      </c>
      <c r="R997" s="43">
        <f t="shared" si="318"/>
        <v>-4316.41</v>
      </c>
      <c r="S997" s="44">
        <f t="shared" si="319"/>
        <v>-0.27927607337352994</v>
      </c>
      <c r="T997" s="39" t="str">
        <f t="shared" si="320"/>
        <v>Loss</v>
      </c>
      <c r="U997" s="39" t="str">
        <f t="shared" si="321"/>
        <v>20%+</v>
      </c>
      <c r="V997" s="39" t="str">
        <f>IF(E997&gt;=Analysis!$B$4,"High",IF(E997&gt;=Analysis!$B$5,"Mid","Low"))</f>
        <v>Mid</v>
      </c>
      <c r="W997" s="39" t="str">
        <f t="shared" si="322"/>
        <v>2023-04</v>
      </c>
      <c r="X997" s="40">
        <f t="shared" si="323"/>
        <v>45046</v>
      </c>
      <c r="Y997" s="39" t="str">
        <f t="shared" si="324"/>
        <v>2023-Q2</v>
      </c>
      <c r="Z997" s="39" t="str">
        <f t="shared" si="325"/>
        <v>Sat</v>
      </c>
      <c r="AA997" s="39">
        <f t="shared" si="326"/>
        <v>6</v>
      </c>
      <c r="AB997" s="39">
        <f t="shared" si="327"/>
        <v>16</v>
      </c>
      <c r="AC997" s="39" t="str">
        <f t="shared" si="328"/>
        <v>Weekend</v>
      </c>
      <c r="AD997" s="39">
        <f t="shared" ca="1" si="329"/>
        <v>1288</v>
      </c>
      <c r="AE997" s="39">
        <f t="shared" ca="1" si="330"/>
        <v>42</v>
      </c>
      <c r="AF997" s="39" t="str">
        <f t="shared" si="331"/>
        <v>CHA</v>
      </c>
      <c r="AG997" s="39" t="str">
        <f t="shared" si="332"/>
        <v>NO-230415-0996</v>
      </c>
      <c r="AH997" s="39" t="str">
        <f>IF(AND(OR(Filter!$B$4="All",D997=Filter!$B$4),OR(Filter!$B$5="All",M997=Filter!$B$5),E997&gt;=Filter!$B$6),MAX(AH$1:AH996)+1,"")</f>
        <v/>
      </c>
      <c r="AI997" s="39">
        <f t="shared" si="333"/>
        <v>4</v>
      </c>
      <c r="AJ997" s="42">
        <f t="shared" si="334"/>
        <v>0.28999999999999998</v>
      </c>
      <c r="AK997" s="41">
        <f t="shared" si="335"/>
        <v>5442.15</v>
      </c>
      <c r="AL997" s="39">
        <f>RANK(E997,$E$2:$E$1001,0)+COUNTIF($E$2:E997,E997)-1</f>
        <v>526</v>
      </c>
    </row>
    <row r="998" spans="1:38" x14ac:dyDescent="0.2">
      <c r="A998" s="39">
        <v>1067</v>
      </c>
      <c r="B998" s="40">
        <v>45176</v>
      </c>
      <c r="C998" s="39" t="s">
        <v>66</v>
      </c>
      <c r="D998" s="39" t="s">
        <v>64</v>
      </c>
      <c r="E998" s="41">
        <v>4716.3599999999997</v>
      </c>
      <c r="F998" s="39">
        <v>37</v>
      </c>
      <c r="G998" s="39" t="s">
        <v>60</v>
      </c>
      <c r="H998" s="41">
        <v>1754.32</v>
      </c>
      <c r="I998" s="41">
        <v>1856.4</v>
      </c>
      <c r="J998" s="39" t="s">
        <v>143</v>
      </c>
      <c r="K998" s="42">
        <v>0.21</v>
      </c>
      <c r="L998" s="39" t="s">
        <v>63</v>
      </c>
      <c r="M998" s="39" t="s">
        <v>140</v>
      </c>
      <c r="N998" s="39" t="s">
        <v>139</v>
      </c>
      <c r="O998" s="43">
        <f t="shared" si="315"/>
        <v>68686.8</v>
      </c>
      <c r="P998" s="43">
        <f t="shared" si="316"/>
        <v>54262.57</v>
      </c>
      <c r="Q998" s="43">
        <f t="shared" si="317"/>
        <v>64909.84</v>
      </c>
      <c r="R998" s="43">
        <f t="shared" si="318"/>
        <v>-10647.269999999997</v>
      </c>
      <c r="S998" s="44">
        <f t="shared" si="319"/>
        <v>-0.19621757686744282</v>
      </c>
      <c r="T998" s="39" t="str">
        <f t="shared" si="320"/>
        <v>Loss</v>
      </c>
      <c r="U998" s="39" t="str">
        <f t="shared" si="321"/>
        <v>20%+</v>
      </c>
      <c r="V998" s="39" t="str">
        <f>IF(E998&gt;=Analysis!$B$4,"High",IF(E998&gt;=Analysis!$B$5,"Mid","Low"))</f>
        <v>Mid</v>
      </c>
      <c r="W998" s="39" t="str">
        <f t="shared" si="322"/>
        <v>2023-09</v>
      </c>
      <c r="X998" s="40">
        <f t="shared" si="323"/>
        <v>45199</v>
      </c>
      <c r="Y998" s="39" t="str">
        <f t="shared" si="324"/>
        <v>2023-Q3</v>
      </c>
      <c r="Z998" s="39" t="str">
        <f t="shared" si="325"/>
        <v>Thu</v>
      </c>
      <c r="AA998" s="39">
        <f t="shared" si="326"/>
        <v>4</v>
      </c>
      <c r="AB998" s="39">
        <f t="shared" si="327"/>
        <v>37</v>
      </c>
      <c r="AC998" s="39" t="str">
        <f t="shared" si="328"/>
        <v>Weekday</v>
      </c>
      <c r="AD998" s="39">
        <f t="shared" ca="1" si="329"/>
        <v>1143</v>
      </c>
      <c r="AE998" s="39">
        <f t="shared" ca="1" si="330"/>
        <v>37</v>
      </c>
      <c r="AF998" s="39" t="str">
        <f t="shared" si="331"/>
        <v>BOB</v>
      </c>
      <c r="AG998" s="39" t="str">
        <f t="shared" si="332"/>
        <v>NR-230907-0997</v>
      </c>
      <c r="AH998" s="39" t="str">
        <f>IF(AND(OR(Filter!$B$4="All",D998=Filter!$B$4),OR(Filter!$B$5="All",M998=Filter!$B$5),E998&gt;=Filter!$B$6),MAX(AH$1:AH997)+1,"")</f>
        <v/>
      </c>
      <c r="AI998" s="39">
        <f t="shared" si="333"/>
        <v>37</v>
      </c>
      <c r="AJ998" s="42">
        <f t="shared" si="334"/>
        <v>0.21</v>
      </c>
      <c r="AK998" s="41">
        <f t="shared" si="335"/>
        <v>1856.4</v>
      </c>
      <c r="AL998" s="39">
        <f>RANK(E998,$E$2:$E$1001,0)+COUNTIF($E$2:E998,E998)-1</f>
        <v>528</v>
      </c>
    </row>
    <row r="999" spans="1:38" x14ac:dyDescent="0.2">
      <c r="A999" s="39">
        <v>1018</v>
      </c>
      <c r="B999" s="40">
        <v>45043</v>
      </c>
      <c r="C999" s="39" t="s">
        <v>76</v>
      </c>
      <c r="D999" s="39" t="s">
        <v>69</v>
      </c>
      <c r="E999" s="41">
        <v>7629.7</v>
      </c>
      <c r="F999" s="39">
        <v>17</v>
      </c>
      <c r="G999" s="39" t="s">
        <v>60</v>
      </c>
      <c r="H999" s="41">
        <v>355.72</v>
      </c>
      <c r="I999" s="41">
        <v>438.27</v>
      </c>
      <c r="J999" s="39" t="s">
        <v>137</v>
      </c>
      <c r="K999" s="42">
        <v>0.06</v>
      </c>
      <c r="L999" s="39" t="s">
        <v>63</v>
      </c>
      <c r="M999" s="39" t="s">
        <v>138</v>
      </c>
      <c r="N999" s="39" t="s">
        <v>142</v>
      </c>
      <c r="O999" s="43">
        <f t="shared" si="315"/>
        <v>7450.59</v>
      </c>
      <c r="P999" s="43">
        <f t="shared" si="316"/>
        <v>7003.55</v>
      </c>
      <c r="Q999" s="43">
        <f t="shared" si="317"/>
        <v>6047.24</v>
      </c>
      <c r="R999" s="43">
        <f t="shared" si="318"/>
        <v>956.3100000000004</v>
      </c>
      <c r="S999" s="44">
        <f t="shared" si="319"/>
        <v>0.13654646572095586</v>
      </c>
      <c r="T999" s="39" t="str">
        <f t="shared" si="320"/>
        <v>OK</v>
      </c>
      <c r="U999" s="39" t="str">
        <f t="shared" si="321"/>
        <v>0-9%</v>
      </c>
      <c r="V999" s="39" t="str">
        <f>IF(E999&gt;=Analysis!$B$4,"High",IF(E999&gt;=Analysis!$B$5,"Mid","Low"))</f>
        <v>High</v>
      </c>
      <c r="W999" s="39" t="str">
        <f t="shared" si="322"/>
        <v>2023-04</v>
      </c>
      <c r="X999" s="40">
        <f t="shared" si="323"/>
        <v>45046</v>
      </c>
      <c r="Y999" s="39" t="str">
        <f t="shared" si="324"/>
        <v>2023-Q2</v>
      </c>
      <c r="Z999" s="39" t="str">
        <f t="shared" si="325"/>
        <v>Thu</v>
      </c>
      <c r="AA999" s="39">
        <f t="shared" si="326"/>
        <v>4</v>
      </c>
      <c r="AB999" s="39">
        <f t="shared" si="327"/>
        <v>18</v>
      </c>
      <c r="AC999" s="39" t="str">
        <f t="shared" si="328"/>
        <v>Weekday</v>
      </c>
      <c r="AD999" s="39">
        <f t="shared" ca="1" si="329"/>
        <v>1276</v>
      </c>
      <c r="AE999" s="39">
        <f t="shared" ca="1" si="330"/>
        <v>41</v>
      </c>
      <c r="AF999" s="39" t="str">
        <f t="shared" si="331"/>
        <v>DAV</v>
      </c>
      <c r="AG999" s="39" t="str">
        <f t="shared" si="332"/>
        <v>SO-230427-0998</v>
      </c>
      <c r="AH999" s="39" t="str">
        <f>IF(AND(OR(Filter!$B$4="All",D999=Filter!$B$4),OR(Filter!$B$5="All",M999=Filter!$B$5),E999&gt;=Filter!$B$6),MAX(AH$1:AH998)+1,"")</f>
        <v/>
      </c>
      <c r="AI999" s="39">
        <f t="shared" si="333"/>
        <v>17</v>
      </c>
      <c r="AJ999" s="42">
        <f t="shared" si="334"/>
        <v>0.06</v>
      </c>
      <c r="AK999" s="41">
        <f t="shared" si="335"/>
        <v>438.27</v>
      </c>
      <c r="AL999" s="39">
        <f>RANK(E999,$E$2:$E$1001,0)+COUNTIF($E$2:E999,E999)-1</f>
        <v>236</v>
      </c>
    </row>
    <row r="1000" spans="1:38" x14ac:dyDescent="0.2">
      <c r="A1000" s="39">
        <v>1100</v>
      </c>
      <c r="B1000" s="40">
        <v>45280</v>
      </c>
      <c r="C1000" s="39" t="s">
        <v>76</v>
      </c>
      <c r="D1000" s="39" t="s">
        <v>74</v>
      </c>
      <c r="E1000" s="41">
        <v>1629.47</v>
      </c>
      <c r="F1000" s="39">
        <v>39</v>
      </c>
      <c r="G1000" s="39" t="s">
        <v>65</v>
      </c>
      <c r="H1000" s="41">
        <v>3685.03</v>
      </c>
      <c r="I1000" s="41">
        <v>3743.39</v>
      </c>
      <c r="J1000" s="39" t="s">
        <v>143</v>
      </c>
      <c r="K1000" s="42">
        <v>0.01</v>
      </c>
      <c r="L1000" s="39" t="s">
        <v>63</v>
      </c>
      <c r="M1000" s="39" t="s">
        <v>138</v>
      </c>
      <c r="N1000" s="39" t="s">
        <v>154</v>
      </c>
      <c r="O1000" s="43">
        <f t="shared" si="315"/>
        <v>145992.21</v>
      </c>
      <c r="P1000" s="43">
        <f t="shared" si="316"/>
        <v>144532.29</v>
      </c>
      <c r="Q1000" s="43">
        <f t="shared" si="317"/>
        <v>143716.17000000001</v>
      </c>
      <c r="R1000" s="43">
        <f t="shared" si="318"/>
        <v>816.11999999999534</v>
      </c>
      <c r="S1000" s="44">
        <f t="shared" si="319"/>
        <v>5.6466274768080908E-3</v>
      </c>
      <c r="T1000" s="39" t="str">
        <f t="shared" si="320"/>
        <v>OK</v>
      </c>
      <c r="U1000" s="39" t="str">
        <f t="shared" si="321"/>
        <v>0-9%</v>
      </c>
      <c r="V1000" s="39" t="str">
        <f>IF(E1000&gt;=Analysis!$B$4,"High",IF(E1000&gt;=Analysis!$B$5,"Mid","Low"))</f>
        <v>Low</v>
      </c>
      <c r="W1000" s="39" t="str">
        <f t="shared" si="322"/>
        <v>2023-12</v>
      </c>
      <c r="X1000" s="40">
        <f t="shared" si="323"/>
        <v>45291</v>
      </c>
      <c r="Y1000" s="39" t="str">
        <f t="shared" si="324"/>
        <v>2023-Q4</v>
      </c>
      <c r="Z1000" s="39" t="str">
        <f t="shared" si="325"/>
        <v>Wed</v>
      </c>
      <c r="AA1000" s="39">
        <f t="shared" si="326"/>
        <v>3</v>
      </c>
      <c r="AB1000" s="39">
        <f t="shared" si="327"/>
        <v>52</v>
      </c>
      <c r="AC1000" s="39" t="str">
        <f t="shared" si="328"/>
        <v>Weekday</v>
      </c>
      <c r="AD1000" s="39">
        <f t="shared" ca="1" si="329"/>
        <v>1039</v>
      </c>
      <c r="AE1000" s="39">
        <f t="shared" ca="1" si="330"/>
        <v>34</v>
      </c>
      <c r="AF1000" s="39" t="str">
        <f t="shared" si="331"/>
        <v>DAV</v>
      </c>
      <c r="AG1000" s="39" t="str">
        <f t="shared" si="332"/>
        <v>WO-231220-0999</v>
      </c>
      <c r="AH1000" s="39" t="str">
        <f>IF(AND(OR(Filter!$B$4="All",D1000=Filter!$B$4),OR(Filter!$B$5="All",M1000=Filter!$B$5),E1000&gt;=Filter!$B$6),MAX(AH$1:AH999)+1,"")</f>
        <v/>
      </c>
      <c r="AI1000" s="39">
        <f t="shared" si="333"/>
        <v>39</v>
      </c>
      <c r="AJ1000" s="42">
        <f t="shared" si="334"/>
        <v>0.01</v>
      </c>
      <c r="AK1000" s="41">
        <f t="shared" si="335"/>
        <v>3743.39</v>
      </c>
      <c r="AL1000" s="39">
        <f>RANK(E1000,$E$2:$E$1001,0)+COUNTIF($E$2:E1000,E1000)-1</f>
        <v>858</v>
      </c>
    </row>
    <row r="1001" spans="1:38" x14ac:dyDescent="0.2">
      <c r="A1001" s="39">
        <v>1086</v>
      </c>
      <c r="B1001" s="40">
        <v>45154</v>
      </c>
      <c r="C1001" s="39" t="s">
        <v>61</v>
      </c>
      <c r="D1001" s="39" t="s">
        <v>59</v>
      </c>
      <c r="E1001" s="41">
        <v>4923.93</v>
      </c>
      <c r="F1001" s="39">
        <v>48</v>
      </c>
      <c r="G1001" s="39" t="s">
        <v>70</v>
      </c>
      <c r="H1001" s="41">
        <v>2632.58</v>
      </c>
      <c r="I1001" s="41">
        <v>2926.68</v>
      </c>
      <c r="J1001" s="39" t="s">
        <v>137</v>
      </c>
      <c r="K1001" s="42">
        <v>0.14000000000000001</v>
      </c>
      <c r="L1001" s="39" t="s">
        <v>68</v>
      </c>
      <c r="M1001" s="39" t="s">
        <v>138</v>
      </c>
      <c r="N1001" s="39" t="s">
        <v>159</v>
      </c>
      <c r="O1001" s="43">
        <f t="shared" si="315"/>
        <v>140480.64000000001</v>
      </c>
      <c r="P1001" s="43">
        <f t="shared" si="316"/>
        <v>120813.35</v>
      </c>
      <c r="Q1001" s="43">
        <f t="shared" si="317"/>
        <v>126363.84</v>
      </c>
      <c r="R1001" s="43">
        <f t="shared" si="318"/>
        <v>-5550.4899999999907</v>
      </c>
      <c r="S1001" s="44">
        <f t="shared" si="319"/>
        <v>-4.5942687625167171E-2</v>
      </c>
      <c r="T1001" s="39" t="str">
        <f t="shared" si="320"/>
        <v>Loss</v>
      </c>
      <c r="U1001" s="39" t="str">
        <f t="shared" si="321"/>
        <v>10-19%</v>
      </c>
      <c r="V1001" s="39" t="str">
        <f>IF(E1001&gt;=Analysis!$B$4,"High",IF(E1001&gt;=Analysis!$B$5,"Mid","Low"))</f>
        <v>Mid</v>
      </c>
      <c r="W1001" s="39" t="str">
        <f t="shared" si="322"/>
        <v>2023-08</v>
      </c>
      <c r="X1001" s="40">
        <f t="shared" si="323"/>
        <v>45169</v>
      </c>
      <c r="Y1001" s="39" t="str">
        <f t="shared" si="324"/>
        <v>2023-Q3</v>
      </c>
      <c r="Z1001" s="39" t="str">
        <f t="shared" si="325"/>
        <v>Wed</v>
      </c>
      <c r="AA1001" s="39">
        <f t="shared" si="326"/>
        <v>3</v>
      </c>
      <c r="AB1001" s="39">
        <f t="shared" si="327"/>
        <v>34</v>
      </c>
      <c r="AC1001" s="39" t="str">
        <f t="shared" si="328"/>
        <v>Weekday</v>
      </c>
      <c r="AD1001" s="39">
        <f t="shared" ca="1" si="329"/>
        <v>1165</v>
      </c>
      <c r="AE1001" s="39">
        <f t="shared" ca="1" si="330"/>
        <v>38</v>
      </c>
      <c r="AF1001" s="39" t="str">
        <f t="shared" si="331"/>
        <v>ALI</v>
      </c>
      <c r="AG1001" s="39" t="str">
        <f t="shared" si="332"/>
        <v>EO-230816-1000</v>
      </c>
      <c r="AH1001" s="39" t="str">
        <f>IF(AND(OR(Filter!$B$4="All",D1001=Filter!$B$4),OR(Filter!$B$5="All",M1001=Filter!$B$5),E1001&gt;=Filter!$B$6),MAX(AH$1:AH1000)+1,"")</f>
        <v/>
      </c>
      <c r="AI1001" s="39">
        <f t="shared" si="333"/>
        <v>48</v>
      </c>
      <c r="AJ1001" s="42">
        <f t="shared" si="334"/>
        <v>0.14000000000000001</v>
      </c>
      <c r="AK1001" s="41">
        <f t="shared" si="335"/>
        <v>2926.68</v>
      </c>
      <c r="AL1001" s="39">
        <f>RANK(E1001,$E$2:$E$1001,0)+COUNTIF($E$2:E1001,E1001)-1</f>
        <v>509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</sheetPr>
  <dimension ref="A1:J228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50" customWidth="1"/>
    <col min="2" max="2" width="22" customWidth="1"/>
    <col min="3" max="5" width="15" customWidth="1"/>
    <col min="6" max="6" width="13" customWidth="1"/>
    <col min="7" max="8" width="15" customWidth="1"/>
    <col min="9" max="10" width="12" customWidth="1"/>
  </cols>
  <sheetData>
    <row r="1" spans="1:10" ht="20" x14ac:dyDescent="0.2">
      <c r="A1" s="15" t="s">
        <v>161</v>
      </c>
    </row>
    <row r="3" spans="1:10" x14ac:dyDescent="0.2">
      <c r="A3" s="45" t="s">
        <v>162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x14ac:dyDescent="0.2">
      <c r="A4" s="39" t="s">
        <v>163</v>
      </c>
      <c r="B4" s="47">
        <f>PERCENTILE('Raw Data'!$E$2:$E$1001,0.75)</f>
        <v>7507.4450000000006</v>
      </c>
    </row>
    <row r="5" spans="1:10" x14ac:dyDescent="0.2">
      <c r="A5" s="39" t="s">
        <v>164</v>
      </c>
      <c r="B5" s="47">
        <f>PERCENTILE('Raw Data'!$E$2:$E$1001,0.25)</f>
        <v>2550.2975000000001</v>
      </c>
    </row>
    <row r="7" spans="1:10" x14ac:dyDescent="0.2">
      <c r="A7" s="45" t="s">
        <v>165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x14ac:dyDescent="0.2">
      <c r="A8" s="39" t="s">
        <v>166</v>
      </c>
      <c r="B8" s="40">
        <f ca="1">TODAY()</f>
        <v>46319</v>
      </c>
    </row>
    <row r="9" spans="1:10" x14ac:dyDescent="0.2">
      <c r="A9" s="39" t="s">
        <v>167</v>
      </c>
      <c r="B9" s="48">
        <f ca="1">NOW()</f>
        <v>46319.662272222224</v>
      </c>
    </row>
    <row r="10" spans="1:10" x14ac:dyDescent="0.2">
      <c r="A10" s="39" t="s">
        <v>168</v>
      </c>
      <c r="B10" s="40">
        <f ca="1">EOMONTH(TODAY(),0)</f>
        <v>46326</v>
      </c>
    </row>
    <row r="11" spans="1:10" x14ac:dyDescent="0.2">
      <c r="A11" s="39" t="s">
        <v>169</v>
      </c>
      <c r="B11" s="40">
        <f ca="1">EOMONTH(TODAY(),-1)+1</f>
        <v>46296</v>
      </c>
    </row>
    <row r="12" spans="1:10" x14ac:dyDescent="0.2">
      <c r="A12" s="39" t="s">
        <v>170</v>
      </c>
      <c r="B12" s="40">
        <f>MIN('Raw Data'!$B$2:$B$1001)</f>
        <v>44927</v>
      </c>
    </row>
    <row r="13" spans="1:10" x14ac:dyDescent="0.2">
      <c r="A13" s="39" t="s">
        <v>171</v>
      </c>
      <c r="B13" s="40">
        <f>MAX('Raw Data'!$B$2:$B$1001)</f>
        <v>45292</v>
      </c>
    </row>
    <row r="14" spans="1:10" x14ac:dyDescent="0.2">
      <c r="A14" s="39" t="s">
        <v>172</v>
      </c>
      <c r="B14" s="49">
        <f>DATEDIF(B12,B13,"M")</f>
        <v>12</v>
      </c>
    </row>
    <row r="15" spans="1:10" x14ac:dyDescent="0.2">
      <c r="A15" s="39" t="s">
        <v>173</v>
      </c>
      <c r="B15" s="50">
        <f>B13-B12</f>
        <v>365</v>
      </c>
    </row>
    <row r="16" spans="1:10" x14ac:dyDescent="0.2">
      <c r="A16" s="39" t="s">
        <v>174</v>
      </c>
      <c r="B16" s="50">
        <f>NETWORKDAYS(B12,B13)</f>
        <v>261</v>
      </c>
    </row>
    <row r="17" spans="1:10" x14ac:dyDescent="0.2">
      <c r="A17" s="39" t="s">
        <v>175</v>
      </c>
      <c r="B17" s="50">
        <f>SUMPRODUCT(1/COUNTIF('Raw Data'!$B$2:$B$1001,'Raw Data'!$B$2:$B$1001))</f>
        <v>339.99999999999892</v>
      </c>
    </row>
    <row r="18" spans="1:10" x14ac:dyDescent="0.2">
      <c r="A18" s="39" t="s">
        <v>176</v>
      </c>
      <c r="B18" s="43">
        <f>B35/B17</f>
        <v>14762.544794117701</v>
      </c>
    </row>
    <row r="19" spans="1:10" x14ac:dyDescent="0.2">
      <c r="A19" s="39" t="s">
        <v>177</v>
      </c>
      <c r="B19" s="50">
        <f ca="1">TODAY()-B13</f>
        <v>1027</v>
      </c>
    </row>
    <row r="20" spans="1:10" x14ac:dyDescent="0.2">
      <c r="A20" s="39" t="s">
        <v>178</v>
      </c>
      <c r="B20" s="49">
        <f ca="1">DATEDIF(B13,TODAY(),"M")</f>
        <v>33</v>
      </c>
    </row>
    <row r="21" spans="1:10" x14ac:dyDescent="0.2">
      <c r="A21" s="39" t="s">
        <v>179</v>
      </c>
      <c r="B21" s="40">
        <f>EDATE(B12,6)</f>
        <v>45108</v>
      </c>
    </row>
    <row r="22" spans="1:10" x14ac:dyDescent="0.2">
      <c r="A22" s="39" t="s">
        <v>180</v>
      </c>
      <c r="B22" s="51" t="str">
        <f>TEXT(B13,"dddd")</f>
        <v>Monday</v>
      </c>
    </row>
    <row r="23" spans="1:10" x14ac:dyDescent="0.2">
      <c r="A23" s="39" t="s">
        <v>181</v>
      </c>
      <c r="B23" s="49">
        <f>WEEKNUM(B13,2)</f>
        <v>1</v>
      </c>
    </row>
    <row r="25" spans="1:10" x14ac:dyDescent="0.2">
      <c r="A25" s="45" t="s">
        <v>182</v>
      </c>
      <c r="B25" s="46"/>
      <c r="C25" s="46"/>
      <c r="D25" s="46"/>
      <c r="E25" s="46"/>
      <c r="F25" s="46"/>
      <c r="G25" s="46"/>
      <c r="H25" s="46"/>
      <c r="I25" s="46"/>
      <c r="J25" s="46"/>
    </row>
    <row r="26" spans="1:10" ht="28" x14ac:dyDescent="0.2">
      <c r="A26" s="17" t="s">
        <v>183</v>
      </c>
      <c r="B26" s="17" t="s">
        <v>184</v>
      </c>
      <c r="C26" s="17" t="s">
        <v>185</v>
      </c>
    </row>
    <row r="27" spans="1:10" x14ac:dyDescent="0.2">
      <c r="A27" s="52" t="s">
        <v>186</v>
      </c>
      <c r="B27" s="48">
        <f ca="1">IF(A27="","",IF(OR(B27="",B27=0),NOW(),B27))</f>
        <v>46319.426225116797</v>
      </c>
      <c r="C27" s="39" t="str">
        <f ca="1">IF(B27="","",TEXT(NOW()-B27,"[h]:mm:ss"))</f>
        <v>0:00:02</v>
      </c>
    </row>
    <row r="28" spans="1:10" x14ac:dyDescent="0.2">
      <c r="A28" s="52" t="s">
        <v>187</v>
      </c>
      <c r="B28" s="48">
        <f ca="1">IF(A28="","",IF(OR(B28="",B28=0),NOW(),B28))</f>
        <v>46319.426225117102</v>
      </c>
      <c r="C28" s="39" t="str">
        <f ca="1">IF(B28="","",TEXT(NOW()-B28,"[h]:mm:ss"))</f>
        <v>0:00:02</v>
      </c>
    </row>
    <row r="29" spans="1:10" x14ac:dyDescent="0.2">
      <c r="A29" s="52" t="s">
        <v>188</v>
      </c>
      <c r="B29" s="48">
        <f ca="1">IF(A29="","",IF(OR(B29="",B29=0),NOW(),B29))</f>
        <v>46319.426225117197</v>
      </c>
      <c r="C29" s="39" t="str">
        <f ca="1">IF(B29="","",TEXT(NOW()-B29,"[h]:mm:ss"))</f>
        <v>0:00:02</v>
      </c>
    </row>
    <row r="30" spans="1:10" x14ac:dyDescent="0.2">
      <c r="A30" s="52"/>
      <c r="B30" s="48" t="str">
        <f ca="1">IF(A30="","",IF(OR(B30="",B30=0),NOW(),B30))</f>
        <v/>
      </c>
      <c r="C30" s="39" t="str">
        <f ca="1">IF(B30="","",TEXT(NOW()-B30,"[h]:mm:ss"))</f>
        <v/>
      </c>
    </row>
    <row r="31" spans="1:10" x14ac:dyDescent="0.2">
      <c r="A31" s="52"/>
      <c r="B31" s="48" t="str">
        <f ca="1">IF(A31="","",IF(OR(B31="",B31=0),NOW(),B31))</f>
        <v/>
      </c>
      <c r="C31" s="39" t="str">
        <f ca="1">IF(B31="","",TEXT(NOW()-B31,"[h]:mm:ss"))</f>
        <v/>
      </c>
    </row>
    <row r="32" spans="1:10" x14ac:dyDescent="0.2">
      <c r="A32" s="16" t="s">
        <v>189</v>
      </c>
    </row>
    <row r="34" spans="1:10" x14ac:dyDescent="0.2">
      <c r="A34" s="45" t="s">
        <v>190</v>
      </c>
      <c r="B34" s="46"/>
      <c r="C34" s="46"/>
      <c r="D34" s="46"/>
      <c r="E34" s="46"/>
      <c r="F34" s="46"/>
      <c r="G34" s="46"/>
      <c r="H34" s="46"/>
      <c r="I34" s="46"/>
      <c r="J34" s="46"/>
    </row>
    <row r="35" spans="1:10" x14ac:dyDescent="0.2">
      <c r="A35" s="39" t="s">
        <v>35</v>
      </c>
      <c r="B35" s="47">
        <f>SUM('Raw Data'!$E$2:$E$1001)</f>
        <v>5019265.2300000023</v>
      </c>
    </row>
    <row r="36" spans="1:10" x14ac:dyDescent="0.2">
      <c r="A36" s="39" t="s">
        <v>36</v>
      </c>
      <c r="B36" s="53">
        <f>COUNTA('Raw Data'!$E$2:$E$1001)</f>
        <v>1000</v>
      </c>
    </row>
    <row r="37" spans="1:10" x14ac:dyDescent="0.2">
      <c r="A37" s="39" t="s">
        <v>191</v>
      </c>
      <c r="B37" s="53">
        <f>SUM('Raw Data'!$F$2:$F$1001)</f>
        <v>25355</v>
      </c>
    </row>
    <row r="38" spans="1:10" x14ac:dyDescent="0.2">
      <c r="A38" s="39" t="s">
        <v>37</v>
      </c>
      <c r="B38" s="47">
        <f>AVERAGE('Raw Data'!$E$2:$E$1001)</f>
        <v>5019.2652300000027</v>
      </c>
    </row>
    <row r="39" spans="1:10" x14ac:dyDescent="0.2">
      <c r="A39" s="39" t="s">
        <v>192</v>
      </c>
      <c r="B39" s="47">
        <f>MEDIAN('Raw Data'!$E$2:$E$1001)</f>
        <v>5019.3</v>
      </c>
    </row>
    <row r="40" spans="1:10" x14ac:dyDescent="0.2">
      <c r="A40" s="39" t="s">
        <v>193</v>
      </c>
      <c r="B40" s="54">
        <f>AVERAGE('Raw Data'!$K$2:$K$1001)</f>
        <v>0.15239000000000005</v>
      </c>
    </row>
    <row r="41" spans="1:10" x14ac:dyDescent="0.2">
      <c r="A41" s="39" t="s">
        <v>194</v>
      </c>
      <c r="B41" s="47">
        <f>SUM('Raw Data'!$O$2:$O$1001)</f>
        <v>70329940.709999949</v>
      </c>
    </row>
    <row r="42" spans="1:10" x14ac:dyDescent="0.2">
      <c r="A42" s="39" t="s">
        <v>195</v>
      </c>
      <c r="B42" s="47">
        <f>SUM('Raw Data'!$P$2:$P$1001)</f>
        <v>59686173.529999986</v>
      </c>
    </row>
    <row r="43" spans="1:10" x14ac:dyDescent="0.2">
      <c r="A43" s="39" t="s">
        <v>196</v>
      </c>
      <c r="B43" s="47">
        <f>B41-B42</f>
        <v>10643767.179999962</v>
      </c>
    </row>
    <row r="44" spans="1:10" x14ac:dyDescent="0.2">
      <c r="A44" s="39" t="s">
        <v>197</v>
      </c>
      <c r="B44" s="47">
        <f>SUM('Raw Data'!$Q$2:$Q$1001)</f>
        <v>63842093.640000068</v>
      </c>
    </row>
    <row r="45" spans="1:10" x14ac:dyDescent="0.2">
      <c r="A45" s="39" t="s">
        <v>198</v>
      </c>
      <c r="B45" s="47">
        <f>B42-B44</f>
        <v>-4155920.1100000814</v>
      </c>
    </row>
    <row r="46" spans="1:10" x14ac:dyDescent="0.2">
      <c r="A46" s="39" t="s">
        <v>38</v>
      </c>
      <c r="B46" s="54">
        <f>IF(B42=0,0,B45/B42)</f>
        <v>-6.9629528317998082E-2</v>
      </c>
    </row>
    <row r="47" spans="1:10" x14ac:dyDescent="0.2">
      <c r="A47" s="39" t="s">
        <v>199</v>
      </c>
      <c r="B47" s="54">
        <f>1-B44/B41</f>
        <v>9.2248720879092083E-2</v>
      </c>
    </row>
    <row r="48" spans="1:10" x14ac:dyDescent="0.2">
      <c r="A48" s="39" t="s">
        <v>200</v>
      </c>
      <c r="B48" s="54">
        <f>1-B42/B41</f>
        <v>0.15134048276663148</v>
      </c>
    </row>
    <row r="49" spans="1:10" x14ac:dyDescent="0.2">
      <c r="A49" s="39" t="s">
        <v>201</v>
      </c>
      <c r="B49" s="54">
        <f>1-B44/B41</f>
        <v>9.2248720879092083E-2</v>
      </c>
    </row>
    <row r="50" spans="1:10" x14ac:dyDescent="0.2">
      <c r="A50" s="39" t="s">
        <v>202</v>
      </c>
      <c r="B50" s="53">
        <f>COUNTIF('Raw Data'!$T$2:$T$1001,"Loss")</f>
        <v>604</v>
      </c>
    </row>
    <row r="51" spans="1:10" x14ac:dyDescent="0.2">
      <c r="A51" s="39" t="s">
        <v>203</v>
      </c>
      <c r="B51" s="54">
        <f>B50/B36</f>
        <v>0.60399999999999998</v>
      </c>
    </row>
    <row r="54" spans="1:10" x14ac:dyDescent="0.2">
      <c r="A54" s="45" t="s">
        <v>204</v>
      </c>
      <c r="B54" s="46"/>
      <c r="C54" s="46"/>
      <c r="D54" s="46"/>
      <c r="E54" s="46"/>
      <c r="F54" s="46"/>
      <c r="G54" s="46"/>
      <c r="H54" s="46"/>
      <c r="I54" s="46"/>
      <c r="J54" s="46"/>
    </row>
    <row r="55" spans="1:10" x14ac:dyDescent="0.2">
      <c r="A55" s="17" t="s">
        <v>53</v>
      </c>
      <c r="B55" s="17" t="s">
        <v>36</v>
      </c>
      <c r="C55" s="17" t="s">
        <v>33</v>
      </c>
      <c r="D55" s="17" t="s">
        <v>205</v>
      </c>
      <c r="E55" s="17" t="s">
        <v>206</v>
      </c>
      <c r="F55" s="17" t="s">
        <v>207</v>
      </c>
      <c r="G55" s="17" t="s">
        <v>208</v>
      </c>
      <c r="H55" s="17" t="s">
        <v>38</v>
      </c>
      <c r="I55" s="17" t="s">
        <v>31</v>
      </c>
    </row>
    <row r="56" spans="1:10" x14ac:dyDescent="0.2">
      <c r="A56" s="55" t="s">
        <v>59</v>
      </c>
      <c r="B56" s="56">
        <f>COUNTIFS('Raw Data'!$D$2:$D$1001,A56)</f>
        <v>263</v>
      </c>
      <c r="C56" s="57">
        <f>SUMIFS('Raw Data'!$E$2:$E$1001,'Raw Data'!$D$2:$D$1001,A56)</f>
        <v>1259792.93</v>
      </c>
      <c r="D56" s="58">
        <f>C56/$B$35</f>
        <v>0.25099150418875144</v>
      </c>
      <c r="E56" s="57">
        <f>IF(B56=0,0,C56/B56)</f>
        <v>4790.0871863117873</v>
      </c>
      <c r="F56" s="56">
        <f>SUMIFS('Raw Data'!$F$2:$F$1001,'Raw Data'!$D$2:$D$1001,A56)</f>
        <v>6356</v>
      </c>
      <c r="G56" s="58">
        <f>IFERROR(AVERAGEIFS('Raw Data'!$K$2:$K$1001,'Raw Data'!$D$2:$D$1001,A56),0)</f>
        <v>0.16254752851711038</v>
      </c>
      <c r="H56" s="58">
        <f>IFERROR(SUMIFS('Raw Data'!$R$2:$R$1001,'Raw Data'!$D$2:$D$1001,A56)/SUMIFS('Raw Data'!$P$2:$P$1001,'Raw Data'!$D$2:$D$1001,A56),0)</f>
        <v>-8.0551166426571591E-2</v>
      </c>
      <c r="I56" s="55">
        <f>RANK(C56,$C$56:$C$59,0)</f>
        <v>2</v>
      </c>
    </row>
    <row r="57" spans="1:10" x14ac:dyDescent="0.2">
      <c r="A57" s="55" t="s">
        <v>64</v>
      </c>
      <c r="B57" s="56">
        <f>COUNTIFS('Raw Data'!$D$2:$D$1001,A57)</f>
        <v>267</v>
      </c>
      <c r="C57" s="57">
        <f>SUMIFS('Raw Data'!$E$2:$E$1001,'Raw Data'!$D$2:$D$1001,A57)</f>
        <v>1369612.5100000009</v>
      </c>
      <c r="D57" s="58">
        <f>C57/$B$35</f>
        <v>0.27287111703399669</v>
      </c>
      <c r="E57" s="57">
        <f>IF(B57=0,0,C57/B57)</f>
        <v>5129.6348689138613</v>
      </c>
      <c r="F57" s="56">
        <f>SUMIFS('Raw Data'!$F$2:$F$1001,'Raw Data'!$D$2:$D$1001,A57)</f>
        <v>6705</v>
      </c>
      <c r="G57" s="58">
        <f>IFERROR(AVERAGEIFS('Raw Data'!$K$2:$K$1001,'Raw Data'!$D$2:$D$1001,A57),0)</f>
        <v>0.14955056179775289</v>
      </c>
      <c r="H57" s="58">
        <f>IFERROR(SUMIFS('Raw Data'!$R$2:$R$1001,'Raw Data'!$D$2:$D$1001,A57)/SUMIFS('Raw Data'!$P$2:$P$1001,'Raw Data'!$D$2:$D$1001,A57),0)</f>
        <v>-6.2721833274231184E-2</v>
      </c>
      <c r="I57" s="55">
        <f>RANK(C57,$C$56:$C$59,0)</f>
        <v>1</v>
      </c>
    </row>
    <row r="58" spans="1:10" x14ac:dyDescent="0.2">
      <c r="A58" s="55" t="s">
        <v>69</v>
      </c>
      <c r="B58" s="56">
        <f>COUNTIFS('Raw Data'!$D$2:$D$1001,A58)</f>
        <v>226</v>
      </c>
      <c r="C58" s="57">
        <f>SUMIFS('Raw Data'!$E$2:$E$1001,'Raw Data'!$D$2:$D$1001,A58)</f>
        <v>1154250.8600000006</v>
      </c>
      <c r="D58" s="58">
        <f>C58/$B$35</f>
        <v>0.22996410970695008</v>
      </c>
      <c r="E58" s="57">
        <f>IF(B58=0,0,C58/B58)</f>
        <v>5107.3046902654896</v>
      </c>
      <c r="F58" s="56">
        <f>SUMIFS('Raw Data'!$F$2:$F$1001,'Raw Data'!$D$2:$D$1001,A58)</f>
        <v>5808</v>
      </c>
      <c r="G58" s="58">
        <f>IFERROR(AVERAGEIFS('Raw Data'!$K$2:$K$1001,'Raw Data'!$D$2:$D$1001,A58),0)</f>
        <v>0.14831858407079651</v>
      </c>
      <c r="H58" s="58">
        <f>IFERROR(SUMIFS('Raw Data'!$R$2:$R$1001,'Raw Data'!$D$2:$D$1001,A58)/SUMIFS('Raw Data'!$P$2:$P$1001,'Raw Data'!$D$2:$D$1001,A58),0)</f>
        <v>-6.2482267783562966E-2</v>
      </c>
      <c r="I58" s="55">
        <f>RANK(C58,$C$56:$C$59,0)</f>
        <v>4</v>
      </c>
    </row>
    <row r="59" spans="1:10" x14ac:dyDescent="0.2">
      <c r="A59" s="55" t="s">
        <v>74</v>
      </c>
      <c r="B59" s="56">
        <f>COUNTIFS('Raw Data'!$D$2:$D$1001,A59)</f>
        <v>244</v>
      </c>
      <c r="C59" s="57">
        <f>SUMIFS('Raw Data'!$E$2:$E$1001,'Raw Data'!$D$2:$D$1001,A59)</f>
        <v>1235608.9299999997</v>
      </c>
      <c r="D59" s="58">
        <f>C59/$B$35</f>
        <v>0.24617326907030157</v>
      </c>
      <c r="E59" s="57">
        <f>IF(B59=0,0,C59/B59)</f>
        <v>5063.9710245901624</v>
      </c>
      <c r="F59" s="56">
        <f>SUMIFS('Raw Data'!$F$2:$F$1001,'Raw Data'!$D$2:$D$1001,A59)</f>
        <v>6486</v>
      </c>
      <c r="G59" s="58">
        <f>IFERROR(AVERAGEIFS('Raw Data'!$K$2:$K$1001,'Raw Data'!$D$2:$D$1001,A59),0)</f>
        <v>0.14831967213114758</v>
      </c>
      <c r="H59" s="58">
        <f>IFERROR(SUMIFS('Raw Data'!$R$2:$R$1001,'Raw Data'!$D$2:$D$1001,A59)/SUMIFS('Raw Data'!$P$2:$P$1001,'Raw Data'!$D$2:$D$1001,A59),0)</f>
        <v>-7.2348112170302264E-2</v>
      </c>
      <c r="I59" s="55">
        <f>RANK(C59,$C$56:$C$59,0)</f>
        <v>3</v>
      </c>
    </row>
    <row r="60" spans="1:10" x14ac:dyDescent="0.2">
      <c r="A60" s="59" t="s">
        <v>209</v>
      </c>
      <c r="B60" s="60">
        <f>SUM(B56:B59)</f>
        <v>1000</v>
      </c>
      <c r="C60" s="61">
        <f>SUM(C56:C59)</f>
        <v>5019265.2300000014</v>
      </c>
      <c r="D60" s="62">
        <f>SUM(D56:D59)</f>
        <v>0.99999999999999978</v>
      </c>
      <c r="E60" s="61"/>
      <c r="F60" s="60">
        <f>SUM(F56:F59)</f>
        <v>25355</v>
      </c>
      <c r="G60" s="62"/>
      <c r="H60" s="62"/>
      <c r="I60" s="59"/>
    </row>
    <row r="61" spans="1:10" x14ac:dyDescent="0.2">
      <c r="A61" s="39" t="s">
        <v>210</v>
      </c>
      <c r="B61" s="19" t="str">
        <f>INDEX(A56:A59,MATCH(MAX(C56:C59),C56:C59,0))</f>
        <v>North</v>
      </c>
    </row>
    <row r="62" spans="1:10" x14ac:dyDescent="0.2">
      <c r="A62" s="39" t="s">
        <v>211</v>
      </c>
      <c r="B62" s="19" t="str">
        <f>INDEX(A56:A59,MATCH(MIN(C56:C59),C56:C59,0))</f>
        <v>South</v>
      </c>
    </row>
    <row r="64" spans="1:10" x14ac:dyDescent="0.2">
      <c r="A64" s="45" t="s">
        <v>212</v>
      </c>
      <c r="B64" s="46"/>
      <c r="C64" s="46"/>
      <c r="D64" s="46"/>
      <c r="E64" s="46"/>
      <c r="F64" s="46"/>
      <c r="G64" s="46"/>
      <c r="H64" s="46"/>
      <c r="I64" s="46"/>
      <c r="J64" s="46"/>
    </row>
    <row r="65" spans="1:10" x14ac:dyDescent="0.2">
      <c r="A65" s="17" t="s">
        <v>213</v>
      </c>
      <c r="B65" s="17" t="s">
        <v>36</v>
      </c>
      <c r="C65" s="17" t="s">
        <v>33</v>
      </c>
      <c r="D65" s="17" t="s">
        <v>205</v>
      </c>
      <c r="E65" s="17" t="s">
        <v>206</v>
      </c>
      <c r="F65" s="17" t="s">
        <v>207</v>
      </c>
      <c r="G65" s="17" t="s">
        <v>208</v>
      </c>
      <c r="H65" s="17" t="s">
        <v>38</v>
      </c>
      <c r="I65" s="17" t="s">
        <v>31</v>
      </c>
    </row>
    <row r="66" spans="1:10" x14ac:dyDescent="0.2">
      <c r="A66" s="55" t="s">
        <v>60</v>
      </c>
      <c r="B66" s="56">
        <f>COUNTIFS('Raw Data'!$G$2:$G$1001,A66)</f>
        <v>268</v>
      </c>
      <c r="C66" s="57">
        <f>SUMIFS('Raw Data'!$E$2:$E$1001,'Raw Data'!$G$2:$G$1001,A66)</f>
        <v>1313474.3599999999</v>
      </c>
      <c r="D66" s="58">
        <f>C66/$B$35</f>
        <v>0.26168658156365238</v>
      </c>
      <c r="E66" s="57">
        <f>IF(B66=0,0,C66/B66)</f>
        <v>4901.0237313432835</v>
      </c>
      <c r="F66" s="56">
        <f>SUMIFS('Raw Data'!$F$2:$F$1001,'Raw Data'!$G$2:$G$1001,A66)</f>
        <v>6922</v>
      </c>
      <c r="G66" s="58">
        <f>IFERROR(AVERAGEIFS('Raw Data'!$K$2:$K$1001,'Raw Data'!$G$2:$G$1001,A66),0)</f>
        <v>0.16022388059701501</v>
      </c>
      <c r="H66" s="58">
        <f>IFERROR(SUMIFS('Raw Data'!$R$2:$R$1001,'Raw Data'!$G$2:$G$1001,A66)/SUMIFS('Raw Data'!$P$2:$P$1001,'Raw Data'!$G$2:$G$1001,A66),0)</f>
        <v>-7.413623909333808E-2</v>
      </c>
      <c r="I66" s="55">
        <f>RANK(C66,$C$66:$C$69,0)</f>
        <v>1</v>
      </c>
    </row>
    <row r="67" spans="1:10" x14ac:dyDescent="0.2">
      <c r="A67" s="55" t="s">
        <v>65</v>
      </c>
      <c r="B67" s="56">
        <f>COUNTIFS('Raw Data'!$G$2:$G$1001,A67)</f>
        <v>246</v>
      </c>
      <c r="C67" s="57">
        <f>SUMIFS('Raw Data'!$E$2:$E$1001,'Raw Data'!$G$2:$G$1001,A67)</f>
        <v>1243499.6400000006</v>
      </c>
      <c r="D67" s="58">
        <f>C67/$B$35</f>
        <v>0.24774535375569304</v>
      </c>
      <c r="E67" s="57">
        <f>IF(B67=0,0,C67/B67)</f>
        <v>5054.876585365856</v>
      </c>
      <c r="F67" s="56">
        <f>SUMIFS('Raw Data'!$F$2:$F$1001,'Raw Data'!$G$2:$G$1001,A67)</f>
        <v>6096</v>
      </c>
      <c r="G67" s="58">
        <f>IFERROR(AVERAGEIFS('Raw Data'!$K$2:$K$1001,'Raw Data'!$G$2:$G$1001,A67),0)</f>
        <v>0.13650406504065041</v>
      </c>
      <c r="H67" s="58">
        <f>IFERROR(SUMIFS('Raw Data'!$R$2:$R$1001,'Raw Data'!$G$2:$G$1001,A67)/SUMIFS('Raw Data'!$P$2:$P$1001,'Raw Data'!$G$2:$G$1001,A67),0)</f>
        <v>-5.566439685022935E-2</v>
      </c>
      <c r="I67" s="55">
        <f>RANK(C67,$C$66:$C$69,0)</f>
        <v>3</v>
      </c>
    </row>
    <row r="68" spans="1:10" x14ac:dyDescent="0.2">
      <c r="A68" s="55" t="s">
        <v>70</v>
      </c>
      <c r="B68" s="56">
        <f>COUNTIFS('Raw Data'!$G$2:$G$1001,A68)</f>
        <v>226</v>
      </c>
      <c r="C68" s="57">
        <f>SUMIFS('Raw Data'!$E$2:$E$1001,'Raw Data'!$G$2:$G$1001,A68)</f>
        <v>1201773.5399999998</v>
      </c>
      <c r="D68" s="58">
        <f>C68/$B$35</f>
        <v>0.23943216485493421</v>
      </c>
      <c r="E68" s="57">
        <f>IF(B68=0,0,C68/B68)</f>
        <v>5317.582035398229</v>
      </c>
      <c r="F68" s="56">
        <f>SUMIFS('Raw Data'!$F$2:$F$1001,'Raw Data'!$G$2:$G$1001,A68)</f>
        <v>5608</v>
      </c>
      <c r="G68" s="58">
        <f>IFERROR(AVERAGEIFS('Raw Data'!$K$2:$K$1001,'Raw Data'!$G$2:$G$1001,A68),0)</f>
        <v>0.15380530973451326</v>
      </c>
      <c r="H68" s="58">
        <f>IFERROR(SUMIFS('Raw Data'!$R$2:$R$1001,'Raw Data'!$G$2:$G$1001,A68)/SUMIFS('Raw Data'!$P$2:$P$1001,'Raw Data'!$G$2:$G$1001,A68),0)</f>
        <v>-7.1238919125973479E-2</v>
      </c>
      <c r="I68" s="55">
        <f>RANK(C68,$C$66:$C$69,0)</f>
        <v>4</v>
      </c>
    </row>
    <row r="69" spans="1:10" x14ac:dyDescent="0.2">
      <c r="A69" s="55" t="s">
        <v>75</v>
      </c>
      <c r="B69" s="56">
        <f>COUNTIFS('Raw Data'!$G$2:$G$1001,A69)</f>
        <v>260</v>
      </c>
      <c r="C69" s="57">
        <f>SUMIFS('Raw Data'!$E$2:$E$1001,'Raw Data'!$G$2:$G$1001,A69)</f>
        <v>1260517.6900000002</v>
      </c>
      <c r="D69" s="58">
        <f>C69/$B$35</f>
        <v>0.25113589982572004</v>
      </c>
      <c r="E69" s="57">
        <f>IF(B69=0,0,C69/B69)</f>
        <v>4848.1449615384627</v>
      </c>
      <c r="F69" s="56">
        <f>SUMIFS('Raw Data'!$F$2:$F$1001,'Raw Data'!$G$2:$G$1001,A69)</f>
        <v>6729</v>
      </c>
      <c r="G69" s="58">
        <f>IFERROR(AVERAGEIFS('Raw Data'!$K$2:$K$1001,'Raw Data'!$G$2:$G$1001,A69),0)</f>
        <v>0.15811538461538469</v>
      </c>
      <c r="H69" s="58">
        <f>IFERROR(SUMIFS('Raw Data'!$R$2:$R$1001,'Raw Data'!$G$2:$G$1001,A69)/SUMIFS('Raw Data'!$P$2:$P$1001,'Raw Data'!$G$2:$G$1001,A69),0)</f>
        <v>-7.7262390015450072E-2</v>
      </c>
      <c r="I69" s="55">
        <f>RANK(C69,$C$66:$C$69,0)</f>
        <v>2</v>
      </c>
    </row>
    <row r="70" spans="1:10" x14ac:dyDescent="0.2">
      <c r="A70" s="59" t="s">
        <v>209</v>
      </c>
      <c r="B70" s="60">
        <f>SUM(B66:B69)</f>
        <v>1000</v>
      </c>
      <c r="C70" s="61">
        <f>SUM(C66:C69)</f>
        <v>5019265.2300000004</v>
      </c>
      <c r="D70" s="62">
        <f>SUM(D66:D69)</f>
        <v>0.99999999999999967</v>
      </c>
      <c r="E70" s="61"/>
      <c r="F70" s="60">
        <f>SUM(F66:F69)</f>
        <v>25355</v>
      </c>
      <c r="G70" s="62"/>
      <c r="H70" s="62"/>
      <c r="I70" s="59"/>
    </row>
    <row r="71" spans="1:10" x14ac:dyDescent="0.2">
      <c r="A71" s="39" t="s">
        <v>214</v>
      </c>
      <c r="B71" s="19" t="str">
        <f>INDEX(A66:A69,MATCH(MAX(C66:C69),C66:C69,0))</f>
        <v>Clothing</v>
      </c>
    </row>
    <row r="72" spans="1:10" x14ac:dyDescent="0.2">
      <c r="A72" s="39" t="s">
        <v>215</v>
      </c>
      <c r="B72" s="19" t="str">
        <f>INDEX(A66:A69,MATCH(MIN(C66:C69),C66:C69,0))</f>
        <v>Food</v>
      </c>
    </row>
    <row r="74" spans="1:10" x14ac:dyDescent="0.2">
      <c r="A74" s="45" t="s">
        <v>216</v>
      </c>
      <c r="B74" s="46"/>
      <c r="C74" s="46"/>
      <c r="D74" s="46"/>
      <c r="E74" s="46"/>
      <c r="F74" s="46"/>
      <c r="G74" s="46"/>
      <c r="H74" s="46"/>
      <c r="I74" s="46"/>
      <c r="J74" s="46"/>
    </row>
    <row r="75" spans="1:10" x14ac:dyDescent="0.2">
      <c r="A75" s="17" t="s">
        <v>217</v>
      </c>
      <c r="B75" s="17" t="s">
        <v>36</v>
      </c>
      <c r="C75" s="17" t="s">
        <v>33</v>
      </c>
      <c r="D75" s="17" t="s">
        <v>205</v>
      </c>
      <c r="E75" s="17" t="s">
        <v>206</v>
      </c>
      <c r="F75" s="17" t="s">
        <v>207</v>
      </c>
      <c r="G75" s="17" t="s">
        <v>208</v>
      </c>
      <c r="H75" s="17" t="s">
        <v>38</v>
      </c>
      <c r="I75" s="17" t="s">
        <v>31</v>
      </c>
    </row>
    <row r="76" spans="1:10" x14ac:dyDescent="0.2">
      <c r="A76" s="55" t="s">
        <v>61</v>
      </c>
      <c r="B76" s="56">
        <f>COUNTIFS('Raw Data'!$C$2:$C$1001,A76)</f>
        <v>192</v>
      </c>
      <c r="C76" s="57">
        <f>SUMIFS('Raw Data'!$E$2:$E$1001,'Raw Data'!$C$2:$C$1001,A76)</f>
        <v>965541.77000000048</v>
      </c>
      <c r="D76" s="58">
        <f>C76/$B$35</f>
        <v>0.19236715450480388</v>
      </c>
      <c r="E76" s="57">
        <f>IF(B76=0,0,C76/B76)</f>
        <v>5028.8633854166692</v>
      </c>
      <c r="F76" s="56">
        <f>SUMIFS('Raw Data'!$F$2:$F$1001,'Raw Data'!$C$2:$C$1001,A76)</f>
        <v>4832</v>
      </c>
      <c r="G76" s="58">
        <f>IFERROR(AVERAGEIFS('Raw Data'!$K$2:$K$1001,'Raw Data'!$C$2:$C$1001,A76),0)</f>
        <v>0.14109374999999999</v>
      </c>
      <c r="H76" s="58">
        <f>IFERROR(SUMIFS('Raw Data'!$R$2:$R$1001,'Raw Data'!$C$2:$C$1001,A76)/SUMIFS('Raw Data'!$P$2:$P$1001,'Raw Data'!$C$2:$C$1001,A76),0)</f>
        <v>-5.4568424545087993E-2</v>
      </c>
      <c r="I76" s="55">
        <f>RANK(C76,$C$76:$C$80,0)</f>
        <v>4</v>
      </c>
    </row>
    <row r="77" spans="1:10" x14ac:dyDescent="0.2">
      <c r="A77" s="55" t="s">
        <v>66</v>
      </c>
      <c r="B77" s="56">
        <f>COUNTIFS('Raw Data'!$C$2:$C$1001,A77)</f>
        <v>208</v>
      </c>
      <c r="C77" s="57">
        <f>SUMIFS('Raw Data'!$E$2:$E$1001,'Raw Data'!$C$2:$C$1001,A77)</f>
        <v>1080990.6300000006</v>
      </c>
      <c r="D77" s="58">
        <f>C77/$B$35</f>
        <v>0.21536830202535442</v>
      </c>
      <c r="E77" s="57">
        <f>IF(B77=0,0,C77/B77)</f>
        <v>5197.0703365384643</v>
      </c>
      <c r="F77" s="56">
        <f>SUMIFS('Raw Data'!$F$2:$F$1001,'Raw Data'!$C$2:$C$1001,A77)</f>
        <v>4977</v>
      </c>
      <c r="G77" s="58">
        <f>IFERROR(AVERAGEIFS('Raw Data'!$K$2:$K$1001,'Raw Data'!$C$2:$C$1001,A77),0)</f>
        <v>0.14240384615384621</v>
      </c>
      <c r="H77" s="58">
        <f>IFERROR(SUMIFS('Raw Data'!$R$2:$R$1001,'Raw Data'!$C$2:$C$1001,A77)/SUMIFS('Raw Data'!$P$2:$P$1001,'Raw Data'!$C$2:$C$1001,A77),0)</f>
        <v>-6.569323145236515E-2</v>
      </c>
      <c r="I77" s="55">
        <f>RANK(C77,$C$76:$C$80,0)</f>
        <v>2</v>
      </c>
    </row>
    <row r="78" spans="1:10" x14ac:dyDescent="0.2">
      <c r="A78" s="55" t="s">
        <v>71</v>
      </c>
      <c r="B78" s="56">
        <f>COUNTIFS('Raw Data'!$C$2:$C$1001,A78)</f>
        <v>169</v>
      </c>
      <c r="C78" s="57">
        <f>SUMIFS('Raw Data'!$E$2:$E$1001,'Raw Data'!$C$2:$C$1001,A78)</f>
        <v>860811.48</v>
      </c>
      <c r="D78" s="58">
        <f>C78/$B$35</f>
        <v>0.17150149285894573</v>
      </c>
      <c r="E78" s="57">
        <f>IF(B78=0,0,C78/B78)</f>
        <v>5093.5590532544375</v>
      </c>
      <c r="F78" s="56">
        <f>SUMIFS('Raw Data'!$F$2:$F$1001,'Raw Data'!$C$2:$C$1001,A78)</f>
        <v>4217</v>
      </c>
      <c r="G78" s="58">
        <f>IFERROR(AVERAGEIFS('Raw Data'!$K$2:$K$1001,'Raw Data'!$C$2:$C$1001,A78),0)</f>
        <v>0.15514792899408286</v>
      </c>
      <c r="H78" s="58">
        <f>IFERROR(SUMIFS('Raw Data'!$R$2:$R$1001,'Raw Data'!$C$2:$C$1001,A78)/SUMIFS('Raw Data'!$P$2:$P$1001,'Raw Data'!$C$2:$C$1001,A78),0)</f>
        <v>-6.6461693390802851E-2</v>
      </c>
      <c r="I78" s="55">
        <f>RANK(C78,$C$76:$C$80,0)</f>
        <v>5</v>
      </c>
    </row>
    <row r="79" spans="1:10" x14ac:dyDescent="0.2">
      <c r="A79" s="55" t="s">
        <v>76</v>
      </c>
      <c r="B79" s="56">
        <f>COUNTIFS('Raw Data'!$C$2:$C$1001,A79)</f>
        <v>222</v>
      </c>
      <c r="C79" s="57">
        <f>SUMIFS('Raw Data'!$E$2:$E$1001,'Raw Data'!$C$2:$C$1001,A79)</f>
        <v>1141737.3599999996</v>
      </c>
      <c r="D79" s="58">
        <f>C79/$B$35</f>
        <v>0.22747101571279171</v>
      </c>
      <c r="E79" s="57">
        <f>IF(B79=0,0,C79/B79)</f>
        <v>5142.9610810810791</v>
      </c>
      <c r="F79" s="56">
        <f>SUMIFS('Raw Data'!$F$2:$F$1001,'Raw Data'!$C$2:$C$1001,A79)</f>
        <v>6042</v>
      </c>
      <c r="G79" s="58">
        <f>IFERROR(AVERAGEIFS('Raw Data'!$K$2:$K$1001,'Raw Data'!$C$2:$C$1001,A79),0)</f>
        <v>0.16459459459459469</v>
      </c>
      <c r="H79" s="58">
        <f>IFERROR(SUMIFS('Raw Data'!$R$2:$R$1001,'Raw Data'!$C$2:$C$1001,A79)/SUMIFS('Raw Data'!$P$2:$P$1001,'Raw Data'!$C$2:$C$1001,A79),0)</f>
        <v>-8.9175695965331231E-2</v>
      </c>
      <c r="I79" s="55">
        <f>RANK(C79,$C$76:$C$80,0)</f>
        <v>1</v>
      </c>
    </row>
    <row r="80" spans="1:10" x14ac:dyDescent="0.2">
      <c r="A80" s="55" t="s">
        <v>79</v>
      </c>
      <c r="B80" s="56">
        <f>COUNTIFS('Raw Data'!$C$2:$C$1001,A80)</f>
        <v>209</v>
      </c>
      <c r="C80" s="57">
        <f>SUMIFS('Raw Data'!$E$2:$E$1001,'Raw Data'!$C$2:$C$1001,A80)</f>
        <v>970183.99000000022</v>
      </c>
      <c r="D80" s="58">
        <f>C80/$B$35</f>
        <v>0.19329203489810395</v>
      </c>
      <c r="E80" s="57">
        <f>IF(B80=0,0,C80/B80)</f>
        <v>4642.0286602870829</v>
      </c>
      <c r="F80" s="56">
        <f>SUMIFS('Raw Data'!$F$2:$F$1001,'Raw Data'!$C$2:$C$1001,A80)</f>
        <v>5287</v>
      </c>
      <c r="G80" s="58">
        <f>IFERROR(AVERAGEIFS('Raw Data'!$K$2:$K$1001,'Raw Data'!$C$2:$C$1001,A80),0)</f>
        <v>0.15751196172248816</v>
      </c>
      <c r="H80" s="58">
        <f>IFERROR(SUMIFS('Raw Data'!$R$2:$R$1001,'Raw Data'!$C$2:$C$1001,A80)/SUMIFS('Raw Data'!$P$2:$P$1001,'Raw Data'!$C$2:$C$1001,A80),0)</f>
        <v>-6.8317673260025275E-2</v>
      </c>
      <c r="I80" s="55">
        <f>RANK(C80,$C$76:$C$80,0)</f>
        <v>3</v>
      </c>
    </row>
    <row r="81" spans="1:10" x14ac:dyDescent="0.2">
      <c r="A81" s="59" t="s">
        <v>209</v>
      </c>
      <c r="B81" s="60">
        <f>SUM(B76:B80)</f>
        <v>1000</v>
      </c>
      <c r="C81" s="61">
        <f>SUM(C76:C80)</f>
        <v>5019265.2300000004</v>
      </c>
      <c r="D81" s="62">
        <f>SUM(D76:D80)</f>
        <v>0.99999999999999978</v>
      </c>
      <c r="E81" s="61"/>
      <c r="F81" s="60">
        <f>SUM(F76:F80)</f>
        <v>25355</v>
      </c>
      <c r="G81" s="62"/>
      <c r="H81" s="62"/>
      <c r="I81" s="59"/>
    </row>
    <row r="82" spans="1:10" x14ac:dyDescent="0.2">
      <c r="A82" s="39" t="s">
        <v>218</v>
      </c>
      <c r="B82" s="19" t="str">
        <f>INDEX(A76:A80,MATCH(MAX(C76:C80),C76:C80,0))</f>
        <v>David</v>
      </c>
    </row>
    <row r="83" spans="1:10" x14ac:dyDescent="0.2">
      <c r="A83" s="39" t="s">
        <v>219</v>
      </c>
      <c r="B83" s="19" t="str">
        <f>INDEX(A76:A80,MATCH(MIN(C76:C80),C76:C80,0))</f>
        <v>Charlie</v>
      </c>
    </row>
    <row r="85" spans="1:10" x14ac:dyDescent="0.2">
      <c r="A85" s="45" t="s">
        <v>220</v>
      </c>
      <c r="B85" s="46"/>
      <c r="C85" s="46"/>
      <c r="D85" s="46"/>
      <c r="E85" s="46"/>
      <c r="F85" s="46"/>
      <c r="G85" s="46"/>
      <c r="H85" s="46"/>
      <c r="I85" s="46"/>
      <c r="J85" s="46"/>
    </row>
    <row r="86" spans="1:10" x14ac:dyDescent="0.2">
      <c r="A86" s="17" t="s">
        <v>221</v>
      </c>
      <c r="B86" s="17" t="s">
        <v>36</v>
      </c>
      <c r="C86" s="17" t="s">
        <v>33</v>
      </c>
      <c r="D86" s="17" t="s">
        <v>205</v>
      </c>
      <c r="E86" s="17" t="s">
        <v>206</v>
      </c>
      <c r="F86" s="17" t="s">
        <v>207</v>
      </c>
      <c r="G86" s="17" t="s">
        <v>208</v>
      </c>
      <c r="H86" s="17" t="s">
        <v>38</v>
      </c>
      <c r="I86" s="17" t="s">
        <v>31</v>
      </c>
    </row>
    <row r="87" spans="1:10" x14ac:dyDescent="0.2">
      <c r="A87" s="55" t="s">
        <v>138</v>
      </c>
      <c r="B87" s="56">
        <f>COUNTIFS('Raw Data'!$M$2:$M$1001,A87)</f>
        <v>488</v>
      </c>
      <c r="C87" s="57">
        <f>SUMIFS('Raw Data'!$E$2:$E$1001,'Raw Data'!$M$2:$M$1001,A87)</f>
        <v>2458833.9300000034</v>
      </c>
      <c r="D87" s="58">
        <f>C87/$B$35</f>
        <v>0.48987925868185339</v>
      </c>
      <c r="E87" s="57">
        <f>IF(B87=0,0,C87/B87)</f>
        <v>5038.5941188524657</v>
      </c>
      <c r="F87" s="56">
        <f>SUMIFS('Raw Data'!$F$2:$F$1001,'Raw Data'!$M$2:$M$1001,A87)</f>
        <v>12602</v>
      </c>
      <c r="G87" s="58">
        <f>IFERROR(AVERAGEIFS('Raw Data'!$K$2:$K$1001,'Raw Data'!$M$2:$M$1001,A87),0)</f>
        <v>0.15256147540983617</v>
      </c>
      <c r="H87" s="58">
        <f>IFERROR(SUMIFS('Raw Data'!$R$2:$R$1001,'Raw Data'!$M$2:$M$1001,A87)/SUMIFS('Raw Data'!$P$2:$P$1001,'Raw Data'!$M$2:$M$1001,A87),0)</f>
        <v>-7.145072033058214E-2</v>
      </c>
      <c r="I87" s="55">
        <f>RANK(C87,$C$87:$C$88,0)</f>
        <v>2</v>
      </c>
    </row>
    <row r="88" spans="1:10" x14ac:dyDescent="0.2">
      <c r="A88" s="55" t="s">
        <v>140</v>
      </c>
      <c r="B88" s="56">
        <f>COUNTIFS('Raw Data'!$M$2:$M$1001,A88)</f>
        <v>512</v>
      </c>
      <c r="C88" s="57">
        <f>SUMIFS('Raw Data'!$E$2:$E$1001,'Raw Data'!$M$2:$M$1001,A88)</f>
        <v>2560431.2999999984</v>
      </c>
      <c r="D88" s="58">
        <f>C88/$B$35</f>
        <v>0.51012074131814655</v>
      </c>
      <c r="E88" s="57">
        <f>IF(B88=0,0,C88/B88)</f>
        <v>5000.8423828124969</v>
      </c>
      <c r="F88" s="56">
        <f>SUMIFS('Raw Data'!$F$2:$F$1001,'Raw Data'!$M$2:$M$1001,A88)</f>
        <v>12753</v>
      </c>
      <c r="G88" s="58">
        <f>IFERROR(AVERAGEIFS('Raw Data'!$K$2:$K$1001,'Raw Data'!$M$2:$M$1001,A88),0)</f>
        <v>0.15222656250000002</v>
      </c>
      <c r="H88" s="58">
        <f>IFERROR(SUMIFS('Raw Data'!$R$2:$R$1001,'Raw Data'!$M$2:$M$1001,A88)/SUMIFS('Raw Data'!$P$2:$P$1001,'Raw Data'!$M$2:$M$1001,A88),0)</f>
        <v>-6.7752203368527789E-2</v>
      </c>
      <c r="I88" s="55">
        <f>RANK(C88,$C$87:$C$88,0)</f>
        <v>1</v>
      </c>
    </row>
    <row r="89" spans="1:10" x14ac:dyDescent="0.2">
      <c r="A89" s="59" t="s">
        <v>209</v>
      </c>
      <c r="B89" s="60">
        <f>SUM(B87:B88)</f>
        <v>1000</v>
      </c>
      <c r="C89" s="61">
        <f>SUM(C87:C88)</f>
        <v>5019265.2300000023</v>
      </c>
      <c r="D89" s="62">
        <f>SUM(D87:D88)</f>
        <v>1</v>
      </c>
      <c r="E89" s="61"/>
      <c r="F89" s="60">
        <f>SUM(F87:F88)</f>
        <v>25355</v>
      </c>
      <c r="G89" s="62"/>
      <c r="H89" s="62"/>
      <c r="I89" s="59"/>
    </row>
    <row r="90" spans="1:10" x14ac:dyDescent="0.2">
      <c r="A90" s="39" t="s">
        <v>222</v>
      </c>
      <c r="B90" s="19" t="str">
        <f>INDEX(A87:A88,MATCH(MAX(C87:C88),C87:C88,0))</f>
        <v>Retail</v>
      </c>
    </row>
    <row r="91" spans="1:10" x14ac:dyDescent="0.2">
      <c r="A91" s="39" t="s">
        <v>223</v>
      </c>
      <c r="B91" s="19" t="str">
        <f>INDEX(A87:A88,MATCH(MIN(C87:C88),C87:C88,0))</f>
        <v>Online</v>
      </c>
    </row>
    <row r="93" spans="1:10" x14ac:dyDescent="0.2">
      <c r="A93" s="45" t="s">
        <v>224</v>
      </c>
      <c r="B93" s="46"/>
      <c r="C93" s="46"/>
      <c r="D93" s="46"/>
      <c r="E93" s="46"/>
      <c r="F93" s="46"/>
      <c r="G93" s="46"/>
      <c r="H93" s="46"/>
      <c r="I93" s="46"/>
      <c r="J93" s="46"/>
    </row>
    <row r="94" spans="1:10" x14ac:dyDescent="0.2">
      <c r="A94" s="17" t="s">
        <v>225</v>
      </c>
      <c r="B94" s="17" t="s">
        <v>36</v>
      </c>
      <c r="C94" s="17" t="s">
        <v>33</v>
      </c>
      <c r="D94" s="17" t="s">
        <v>205</v>
      </c>
      <c r="E94" s="17" t="s">
        <v>206</v>
      </c>
      <c r="F94" s="17" t="s">
        <v>207</v>
      </c>
      <c r="G94" s="17" t="s">
        <v>208</v>
      </c>
      <c r="H94" s="17" t="s">
        <v>38</v>
      </c>
      <c r="I94" s="17" t="s">
        <v>31</v>
      </c>
    </row>
    <row r="95" spans="1:10" x14ac:dyDescent="0.2">
      <c r="A95" s="55" t="s">
        <v>143</v>
      </c>
      <c r="B95" s="56">
        <f>COUNTIFS('Raw Data'!$J$2:$J$1001,A95)</f>
        <v>504</v>
      </c>
      <c r="C95" s="57">
        <f>SUMIFS('Raw Data'!$E$2:$E$1001,'Raw Data'!$J$2:$J$1001,A95)</f>
        <v>2506258.299999998</v>
      </c>
      <c r="D95" s="58">
        <f>C95/$B$35</f>
        <v>0.49932772729764607</v>
      </c>
      <c r="E95" s="57">
        <f>IF(B95=0,0,C95/B95)</f>
        <v>4972.7347222222179</v>
      </c>
      <c r="F95" s="56">
        <f>SUMIFS('Raw Data'!$F$2:$F$1001,'Raw Data'!$J$2:$J$1001,A95)</f>
        <v>13184</v>
      </c>
      <c r="G95" s="58">
        <f>IFERROR(AVERAGEIFS('Raw Data'!$K$2:$K$1001,'Raw Data'!$J$2:$J$1001,A95),0)</f>
        <v>0.15172619047619049</v>
      </c>
      <c r="H95" s="58">
        <f>IFERROR(SUMIFS('Raw Data'!$R$2:$R$1001,'Raw Data'!$J$2:$J$1001,A95)/SUMIFS('Raw Data'!$P$2:$P$1001,'Raw Data'!$J$2:$J$1001,A95),0)</f>
        <v>-6.2028842355497757E-2</v>
      </c>
      <c r="I95" s="55">
        <f>RANK(C95,$C$95:$C$96,0)</f>
        <v>2</v>
      </c>
    </row>
    <row r="96" spans="1:10" x14ac:dyDescent="0.2">
      <c r="A96" s="55" t="s">
        <v>137</v>
      </c>
      <c r="B96" s="56">
        <f>COUNTIFS('Raw Data'!$J$2:$J$1001,A96)</f>
        <v>496</v>
      </c>
      <c r="C96" s="57">
        <f>SUMIFS('Raw Data'!$E$2:$E$1001,'Raw Data'!$J$2:$J$1001,A96)</f>
        <v>2513006.930000002</v>
      </c>
      <c r="D96" s="58">
        <f>C96/$B$35</f>
        <v>0.50067227270235348</v>
      </c>
      <c r="E96" s="57">
        <f>IF(B96=0,0,C96/B96)</f>
        <v>5066.5462298387138</v>
      </c>
      <c r="F96" s="56">
        <f>SUMIFS('Raw Data'!$F$2:$F$1001,'Raw Data'!$J$2:$J$1001,A96)</f>
        <v>12171</v>
      </c>
      <c r="G96" s="58">
        <f>IFERROR(AVERAGEIFS('Raw Data'!$K$2:$K$1001,'Raw Data'!$J$2:$J$1001,A96),0)</f>
        <v>0.15306451612903238</v>
      </c>
      <c r="H96" s="58">
        <f>IFERROR(SUMIFS('Raw Data'!$R$2:$R$1001,'Raw Data'!$J$2:$J$1001,A96)/SUMIFS('Raw Data'!$P$2:$P$1001,'Raw Data'!$J$2:$J$1001,A96),0)</f>
        <v>-7.793469734823591E-2</v>
      </c>
      <c r="I96" s="55">
        <f>RANK(C96,$C$95:$C$96,0)</f>
        <v>1</v>
      </c>
    </row>
    <row r="97" spans="1:10" x14ac:dyDescent="0.2">
      <c r="A97" s="59" t="s">
        <v>209</v>
      </c>
      <c r="B97" s="60">
        <f>SUM(B95:B96)</f>
        <v>1000</v>
      </c>
      <c r="C97" s="61">
        <f>SUM(C95:C96)</f>
        <v>5019265.2300000004</v>
      </c>
      <c r="D97" s="62">
        <f>SUM(D95:D96)</f>
        <v>0.99999999999999956</v>
      </c>
      <c r="E97" s="61"/>
      <c r="F97" s="60">
        <f>SUM(F95:F96)</f>
        <v>25355</v>
      </c>
      <c r="G97" s="62"/>
      <c r="H97" s="62"/>
      <c r="I97" s="59"/>
    </row>
    <row r="98" spans="1:10" x14ac:dyDescent="0.2">
      <c r="A98" s="39" t="s">
        <v>226</v>
      </c>
      <c r="B98" s="19" t="str">
        <f>INDEX(A95:A96,MATCH(MAX(C95:C96),C95:C96,0))</f>
        <v>Returning</v>
      </c>
    </row>
    <row r="99" spans="1:10" x14ac:dyDescent="0.2">
      <c r="A99" s="39" t="s">
        <v>227</v>
      </c>
      <c r="B99" s="19" t="str">
        <f>INDEX(A95:A96,MATCH(MIN(C95:C96),C95:C96,0))</f>
        <v>New</v>
      </c>
    </row>
    <row r="101" spans="1:10" x14ac:dyDescent="0.2">
      <c r="A101" s="45" t="s">
        <v>228</v>
      </c>
      <c r="B101" s="46"/>
      <c r="C101" s="46"/>
      <c r="D101" s="46"/>
      <c r="E101" s="46"/>
      <c r="F101" s="46"/>
      <c r="G101" s="46"/>
      <c r="H101" s="46"/>
      <c r="I101" s="46"/>
      <c r="J101" s="46"/>
    </row>
    <row r="102" spans="1:10" x14ac:dyDescent="0.2">
      <c r="A102" s="17" t="s">
        <v>229</v>
      </c>
      <c r="B102" s="17" t="s">
        <v>36</v>
      </c>
      <c r="C102" s="17" t="s">
        <v>33</v>
      </c>
      <c r="D102" s="17" t="s">
        <v>205</v>
      </c>
      <c r="E102" s="17" t="s">
        <v>206</v>
      </c>
      <c r="F102" s="17" t="s">
        <v>207</v>
      </c>
      <c r="G102" s="17" t="s">
        <v>208</v>
      </c>
      <c r="H102" s="17" t="s">
        <v>38</v>
      </c>
      <c r="I102" s="17" t="s">
        <v>31</v>
      </c>
    </row>
    <row r="103" spans="1:10" x14ac:dyDescent="0.2">
      <c r="A103" s="55" t="s">
        <v>63</v>
      </c>
      <c r="B103" s="56">
        <f>COUNTIFS('Raw Data'!$L$2:$L$1001,A103)</f>
        <v>342</v>
      </c>
      <c r="C103" s="57">
        <f>SUMIFS('Raw Data'!$E$2:$E$1001,'Raw Data'!$L$2:$L$1001,A103)</f>
        <v>1717363.1699999997</v>
      </c>
      <c r="D103" s="58">
        <f>C103/$B$35</f>
        <v>0.34215429775166489</v>
      </c>
      <c r="E103" s="57">
        <f>IF(B103=0,0,C103/B103)</f>
        <v>5021.5297368421043</v>
      </c>
      <c r="F103" s="56">
        <f>SUMIFS('Raw Data'!$F$2:$F$1001,'Raw Data'!$L$2:$L$1001,A103)</f>
        <v>8696</v>
      </c>
      <c r="G103" s="58">
        <f>IFERROR(AVERAGEIFS('Raw Data'!$K$2:$K$1001,'Raw Data'!$L$2:$L$1001,A103),0)</f>
        <v>0.15350877192982459</v>
      </c>
      <c r="H103" s="58">
        <f>IFERROR(SUMIFS('Raw Data'!$R$2:$R$1001,'Raw Data'!$L$2:$L$1001,A103)/SUMIFS('Raw Data'!$P$2:$P$1001,'Raw Data'!$L$2:$L$1001,A103),0)</f>
        <v>-7.2500366433557895E-2</v>
      </c>
      <c r="I103" s="55">
        <f>RANK(C103,$C$103:$C$105,0)</f>
        <v>2</v>
      </c>
    </row>
    <row r="104" spans="1:10" x14ac:dyDescent="0.2">
      <c r="A104" s="55" t="s">
        <v>68</v>
      </c>
      <c r="B104" s="56">
        <f>COUNTIFS('Raw Data'!$L$2:$L$1001,A104)</f>
        <v>313</v>
      </c>
      <c r="C104" s="57">
        <f>SUMIFS('Raw Data'!$E$2:$E$1001,'Raw Data'!$L$2:$L$1001,A104)</f>
        <v>1544338.54</v>
      </c>
      <c r="D104" s="58">
        <f>C104/$B$35</f>
        <v>0.30768219435178151</v>
      </c>
      <c r="E104" s="57">
        <f>IF(B104=0,0,C104/B104)</f>
        <v>4933.9889456869014</v>
      </c>
      <c r="F104" s="56">
        <f>SUMIFS('Raw Data'!$F$2:$F$1001,'Raw Data'!$L$2:$L$1001,A104)</f>
        <v>8218</v>
      </c>
      <c r="G104" s="58">
        <f>IFERROR(AVERAGEIFS('Raw Data'!$K$2:$K$1001,'Raw Data'!$L$2:$L$1001,A104),0)</f>
        <v>0.15172523961661349</v>
      </c>
      <c r="H104" s="58">
        <f>IFERROR(SUMIFS('Raw Data'!$R$2:$R$1001,'Raw Data'!$L$2:$L$1001,A104)/SUMIFS('Raw Data'!$P$2:$P$1001,'Raw Data'!$L$2:$L$1001,A104),0)</f>
        <v>-6.5929508600969466E-2</v>
      </c>
      <c r="I104" s="55">
        <f>RANK(C104,$C$103:$C$105,0)</f>
        <v>3</v>
      </c>
    </row>
    <row r="105" spans="1:10" x14ac:dyDescent="0.2">
      <c r="A105" s="55" t="s">
        <v>73</v>
      </c>
      <c r="B105" s="56">
        <f>COUNTIFS('Raw Data'!$L$2:$L$1001,A105)</f>
        <v>345</v>
      </c>
      <c r="C105" s="57">
        <f>SUMIFS('Raw Data'!$E$2:$E$1001,'Raw Data'!$L$2:$L$1001,A105)</f>
        <v>1757563.5199999998</v>
      </c>
      <c r="D105" s="58">
        <f>C105/$B$35</f>
        <v>0.35016350789655304</v>
      </c>
      <c r="E105" s="57">
        <f>IF(B105=0,0,C105/B105)</f>
        <v>5094.3870144927532</v>
      </c>
      <c r="F105" s="56">
        <f>SUMIFS('Raw Data'!$F$2:$F$1001,'Raw Data'!$L$2:$L$1001,A105)</f>
        <v>8441</v>
      </c>
      <c r="G105" s="58">
        <f>IFERROR(AVERAGEIFS('Raw Data'!$K$2:$K$1001,'Raw Data'!$L$2:$L$1001,A105),0)</f>
        <v>0.15188405797101467</v>
      </c>
      <c r="H105" s="58">
        <f>IFERROR(SUMIFS('Raw Data'!$R$2:$R$1001,'Raw Data'!$L$2:$L$1001,A105)/SUMIFS('Raw Data'!$P$2:$P$1001,'Raw Data'!$L$2:$L$1001,A105),0)</f>
        <v>-7.0113614245096628E-2</v>
      </c>
      <c r="I105" s="55">
        <f>RANK(C105,$C$103:$C$105,0)</f>
        <v>1</v>
      </c>
    </row>
    <row r="106" spans="1:10" x14ac:dyDescent="0.2">
      <c r="A106" s="59" t="s">
        <v>209</v>
      </c>
      <c r="B106" s="60">
        <f>SUM(B103:B105)</f>
        <v>1000</v>
      </c>
      <c r="C106" s="61">
        <f>SUM(C103:C105)</f>
        <v>5019265.2299999995</v>
      </c>
      <c r="D106" s="62">
        <f>SUM(D103:D105)</f>
        <v>0.99999999999999944</v>
      </c>
      <c r="E106" s="61"/>
      <c r="F106" s="60">
        <f>SUM(F103:F105)</f>
        <v>25355</v>
      </c>
      <c r="G106" s="62"/>
      <c r="H106" s="62"/>
      <c r="I106" s="59"/>
    </row>
    <row r="107" spans="1:10" x14ac:dyDescent="0.2">
      <c r="A107" s="39" t="s">
        <v>230</v>
      </c>
      <c r="B107" s="19" t="str">
        <f>INDEX(A103:A105,MATCH(MAX(C103:C105),C103:C105,0))</f>
        <v>Credit Card</v>
      </c>
    </row>
    <row r="108" spans="1:10" x14ac:dyDescent="0.2">
      <c r="A108" s="39" t="s">
        <v>231</v>
      </c>
      <c r="B108" s="19" t="str">
        <f>INDEX(A103:A105,MATCH(MIN(C103:C105),C103:C105,0))</f>
        <v>Cash</v>
      </c>
    </row>
    <row r="110" spans="1:10" x14ac:dyDescent="0.2">
      <c r="A110" s="45" t="s">
        <v>232</v>
      </c>
      <c r="B110" s="46"/>
      <c r="C110" s="46"/>
      <c r="D110" s="46"/>
      <c r="E110" s="46"/>
      <c r="F110" s="46"/>
      <c r="G110" s="46"/>
      <c r="H110" s="46"/>
      <c r="I110" s="46"/>
      <c r="J110" s="46"/>
    </row>
    <row r="111" spans="1:10" x14ac:dyDescent="0.2">
      <c r="A111" s="17" t="s">
        <v>233</v>
      </c>
      <c r="B111" s="17" t="s">
        <v>36</v>
      </c>
      <c r="C111" s="17" t="s">
        <v>33</v>
      </c>
      <c r="D111" s="17" t="s">
        <v>205</v>
      </c>
      <c r="E111" s="17" t="s">
        <v>206</v>
      </c>
      <c r="F111" s="17" t="s">
        <v>207</v>
      </c>
      <c r="G111" s="17" t="s">
        <v>208</v>
      </c>
      <c r="H111" s="17" t="s">
        <v>38</v>
      </c>
      <c r="I111" s="17" t="s">
        <v>31</v>
      </c>
    </row>
    <row r="112" spans="1:10" x14ac:dyDescent="0.2">
      <c r="A112" s="55" t="s">
        <v>234</v>
      </c>
      <c r="B112" s="56">
        <f>COUNTIFS('Raw Data'!$U$2:$U$1001,A112)</f>
        <v>313</v>
      </c>
      <c r="C112" s="57">
        <f>SUMIFS('Raw Data'!$E$2:$E$1001,'Raw Data'!$U$2:$U$1001,A112)</f>
        <v>1559624.6400000004</v>
      </c>
      <c r="D112" s="58">
        <f>C112/$B$35</f>
        <v>0.31072767995565748</v>
      </c>
      <c r="E112" s="57">
        <f>IF(B112=0,0,C112/B112)</f>
        <v>4982.8263258785955</v>
      </c>
      <c r="F112" s="56">
        <f>SUMIFS('Raw Data'!$F$2:$F$1001,'Raw Data'!$U$2:$U$1001,A112)</f>
        <v>8093</v>
      </c>
      <c r="G112" s="58">
        <f>IFERROR(AVERAGEIFS('Raw Data'!$K$2:$K$1001,'Raw Data'!$U$2:$U$1001,A112),0)</f>
        <v>4.7635782747603737E-2</v>
      </c>
      <c r="H112" s="58">
        <f>IFERROR(SUMIFS('Raw Data'!$R$2:$R$1001,'Raw Data'!$U$2:$U$1001,A112)/SUMIFS('Raw Data'!$P$2:$P$1001,'Raw Data'!$U$2:$U$1001,A112),0)</f>
        <v>4.5253604795471782E-2</v>
      </c>
      <c r="I112" s="55">
        <f>RANK(C112,$C$112:$C$114,0)</f>
        <v>2</v>
      </c>
    </row>
    <row r="113" spans="1:10" x14ac:dyDescent="0.2">
      <c r="A113" s="55" t="s">
        <v>235</v>
      </c>
      <c r="B113" s="56">
        <f>COUNTIFS('Raw Data'!$U$2:$U$1001,A113)</f>
        <v>307</v>
      </c>
      <c r="C113" s="57">
        <f>SUMIFS('Raw Data'!$E$2:$E$1001,'Raw Data'!$U$2:$U$1001,A113)</f>
        <v>1472994.1600000008</v>
      </c>
      <c r="D113" s="58">
        <f>C113/$B$35</f>
        <v>0.29346808596524399</v>
      </c>
      <c r="E113" s="57">
        <f>IF(B113=0,0,C113/B113)</f>
        <v>4798.026579804563</v>
      </c>
      <c r="F113" s="56">
        <f>SUMIFS('Raw Data'!$F$2:$F$1001,'Raw Data'!$U$2:$U$1001,A113)</f>
        <v>7700</v>
      </c>
      <c r="G113" s="58">
        <f>IFERROR(AVERAGEIFS('Raw Data'!$K$2:$K$1001,'Raw Data'!$U$2:$U$1001,A113),0)</f>
        <v>0.14394136807817601</v>
      </c>
      <c r="H113" s="58">
        <f>IFERROR(SUMIFS('Raw Data'!$R$2:$R$1001,'Raw Data'!$U$2:$U$1001,A113)/SUMIFS('Raw Data'!$P$2:$P$1001,'Raw Data'!$U$2:$U$1001,A113),0)</f>
        <v>-5.7639641647233612E-2</v>
      </c>
      <c r="I113" s="55">
        <f>RANK(C113,$C$112:$C$114,0)</f>
        <v>3</v>
      </c>
    </row>
    <row r="114" spans="1:10" x14ac:dyDescent="0.2">
      <c r="A114" s="55" t="s">
        <v>236</v>
      </c>
      <c r="B114" s="56">
        <f>COUNTIFS('Raw Data'!$U$2:$U$1001,A114)</f>
        <v>380</v>
      </c>
      <c r="C114" s="57">
        <f>SUMIFS('Raw Data'!$E$2:$E$1001,'Raw Data'!$U$2:$U$1001,A114)</f>
        <v>1986646.4299999988</v>
      </c>
      <c r="D114" s="58">
        <f>C114/$B$35</f>
        <v>0.39580423407909804</v>
      </c>
      <c r="E114" s="57">
        <f>IF(B114=0,0,C114/B114)</f>
        <v>5228.0169210526283</v>
      </c>
      <c r="F114" s="56">
        <f>SUMIFS('Raw Data'!$F$2:$F$1001,'Raw Data'!$U$2:$U$1001,A114)</f>
        <v>9562</v>
      </c>
      <c r="G114" s="58">
        <f>IFERROR(AVERAGEIFS('Raw Data'!$K$2:$K$1001,'Raw Data'!$U$2:$U$1001,A114),0)</f>
        <v>0.24549999999999975</v>
      </c>
      <c r="H114" s="58">
        <f>IFERROR(SUMIFS('Raw Data'!$R$2:$R$1001,'Raw Data'!$U$2:$U$1001,A114)/SUMIFS('Raw Data'!$P$2:$P$1001,'Raw Data'!$U$2:$U$1001,A114),0)</f>
        <v>-0.20766011539269338</v>
      </c>
      <c r="I114" s="55">
        <f>RANK(C114,$C$112:$C$114,0)</f>
        <v>1</v>
      </c>
    </row>
    <row r="115" spans="1:10" x14ac:dyDescent="0.2">
      <c r="A115" s="59" t="s">
        <v>209</v>
      </c>
      <c r="B115" s="60">
        <f>SUM(B112:B114)</f>
        <v>1000</v>
      </c>
      <c r="C115" s="61">
        <f>SUM(C112:C114)</f>
        <v>5019265.2300000004</v>
      </c>
      <c r="D115" s="62">
        <f>SUM(D112:D114)</f>
        <v>0.99999999999999944</v>
      </c>
      <c r="E115" s="61"/>
      <c r="F115" s="60">
        <f>SUM(F112:F114)</f>
        <v>25355</v>
      </c>
      <c r="G115" s="62"/>
      <c r="H115" s="62"/>
      <c r="I115" s="59"/>
    </row>
    <row r="116" spans="1:10" x14ac:dyDescent="0.2">
      <c r="A116" s="39" t="s">
        <v>237</v>
      </c>
      <c r="B116" s="19" t="str">
        <f>INDEX(A112:A114,MATCH(MAX(C112:C114),C112:C114,0))</f>
        <v>20%+</v>
      </c>
    </row>
    <row r="117" spans="1:10" x14ac:dyDescent="0.2">
      <c r="A117" s="39" t="s">
        <v>238</v>
      </c>
      <c r="B117" s="19" t="str">
        <f>INDEX(A112:A114,MATCH(MIN(C112:C114),C112:C114,0))</f>
        <v>10-19%</v>
      </c>
    </row>
    <row r="119" spans="1:10" x14ac:dyDescent="0.2">
      <c r="A119" s="45" t="s">
        <v>239</v>
      </c>
      <c r="B119" s="46"/>
      <c r="C119" s="46"/>
      <c r="D119" s="46"/>
      <c r="E119" s="46"/>
      <c r="F119" s="46"/>
      <c r="G119" s="46"/>
      <c r="H119" s="46"/>
      <c r="I119" s="46"/>
      <c r="J119" s="46"/>
    </row>
    <row r="120" spans="1:10" x14ac:dyDescent="0.2">
      <c r="A120" s="17" t="s">
        <v>240</v>
      </c>
      <c r="B120" s="17" t="s">
        <v>36</v>
      </c>
      <c r="C120" s="17" t="s">
        <v>33</v>
      </c>
      <c r="D120" s="17" t="s">
        <v>205</v>
      </c>
      <c r="E120" s="17" t="s">
        <v>206</v>
      </c>
      <c r="F120" s="17" t="s">
        <v>207</v>
      </c>
      <c r="G120" s="17" t="s">
        <v>208</v>
      </c>
      <c r="H120" s="17" t="s">
        <v>38</v>
      </c>
      <c r="I120" s="17" t="s">
        <v>31</v>
      </c>
    </row>
    <row r="121" spans="1:10" x14ac:dyDescent="0.2">
      <c r="A121" s="55" t="s">
        <v>241</v>
      </c>
      <c r="B121" s="56">
        <f>COUNTIFS('Raw Data'!$V$2:$V$1001,A121)</f>
        <v>250</v>
      </c>
      <c r="C121" s="57">
        <f>SUMIFS('Raw Data'!$E$2:$E$1001,'Raw Data'!$V$2:$V$1001,A121)</f>
        <v>2175245.2800000007</v>
      </c>
      <c r="D121" s="58">
        <f>C121/$B$35</f>
        <v>0.43337922590713535</v>
      </c>
      <c r="E121" s="57">
        <f>IF(B121=0,0,C121/B121)</f>
        <v>8700.9811200000022</v>
      </c>
      <c r="F121" s="56">
        <f>SUMIFS('Raw Data'!$F$2:$F$1001,'Raw Data'!$V$2:$V$1001,A121)</f>
        <v>6036</v>
      </c>
      <c r="G121" s="58">
        <f>IFERROR(AVERAGEIFS('Raw Data'!$K$2:$K$1001,'Raw Data'!$V$2:$V$1001,A121),0)</f>
        <v>0.15468000000000001</v>
      </c>
      <c r="H121" s="58">
        <f>IFERROR(SUMIFS('Raw Data'!$R$2:$R$1001,'Raw Data'!$V$2:$V$1001,A121)/SUMIFS('Raw Data'!$P$2:$P$1001,'Raw Data'!$V$2:$V$1001,A121),0)</f>
        <v>-7.2387394705823019E-2</v>
      </c>
      <c r="I121" s="55">
        <f>RANK(C121,$C$121:$C$123,0)</f>
        <v>2</v>
      </c>
    </row>
    <row r="122" spans="1:10" x14ac:dyDescent="0.2">
      <c r="A122" s="55" t="s">
        <v>43</v>
      </c>
      <c r="B122" s="56">
        <f>COUNTIFS('Raw Data'!$V$2:$V$1001,A122)</f>
        <v>500</v>
      </c>
      <c r="C122" s="57">
        <f>SUMIFS('Raw Data'!$E$2:$E$1001,'Raw Data'!$V$2:$V$1001,A122)</f>
        <v>2505486.2300000004</v>
      </c>
      <c r="D122" s="58">
        <f>C122/$B$35</f>
        <v>0.49917390597826594</v>
      </c>
      <c r="E122" s="57">
        <f>IF(B122=0,0,C122/B122)</f>
        <v>5010.9724600000009</v>
      </c>
      <c r="F122" s="56">
        <f>SUMIFS('Raw Data'!$F$2:$F$1001,'Raw Data'!$V$2:$V$1001,A122)</f>
        <v>12958</v>
      </c>
      <c r="G122" s="58">
        <f>IFERROR(AVERAGEIFS('Raw Data'!$K$2:$K$1001,'Raw Data'!$V$2:$V$1001,A122),0)</f>
        <v>0.15262000000000012</v>
      </c>
      <c r="H122" s="58">
        <f>IFERROR(SUMIFS('Raw Data'!$R$2:$R$1001,'Raw Data'!$V$2:$V$1001,A122)/SUMIFS('Raw Data'!$P$2:$P$1001,'Raw Data'!$V$2:$V$1001,A122),0)</f>
        <v>-7.1117421329532235E-2</v>
      </c>
      <c r="I122" s="55">
        <f>RANK(C122,$C$121:$C$123,0)</f>
        <v>1</v>
      </c>
    </row>
    <row r="123" spans="1:10" x14ac:dyDescent="0.2">
      <c r="A123" s="55" t="s">
        <v>44</v>
      </c>
      <c r="B123" s="56">
        <f>COUNTIFS('Raw Data'!$V$2:$V$1001,A123)</f>
        <v>250</v>
      </c>
      <c r="C123" s="57">
        <f>SUMIFS('Raw Data'!$E$2:$E$1001,'Raw Data'!$V$2:$V$1001,A123)</f>
        <v>338533.72000000009</v>
      </c>
      <c r="D123" s="58">
        <f>C123/$B$35</f>
        <v>6.7446868114598504E-2</v>
      </c>
      <c r="E123" s="57">
        <f>IF(B123=0,0,C123/B123)</f>
        <v>1354.1348800000003</v>
      </c>
      <c r="F123" s="56">
        <f>SUMIFS('Raw Data'!$F$2:$F$1001,'Raw Data'!$V$2:$V$1001,A123)</f>
        <v>6361</v>
      </c>
      <c r="G123" s="58">
        <f>IFERROR(AVERAGEIFS('Raw Data'!$K$2:$K$1001,'Raw Data'!$V$2:$V$1001,A123),0)</f>
        <v>0.14964000000000011</v>
      </c>
      <c r="H123" s="58">
        <f>IFERROR(SUMIFS('Raw Data'!$R$2:$R$1001,'Raw Data'!$V$2:$V$1001,A123)/SUMIFS('Raw Data'!$P$2:$P$1001,'Raw Data'!$V$2:$V$1001,A123),0)</f>
        <v>-6.4037739755204021E-2</v>
      </c>
      <c r="I123" s="55">
        <f>RANK(C123,$C$121:$C$123,0)</f>
        <v>3</v>
      </c>
    </row>
    <row r="124" spans="1:10" x14ac:dyDescent="0.2">
      <c r="A124" s="59" t="s">
        <v>209</v>
      </c>
      <c r="B124" s="60">
        <f>SUM(B121:B123)</f>
        <v>1000</v>
      </c>
      <c r="C124" s="61">
        <f>SUM(C121:C123)</f>
        <v>5019265.2300000014</v>
      </c>
      <c r="D124" s="62">
        <f>SUM(D121:D123)</f>
        <v>0.99999999999999978</v>
      </c>
      <c r="E124" s="61"/>
      <c r="F124" s="60">
        <f>SUM(F121:F123)</f>
        <v>25355</v>
      </c>
      <c r="G124" s="62"/>
      <c r="H124" s="62"/>
      <c r="I124" s="59"/>
    </row>
    <row r="125" spans="1:10" x14ac:dyDescent="0.2">
      <c r="A125" s="39" t="s">
        <v>242</v>
      </c>
      <c r="B125" s="19" t="str">
        <f>INDEX(A121:A123,MATCH(MAX(C121:C123),C121:C123,0))</f>
        <v>Mid</v>
      </c>
    </row>
    <row r="126" spans="1:10" x14ac:dyDescent="0.2">
      <c r="A126" s="39" t="s">
        <v>243</v>
      </c>
      <c r="B126" s="19" t="str">
        <f>INDEX(A121:A123,MATCH(MIN(C121:C123),C121:C123,0))</f>
        <v>Low</v>
      </c>
    </row>
    <row r="128" spans="1:10" x14ac:dyDescent="0.2">
      <c r="A128" s="45" t="s">
        <v>244</v>
      </c>
      <c r="B128" s="46"/>
      <c r="C128" s="46"/>
      <c r="D128" s="46"/>
      <c r="E128" s="46"/>
      <c r="F128" s="46"/>
      <c r="G128" s="46"/>
      <c r="H128" s="46"/>
      <c r="I128" s="46"/>
      <c r="J128" s="46"/>
    </row>
    <row r="129" spans="1:10" x14ac:dyDescent="0.2">
      <c r="A129" s="17" t="s">
        <v>124</v>
      </c>
      <c r="B129" s="17" t="s">
        <v>36</v>
      </c>
      <c r="C129" s="17" t="s">
        <v>33</v>
      </c>
      <c r="D129" s="17" t="s">
        <v>205</v>
      </c>
      <c r="E129" s="17" t="s">
        <v>206</v>
      </c>
      <c r="F129" s="17" t="s">
        <v>207</v>
      </c>
      <c r="G129" s="17" t="s">
        <v>208</v>
      </c>
      <c r="H129" s="17" t="s">
        <v>38</v>
      </c>
      <c r="I129" s="17" t="s">
        <v>31</v>
      </c>
    </row>
    <row r="130" spans="1:10" x14ac:dyDescent="0.2">
      <c r="A130" s="55" t="s">
        <v>245</v>
      </c>
      <c r="B130" s="56">
        <f>COUNTIFS('Raw Data'!$AA$2:$AA$1001,1)</f>
        <v>134</v>
      </c>
      <c r="C130" s="57">
        <f>SUMIFS('Raw Data'!$E$2:$E$1001,'Raw Data'!$AA$2:$AA$1001,1)</f>
        <v>688774.31</v>
      </c>
      <c r="D130" s="58">
        <f t="shared" ref="D130:D136" si="0">C130/$B$35</f>
        <v>0.13722612343400703</v>
      </c>
      <c r="E130" s="57">
        <f t="shared" ref="E130:E136" si="1">IF(B130=0,0,C130/B130)</f>
        <v>5140.1067910447764</v>
      </c>
      <c r="F130" s="56">
        <f>SUMIFS('Raw Data'!$F$2:$F$1001,'Raw Data'!$AA$2:$AA$1001,1)</f>
        <v>3602</v>
      </c>
      <c r="G130" s="58">
        <f>IFERROR(AVERAGEIFS('Raw Data'!$K$2:$K$1001,'Raw Data'!$AA$2:$AA$1001,1),0)</f>
        <v>0.13641791044776108</v>
      </c>
      <c r="H130" s="58">
        <f>IFERROR(SUMIFS('Raw Data'!$R$2:$R$1001,'Raw Data'!$AA$2:$AA$1001,1)/SUMIFS('Raw Data'!$P$2:$P$1001,'Raw Data'!$AA$2:$AA$1001,1),0)</f>
        <v>-3.9565745239194851E-2</v>
      </c>
      <c r="I130" s="55">
        <f t="shared" ref="I130:I136" si="2">RANK(C130,$C$130:$C$136,0)</f>
        <v>5</v>
      </c>
    </row>
    <row r="131" spans="1:10" x14ac:dyDescent="0.2">
      <c r="A131" s="55" t="s">
        <v>246</v>
      </c>
      <c r="B131" s="56">
        <f>COUNTIFS('Raw Data'!$AA$2:$AA$1001,2)</f>
        <v>134</v>
      </c>
      <c r="C131" s="57">
        <f>SUMIFS('Raw Data'!$E$2:$E$1001,'Raw Data'!$AA$2:$AA$1001,2)</f>
        <v>726626.50000000012</v>
      </c>
      <c r="D131" s="58">
        <f t="shared" si="0"/>
        <v>0.14476750414721554</v>
      </c>
      <c r="E131" s="57">
        <f t="shared" si="1"/>
        <v>5422.5858208955233</v>
      </c>
      <c r="F131" s="56">
        <f>SUMIFS('Raw Data'!$F$2:$F$1001,'Raw Data'!$AA$2:$AA$1001,2)</f>
        <v>3453</v>
      </c>
      <c r="G131" s="58">
        <f>IFERROR(AVERAGEIFS('Raw Data'!$K$2:$K$1001,'Raw Data'!$AA$2:$AA$1001,2),0)</f>
        <v>0.14820895522388058</v>
      </c>
      <c r="H131" s="58">
        <f>IFERROR(SUMIFS('Raw Data'!$R$2:$R$1001,'Raw Data'!$AA$2:$AA$1001,2)/SUMIFS('Raw Data'!$P$2:$P$1001,'Raw Data'!$AA$2:$AA$1001,2),0)</f>
        <v>-5.7831031784306812E-2</v>
      </c>
      <c r="I131" s="55">
        <f t="shared" si="2"/>
        <v>4</v>
      </c>
    </row>
    <row r="132" spans="1:10" x14ac:dyDescent="0.2">
      <c r="A132" s="55" t="s">
        <v>247</v>
      </c>
      <c r="B132" s="56">
        <f>COUNTIFS('Raw Data'!$AA$2:$AA$1001,3)</f>
        <v>139</v>
      </c>
      <c r="C132" s="57">
        <f>SUMIFS('Raw Data'!$E$2:$E$1001,'Raw Data'!$AA$2:$AA$1001,3)</f>
        <v>637904.69999999995</v>
      </c>
      <c r="D132" s="58">
        <f t="shared" si="0"/>
        <v>0.12709125156153575</v>
      </c>
      <c r="E132" s="57">
        <f t="shared" si="1"/>
        <v>4589.2424460431648</v>
      </c>
      <c r="F132" s="56">
        <f>SUMIFS('Raw Data'!$F$2:$F$1001,'Raw Data'!$AA$2:$AA$1001,3)</f>
        <v>3602</v>
      </c>
      <c r="G132" s="58">
        <f>IFERROR(AVERAGEIFS('Raw Data'!$K$2:$K$1001,'Raw Data'!$AA$2:$AA$1001,3),0)</f>
        <v>0.1581294964028776</v>
      </c>
      <c r="H132" s="58">
        <f>IFERROR(SUMIFS('Raw Data'!$R$2:$R$1001,'Raw Data'!$AA$2:$AA$1001,3)/SUMIFS('Raw Data'!$P$2:$P$1001,'Raw Data'!$AA$2:$AA$1001,3),0)</f>
        <v>-9.0672110193033978E-2</v>
      </c>
      <c r="I132" s="55">
        <f t="shared" si="2"/>
        <v>6</v>
      </c>
    </row>
    <row r="133" spans="1:10" x14ac:dyDescent="0.2">
      <c r="A133" s="55" t="s">
        <v>248</v>
      </c>
      <c r="B133" s="56">
        <f>COUNTIFS('Raw Data'!$AA$2:$AA$1001,4)</f>
        <v>161</v>
      </c>
      <c r="C133" s="57">
        <f>SUMIFS('Raw Data'!$E$2:$E$1001,'Raw Data'!$AA$2:$AA$1001,4)</f>
        <v>808000.17</v>
      </c>
      <c r="D133" s="58">
        <f t="shared" si="0"/>
        <v>0.16097977153520529</v>
      </c>
      <c r="E133" s="57">
        <f t="shared" si="1"/>
        <v>5018.6345962732921</v>
      </c>
      <c r="F133" s="56">
        <f>SUMIFS('Raw Data'!$F$2:$F$1001,'Raw Data'!$AA$2:$AA$1001,4)</f>
        <v>4296</v>
      </c>
      <c r="G133" s="58">
        <f>IFERROR(AVERAGEIFS('Raw Data'!$K$2:$K$1001,'Raw Data'!$AA$2:$AA$1001,4),0)</f>
        <v>0.15552795031055905</v>
      </c>
      <c r="H133" s="58">
        <f>IFERROR(SUMIFS('Raw Data'!$R$2:$R$1001,'Raw Data'!$AA$2:$AA$1001,4)/SUMIFS('Raw Data'!$P$2:$P$1001,'Raw Data'!$AA$2:$AA$1001,4),0)</f>
        <v>-8.5961391587382086E-2</v>
      </c>
      <c r="I133" s="55">
        <f t="shared" si="2"/>
        <v>1</v>
      </c>
    </row>
    <row r="134" spans="1:10" x14ac:dyDescent="0.2">
      <c r="A134" s="55" t="s">
        <v>249</v>
      </c>
      <c r="B134" s="56">
        <f>COUNTIFS('Raw Data'!$AA$2:$AA$1001,5)</f>
        <v>160</v>
      </c>
      <c r="C134" s="57">
        <f>SUMIFS('Raw Data'!$E$2:$E$1001,'Raw Data'!$AA$2:$AA$1001,5)</f>
        <v>785779.36</v>
      </c>
      <c r="D134" s="58">
        <f t="shared" si="0"/>
        <v>0.156552667371196</v>
      </c>
      <c r="E134" s="57">
        <f t="shared" si="1"/>
        <v>4911.1210000000001</v>
      </c>
      <c r="F134" s="56">
        <f>SUMIFS('Raw Data'!$F$2:$F$1001,'Raw Data'!$AA$2:$AA$1001,5)</f>
        <v>3882</v>
      </c>
      <c r="G134" s="58">
        <f>IFERROR(AVERAGEIFS('Raw Data'!$K$2:$K$1001,'Raw Data'!$AA$2:$AA$1001,5),0)</f>
        <v>0.15343750000000006</v>
      </c>
      <c r="H134" s="58">
        <f>IFERROR(SUMIFS('Raw Data'!$R$2:$R$1001,'Raw Data'!$AA$2:$AA$1001,5)/SUMIFS('Raw Data'!$P$2:$P$1001,'Raw Data'!$AA$2:$AA$1001,5),0)</f>
        <v>-7.8186389905640002E-2</v>
      </c>
      <c r="I134" s="55">
        <f t="shared" si="2"/>
        <v>2</v>
      </c>
    </row>
    <row r="135" spans="1:10" x14ac:dyDescent="0.2">
      <c r="A135" s="55" t="s">
        <v>250</v>
      </c>
      <c r="B135" s="56">
        <f>COUNTIFS('Raw Data'!$AA$2:$AA$1001,6)</f>
        <v>125</v>
      </c>
      <c r="C135" s="57">
        <f>SUMIFS('Raw Data'!$E$2:$E$1001,'Raw Data'!$AA$2:$AA$1001,6)</f>
        <v>619988.06000000041</v>
      </c>
      <c r="D135" s="58">
        <f t="shared" si="0"/>
        <v>0.12352167729538376</v>
      </c>
      <c r="E135" s="57">
        <f t="shared" si="1"/>
        <v>4959.9044800000029</v>
      </c>
      <c r="F135" s="56">
        <f>SUMIFS('Raw Data'!$F$2:$F$1001,'Raw Data'!$AA$2:$AA$1001,6)</f>
        <v>3089</v>
      </c>
      <c r="G135" s="58">
        <f>IFERROR(AVERAGEIFS('Raw Data'!$K$2:$K$1001,'Raw Data'!$AA$2:$AA$1001,6),0)</f>
        <v>0.15383999999999992</v>
      </c>
      <c r="H135" s="58">
        <f>IFERROR(SUMIFS('Raw Data'!$R$2:$R$1001,'Raw Data'!$AA$2:$AA$1001,6)/SUMIFS('Raw Data'!$P$2:$P$1001,'Raw Data'!$AA$2:$AA$1001,6),0)</f>
        <v>-4.9961915420867628E-2</v>
      </c>
      <c r="I135" s="55">
        <f t="shared" si="2"/>
        <v>7</v>
      </c>
    </row>
    <row r="136" spans="1:10" x14ac:dyDescent="0.2">
      <c r="A136" s="55" t="s">
        <v>251</v>
      </c>
      <c r="B136" s="56">
        <f>COUNTIFS('Raw Data'!$AA$2:$AA$1001,7)</f>
        <v>147</v>
      </c>
      <c r="C136" s="57">
        <f>SUMIFS('Raw Data'!$E$2:$E$1001,'Raw Data'!$AA$2:$AA$1001,7)</f>
        <v>752192.13000000024</v>
      </c>
      <c r="D136" s="58">
        <f t="shared" si="0"/>
        <v>0.14986100465545629</v>
      </c>
      <c r="E136" s="57">
        <f t="shared" si="1"/>
        <v>5116.9532653061242</v>
      </c>
      <c r="F136" s="56">
        <f>SUMIFS('Raw Data'!$F$2:$F$1001,'Raw Data'!$AA$2:$AA$1001,7)</f>
        <v>3431</v>
      </c>
      <c r="G136" s="58">
        <f>IFERROR(AVERAGEIFS('Raw Data'!$K$2:$K$1001,'Raw Data'!$AA$2:$AA$1001,7),0)</f>
        <v>0.1595238095238096</v>
      </c>
      <c r="H136" s="58">
        <f>IFERROR(SUMIFS('Raw Data'!$R$2:$R$1001,'Raw Data'!$AA$2:$AA$1001,7)/SUMIFS('Raw Data'!$P$2:$P$1001,'Raw Data'!$AA$2:$AA$1001,7),0)</f>
        <v>-7.2784267159128238E-2</v>
      </c>
      <c r="I136" s="55">
        <f t="shared" si="2"/>
        <v>3</v>
      </c>
    </row>
    <row r="137" spans="1:10" x14ac:dyDescent="0.2">
      <c r="A137" s="59" t="s">
        <v>209</v>
      </c>
      <c r="B137" s="60">
        <f>SUM(B130:B136)</f>
        <v>1000</v>
      </c>
      <c r="C137" s="61">
        <f>SUM(C130:C136)</f>
        <v>5019265.2300000004</v>
      </c>
      <c r="D137" s="62">
        <f>SUM(D130:D136)</f>
        <v>0.99999999999999967</v>
      </c>
      <c r="E137" s="61"/>
      <c r="F137" s="60">
        <f>SUM(F130:F136)</f>
        <v>25355</v>
      </c>
      <c r="G137" s="62"/>
      <c r="H137" s="62"/>
      <c r="I137" s="59"/>
    </row>
    <row r="138" spans="1:10" x14ac:dyDescent="0.2">
      <c r="A138" s="39" t="s">
        <v>252</v>
      </c>
      <c r="B138" s="19" t="str">
        <f>INDEX(A130:A136,MATCH(MAX(C130:C136),C130:C136,0))</f>
        <v>Thursday</v>
      </c>
    </row>
    <row r="139" spans="1:10" x14ac:dyDescent="0.2">
      <c r="A139" s="39" t="s">
        <v>253</v>
      </c>
      <c r="B139" s="19" t="str">
        <f>INDEX(A130:A136,MATCH(MIN(C130:C136),C130:C136,0))</f>
        <v>Saturday</v>
      </c>
    </row>
    <row r="141" spans="1:10" x14ac:dyDescent="0.2">
      <c r="A141" s="45" t="s">
        <v>254</v>
      </c>
      <c r="B141" s="46"/>
      <c r="C141" s="46"/>
      <c r="D141" s="46"/>
      <c r="E141" s="46"/>
      <c r="F141" s="46"/>
      <c r="G141" s="46"/>
      <c r="H141" s="46"/>
      <c r="I141" s="46"/>
      <c r="J141" s="46"/>
    </row>
    <row r="142" spans="1:10" x14ac:dyDescent="0.2">
      <c r="A142" s="17" t="s">
        <v>255</v>
      </c>
      <c r="B142" s="17" t="s">
        <v>36</v>
      </c>
      <c r="C142" s="17" t="s">
        <v>33</v>
      </c>
      <c r="D142" s="17" t="s">
        <v>205</v>
      </c>
      <c r="E142" s="17" t="s">
        <v>206</v>
      </c>
      <c r="F142" s="17" t="s">
        <v>207</v>
      </c>
      <c r="G142" s="17" t="s">
        <v>208</v>
      </c>
      <c r="H142" s="17" t="s">
        <v>38</v>
      </c>
      <c r="I142" s="17" t="s">
        <v>31</v>
      </c>
    </row>
    <row r="143" spans="1:10" x14ac:dyDescent="0.2">
      <c r="A143" s="55" t="s">
        <v>256</v>
      </c>
      <c r="B143" s="56">
        <f>COUNTIFS('Raw Data'!$Y$2:$Y$1001,A143)</f>
        <v>255</v>
      </c>
      <c r="C143" s="57">
        <f>SUMIFS('Raw Data'!$E$2:$E$1001,'Raw Data'!$Y$2:$Y$1001,A143)</f>
        <v>1247650.4899999993</v>
      </c>
      <c r="D143" s="58">
        <f>C143/$B$35</f>
        <v>0.2485723373498632</v>
      </c>
      <c r="E143" s="57">
        <f>IF(B143=0,0,C143/B143)</f>
        <v>4892.7470196078402</v>
      </c>
      <c r="F143" s="56">
        <f>SUMIFS('Raw Data'!$F$2:$F$1001,'Raw Data'!$Y$2:$Y$1001,A143)</f>
        <v>6605</v>
      </c>
      <c r="G143" s="58">
        <f>IFERROR(AVERAGEIFS('Raw Data'!$K$2:$K$1001,'Raw Data'!$Y$2:$Y$1001,A143),0)</f>
        <v>0.149372549019608</v>
      </c>
      <c r="H143" s="58">
        <f>IFERROR(SUMIFS('Raw Data'!$R$2:$R$1001,'Raw Data'!$Y$2:$Y$1001,A143)/SUMIFS('Raw Data'!$P$2:$P$1001,'Raw Data'!$Y$2:$Y$1001,A143),0)</f>
        <v>-7.7534685344841411E-2</v>
      </c>
      <c r="I143" s="55">
        <f>RANK(C143,$C$143:$C$147,0)</f>
        <v>2</v>
      </c>
    </row>
    <row r="144" spans="1:10" x14ac:dyDescent="0.2">
      <c r="A144" s="55" t="s">
        <v>257</v>
      </c>
      <c r="B144" s="56">
        <f>COUNTIFS('Raw Data'!$Y$2:$Y$1001,A144)</f>
        <v>245</v>
      </c>
      <c r="C144" s="57">
        <f>SUMIFS('Raw Data'!$E$2:$E$1001,'Raw Data'!$Y$2:$Y$1001,A144)</f>
        <v>1246529.7100000009</v>
      </c>
      <c r="D144" s="58">
        <f>C144/$B$35</f>
        <v>0.24834904171820391</v>
      </c>
      <c r="E144" s="57">
        <f>IF(B144=0,0,C144/B144)</f>
        <v>5087.8763673469421</v>
      </c>
      <c r="F144" s="56">
        <f>SUMIFS('Raw Data'!$F$2:$F$1001,'Raw Data'!$Y$2:$Y$1001,A144)</f>
        <v>6221</v>
      </c>
      <c r="G144" s="58">
        <f>IFERROR(AVERAGEIFS('Raw Data'!$K$2:$K$1001,'Raw Data'!$Y$2:$Y$1001,A144),0)</f>
        <v>0.15493877551020407</v>
      </c>
      <c r="H144" s="58">
        <f>IFERROR(SUMIFS('Raw Data'!$R$2:$R$1001,'Raw Data'!$Y$2:$Y$1001,A144)/SUMIFS('Raw Data'!$P$2:$P$1001,'Raw Data'!$Y$2:$Y$1001,A144),0)</f>
        <v>-7.6749022009659371E-2</v>
      </c>
      <c r="I144" s="55">
        <f>RANK(C144,$C$143:$C$147,0)</f>
        <v>3</v>
      </c>
    </row>
    <row r="145" spans="1:10" x14ac:dyDescent="0.2">
      <c r="A145" s="55" t="s">
        <v>258</v>
      </c>
      <c r="B145" s="56">
        <f>COUNTIFS('Raw Data'!$Y$2:$Y$1001,A145)</f>
        <v>229</v>
      </c>
      <c r="C145" s="57">
        <f>SUMIFS('Raw Data'!$E$2:$E$1001,'Raw Data'!$Y$2:$Y$1001,A145)</f>
        <v>1185251.7600000005</v>
      </c>
      <c r="D145" s="58">
        <f>C145/$B$35</f>
        <v>0.2361404918225451</v>
      </c>
      <c r="E145" s="57">
        <f>IF(B145=0,0,C145/B145)</f>
        <v>5175.7718777292594</v>
      </c>
      <c r="F145" s="56">
        <f>SUMIFS('Raw Data'!$F$2:$F$1001,'Raw Data'!$Y$2:$Y$1001,A145)</f>
        <v>5754</v>
      </c>
      <c r="G145" s="58">
        <f>IFERROR(AVERAGEIFS('Raw Data'!$K$2:$K$1001,'Raw Data'!$Y$2:$Y$1001,A145),0)</f>
        <v>0.15310043668122272</v>
      </c>
      <c r="H145" s="58">
        <f>IFERROR(SUMIFS('Raw Data'!$R$2:$R$1001,'Raw Data'!$Y$2:$Y$1001,A145)/SUMIFS('Raw Data'!$P$2:$P$1001,'Raw Data'!$Y$2:$Y$1001,A145),0)</f>
        <v>-7.2386881176684223E-2</v>
      </c>
      <c r="I145" s="55">
        <f>RANK(C145,$C$143:$C$147,0)</f>
        <v>4</v>
      </c>
    </row>
    <row r="146" spans="1:10" x14ac:dyDescent="0.2">
      <c r="A146" s="55" t="s">
        <v>259</v>
      </c>
      <c r="B146" s="56">
        <f>COUNTIFS('Raw Data'!$Y$2:$Y$1001,A146)</f>
        <v>268</v>
      </c>
      <c r="C146" s="57">
        <f>SUMIFS('Raw Data'!$E$2:$E$1001,'Raw Data'!$Y$2:$Y$1001,A146)</f>
        <v>1320505.2600000007</v>
      </c>
      <c r="D146" s="58">
        <f>C146/$B$35</f>
        <v>0.26308736428339735</v>
      </c>
      <c r="E146" s="57">
        <f>IF(B146=0,0,C146/B146)</f>
        <v>4927.2584328358234</v>
      </c>
      <c r="F146" s="56">
        <f>SUMIFS('Raw Data'!$F$2:$F$1001,'Raw Data'!$Y$2:$Y$1001,A146)</f>
        <v>6698</v>
      </c>
      <c r="G146" s="58">
        <f>IFERROR(AVERAGEIFS('Raw Data'!$K$2:$K$1001,'Raw Data'!$Y$2:$Y$1001,A146),0)</f>
        <v>0.15182835820895524</v>
      </c>
      <c r="H146" s="58">
        <f>IFERROR(SUMIFS('Raw Data'!$R$2:$R$1001,'Raw Data'!$Y$2:$Y$1001,A146)/SUMIFS('Raw Data'!$P$2:$P$1001,'Raw Data'!$Y$2:$Y$1001,A146),0)</f>
        <v>-5.2706139720853314E-2</v>
      </c>
      <c r="I146" s="55">
        <f>RANK(C146,$C$143:$C$147,0)</f>
        <v>1</v>
      </c>
    </row>
    <row r="147" spans="1:10" x14ac:dyDescent="0.2">
      <c r="A147" s="55" t="s">
        <v>260</v>
      </c>
      <c r="B147" s="56">
        <f>COUNTIFS('Raw Data'!$Y$2:$Y$1001,A147)</f>
        <v>3</v>
      </c>
      <c r="C147" s="57">
        <f>SUMIFS('Raw Data'!$E$2:$E$1001,'Raw Data'!$Y$2:$Y$1001,A147)</f>
        <v>19328.010000000002</v>
      </c>
      <c r="D147" s="58">
        <f>C147/$B$35</f>
        <v>3.8507648259902762E-3</v>
      </c>
      <c r="E147" s="57">
        <f>IF(B147=0,0,C147/B147)</f>
        <v>6442.670000000001</v>
      </c>
      <c r="F147" s="56">
        <f>SUMIFS('Raw Data'!$F$2:$F$1001,'Raw Data'!$Y$2:$Y$1001,A147)</f>
        <v>77</v>
      </c>
      <c r="G147" s="58">
        <f>IFERROR(AVERAGEIFS('Raw Data'!$K$2:$K$1001,'Raw Data'!$Y$2:$Y$1001,A147),0)</f>
        <v>0.19666666666666666</v>
      </c>
      <c r="H147" s="58">
        <f>IFERROR(SUMIFS('Raw Data'!$R$2:$R$1001,'Raw Data'!$Y$2:$Y$1001,A147)/SUMIFS('Raw Data'!$P$2:$P$1001,'Raw Data'!$Y$2:$Y$1001,A147),0)</f>
        <v>0.18621525457628438</v>
      </c>
      <c r="I147" s="55">
        <f>RANK(C147,$C$143:$C$147,0)</f>
        <v>5</v>
      </c>
    </row>
    <row r="148" spans="1:10" x14ac:dyDescent="0.2">
      <c r="A148" s="59" t="s">
        <v>209</v>
      </c>
      <c r="B148" s="60">
        <f>SUM(B143:B147)</f>
        <v>1000</v>
      </c>
      <c r="C148" s="61">
        <f>SUM(C143:C147)</f>
        <v>5019265.2300000014</v>
      </c>
      <c r="D148" s="62">
        <f>SUM(D143:D147)</f>
        <v>0.99999999999999978</v>
      </c>
      <c r="E148" s="61"/>
      <c r="F148" s="60">
        <f>SUM(F143:F147)</f>
        <v>25355</v>
      </c>
      <c r="G148" s="62"/>
      <c r="H148" s="62"/>
      <c r="I148" s="59"/>
    </row>
    <row r="149" spans="1:10" x14ac:dyDescent="0.2">
      <c r="A149" s="39" t="s">
        <v>261</v>
      </c>
      <c r="B149" s="19" t="str">
        <f>INDEX(A143:A147,MATCH(MAX(C143:C147),C143:C147,0))</f>
        <v>2023-Q4</v>
      </c>
    </row>
    <row r="150" spans="1:10" x14ac:dyDescent="0.2">
      <c r="A150" s="39" t="s">
        <v>262</v>
      </c>
      <c r="B150" s="19" t="str">
        <f>INDEX(A143:A147,MATCH(MIN(C143:C147),C143:C147,0))</f>
        <v>2024-Q1</v>
      </c>
    </row>
    <row r="152" spans="1:10" x14ac:dyDescent="0.2">
      <c r="A152" s="45" t="s">
        <v>263</v>
      </c>
      <c r="B152" s="46"/>
      <c r="C152" s="46"/>
      <c r="D152" s="46"/>
      <c r="E152" s="46"/>
      <c r="F152" s="46"/>
      <c r="G152" s="46"/>
      <c r="H152" s="46"/>
      <c r="I152" s="46"/>
      <c r="J152" s="46"/>
    </row>
    <row r="153" spans="1:10" x14ac:dyDescent="0.2">
      <c r="A153" s="17" t="s">
        <v>264</v>
      </c>
      <c r="B153" s="17" t="s">
        <v>61</v>
      </c>
      <c r="C153" s="17" t="s">
        <v>66</v>
      </c>
      <c r="D153" s="17" t="s">
        <v>71</v>
      </c>
      <c r="E153" s="17" t="s">
        <v>76</v>
      </c>
      <c r="F153" s="17" t="s">
        <v>79</v>
      </c>
      <c r="G153" s="17" t="s">
        <v>209</v>
      </c>
    </row>
    <row r="154" spans="1:10" x14ac:dyDescent="0.2">
      <c r="A154" s="63" t="s">
        <v>59</v>
      </c>
      <c r="B154" s="57">
        <f>SUMIFS('Raw Data'!$E$2:$E$1001,'Raw Data'!$D$2:$D$1001,$A154,'Raw Data'!$C$2:$C$1001,B$153)</f>
        <v>260789.46999999994</v>
      </c>
      <c r="C154" s="57">
        <f>SUMIFS('Raw Data'!$E$2:$E$1001,'Raw Data'!$D$2:$D$1001,$A154,'Raw Data'!$C$2:$C$1001,C$153)</f>
        <v>309876.11</v>
      </c>
      <c r="D154" s="57">
        <f>SUMIFS('Raw Data'!$E$2:$E$1001,'Raw Data'!$D$2:$D$1001,$A154,'Raw Data'!$C$2:$C$1001,D$153)</f>
        <v>165172.94</v>
      </c>
      <c r="E154" s="57">
        <f>SUMIFS('Raw Data'!$E$2:$E$1001,'Raw Data'!$D$2:$D$1001,$A154,'Raw Data'!$C$2:$C$1001,E$153)</f>
        <v>284613.51</v>
      </c>
      <c r="F154" s="57">
        <f>SUMIFS('Raw Data'!$E$2:$E$1001,'Raw Data'!$D$2:$D$1001,$A154,'Raw Data'!$C$2:$C$1001,F$153)</f>
        <v>239340.90000000002</v>
      </c>
      <c r="G154" s="57">
        <f>SUM(B154:F154)</f>
        <v>1259792.9300000002</v>
      </c>
    </row>
    <row r="155" spans="1:10" x14ac:dyDescent="0.2">
      <c r="A155" s="63" t="s">
        <v>64</v>
      </c>
      <c r="B155" s="57">
        <f>SUMIFS('Raw Data'!$E$2:$E$1001,'Raw Data'!$D$2:$D$1001,$A155,'Raw Data'!$C$2:$C$1001,B$153)</f>
        <v>249647.22000000003</v>
      </c>
      <c r="C155" s="57">
        <f>SUMIFS('Raw Data'!$E$2:$E$1001,'Raw Data'!$D$2:$D$1001,$A155,'Raw Data'!$C$2:$C$1001,C$153)</f>
        <v>233464.80999999994</v>
      </c>
      <c r="D155" s="57">
        <f>SUMIFS('Raw Data'!$E$2:$E$1001,'Raw Data'!$D$2:$D$1001,$A155,'Raw Data'!$C$2:$C$1001,D$153)</f>
        <v>299789.01</v>
      </c>
      <c r="E155" s="57">
        <f>SUMIFS('Raw Data'!$E$2:$E$1001,'Raw Data'!$D$2:$D$1001,$A155,'Raw Data'!$C$2:$C$1001,E$153)</f>
        <v>282539.27</v>
      </c>
      <c r="F155" s="57">
        <f>SUMIFS('Raw Data'!$E$2:$E$1001,'Raw Data'!$D$2:$D$1001,$A155,'Raw Data'!$C$2:$C$1001,F$153)</f>
        <v>304172.2</v>
      </c>
      <c r="G155" s="57">
        <f>SUM(B155:F155)</f>
        <v>1369612.51</v>
      </c>
    </row>
    <row r="156" spans="1:10" x14ac:dyDescent="0.2">
      <c r="A156" s="63" t="s">
        <v>69</v>
      </c>
      <c r="B156" s="57">
        <f>SUMIFS('Raw Data'!$E$2:$E$1001,'Raw Data'!$D$2:$D$1001,$A156,'Raw Data'!$C$2:$C$1001,B$153)</f>
        <v>239414.53999999998</v>
      </c>
      <c r="C156" s="57">
        <f>SUMIFS('Raw Data'!$E$2:$E$1001,'Raw Data'!$D$2:$D$1001,$A156,'Raw Data'!$C$2:$C$1001,C$153)</f>
        <v>251200.43000000008</v>
      </c>
      <c r="D156" s="57">
        <f>SUMIFS('Raw Data'!$E$2:$E$1001,'Raw Data'!$D$2:$D$1001,$A156,'Raw Data'!$C$2:$C$1001,D$153)</f>
        <v>156140.67999999996</v>
      </c>
      <c r="E156" s="57">
        <f>SUMIFS('Raw Data'!$E$2:$E$1001,'Raw Data'!$D$2:$D$1001,$A156,'Raw Data'!$C$2:$C$1001,E$153)</f>
        <v>311416.99000000005</v>
      </c>
      <c r="F156" s="57">
        <f>SUMIFS('Raw Data'!$E$2:$E$1001,'Raw Data'!$D$2:$D$1001,$A156,'Raw Data'!$C$2:$C$1001,F$153)</f>
        <v>196078.22000000006</v>
      </c>
      <c r="G156" s="57">
        <f>SUM(B156:F156)</f>
        <v>1154250.8600000001</v>
      </c>
    </row>
    <row r="157" spans="1:10" x14ac:dyDescent="0.2">
      <c r="A157" s="63" t="s">
        <v>74</v>
      </c>
      <c r="B157" s="57">
        <f>SUMIFS('Raw Data'!$E$2:$E$1001,'Raw Data'!$D$2:$D$1001,$A157,'Raw Data'!$C$2:$C$1001,B$153)</f>
        <v>215690.53999999995</v>
      </c>
      <c r="C157" s="57">
        <f>SUMIFS('Raw Data'!$E$2:$E$1001,'Raw Data'!$D$2:$D$1001,$A157,'Raw Data'!$C$2:$C$1001,C$153)</f>
        <v>286449.27999999997</v>
      </c>
      <c r="D157" s="57">
        <f>SUMIFS('Raw Data'!$E$2:$E$1001,'Raw Data'!$D$2:$D$1001,$A157,'Raw Data'!$C$2:$C$1001,D$153)</f>
        <v>239708.85</v>
      </c>
      <c r="E157" s="57">
        <f>SUMIFS('Raw Data'!$E$2:$E$1001,'Raw Data'!$D$2:$D$1001,$A157,'Raw Data'!$C$2:$C$1001,E$153)</f>
        <v>263167.58999999997</v>
      </c>
      <c r="F157" s="57">
        <f>SUMIFS('Raw Data'!$E$2:$E$1001,'Raw Data'!$D$2:$D$1001,$A157,'Raw Data'!$C$2:$C$1001,F$153)</f>
        <v>230592.67000000004</v>
      </c>
      <c r="G157" s="57">
        <f>SUM(B157:F157)</f>
        <v>1235608.93</v>
      </c>
    </row>
    <row r="158" spans="1:10" x14ac:dyDescent="0.2">
      <c r="A158" s="64" t="s">
        <v>209</v>
      </c>
      <c r="B158" s="61">
        <f t="shared" ref="B158:G158" si="3">SUM(B154:B157)</f>
        <v>965541.7699999999</v>
      </c>
      <c r="C158" s="61">
        <f t="shared" si="3"/>
        <v>1080990.6299999999</v>
      </c>
      <c r="D158" s="61">
        <f t="shared" si="3"/>
        <v>860811.48</v>
      </c>
      <c r="E158" s="61">
        <f t="shared" si="3"/>
        <v>1141737.3599999999</v>
      </c>
      <c r="F158" s="61">
        <f t="shared" si="3"/>
        <v>970183.99000000022</v>
      </c>
      <c r="G158" s="61">
        <f t="shared" si="3"/>
        <v>5019265.2300000004</v>
      </c>
    </row>
    <row r="159" spans="1:10" x14ac:dyDescent="0.2">
      <c r="A159" s="19" t="s">
        <v>265</v>
      </c>
    </row>
    <row r="160" spans="1:10" x14ac:dyDescent="0.2">
      <c r="A160" s="39" t="s">
        <v>59</v>
      </c>
      <c r="B160" s="19" t="str">
        <f>INDEX($B$153:$F$153,MATCH(MAX(B154:F154),B154:F154,0))</f>
        <v>Bob</v>
      </c>
    </row>
    <row r="161" spans="1:10" x14ac:dyDescent="0.2">
      <c r="A161" s="39" t="s">
        <v>64</v>
      </c>
      <c r="B161" s="19" t="str">
        <f>INDEX($B$153:$F$153,MATCH(MAX(B155:F155),B155:F155,0))</f>
        <v>Eve</v>
      </c>
    </row>
    <row r="162" spans="1:10" x14ac:dyDescent="0.2">
      <c r="A162" s="39" t="s">
        <v>69</v>
      </c>
      <c r="B162" s="19" t="str">
        <f>INDEX($B$153:$F$153,MATCH(MAX(B156:F156),B156:F156,0))</f>
        <v>David</v>
      </c>
    </row>
    <row r="163" spans="1:10" x14ac:dyDescent="0.2">
      <c r="A163" s="39" t="s">
        <v>74</v>
      </c>
      <c r="B163" s="19" t="str">
        <f>INDEX($B$153:$F$153,MATCH(MAX(B157:F157),B157:F157,0))</f>
        <v>Bob</v>
      </c>
    </row>
    <row r="165" spans="1:10" x14ac:dyDescent="0.2">
      <c r="A165" s="45" t="s">
        <v>266</v>
      </c>
      <c r="B165" s="46"/>
      <c r="C165" s="46"/>
      <c r="D165" s="46"/>
      <c r="E165" s="46"/>
      <c r="F165" s="46"/>
      <c r="G165" s="46"/>
      <c r="H165" s="46"/>
      <c r="I165" s="46"/>
      <c r="J165" s="46"/>
    </row>
    <row r="166" spans="1:10" ht="28" x14ac:dyDescent="0.2">
      <c r="A166" s="17" t="s">
        <v>122</v>
      </c>
      <c r="B166" s="17" t="s">
        <v>267</v>
      </c>
      <c r="C166" s="17" t="s">
        <v>268</v>
      </c>
      <c r="D166" s="17" t="s">
        <v>36</v>
      </c>
      <c r="E166" s="17" t="s">
        <v>33</v>
      </c>
      <c r="F166" s="17" t="s">
        <v>269</v>
      </c>
      <c r="G166" s="17" t="s">
        <v>270</v>
      </c>
      <c r="H166" s="17" t="s">
        <v>271</v>
      </c>
      <c r="I166" s="17" t="s">
        <v>272</v>
      </c>
      <c r="J166" s="17" t="s">
        <v>38</v>
      </c>
    </row>
    <row r="167" spans="1:10" x14ac:dyDescent="0.2">
      <c r="A167" s="65">
        <f>EOMONTH(MIN('Raw Data'!$B$2:$B$1001),0)</f>
        <v>44957</v>
      </c>
      <c r="B167" s="55" t="str">
        <f t="shared" ref="B167:B179" si="4">TEXT(A167,"mmm-yy")</f>
        <v>Jan-23</v>
      </c>
      <c r="C167" s="55">
        <v>1</v>
      </c>
      <c r="D167" s="55">
        <f>COUNTIFS('Raw Data'!$X$2:$X$1001,A167)</f>
        <v>100</v>
      </c>
      <c r="E167" s="57">
        <f>SUMIFS('Raw Data'!$E$2:$E$1001,'Raw Data'!$X$2:$X$1001,A167)</f>
        <v>476092.3600000001</v>
      </c>
      <c r="F167" s="58"/>
      <c r="G167" s="57"/>
      <c r="H167" s="57">
        <f>SUM($E$167:E167)</f>
        <v>476092.3600000001</v>
      </c>
      <c r="I167" s="58">
        <f t="shared" ref="I167:I179" si="5">E167/$B$35</f>
        <v>9.4852999031493676E-2</v>
      </c>
      <c r="J167" s="58">
        <f>IFERROR(SUMIFS('Raw Data'!$R$2:$R$1001,'Raw Data'!$X$2:$X$1001,A167)/SUMIFS('Raw Data'!$P$2:$P$1001,'Raw Data'!$X$2:$X$1001,A167),0)</f>
        <v>-6.227107811672334E-2</v>
      </c>
    </row>
    <row r="168" spans="1:10" x14ac:dyDescent="0.2">
      <c r="A168" s="65">
        <f t="shared" ref="A168:A179" si="6">EOMONTH(A167,1)</f>
        <v>44985</v>
      </c>
      <c r="B168" s="55" t="str">
        <f t="shared" si="4"/>
        <v>Feb-23</v>
      </c>
      <c r="C168" s="55">
        <f t="shared" ref="C168:C179" si="7">C167+1</f>
        <v>2</v>
      </c>
      <c r="D168" s="55">
        <f>COUNTIFS('Raw Data'!$X$2:$X$1001,A168)</f>
        <v>75</v>
      </c>
      <c r="E168" s="57">
        <f>SUMIFS('Raw Data'!$E$2:$E$1001,'Raw Data'!$X$2:$X$1001,A168)</f>
        <v>368919.35999999993</v>
      </c>
      <c r="F168" s="58">
        <f t="shared" ref="F168:F179" si="8">IF(E167=0,"",E168/E167-1)</f>
        <v>-0.2251096824994212</v>
      </c>
      <c r="G168" s="57"/>
      <c r="H168" s="57">
        <f>SUM($E$167:E168)</f>
        <v>845011.72</v>
      </c>
      <c r="I168" s="58">
        <f t="shared" si="5"/>
        <v>7.3500670535396231E-2</v>
      </c>
      <c r="J168" s="58">
        <f>IFERROR(SUMIFS('Raw Data'!$R$2:$R$1001,'Raw Data'!$X$2:$X$1001,A168)/SUMIFS('Raw Data'!$P$2:$P$1001,'Raw Data'!$X$2:$X$1001,A168),0)</f>
        <v>-0.10449351948132866</v>
      </c>
    </row>
    <row r="169" spans="1:10" x14ac:dyDescent="0.2">
      <c r="A169" s="65">
        <f t="shared" si="6"/>
        <v>45016</v>
      </c>
      <c r="B169" s="55" t="str">
        <f t="shared" si="4"/>
        <v>Mar-23</v>
      </c>
      <c r="C169" s="55">
        <f t="shared" si="7"/>
        <v>3</v>
      </c>
      <c r="D169" s="55">
        <f>COUNTIFS('Raw Data'!$X$2:$X$1001,A169)</f>
        <v>80</v>
      </c>
      <c r="E169" s="57">
        <f>SUMIFS('Raw Data'!$E$2:$E$1001,'Raw Data'!$X$2:$X$1001,A169)</f>
        <v>402638.77000000008</v>
      </c>
      <c r="F169" s="58">
        <f t="shared" si="8"/>
        <v>9.1400489255972328E-2</v>
      </c>
      <c r="G169" s="57">
        <f t="shared" ref="G169:G179" si="9">AVERAGE(E167:E169)</f>
        <v>415883.49666666664</v>
      </c>
      <c r="H169" s="57">
        <f>SUM($E$167:E169)</f>
        <v>1247650.49</v>
      </c>
      <c r="I169" s="58">
        <f t="shared" si="5"/>
        <v>8.0218667782973457E-2</v>
      </c>
      <c r="J169" s="58">
        <f>IFERROR(SUMIFS('Raw Data'!$R$2:$R$1001,'Raw Data'!$X$2:$X$1001,A169)/SUMIFS('Raw Data'!$P$2:$P$1001,'Raw Data'!$X$2:$X$1001,A169),0)</f>
        <v>-7.1983835169296642E-2</v>
      </c>
    </row>
    <row r="170" spans="1:10" x14ac:dyDescent="0.2">
      <c r="A170" s="65">
        <f t="shared" si="6"/>
        <v>45046</v>
      </c>
      <c r="B170" s="55" t="str">
        <f t="shared" si="4"/>
        <v>Apr-23</v>
      </c>
      <c r="C170" s="55">
        <f t="shared" si="7"/>
        <v>4</v>
      </c>
      <c r="D170" s="55">
        <f>COUNTIFS('Raw Data'!$X$2:$X$1001,A170)</f>
        <v>81</v>
      </c>
      <c r="E170" s="57">
        <f>SUMIFS('Raw Data'!$E$2:$E$1001,'Raw Data'!$X$2:$X$1001,A170)</f>
        <v>438992.61000000004</v>
      </c>
      <c r="F170" s="58">
        <f t="shared" si="8"/>
        <v>9.0288970433721527E-2</v>
      </c>
      <c r="G170" s="57">
        <f t="shared" si="9"/>
        <v>403516.91333333333</v>
      </c>
      <c r="H170" s="57">
        <f>SUM($E$167:E170)</f>
        <v>1686643.1</v>
      </c>
      <c r="I170" s="58">
        <f t="shared" si="5"/>
        <v>8.7461528706662878E-2</v>
      </c>
      <c r="J170" s="58">
        <f>IFERROR(SUMIFS('Raw Data'!$R$2:$R$1001,'Raw Data'!$X$2:$X$1001,A170)/SUMIFS('Raw Data'!$P$2:$P$1001,'Raw Data'!$X$2:$X$1001,A170),0)</f>
        <v>-0.1005469304522926</v>
      </c>
    </row>
    <row r="171" spans="1:10" x14ac:dyDescent="0.2">
      <c r="A171" s="65">
        <f t="shared" si="6"/>
        <v>45077</v>
      </c>
      <c r="B171" s="55" t="str">
        <f t="shared" si="4"/>
        <v>May-23</v>
      </c>
      <c r="C171" s="55">
        <f t="shared" si="7"/>
        <v>5</v>
      </c>
      <c r="D171" s="55">
        <f>COUNTIFS('Raw Data'!$X$2:$X$1001,A171)</f>
        <v>72</v>
      </c>
      <c r="E171" s="57">
        <f>SUMIFS('Raw Data'!$E$2:$E$1001,'Raw Data'!$X$2:$X$1001,A171)</f>
        <v>389078.75999999989</v>
      </c>
      <c r="F171" s="58">
        <f t="shared" si="8"/>
        <v>-0.11370088895118335</v>
      </c>
      <c r="G171" s="57">
        <f t="shared" si="9"/>
        <v>410236.71333333338</v>
      </c>
      <c r="H171" s="57">
        <f>SUM($E$167:E171)</f>
        <v>2075721.8599999999</v>
      </c>
      <c r="I171" s="58">
        <f t="shared" si="5"/>
        <v>7.751707514368586E-2</v>
      </c>
      <c r="J171" s="58">
        <f>IFERROR(SUMIFS('Raw Data'!$R$2:$R$1001,'Raw Data'!$X$2:$X$1001,A171)/SUMIFS('Raw Data'!$P$2:$P$1001,'Raw Data'!$X$2:$X$1001,A171),0)</f>
        <v>-8.8739097420439561E-2</v>
      </c>
    </row>
    <row r="172" spans="1:10" x14ac:dyDescent="0.2">
      <c r="A172" s="65">
        <f t="shared" si="6"/>
        <v>45107</v>
      </c>
      <c r="B172" s="55" t="str">
        <f t="shared" si="4"/>
        <v>Jun-23</v>
      </c>
      <c r="C172" s="55">
        <f t="shared" si="7"/>
        <v>6</v>
      </c>
      <c r="D172" s="55">
        <f>COUNTIFS('Raw Data'!$X$2:$X$1001,A172)</f>
        <v>92</v>
      </c>
      <c r="E172" s="57">
        <f>SUMIFS('Raw Data'!$E$2:$E$1001,'Raw Data'!$X$2:$X$1001,A172)</f>
        <v>418458.34000000008</v>
      </c>
      <c r="F172" s="58">
        <f t="shared" si="8"/>
        <v>7.5510624121450931E-2</v>
      </c>
      <c r="G172" s="57">
        <f t="shared" si="9"/>
        <v>415509.90333333332</v>
      </c>
      <c r="H172" s="57">
        <f>SUM($E$167:E172)</f>
        <v>2494180.2000000002</v>
      </c>
      <c r="I172" s="58">
        <f t="shared" si="5"/>
        <v>8.3370437867854988E-2</v>
      </c>
      <c r="J172" s="58">
        <f>IFERROR(SUMIFS('Raw Data'!$R$2:$R$1001,'Raw Data'!$X$2:$X$1001,A172)/SUMIFS('Raw Data'!$P$2:$P$1001,'Raw Data'!$X$2:$X$1001,A172),0)</f>
        <v>-4.5402549678688453E-2</v>
      </c>
    </row>
    <row r="173" spans="1:10" x14ac:dyDescent="0.2">
      <c r="A173" s="65">
        <f t="shared" si="6"/>
        <v>45138</v>
      </c>
      <c r="B173" s="55" t="str">
        <f t="shared" si="4"/>
        <v>Jul-23</v>
      </c>
      <c r="C173" s="55">
        <f t="shared" si="7"/>
        <v>7</v>
      </c>
      <c r="D173" s="55">
        <f>COUNTIFS('Raw Data'!$X$2:$X$1001,A173)</f>
        <v>68</v>
      </c>
      <c r="E173" s="57">
        <f>SUMIFS('Raw Data'!$E$2:$E$1001,'Raw Data'!$X$2:$X$1001,A173)</f>
        <v>374242.88</v>
      </c>
      <c r="F173" s="58">
        <f t="shared" si="8"/>
        <v>-0.105662752473759</v>
      </c>
      <c r="G173" s="57">
        <f t="shared" si="9"/>
        <v>393926.66</v>
      </c>
      <c r="H173" s="57">
        <f>SUM($E$167:E173)</f>
        <v>2868423.08</v>
      </c>
      <c r="I173" s="58">
        <f t="shared" si="5"/>
        <v>7.4561287927794928E-2</v>
      </c>
      <c r="J173" s="58">
        <f>IFERROR(SUMIFS('Raw Data'!$R$2:$R$1001,'Raw Data'!$X$2:$X$1001,A173)/SUMIFS('Raw Data'!$P$2:$P$1001,'Raw Data'!$X$2:$X$1001,A173),0)</f>
        <v>-7.4976236020425205E-2</v>
      </c>
    </row>
    <row r="174" spans="1:10" x14ac:dyDescent="0.2">
      <c r="A174" s="65">
        <f t="shared" si="6"/>
        <v>45169</v>
      </c>
      <c r="B174" s="55" t="str">
        <f t="shared" si="4"/>
        <v>Aug-23</v>
      </c>
      <c r="C174" s="55">
        <f t="shared" si="7"/>
        <v>8</v>
      </c>
      <c r="D174" s="55">
        <f>COUNTIFS('Raw Data'!$X$2:$X$1001,A174)</f>
        <v>93</v>
      </c>
      <c r="E174" s="57">
        <f>SUMIFS('Raw Data'!$E$2:$E$1001,'Raw Data'!$X$2:$X$1001,A174)</f>
        <v>443171.28</v>
      </c>
      <c r="F174" s="58">
        <f t="shared" si="8"/>
        <v>0.1841809254995046</v>
      </c>
      <c r="G174" s="57">
        <f t="shared" si="9"/>
        <v>411957.5</v>
      </c>
      <c r="H174" s="57">
        <f>SUM($E$167:E174)</f>
        <v>3311594.3600000003</v>
      </c>
      <c r="I174" s="58">
        <f t="shared" si="5"/>
        <v>8.829405494477123E-2</v>
      </c>
      <c r="J174" s="58">
        <f>IFERROR(SUMIFS('Raw Data'!$R$2:$R$1001,'Raw Data'!$X$2:$X$1001,A174)/SUMIFS('Raw Data'!$P$2:$P$1001,'Raw Data'!$X$2:$X$1001,A174),0)</f>
        <v>-7.5595448882681451E-2</v>
      </c>
    </row>
    <row r="175" spans="1:10" x14ac:dyDescent="0.2">
      <c r="A175" s="65">
        <f t="shared" si="6"/>
        <v>45199</v>
      </c>
      <c r="B175" s="55" t="str">
        <f t="shared" si="4"/>
        <v>Sep-23</v>
      </c>
      <c r="C175" s="55">
        <f t="shared" si="7"/>
        <v>9</v>
      </c>
      <c r="D175" s="55">
        <f>COUNTIFS('Raw Data'!$X$2:$X$1001,A175)</f>
        <v>68</v>
      </c>
      <c r="E175" s="57">
        <f>SUMIFS('Raw Data'!$E$2:$E$1001,'Raw Data'!$X$2:$X$1001,A175)</f>
        <v>367837.60000000003</v>
      </c>
      <c r="F175" s="58">
        <f t="shared" si="8"/>
        <v>-0.169987730251834</v>
      </c>
      <c r="G175" s="57">
        <f t="shared" si="9"/>
        <v>395083.92</v>
      </c>
      <c r="H175" s="57">
        <f>SUM($E$167:E175)</f>
        <v>3679431.9600000004</v>
      </c>
      <c r="I175" s="58">
        <f t="shared" si="5"/>
        <v>7.3285148949978854E-2</v>
      </c>
      <c r="J175" s="58">
        <f>IFERROR(SUMIFS('Raw Data'!$R$2:$R$1001,'Raw Data'!$X$2:$X$1001,A175)/SUMIFS('Raw Data'!$P$2:$P$1001,'Raw Data'!$X$2:$X$1001,A175),0)</f>
        <v>-6.489424482954978E-2</v>
      </c>
    </row>
    <row r="176" spans="1:10" x14ac:dyDescent="0.2">
      <c r="A176" s="65">
        <f t="shared" si="6"/>
        <v>45230</v>
      </c>
      <c r="B176" s="55" t="str">
        <f t="shared" si="4"/>
        <v>Oct-23</v>
      </c>
      <c r="C176" s="55">
        <f t="shared" si="7"/>
        <v>10</v>
      </c>
      <c r="D176" s="55">
        <f>COUNTIFS('Raw Data'!$X$2:$X$1001,A176)</f>
        <v>88</v>
      </c>
      <c r="E176" s="57">
        <f>SUMIFS('Raw Data'!$E$2:$E$1001,'Raw Data'!$X$2:$X$1001,A176)</f>
        <v>460378.78000000014</v>
      </c>
      <c r="F176" s="58">
        <f t="shared" si="8"/>
        <v>0.25158162188966027</v>
      </c>
      <c r="G176" s="57">
        <f t="shared" si="9"/>
        <v>423795.88666666672</v>
      </c>
      <c r="H176" s="57">
        <f>SUM($E$167:E176)</f>
        <v>4139810.7400000007</v>
      </c>
      <c r="I176" s="58">
        <f t="shared" si="5"/>
        <v>9.172234558323987E-2</v>
      </c>
      <c r="J176" s="58">
        <f>IFERROR(SUMIFS('Raw Data'!$R$2:$R$1001,'Raw Data'!$X$2:$X$1001,A176)/SUMIFS('Raw Data'!$P$2:$P$1001,'Raw Data'!$X$2:$X$1001,A176),0)</f>
        <v>-5.2438894912758889E-2</v>
      </c>
    </row>
    <row r="177" spans="1:10" x14ac:dyDescent="0.2">
      <c r="A177" s="65">
        <f t="shared" si="6"/>
        <v>45260</v>
      </c>
      <c r="B177" s="55" t="str">
        <f t="shared" si="4"/>
        <v>Nov-23</v>
      </c>
      <c r="C177" s="55">
        <f t="shared" si="7"/>
        <v>11</v>
      </c>
      <c r="D177" s="55">
        <f>COUNTIFS('Raw Data'!$X$2:$X$1001,A177)</f>
        <v>95</v>
      </c>
      <c r="E177" s="57">
        <f>SUMIFS('Raw Data'!$E$2:$E$1001,'Raw Data'!$X$2:$X$1001,A177)</f>
        <v>467482.89999999985</v>
      </c>
      <c r="F177" s="58">
        <f t="shared" si="8"/>
        <v>1.5431032681392676E-2</v>
      </c>
      <c r="G177" s="57">
        <f t="shared" si="9"/>
        <v>431899.76</v>
      </c>
      <c r="H177" s="57">
        <f>SUM($E$167:E177)</f>
        <v>4607293.6400000006</v>
      </c>
      <c r="I177" s="58">
        <f t="shared" si="5"/>
        <v>9.3137716095548842E-2</v>
      </c>
      <c r="J177" s="58">
        <f>IFERROR(SUMIFS('Raw Data'!$R$2:$R$1001,'Raw Data'!$X$2:$X$1001,A177)/SUMIFS('Raw Data'!$P$2:$P$1001,'Raw Data'!$X$2:$X$1001,A177),0)</f>
        <v>-5.8575699011014754E-2</v>
      </c>
    </row>
    <row r="178" spans="1:10" x14ac:dyDescent="0.2">
      <c r="A178" s="65">
        <f t="shared" si="6"/>
        <v>45291</v>
      </c>
      <c r="B178" s="55" t="str">
        <f t="shared" si="4"/>
        <v>Dec-23</v>
      </c>
      <c r="C178" s="55">
        <f t="shared" si="7"/>
        <v>12</v>
      </c>
      <c r="D178" s="55">
        <f>COUNTIFS('Raw Data'!$X$2:$X$1001,A178)</f>
        <v>85</v>
      </c>
      <c r="E178" s="57">
        <f>SUMIFS('Raw Data'!$E$2:$E$1001,'Raw Data'!$X$2:$X$1001,A178)</f>
        <v>392643.57999999984</v>
      </c>
      <c r="F178" s="58">
        <f t="shared" si="8"/>
        <v>-0.16008996264890119</v>
      </c>
      <c r="G178" s="57">
        <f t="shared" si="9"/>
        <v>440168.41999999993</v>
      </c>
      <c r="H178" s="57">
        <f>SUM($E$167:E178)</f>
        <v>4999937.2200000007</v>
      </c>
      <c r="I178" s="58">
        <f t="shared" si="5"/>
        <v>7.8227302604608459E-2</v>
      </c>
      <c r="J178" s="58">
        <f>IFERROR(SUMIFS('Raw Data'!$R$2:$R$1001,'Raw Data'!$X$2:$X$1001,A178)/SUMIFS('Raw Data'!$P$2:$P$1001,'Raw Data'!$X$2:$X$1001,A178),0)</f>
        <v>-4.8466638134380069E-2</v>
      </c>
    </row>
    <row r="179" spans="1:10" x14ac:dyDescent="0.2">
      <c r="A179" s="65">
        <f t="shared" si="6"/>
        <v>45322</v>
      </c>
      <c r="B179" s="55" t="str">
        <f t="shared" si="4"/>
        <v>Jan-24</v>
      </c>
      <c r="C179" s="55">
        <f t="shared" si="7"/>
        <v>13</v>
      </c>
      <c r="D179" s="55">
        <f>COUNTIFS('Raw Data'!$X$2:$X$1001,A179)</f>
        <v>3</v>
      </c>
      <c r="E179" s="57">
        <f>SUMIFS('Raw Data'!$E$2:$E$1001,'Raw Data'!$X$2:$X$1001,A179)</f>
        <v>19328.010000000002</v>
      </c>
      <c r="F179" s="58">
        <f t="shared" si="8"/>
        <v>-0.95077466948523648</v>
      </c>
      <c r="G179" s="57">
        <f t="shared" si="9"/>
        <v>293151.49666666659</v>
      </c>
      <c r="H179" s="57">
        <f>SUM($E$167:E179)</f>
        <v>5019265.2300000004</v>
      </c>
      <c r="I179" s="58">
        <f t="shared" si="5"/>
        <v>3.8507648259902762E-3</v>
      </c>
      <c r="J179" s="58">
        <f>IFERROR(SUMIFS('Raw Data'!$R$2:$R$1001,'Raw Data'!$X$2:$X$1001,A179)/SUMIFS('Raw Data'!$P$2:$P$1001,'Raw Data'!$X$2:$X$1001,A179),0)</f>
        <v>0.18621525457628438</v>
      </c>
    </row>
    <row r="181" spans="1:10" x14ac:dyDescent="0.2">
      <c r="A181" s="39" t="s">
        <v>273</v>
      </c>
      <c r="B181" s="47">
        <f>SLOPE($E$167:$E$178,$C$167:$C$178)</f>
        <v>474.13426573425585</v>
      </c>
    </row>
    <row r="182" spans="1:10" x14ac:dyDescent="0.2">
      <c r="A182" s="39" t="s">
        <v>274</v>
      </c>
      <c r="B182" s="47">
        <f>INTERCEPT($E$167:$E$178,$C$167:$C$178)</f>
        <v>413579.56227272737</v>
      </c>
    </row>
    <row r="183" spans="1:10" x14ac:dyDescent="0.2">
      <c r="A183" s="39" t="s">
        <v>275</v>
      </c>
      <c r="B183" s="66">
        <f>RSQ($E$167:$E$178,$C$167:$C$178)</f>
        <v>1.8660264324510216E-3</v>
      </c>
    </row>
    <row r="184" spans="1:10" x14ac:dyDescent="0.2">
      <c r="A184" s="39" t="s">
        <v>276</v>
      </c>
      <c r="B184" s="47">
        <f>FORECAST(13,$E$167:$E$178,$C$167:$C$178)</f>
        <v>419743.30772727268</v>
      </c>
    </row>
    <row r="185" spans="1:10" x14ac:dyDescent="0.2">
      <c r="A185" s="39" t="s">
        <v>277</v>
      </c>
      <c r="B185" s="54">
        <f>STDEV($E$167:$E$178)/AVERAGE($E$167:$E$178)</f>
        <v>9.4979705407229789E-2</v>
      </c>
    </row>
    <row r="188" spans="1:10" x14ac:dyDescent="0.2">
      <c r="A188" s="45" t="s">
        <v>278</v>
      </c>
      <c r="B188" s="46"/>
      <c r="C188" s="46"/>
      <c r="D188" s="46"/>
      <c r="E188" s="46"/>
      <c r="F188" s="46"/>
      <c r="G188" s="46"/>
      <c r="H188" s="46"/>
      <c r="I188" s="46"/>
      <c r="J188" s="46"/>
    </row>
    <row r="189" spans="1:10" x14ac:dyDescent="0.2">
      <c r="A189" s="39" t="s">
        <v>279</v>
      </c>
      <c r="B189" s="47">
        <f>AVERAGE('Raw Data'!$E$2:$E$1001)</f>
        <v>5019.2652300000027</v>
      </c>
    </row>
    <row r="190" spans="1:10" x14ac:dyDescent="0.2">
      <c r="A190" s="39" t="s">
        <v>280</v>
      </c>
      <c r="B190" s="47">
        <f>MEDIAN('Raw Data'!$E$2:$E$1001)</f>
        <v>5019.3</v>
      </c>
    </row>
    <row r="191" spans="1:10" x14ac:dyDescent="0.2">
      <c r="A191" s="39" t="s">
        <v>281</v>
      </c>
      <c r="B191" s="47">
        <f>STDEV('Raw Data'!$E$2:$E$1001)</f>
        <v>2846.7901256682267</v>
      </c>
    </row>
    <row r="192" spans="1:10" x14ac:dyDescent="0.2">
      <c r="A192" s="39" t="s">
        <v>29</v>
      </c>
      <c r="B192" s="53">
        <f>VAR('Raw Data'!$E$2:$E$1001)</f>
        <v>8104214.0196021181</v>
      </c>
    </row>
    <row r="193" spans="1:2" x14ac:dyDescent="0.2">
      <c r="A193" s="39" t="s">
        <v>282</v>
      </c>
      <c r="B193" s="47">
        <f>MIN('Raw Data'!$E$2:$E$1001)</f>
        <v>100.12</v>
      </c>
    </row>
    <row r="194" spans="1:2" x14ac:dyDescent="0.2">
      <c r="A194" s="39" t="s">
        <v>283</v>
      </c>
      <c r="B194" s="47">
        <f>MAX('Raw Data'!$E$2:$E$1001)</f>
        <v>9989.0400000000009</v>
      </c>
    </row>
    <row r="195" spans="1:2" x14ac:dyDescent="0.2">
      <c r="A195" s="39" t="s">
        <v>284</v>
      </c>
      <c r="B195" s="47">
        <f>B194-B193</f>
        <v>9888.92</v>
      </c>
    </row>
    <row r="196" spans="1:2" x14ac:dyDescent="0.2">
      <c r="A196" s="39" t="s">
        <v>285</v>
      </c>
      <c r="B196" s="47">
        <f>QUARTILE('Raw Data'!$E$2:$E$1001,1)</f>
        <v>2550.2975000000001</v>
      </c>
    </row>
    <row r="197" spans="1:2" x14ac:dyDescent="0.2">
      <c r="A197" s="39" t="s">
        <v>286</v>
      </c>
      <c r="B197" s="47">
        <f>QUARTILE('Raw Data'!$E$2:$E$1001,3)</f>
        <v>7507.4450000000006</v>
      </c>
    </row>
    <row r="198" spans="1:2" x14ac:dyDescent="0.2">
      <c r="A198" s="39" t="s">
        <v>287</v>
      </c>
      <c r="B198" s="47">
        <f>B197-B196</f>
        <v>4957.1475000000009</v>
      </c>
    </row>
    <row r="199" spans="1:2" x14ac:dyDescent="0.2">
      <c r="A199" s="39" t="s">
        <v>288</v>
      </c>
      <c r="B199" s="47">
        <f>PERCENTILE('Raw Data'!$E$2:$E$1001,0.9)</f>
        <v>8912.473</v>
      </c>
    </row>
    <row r="200" spans="1:2" x14ac:dyDescent="0.2">
      <c r="A200" s="39" t="s">
        <v>289</v>
      </c>
      <c r="B200" s="66">
        <f>SKEW('Raw Data'!$E$2:$E$1001)</f>
        <v>4.1160993455489313E-3</v>
      </c>
    </row>
    <row r="201" spans="1:2" x14ac:dyDescent="0.2">
      <c r="A201" s="39" t="s">
        <v>290</v>
      </c>
      <c r="B201" s="66">
        <f>KURT('Raw Data'!$E$2:$E$1001)</f>
        <v>-1.2064398108893215</v>
      </c>
    </row>
    <row r="202" spans="1:2" x14ac:dyDescent="0.2">
      <c r="A202" s="39" t="s">
        <v>291</v>
      </c>
      <c r="B202" s="54">
        <f>B191/B189</f>
        <v>0.56717268269726906</v>
      </c>
    </row>
    <row r="203" spans="1:2" x14ac:dyDescent="0.2">
      <c r="A203" s="39" t="s">
        <v>292</v>
      </c>
      <c r="B203" s="67">
        <f>SUMPRODUCT(--(ABS('Raw Data'!$E$2:$E$1001-AVERAGE('Raw Data'!$E$2:$E$1001))/STDEV('Raw Data'!$E$2:$E$1001)&gt;2))</f>
        <v>0</v>
      </c>
    </row>
    <row r="204" spans="1:2" x14ac:dyDescent="0.2">
      <c r="A204" s="39" t="s">
        <v>293</v>
      </c>
      <c r="B204" s="66">
        <f>CORREL('Raw Data'!$K$2:$K$1001,'Raw Data'!$E$2:$E$1001)</f>
        <v>2.3152703341197605E-2</v>
      </c>
    </row>
    <row r="205" spans="1:2" x14ac:dyDescent="0.2">
      <c r="A205" s="39" t="s">
        <v>294</v>
      </c>
      <c r="B205" s="66">
        <f>CORREL('Raw Data'!$F$2:$F$1001,'Raw Data'!$E$2:$E$1001)</f>
        <v>-4.1598704980826934E-2</v>
      </c>
    </row>
    <row r="206" spans="1:2" x14ac:dyDescent="0.2">
      <c r="A206" s="39" t="s">
        <v>295</v>
      </c>
      <c r="B206" s="66">
        <f>CORREL('Raw Data'!$K$2:$K$1001,'Raw Data'!$S$2:$S$1001)</f>
        <v>-0.47213997939492758</v>
      </c>
    </row>
    <row r="209" spans="1:10" x14ac:dyDescent="0.2">
      <c r="A209" s="45" t="s">
        <v>296</v>
      </c>
      <c r="B209" s="46"/>
      <c r="C209" s="46"/>
      <c r="D209" s="46"/>
      <c r="E209" s="46"/>
      <c r="F209" s="46"/>
      <c r="G209" s="46"/>
      <c r="H209" s="46"/>
      <c r="I209" s="46"/>
      <c r="J209" s="46"/>
    </row>
    <row r="210" spans="1:10" ht="42" customHeight="1" x14ac:dyDescent="0.2">
      <c r="A210" s="17" t="s">
        <v>297</v>
      </c>
      <c r="B210" s="17" t="s">
        <v>298</v>
      </c>
      <c r="C210" s="17" t="s">
        <v>299</v>
      </c>
      <c r="D210" s="17" t="s">
        <v>300</v>
      </c>
      <c r="E210" s="17" t="s">
        <v>301</v>
      </c>
      <c r="F210" s="17" t="s">
        <v>302</v>
      </c>
    </row>
    <row r="211" spans="1:10" x14ac:dyDescent="0.2">
      <c r="A211" s="39" t="s">
        <v>303</v>
      </c>
      <c r="B211" s="68">
        <v>0</v>
      </c>
      <c r="C211" s="68">
        <v>0</v>
      </c>
      <c r="D211" s="68">
        <v>0</v>
      </c>
      <c r="E211" s="68">
        <v>0</v>
      </c>
      <c r="F211" s="68">
        <v>0.05</v>
      </c>
    </row>
    <row r="212" spans="1:10" x14ac:dyDescent="0.2">
      <c r="A212" s="39" t="s">
        <v>304</v>
      </c>
      <c r="B212" s="68">
        <v>0</v>
      </c>
      <c r="C212" s="68">
        <v>0</v>
      </c>
      <c r="D212" s="68">
        <v>-0.03</v>
      </c>
      <c r="E212" s="68">
        <v>0.1</v>
      </c>
      <c r="F212" s="68">
        <v>-0.04</v>
      </c>
    </row>
    <row r="213" spans="1:10" x14ac:dyDescent="0.2">
      <c r="A213" s="39" t="s">
        <v>305</v>
      </c>
      <c r="B213" s="68">
        <v>0</v>
      </c>
      <c r="C213" s="68">
        <v>0</v>
      </c>
      <c r="D213" s="68">
        <v>-0.05</v>
      </c>
      <c r="E213" s="68">
        <v>0.03</v>
      </c>
      <c r="F213" s="68">
        <v>0</v>
      </c>
    </row>
    <row r="214" spans="1:10" x14ac:dyDescent="0.2">
      <c r="A214" s="39" t="s">
        <v>306</v>
      </c>
      <c r="B214" s="43">
        <f>$B$35</f>
        <v>5019265.2300000023</v>
      </c>
      <c r="C214" s="43">
        <f>$B$35</f>
        <v>5019265.2300000023</v>
      </c>
      <c r="D214" s="43">
        <f>$B$35</f>
        <v>5019265.2300000023</v>
      </c>
      <c r="E214" s="43">
        <f>$B$35</f>
        <v>5019265.2300000023</v>
      </c>
      <c r="F214" s="43">
        <f>$B$35</f>
        <v>5019265.2300000023</v>
      </c>
    </row>
    <row r="215" spans="1:10" x14ac:dyDescent="0.2">
      <c r="A215" s="39" t="s">
        <v>307</v>
      </c>
      <c r="B215" s="43">
        <f>$B$41</f>
        <v>70329940.709999949</v>
      </c>
      <c r="C215" s="43">
        <f>$B$41</f>
        <v>70329940.709999949</v>
      </c>
      <c r="D215" s="43">
        <f>$B$41</f>
        <v>70329940.709999949</v>
      </c>
      <c r="E215" s="43">
        <f>$B$41</f>
        <v>70329940.709999949</v>
      </c>
      <c r="F215" s="43">
        <f>$B$41</f>
        <v>70329940.709999949</v>
      </c>
    </row>
    <row r="216" spans="1:10" x14ac:dyDescent="0.2">
      <c r="A216" s="39" t="s">
        <v>308</v>
      </c>
      <c r="B216" s="43">
        <f>$B$44</f>
        <v>63842093.640000068</v>
      </c>
      <c r="C216" s="43">
        <f>$B$44</f>
        <v>63842093.640000068</v>
      </c>
      <c r="D216" s="43">
        <f>$B$44</f>
        <v>63842093.640000068</v>
      </c>
      <c r="E216" s="43">
        <f>$B$44</f>
        <v>63842093.640000068</v>
      </c>
      <c r="F216" s="43">
        <f>$B$44</f>
        <v>63842093.640000068</v>
      </c>
    </row>
    <row r="217" spans="1:10" x14ac:dyDescent="0.2">
      <c r="A217" s="39" t="s">
        <v>309</v>
      </c>
      <c r="B217" s="44">
        <f>$B$48</f>
        <v>0.15134048276663148</v>
      </c>
      <c r="C217" s="44">
        <f>$B$48</f>
        <v>0.15134048276663148</v>
      </c>
      <c r="D217" s="44">
        <f>$B$48</f>
        <v>0.15134048276663148</v>
      </c>
      <c r="E217" s="44">
        <f>$B$48</f>
        <v>0.15134048276663148</v>
      </c>
      <c r="F217" s="44">
        <f>$B$48</f>
        <v>0.15134048276663148</v>
      </c>
    </row>
    <row r="218" spans="1:10" x14ac:dyDescent="0.2">
      <c r="A218" s="39" t="s">
        <v>310</v>
      </c>
      <c r="B218" s="44">
        <f>MAX(0,MIN(0.95,B217+B213))</f>
        <v>0.15134048276663148</v>
      </c>
      <c r="C218" s="44">
        <f>MAX(0,MIN(0.95,C217+C213))</f>
        <v>0.15134048276663148</v>
      </c>
      <c r="D218" s="44">
        <f>MAX(0,MIN(0.95,D217+D213))</f>
        <v>0.10134048276663148</v>
      </c>
      <c r="E218" s="44">
        <f>MAX(0,MIN(0.95,E217+E213))</f>
        <v>0.18134048276663148</v>
      </c>
      <c r="F218" s="44">
        <f>MAX(0,MIN(0.95,F217+F213))</f>
        <v>0.15134048276663148</v>
      </c>
    </row>
    <row r="219" spans="1:10" x14ac:dyDescent="0.2">
      <c r="A219" s="19" t="s">
        <v>311</v>
      </c>
      <c r="B219" s="47">
        <f>B214*(1+B211)*(1+B212)*(1-B218)/(1-B217)</f>
        <v>5019265.2300000023</v>
      </c>
      <c r="C219" s="47">
        <f>C214*(1+C211)*(1+C212)*(1-C218)/(1-C217)</f>
        <v>5019265.2300000023</v>
      </c>
      <c r="D219" s="47">
        <f>D214*(1+D211)*(1+D212)*(1-D218)/(1-D217)</f>
        <v>5155533.0088888332</v>
      </c>
      <c r="E219" s="47">
        <f>E214*(1+E211)*(1+E212)*(1-E218)/(1-E217)</f>
        <v>5326018.3657622412</v>
      </c>
      <c r="F219" s="47">
        <f>F214*(1+F211)*(1+F212)*(1-F218)/(1-F217)</f>
        <v>5059419.3518400015</v>
      </c>
    </row>
    <row r="220" spans="1:10" x14ac:dyDescent="0.2">
      <c r="A220" s="39" t="s">
        <v>312</v>
      </c>
      <c r="B220" s="43">
        <f>B215*(1+B211)*(1+B212)*(1-B218)</f>
        <v>59686173.529999986</v>
      </c>
      <c r="C220" s="43">
        <f>C215*(1+C211)*(1+C212)*(1-C218)</f>
        <v>59686173.529999986</v>
      </c>
      <c r="D220" s="43">
        <f>D215*(1+D211)*(1+D212)*(1-D218)</f>
        <v>61306590.44853498</v>
      </c>
      <c r="E220" s="43">
        <f>E215*(1+E211)*(1+E212)*(1-E218)</f>
        <v>63333902.839569986</v>
      </c>
      <c r="F220" s="43">
        <f>F215*(1+F211)*(1+F212)*(1-F218)</f>
        <v>60163662.918239996</v>
      </c>
    </row>
    <row r="221" spans="1:10" x14ac:dyDescent="0.2">
      <c r="A221" s="39" t="s">
        <v>313</v>
      </c>
      <c r="B221" s="43">
        <f>B220-B216*(1+B212)</f>
        <v>-4155920.1100000814</v>
      </c>
      <c r="C221" s="43">
        <f>C220-C216*(1+C212)</f>
        <v>-4155920.1100000814</v>
      </c>
      <c r="D221" s="43">
        <f>D220-D216*(1+D212)</f>
        <v>-620240.38226508349</v>
      </c>
      <c r="E221" s="43">
        <f>E220-E216*(1+E212)</f>
        <v>-6892400.1644300967</v>
      </c>
      <c r="F221" s="43">
        <f>F220-F216*(1+F212)</f>
        <v>-1124746.9761600643</v>
      </c>
    </row>
    <row r="222" spans="1:10" x14ac:dyDescent="0.2">
      <c r="A222" s="19" t="s">
        <v>314</v>
      </c>
      <c r="B222" s="54">
        <f>IF(B220=0,0,B221/B220)</f>
        <v>-6.9629528317998082E-2</v>
      </c>
      <c r="C222" s="54">
        <f>IF(C220=0,0,C221/C220)</f>
        <v>-6.9629528317998082E-2</v>
      </c>
      <c r="D222" s="54">
        <f>IF(D220=0,0,D221/D220)</f>
        <v>-1.0117026207578065E-2</v>
      </c>
      <c r="E222" s="54">
        <f>IF(E220=0,0,E221/E220)</f>
        <v>-0.10882639242822469</v>
      </c>
      <c r="F222" s="54">
        <f>IF(F220=0,0,F221/F220)</f>
        <v>-1.8694788874283642E-2</v>
      </c>
    </row>
    <row r="224" spans="1:10" x14ac:dyDescent="0.2">
      <c r="A224" s="39" t="s">
        <v>315</v>
      </c>
      <c r="B224" s="68">
        <v>0.05</v>
      </c>
    </row>
    <row r="225" spans="1:2" x14ac:dyDescent="0.2">
      <c r="A225" s="39" t="s">
        <v>316</v>
      </c>
      <c r="B225" s="69">
        <f>1-B216/(B215*(1+B211)*(1-B224))</f>
        <v>4.4472337767465397E-2</v>
      </c>
    </row>
    <row r="226" spans="1:2" x14ac:dyDescent="0.2">
      <c r="A226" s="19" t="s">
        <v>317</v>
      </c>
      <c r="B226" s="70">
        <f>B225-B217</f>
        <v>-0.10686814499916608</v>
      </c>
    </row>
    <row r="227" spans="1:2" x14ac:dyDescent="0.2">
      <c r="A227" s="16" t="s">
        <v>318</v>
      </c>
    </row>
    <row r="228" spans="1:2" x14ac:dyDescent="0.2">
      <c r="A228" s="16" t="s">
        <v>319</v>
      </c>
    </row>
  </sheetData>
  <scenarios current="0" show="0" sqref="B219 B222">
    <scenario name="Base case" count="3" user="Analyst" comment="No change to price, volume or discount">
      <inputCells r="B211" val="0"/>
      <inputCells r="B212" val="0"/>
      <inputCells r="B213" val="0"/>
    </scenario>
    <scenario name="Discount discipline" count="3" user="Analyst" comment="Cut weighted discount by 5 points; volume -3%">
      <inputCells r="B211" val="0"/>
      <inputCells r="B212" val="-0.03"/>
      <inputCells r="B213" val="-0.05"/>
    </scenario>
    <scenario name="Growth push" count="3" user="Analyst" comment="Volume +10% with 3 more points of discount">
      <inputCells r="B211" val="0"/>
      <inputCells r="B212" val="0.1"/>
      <inputCells r="B213" val="0.03"/>
    </scenario>
    <scenario name="Price rise" count="3" user="Analyst" comment="Price +5%, volume -4%, discount unchanged">
      <inputCells r="B211" val="0.05"/>
      <inputCells r="B212" val="-0.04"/>
      <inputCells r="B213" val="0"/>
    </scenario>
  </scenarios>
  <conditionalFormatting sqref="B154:F15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C59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{FE30C4CA-AAD3-4AE4-B1C3-DF73A952D0E0}</x14:id>
        </ext>
      </extLst>
    </cfRule>
  </conditionalFormatting>
  <conditionalFormatting sqref="C66:C69">
    <cfRule type="dataBar" priority="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{4B42A27A-F0E7-4DDA-AB31-35303F5D2A28}</x14:id>
        </ext>
      </extLst>
    </cfRule>
  </conditionalFormatting>
  <conditionalFormatting sqref="C76:C80">
    <cfRule type="dataBar" priority="6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{D8342BA0-D310-4BBC-A384-ABC268629A1F}</x14:id>
        </ext>
      </extLst>
    </cfRule>
  </conditionalFormatting>
  <conditionalFormatting sqref="C87:C88">
    <cfRule type="dataBar" priority="8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{5097CD5A-201B-4736-A36D-FABD69EE2080}</x14:id>
        </ext>
      </extLst>
    </cfRule>
  </conditionalFormatting>
  <conditionalFormatting sqref="C95:C96">
    <cfRule type="dataBar" priority="10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{C158E5C0-94FE-4610-A290-534346E9FBDD}</x14:id>
        </ext>
      </extLst>
    </cfRule>
  </conditionalFormatting>
  <conditionalFormatting sqref="C103:C105">
    <cfRule type="dataBar" priority="1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{FA53616A-AA71-43EE-A340-546F368E8DF7}</x14:id>
        </ext>
      </extLst>
    </cfRule>
  </conditionalFormatting>
  <conditionalFormatting sqref="C112:C114">
    <cfRule type="dataBar" priority="1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{3EEFFE32-5C00-4C5F-BCA0-6CC3E6406DA7}</x14:id>
        </ext>
      </extLst>
    </cfRule>
  </conditionalFormatting>
  <conditionalFormatting sqref="C121:C123">
    <cfRule type="dataBar" priority="16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{3060F1A0-89C1-4250-A7B9-C5FF39251B43}</x14:id>
        </ext>
      </extLst>
    </cfRule>
  </conditionalFormatting>
  <conditionalFormatting sqref="C130:C136">
    <cfRule type="dataBar" priority="18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{B667AACF-8343-4F56-B9F3-1F13DC6D8B9E}</x14:id>
        </ext>
      </extLst>
    </cfRule>
  </conditionalFormatting>
  <conditionalFormatting sqref="C143:C147">
    <cfRule type="dataBar" priority="20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{A0ED282E-B03C-4BC8-A832-1100803648BC}</x14:id>
        </ext>
      </extLst>
    </cfRule>
  </conditionalFormatting>
  <conditionalFormatting sqref="F167:F179">
    <cfRule type="iconSet" priority="23">
      <iconSet iconSet="3Arrows">
        <cfvo type="num" val="-100"/>
        <cfvo type="num" val="-0.05"/>
        <cfvo type="num" val="0.05"/>
      </iconSet>
    </cfRule>
  </conditionalFormatting>
  <conditionalFormatting sqref="H56:H59">
    <cfRule type="colorScale" priority="3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66:H69">
    <cfRule type="colorScale" priority="5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76:H80">
    <cfRule type="colorScale" priority="7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87:H88">
    <cfRule type="colorScale" priority="9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95:H96">
    <cfRule type="colorScale" priority="11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103:H105">
    <cfRule type="colorScale" priority="13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112:H114">
    <cfRule type="colorScale" priority="15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121:H123">
    <cfRule type="colorScale" priority="17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130:H136">
    <cfRule type="colorScale" priority="19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H143:H147">
    <cfRule type="colorScale" priority="21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0C4CA-AAD3-4AE4-B1C3-DF73A952D0E0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C56:C59</xm:sqref>
        </x14:conditionalFormatting>
        <x14:conditionalFormatting xmlns:xm="http://schemas.microsoft.com/office/excel/2006/main">
          <x14:cfRule type="dataBar" id="{4B42A27A-F0E7-4DDA-AB31-35303F5D2A28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C66:C69</xm:sqref>
        </x14:conditionalFormatting>
        <x14:conditionalFormatting xmlns:xm="http://schemas.microsoft.com/office/excel/2006/main">
          <x14:cfRule type="dataBar" id="{D8342BA0-D310-4BBC-A384-ABC268629A1F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C76:C80</xm:sqref>
        </x14:conditionalFormatting>
        <x14:conditionalFormatting xmlns:xm="http://schemas.microsoft.com/office/excel/2006/main">
          <x14:cfRule type="dataBar" id="{5097CD5A-201B-4736-A36D-FABD69EE2080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C87:C88</xm:sqref>
        </x14:conditionalFormatting>
        <x14:conditionalFormatting xmlns:xm="http://schemas.microsoft.com/office/excel/2006/main">
          <x14:cfRule type="dataBar" id="{C158E5C0-94FE-4610-A290-534346E9FBDD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C95:C96</xm:sqref>
        </x14:conditionalFormatting>
        <x14:conditionalFormatting xmlns:xm="http://schemas.microsoft.com/office/excel/2006/main">
          <x14:cfRule type="dataBar" id="{FA53616A-AA71-43EE-A340-546F368E8DF7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C103:C105</xm:sqref>
        </x14:conditionalFormatting>
        <x14:conditionalFormatting xmlns:xm="http://schemas.microsoft.com/office/excel/2006/main">
          <x14:cfRule type="dataBar" id="{3EEFFE32-5C00-4C5F-BCA0-6CC3E6406DA7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C112:C114</xm:sqref>
        </x14:conditionalFormatting>
        <x14:conditionalFormatting xmlns:xm="http://schemas.microsoft.com/office/excel/2006/main">
          <x14:cfRule type="dataBar" id="{3060F1A0-89C1-4250-A7B9-C5FF39251B43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C121:C123</xm:sqref>
        </x14:conditionalFormatting>
        <x14:conditionalFormatting xmlns:xm="http://schemas.microsoft.com/office/excel/2006/main">
          <x14:cfRule type="dataBar" id="{B667AACF-8343-4F56-B9F3-1F13DC6D8B9E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C130:C136</xm:sqref>
        </x14:conditionalFormatting>
        <x14:conditionalFormatting xmlns:xm="http://schemas.microsoft.com/office/excel/2006/main">
          <x14:cfRule type="dataBar" id="{A0ED282E-B03C-4BC8-A832-1100803648BC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C143:C147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Z25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5" customWidth="1"/>
    <col min="2" max="2" width="9" customWidth="1"/>
    <col min="3" max="3" width="10" customWidth="1"/>
    <col min="4" max="4" width="12" customWidth="1"/>
    <col min="5" max="5" width="13" customWidth="1"/>
    <col min="6" max="6" width="11" customWidth="1"/>
    <col min="7" max="7" width="12" customWidth="1"/>
    <col min="8" max="8" width="7" customWidth="1"/>
    <col min="9" max="9" width="12" customWidth="1"/>
    <col min="10" max="10" width="8" customWidth="1"/>
    <col min="11" max="11" width="3" customWidth="1"/>
    <col min="12" max="12" width="6" customWidth="1"/>
    <col min="13" max="13" width="15" customWidth="1"/>
    <col min="14" max="14" width="12" customWidth="1"/>
    <col min="15" max="15" width="9" customWidth="1"/>
    <col min="16" max="16" width="11" customWidth="1"/>
    <col min="17" max="17" width="7" customWidth="1"/>
    <col min="18" max="18" width="3" customWidth="1"/>
    <col min="19" max="19" width="6" customWidth="1"/>
    <col min="20" max="20" width="16" customWidth="1"/>
    <col min="21" max="21" width="12" customWidth="1"/>
    <col min="22" max="23" width="9" customWidth="1"/>
    <col min="24" max="24" width="13" customWidth="1"/>
    <col min="25" max="25" width="10" customWidth="1"/>
    <col min="26" max="26" width="13" customWidth="1"/>
  </cols>
  <sheetData>
    <row r="1" spans="1:26" ht="20" x14ac:dyDescent="0.2">
      <c r="A1" s="15" t="s">
        <v>320</v>
      </c>
    </row>
    <row r="2" spans="1:26" x14ac:dyDescent="0.2">
      <c r="A2" s="16" t="s">
        <v>321</v>
      </c>
      <c r="L2" s="19" t="s">
        <v>322</v>
      </c>
      <c r="S2" s="19" t="s">
        <v>323</v>
      </c>
    </row>
    <row r="3" spans="1:26" x14ac:dyDescent="0.2">
      <c r="A3" s="17" t="s">
        <v>32</v>
      </c>
      <c r="B3" s="17" t="s">
        <v>53</v>
      </c>
      <c r="C3" s="17" t="s">
        <v>217</v>
      </c>
      <c r="D3" s="17" t="s">
        <v>33</v>
      </c>
      <c r="E3" s="17" t="s">
        <v>36</v>
      </c>
      <c r="F3" s="17" t="s">
        <v>206</v>
      </c>
      <c r="G3" s="17" t="s">
        <v>38</v>
      </c>
      <c r="H3" s="17" t="s">
        <v>31</v>
      </c>
      <c r="I3" s="17" t="s">
        <v>324</v>
      </c>
      <c r="J3" s="17" t="s">
        <v>205</v>
      </c>
      <c r="L3" s="17" t="s">
        <v>31</v>
      </c>
      <c r="M3" s="17" t="s">
        <v>32</v>
      </c>
      <c r="N3" s="17" t="s">
        <v>33</v>
      </c>
      <c r="O3" s="17" t="s">
        <v>205</v>
      </c>
      <c r="P3" s="17" t="s">
        <v>325</v>
      </c>
      <c r="Q3" s="17" t="s">
        <v>326</v>
      </c>
      <c r="S3" s="17" t="s">
        <v>31</v>
      </c>
      <c r="T3" s="17" t="s">
        <v>131</v>
      </c>
      <c r="U3" s="17" t="s">
        <v>327</v>
      </c>
      <c r="V3" s="17" t="s">
        <v>328</v>
      </c>
      <c r="W3" s="17" t="s">
        <v>53</v>
      </c>
      <c r="X3" s="17" t="s">
        <v>213</v>
      </c>
      <c r="Y3" s="17" t="s">
        <v>221</v>
      </c>
      <c r="Z3" s="17" t="s">
        <v>107</v>
      </c>
    </row>
    <row r="4" spans="1:26" x14ac:dyDescent="0.2">
      <c r="A4" s="55" t="s">
        <v>159</v>
      </c>
      <c r="B4" s="55" t="s">
        <v>59</v>
      </c>
      <c r="C4" s="55" t="s">
        <v>61</v>
      </c>
      <c r="D4" s="57">
        <f>SUMIFS('Raw Data'!$E$2:$E$1001,'Raw Data'!$N$2:$N$1001,A4)</f>
        <v>260789.46999999994</v>
      </c>
      <c r="E4" s="55">
        <f>COUNTIFS('Raw Data'!$N$2:$N$1001,A4)</f>
        <v>52</v>
      </c>
      <c r="F4" s="57">
        <f t="shared" ref="F4:F23" si="0">IF(E4=0,0,D4/E4)</f>
        <v>5015.182115384614</v>
      </c>
      <c r="G4" s="58">
        <f>IFERROR(SUMIFS('Raw Data'!$R$2:$R$1001,'Raw Data'!$N$2:$N$1001,A4)/SUMIFS('Raw Data'!$P$2:$P$1001,'Raw Data'!$N$2:$N$1001,A4),0)</f>
        <v>-6.7180386047451052E-2</v>
      </c>
      <c r="H4" s="55">
        <f>RANK(D4,$D$4:$D$23,0)+COUNTIF($D$4:D4,D4)-1</f>
        <v>9</v>
      </c>
      <c r="I4" s="55" t="str">
        <f t="shared" ref="I4:I23" si="1">IF(D4&gt;=PERCENTILE($D$4:$D$23,0.8),"High-Value",IF(D4&gt;=PERCENTILE($D$4:$D$23,0.5),"Mid","Low"))</f>
        <v>Mid</v>
      </c>
      <c r="J4" s="58">
        <f t="shared" ref="J4:J23" si="2">D4/SUM($D$4:$D$23)</f>
        <v>5.1957698597250641E-2</v>
      </c>
      <c r="L4" s="55">
        <v>1</v>
      </c>
      <c r="M4" s="55" t="str">
        <f t="shared" ref="M4:M23" si="3">INDEX($A$4:$A$23,MATCH(L4,$H$4:$H$23,0))</f>
        <v>South-David</v>
      </c>
      <c r="N4" s="57">
        <f t="shared" ref="N4:N23" si="4">INDEX($D$4:$D$23,MATCH(L4,$H$4:$H$23,0))</f>
        <v>311416.99000000005</v>
      </c>
      <c r="O4" s="58">
        <f t="shared" ref="O4:O23" si="5">N4/SUM($D$4:$D$23)</f>
        <v>6.2044338310450274E-2</v>
      </c>
      <c r="P4" s="58">
        <f>SUM($O$4:O4)</f>
        <v>6.2044338310450274E-2</v>
      </c>
      <c r="Q4" s="55" t="str">
        <f t="shared" ref="Q4:Q23" si="6">IF(P4&lt;=0.8,"A",IF(P4&lt;=0.95,"B","C"))</f>
        <v>A</v>
      </c>
      <c r="S4" s="55">
        <v>1</v>
      </c>
      <c r="T4" s="55" t="str">
        <f>INDEX('Raw Data'!$AG$2:$AG$1001,MATCH($S4,'Raw Data'!$AL$2:$AL$1001,0))</f>
        <v>NR-231210-0756</v>
      </c>
      <c r="U4" s="65">
        <f>INDEX('Raw Data'!$B$2:$B$1001,MATCH($S4,'Raw Data'!$AL$2:$AL$1001,0))</f>
        <v>45270</v>
      </c>
      <c r="V4" s="55" t="str">
        <f>INDEX('Raw Data'!$C$2:$C$1001,MATCH($S4,'Raw Data'!$AL$2:$AL$1001,0))</f>
        <v>David</v>
      </c>
      <c r="W4" s="55" t="str">
        <f>INDEX('Raw Data'!$D$2:$D$1001,MATCH($S4,'Raw Data'!$AL$2:$AL$1001,0))</f>
        <v>North</v>
      </c>
      <c r="X4" s="55" t="str">
        <f>INDEX('Raw Data'!$G$2:$G$1001,MATCH($S4,'Raw Data'!$AL$2:$AL$1001,0))</f>
        <v>Food</v>
      </c>
      <c r="Y4" s="55" t="str">
        <f>INDEX('Raw Data'!$M$2:$M$1001,MATCH($S4,'Raw Data'!$AL$2:$AL$1001,0))</f>
        <v>Retail</v>
      </c>
      <c r="Z4" s="57">
        <f>INDEX('Raw Data'!$E$2:$E$1001,MATCH($S4,'Raw Data'!$AL$2:$AL$1001,0))</f>
        <v>9989.0400000000009</v>
      </c>
    </row>
    <row r="5" spans="1:26" x14ac:dyDescent="0.2">
      <c r="A5" s="55" t="s">
        <v>153</v>
      </c>
      <c r="B5" s="55" t="s">
        <v>59</v>
      </c>
      <c r="C5" s="55" t="s">
        <v>66</v>
      </c>
      <c r="D5" s="57">
        <f>SUMIFS('Raw Data'!$E$2:$E$1001,'Raw Data'!$N$2:$N$1001,A5)</f>
        <v>309876.11</v>
      </c>
      <c r="E5" s="55">
        <f>COUNTIFS('Raw Data'!$N$2:$N$1001,A5)</f>
        <v>60</v>
      </c>
      <c r="F5" s="57">
        <f t="shared" si="0"/>
        <v>5164.6018333333332</v>
      </c>
      <c r="G5" s="58">
        <f>IFERROR(SUMIFS('Raw Data'!$R$2:$R$1001,'Raw Data'!$N$2:$N$1001,A5)/SUMIFS('Raw Data'!$P$2:$P$1001,'Raw Data'!$N$2:$N$1001,A5),0)</f>
        <v>-0.10167660857457748</v>
      </c>
      <c r="H5" s="55">
        <f>RANK(D5,$D$4:$D$23,0)+COUNTIF($D$4:D5,D5)-1</f>
        <v>2</v>
      </c>
      <c r="I5" s="55" t="str">
        <f t="shared" si="1"/>
        <v>High-Value</v>
      </c>
      <c r="J5" s="58">
        <f t="shared" si="2"/>
        <v>6.1737345169145398E-2</v>
      </c>
      <c r="L5" s="55">
        <v>2</v>
      </c>
      <c r="M5" s="55" t="str">
        <f t="shared" si="3"/>
        <v>East-Bob</v>
      </c>
      <c r="N5" s="57">
        <f t="shared" si="4"/>
        <v>309876.11</v>
      </c>
      <c r="O5" s="58">
        <f t="shared" si="5"/>
        <v>6.1737345169145398E-2</v>
      </c>
      <c r="P5" s="58">
        <f>SUM($O$4:O5)</f>
        <v>0.12378168347959567</v>
      </c>
      <c r="Q5" s="55" t="str">
        <f t="shared" si="6"/>
        <v>A</v>
      </c>
      <c r="S5" s="55">
        <v>2</v>
      </c>
      <c r="T5" s="55" t="str">
        <f>INDEX('Raw Data'!$AG$2:$AG$1001,MATCH($S5,'Raw Data'!$AL$2:$AL$1001,0))</f>
        <v>NR-230821-0761</v>
      </c>
      <c r="U5" s="65">
        <f>INDEX('Raw Data'!$B$2:$B$1001,MATCH($S5,'Raw Data'!$AL$2:$AL$1001,0))</f>
        <v>45159</v>
      </c>
      <c r="V5" s="55" t="str">
        <f>INDEX('Raw Data'!$C$2:$C$1001,MATCH($S5,'Raw Data'!$AL$2:$AL$1001,0))</f>
        <v>David</v>
      </c>
      <c r="W5" s="55" t="str">
        <f>INDEX('Raw Data'!$D$2:$D$1001,MATCH($S5,'Raw Data'!$AL$2:$AL$1001,0))</f>
        <v>North</v>
      </c>
      <c r="X5" s="55" t="str">
        <f>INDEX('Raw Data'!$G$2:$G$1001,MATCH($S5,'Raw Data'!$AL$2:$AL$1001,0))</f>
        <v>Furniture</v>
      </c>
      <c r="Y5" s="55" t="str">
        <f>INDEX('Raw Data'!$M$2:$M$1001,MATCH($S5,'Raw Data'!$AL$2:$AL$1001,0))</f>
        <v>Retail</v>
      </c>
      <c r="Z5" s="57">
        <f>INDEX('Raw Data'!$E$2:$E$1001,MATCH($S5,'Raw Data'!$AL$2:$AL$1001,0))</f>
        <v>9976.52</v>
      </c>
    </row>
    <row r="6" spans="1:26" x14ac:dyDescent="0.2">
      <c r="A6" s="55" t="s">
        <v>145</v>
      </c>
      <c r="B6" s="55" t="s">
        <v>59</v>
      </c>
      <c r="C6" s="55" t="s">
        <v>71</v>
      </c>
      <c r="D6" s="57">
        <f>SUMIFS('Raw Data'!$E$2:$E$1001,'Raw Data'!$N$2:$N$1001,A6)</f>
        <v>165172.94</v>
      </c>
      <c r="E6" s="55">
        <f>COUNTIFS('Raw Data'!$N$2:$N$1001,A6)</f>
        <v>37</v>
      </c>
      <c r="F6" s="57">
        <f t="shared" si="0"/>
        <v>4464.1335135135132</v>
      </c>
      <c r="G6" s="58">
        <f>IFERROR(SUMIFS('Raw Data'!$R$2:$R$1001,'Raw Data'!$N$2:$N$1001,A6)/SUMIFS('Raw Data'!$P$2:$P$1001,'Raw Data'!$N$2:$N$1001,A6),0)</f>
        <v>-8.2355996419248748E-2</v>
      </c>
      <c r="H6" s="55">
        <f>RANK(D6,$D$4:$D$23,0)+COUNTIF($D$4:D6,D6)-1</f>
        <v>19</v>
      </c>
      <c r="I6" s="55" t="str">
        <f t="shared" si="1"/>
        <v>Low</v>
      </c>
      <c r="J6" s="58">
        <f t="shared" si="2"/>
        <v>3.2907792760734418E-2</v>
      </c>
      <c r="L6" s="55">
        <v>3</v>
      </c>
      <c r="M6" s="55" t="str">
        <f t="shared" si="3"/>
        <v>North-Eve</v>
      </c>
      <c r="N6" s="57">
        <f t="shared" si="4"/>
        <v>304172.2</v>
      </c>
      <c r="O6" s="58">
        <f t="shared" si="5"/>
        <v>6.0600941783664215E-2</v>
      </c>
      <c r="P6" s="58">
        <f>SUM($O$4:O6)</f>
        <v>0.18438262526325988</v>
      </c>
      <c r="Q6" s="55" t="str">
        <f t="shared" si="6"/>
        <v>A</v>
      </c>
      <c r="S6" s="55">
        <v>3</v>
      </c>
      <c r="T6" s="55" t="str">
        <f>INDEX('Raw Data'!$AG$2:$AG$1001,MATCH($S6,'Raw Data'!$AL$2:$AL$1001,0))</f>
        <v>NO-230824-0856</v>
      </c>
      <c r="U6" s="65">
        <f>INDEX('Raw Data'!$B$2:$B$1001,MATCH($S6,'Raw Data'!$AL$2:$AL$1001,0))</f>
        <v>45162</v>
      </c>
      <c r="V6" s="55" t="str">
        <f>INDEX('Raw Data'!$C$2:$C$1001,MATCH($S6,'Raw Data'!$AL$2:$AL$1001,0))</f>
        <v>Alice</v>
      </c>
      <c r="W6" s="55" t="str">
        <f>INDEX('Raw Data'!$D$2:$D$1001,MATCH($S6,'Raw Data'!$AL$2:$AL$1001,0))</f>
        <v>North</v>
      </c>
      <c r="X6" s="55" t="str">
        <f>INDEX('Raw Data'!$G$2:$G$1001,MATCH($S6,'Raw Data'!$AL$2:$AL$1001,0))</f>
        <v>Clothing</v>
      </c>
      <c r="Y6" s="55" t="str">
        <f>INDEX('Raw Data'!$M$2:$M$1001,MATCH($S6,'Raw Data'!$AL$2:$AL$1001,0))</f>
        <v>Online</v>
      </c>
      <c r="Z6" s="57">
        <f>INDEX('Raw Data'!$E$2:$E$1001,MATCH($S6,'Raw Data'!$AL$2:$AL$1001,0))</f>
        <v>9972.66</v>
      </c>
    </row>
    <row r="7" spans="1:26" x14ac:dyDescent="0.2">
      <c r="A7" s="55" t="s">
        <v>157</v>
      </c>
      <c r="B7" s="55" t="s">
        <v>59</v>
      </c>
      <c r="C7" s="55" t="s">
        <v>76</v>
      </c>
      <c r="D7" s="57">
        <f>SUMIFS('Raw Data'!$E$2:$E$1001,'Raw Data'!$N$2:$N$1001,A7)</f>
        <v>284613.51</v>
      </c>
      <c r="E7" s="55">
        <f>COUNTIFS('Raw Data'!$N$2:$N$1001,A7)</f>
        <v>59</v>
      </c>
      <c r="F7" s="57">
        <f t="shared" si="0"/>
        <v>4823.9577966101697</v>
      </c>
      <c r="G7" s="58">
        <f>IFERROR(SUMIFS('Raw Data'!$R$2:$R$1001,'Raw Data'!$N$2:$N$1001,A7)/SUMIFS('Raw Data'!$P$2:$P$1001,'Raw Data'!$N$2:$N$1001,A7),0)</f>
        <v>-8.0190930648283781E-2</v>
      </c>
      <c r="H7" s="55">
        <f>RANK(D7,$D$4:$D$23,0)+COUNTIF($D$4:D7,D7)-1</f>
        <v>6</v>
      </c>
      <c r="I7" s="55" t="str">
        <f t="shared" si="1"/>
        <v>Mid</v>
      </c>
      <c r="J7" s="58">
        <f t="shared" si="2"/>
        <v>5.6704218039499772E-2</v>
      </c>
      <c r="L7" s="55">
        <v>4</v>
      </c>
      <c r="M7" s="55" t="str">
        <f t="shared" si="3"/>
        <v>North-Charlie</v>
      </c>
      <c r="N7" s="57">
        <f t="shared" si="4"/>
        <v>299789.01</v>
      </c>
      <c r="O7" s="58">
        <f t="shared" si="5"/>
        <v>5.9727668545620963E-2</v>
      </c>
      <c r="P7" s="58">
        <f>SUM($O$4:O7)</f>
        <v>0.24411029380888083</v>
      </c>
      <c r="Q7" s="55" t="str">
        <f t="shared" si="6"/>
        <v>A</v>
      </c>
      <c r="S7" s="55">
        <v>4</v>
      </c>
      <c r="T7" s="55" t="str">
        <f>INDEX('Raw Data'!$AG$2:$AG$1001,MATCH($S7,'Raw Data'!$AL$2:$AL$1001,0))</f>
        <v>NR-230815-0655</v>
      </c>
      <c r="U7" s="65">
        <f>INDEX('Raw Data'!$B$2:$B$1001,MATCH($S7,'Raw Data'!$AL$2:$AL$1001,0))</f>
        <v>45153</v>
      </c>
      <c r="V7" s="55" t="str">
        <f>INDEX('Raw Data'!$C$2:$C$1001,MATCH($S7,'Raw Data'!$AL$2:$AL$1001,0))</f>
        <v>Charlie</v>
      </c>
      <c r="W7" s="55" t="str">
        <f>INDEX('Raw Data'!$D$2:$D$1001,MATCH($S7,'Raw Data'!$AL$2:$AL$1001,0))</f>
        <v>North</v>
      </c>
      <c r="X7" s="55" t="str">
        <f>INDEX('Raw Data'!$G$2:$G$1001,MATCH($S7,'Raw Data'!$AL$2:$AL$1001,0))</f>
        <v>Clothing</v>
      </c>
      <c r="Y7" s="55" t="str">
        <f>INDEX('Raw Data'!$M$2:$M$1001,MATCH($S7,'Raw Data'!$AL$2:$AL$1001,0))</f>
        <v>Retail</v>
      </c>
      <c r="Z7" s="57">
        <f>INDEX('Raw Data'!$E$2:$E$1001,MATCH($S7,'Raw Data'!$AL$2:$AL$1001,0))</f>
        <v>9972.11</v>
      </c>
    </row>
    <row r="8" spans="1:26" x14ac:dyDescent="0.2">
      <c r="A8" s="55" t="s">
        <v>155</v>
      </c>
      <c r="B8" s="55" t="s">
        <v>59</v>
      </c>
      <c r="C8" s="55" t="s">
        <v>79</v>
      </c>
      <c r="D8" s="57">
        <f>SUMIFS('Raw Data'!$E$2:$E$1001,'Raw Data'!$N$2:$N$1001,A8)</f>
        <v>239340.90000000002</v>
      </c>
      <c r="E8" s="55">
        <f>COUNTIFS('Raw Data'!$N$2:$N$1001,A8)</f>
        <v>55</v>
      </c>
      <c r="F8" s="57">
        <f t="shared" si="0"/>
        <v>4351.652727272728</v>
      </c>
      <c r="G8" s="58">
        <f>IFERROR(SUMIFS('Raw Data'!$R$2:$R$1001,'Raw Data'!$N$2:$N$1001,A8)/SUMIFS('Raw Data'!$P$2:$P$1001,'Raw Data'!$N$2:$N$1001,A8),0)</f>
        <v>-7.2341970454688306E-2</v>
      </c>
      <c r="H8" s="55">
        <f>RANK(D8,$D$4:$D$23,0)+COUNTIF($D$4:D8,D8)-1</f>
        <v>14</v>
      </c>
      <c r="I8" s="55" t="str">
        <f t="shared" si="1"/>
        <v>Low</v>
      </c>
      <c r="J8" s="58">
        <f t="shared" si="2"/>
        <v>4.7684449622121282E-2</v>
      </c>
      <c r="L8" s="55">
        <v>5</v>
      </c>
      <c r="M8" s="55" t="str">
        <f t="shared" si="3"/>
        <v>West-Bob</v>
      </c>
      <c r="N8" s="57">
        <f t="shared" si="4"/>
        <v>286449.27999999997</v>
      </c>
      <c r="O8" s="58">
        <f t="shared" si="5"/>
        <v>5.7069962808082159E-2</v>
      </c>
      <c r="P8" s="58">
        <f>SUM($O$4:O8)</f>
        <v>0.30118025661696302</v>
      </c>
      <c r="Q8" s="55" t="str">
        <f t="shared" si="6"/>
        <v>A</v>
      </c>
      <c r="S8" s="55">
        <v>5</v>
      </c>
      <c r="T8" s="55" t="str">
        <f>INDEX('Raw Data'!$AG$2:$AG$1001,MATCH($S8,'Raw Data'!$AL$2:$AL$1001,0))</f>
        <v>SO-230423-0749</v>
      </c>
      <c r="U8" s="65">
        <f>INDEX('Raw Data'!$B$2:$B$1001,MATCH($S8,'Raw Data'!$AL$2:$AL$1001,0))</f>
        <v>45039</v>
      </c>
      <c r="V8" s="55" t="str">
        <f>INDEX('Raw Data'!$C$2:$C$1001,MATCH($S8,'Raw Data'!$AL$2:$AL$1001,0))</f>
        <v>David</v>
      </c>
      <c r="W8" s="55" t="str">
        <f>INDEX('Raw Data'!$D$2:$D$1001,MATCH($S8,'Raw Data'!$AL$2:$AL$1001,0))</f>
        <v>South</v>
      </c>
      <c r="X8" s="55" t="str">
        <f>INDEX('Raw Data'!$G$2:$G$1001,MATCH($S8,'Raw Data'!$AL$2:$AL$1001,0))</f>
        <v>Furniture</v>
      </c>
      <c r="Y8" s="55" t="str">
        <f>INDEX('Raw Data'!$M$2:$M$1001,MATCH($S8,'Raw Data'!$AL$2:$AL$1001,0))</f>
        <v>Online</v>
      </c>
      <c r="Z8" s="57">
        <f>INDEX('Raw Data'!$E$2:$E$1001,MATCH($S8,'Raw Data'!$AL$2:$AL$1001,0))</f>
        <v>9961.9599999999991</v>
      </c>
    </row>
    <row r="9" spans="1:26" x14ac:dyDescent="0.2">
      <c r="A9" s="55" t="s">
        <v>156</v>
      </c>
      <c r="B9" s="55" t="s">
        <v>64</v>
      </c>
      <c r="C9" s="55" t="s">
        <v>61</v>
      </c>
      <c r="D9" s="57">
        <f>SUMIFS('Raw Data'!$E$2:$E$1001,'Raw Data'!$N$2:$N$1001,A9)</f>
        <v>249647.22000000003</v>
      </c>
      <c r="E9" s="55">
        <f>COUNTIFS('Raw Data'!$N$2:$N$1001,A9)</f>
        <v>48</v>
      </c>
      <c r="F9" s="57">
        <f t="shared" si="0"/>
        <v>5200.9837500000003</v>
      </c>
      <c r="G9" s="58">
        <f>IFERROR(SUMIFS('Raw Data'!$R$2:$R$1001,'Raw Data'!$N$2:$N$1001,A9)/SUMIFS('Raw Data'!$P$2:$P$1001,'Raw Data'!$N$2:$N$1001,A9),0)</f>
        <v>-3.4112274390622921E-2</v>
      </c>
      <c r="H9" s="55">
        <f>RANK(D9,$D$4:$D$23,0)+COUNTIF($D$4:D9,D9)-1</f>
        <v>11</v>
      </c>
      <c r="I9" s="55" t="str">
        <f t="shared" si="1"/>
        <v>Low</v>
      </c>
      <c r="J9" s="58">
        <f t="shared" si="2"/>
        <v>4.9737801961104972E-2</v>
      </c>
      <c r="L9" s="55">
        <v>6</v>
      </c>
      <c r="M9" s="55" t="str">
        <f t="shared" si="3"/>
        <v>East-David</v>
      </c>
      <c r="N9" s="57">
        <f t="shared" si="4"/>
        <v>284613.51</v>
      </c>
      <c r="O9" s="58">
        <f t="shared" si="5"/>
        <v>5.6704218039499772E-2</v>
      </c>
      <c r="P9" s="58">
        <f>SUM($O$4:O9)</f>
        <v>0.35788447465646278</v>
      </c>
      <c r="Q9" s="55" t="str">
        <f t="shared" si="6"/>
        <v>A</v>
      </c>
      <c r="S9" s="55">
        <v>6</v>
      </c>
      <c r="T9" s="55" t="str">
        <f>INDEX('Raw Data'!$AG$2:$AG$1001,MATCH($S9,'Raw Data'!$AL$2:$AL$1001,0))</f>
        <v>NO-230814-0797</v>
      </c>
      <c r="U9" s="65">
        <f>INDEX('Raw Data'!$B$2:$B$1001,MATCH($S9,'Raw Data'!$AL$2:$AL$1001,0))</f>
        <v>45152</v>
      </c>
      <c r="V9" s="55" t="str">
        <f>INDEX('Raw Data'!$C$2:$C$1001,MATCH($S9,'Raw Data'!$AL$2:$AL$1001,0))</f>
        <v>Bob</v>
      </c>
      <c r="W9" s="55" t="str">
        <f>INDEX('Raw Data'!$D$2:$D$1001,MATCH($S9,'Raw Data'!$AL$2:$AL$1001,0))</f>
        <v>North</v>
      </c>
      <c r="X9" s="55" t="str">
        <f>INDEX('Raw Data'!$G$2:$G$1001,MATCH($S9,'Raw Data'!$AL$2:$AL$1001,0))</f>
        <v>Clothing</v>
      </c>
      <c r="Y9" s="55" t="str">
        <f>INDEX('Raw Data'!$M$2:$M$1001,MATCH($S9,'Raw Data'!$AL$2:$AL$1001,0))</f>
        <v>Online</v>
      </c>
      <c r="Z9" s="57">
        <f>INDEX('Raw Data'!$E$2:$E$1001,MATCH($S9,'Raw Data'!$AL$2:$AL$1001,0))</f>
        <v>9956.75</v>
      </c>
    </row>
    <row r="10" spans="1:26" x14ac:dyDescent="0.2">
      <c r="A10" s="55" t="s">
        <v>139</v>
      </c>
      <c r="B10" s="55" t="s">
        <v>64</v>
      </c>
      <c r="C10" s="55" t="s">
        <v>66</v>
      </c>
      <c r="D10" s="57">
        <f>SUMIFS('Raw Data'!$E$2:$E$1001,'Raw Data'!$N$2:$N$1001,A10)</f>
        <v>233464.80999999994</v>
      </c>
      <c r="E10" s="55">
        <f>COUNTIFS('Raw Data'!$N$2:$N$1001,A10)</f>
        <v>44</v>
      </c>
      <c r="F10" s="57">
        <f t="shared" si="0"/>
        <v>5306.0184090909079</v>
      </c>
      <c r="G10" s="58">
        <f>IFERROR(SUMIFS('Raw Data'!$R$2:$R$1001,'Raw Data'!$N$2:$N$1001,A10)/SUMIFS('Raw Data'!$P$2:$P$1001,'Raw Data'!$N$2:$N$1001,A10),0)</f>
        <v>-7.4635448336041466E-2</v>
      </c>
      <c r="H10" s="55">
        <f>RANK(D10,$D$4:$D$23,0)+COUNTIF($D$4:D10,D10)-1</f>
        <v>15</v>
      </c>
      <c r="I10" s="55" t="str">
        <f t="shared" si="1"/>
        <v>Low</v>
      </c>
      <c r="J10" s="58">
        <f t="shared" si="2"/>
        <v>4.6513742410858795E-2</v>
      </c>
      <c r="L10" s="55">
        <v>7</v>
      </c>
      <c r="M10" s="55" t="str">
        <f t="shared" si="3"/>
        <v>North-David</v>
      </c>
      <c r="N10" s="57">
        <f t="shared" si="4"/>
        <v>282539.27</v>
      </c>
      <c r="O10" s="58">
        <f t="shared" si="5"/>
        <v>5.6290962332747656E-2</v>
      </c>
      <c r="P10" s="58">
        <f>SUM($O$4:O10)</f>
        <v>0.41417543698921044</v>
      </c>
      <c r="Q10" s="55" t="str">
        <f t="shared" si="6"/>
        <v>A</v>
      </c>
      <c r="S10" s="55">
        <v>7</v>
      </c>
      <c r="T10" s="55" t="str">
        <f>INDEX('Raw Data'!$AG$2:$AG$1001,MATCH($S10,'Raw Data'!$AL$2:$AL$1001,0))</f>
        <v>EO-230414-0143</v>
      </c>
      <c r="U10" s="65">
        <f>INDEX('Raw Data'!$B$2:$B$1001,MATCH($S10,'Raw Data'!$AL$2:$AL$1001,0))</f>
        <v>45030</v>
      </c>
      <c r="V10" s="55" t="str">
        <f>INDEX('Raw Data'!$C$2:$C$1001,MATCH($S10,'Raw Data'!$AL$2:$AL$1001,0))</f>
        <v>Alice</v>
      </c>
      <c r="W10" s="55" t="str">
        <f>INDEX('Raw Data'!$D$2:$D$1001,MATCH($S10,'Raw Data'!$AL$2:$AL$1001,0))</f>
        <v>East</v>
      </c>
      <c r="X10" s="55" t="str">
        <f>INDEX('Raw Data'!$G$2:$G$1001,MATCH($S10,'Raw Data'!$AL$2:$AL$1001,0))</f>
        <v>Food</v>
      </c>
      <c r="Y10" s="55" t="str">
        <f>INDEX('Raw Data'!$M$2:$M$1001,MATCH($S10,'Raw Data'!$AL$2:$AL$1001,0))</f>
        <v>Online</v>
      </c>
      <c r="Z10" s="57">
        <f>INDEX('Raw Data'!$E$2:$E$1001,MATCH($S10,'Raw Data'!$AL$2:$AL$1001,0))</f>
        <v>9948.7099999999991</v>
      </c>
    </row>
    <row r="11" spans="1:26" x14ac:dyDescent="0.2">
      <c r="A11" s="55" t="s">
        <v>160</v>
      </c>
      <c r="B11" s="55" t="s">
        <v>64</v>
      </c>
      <c r="C11" s="55" t="s">
        <v>71</v>
      </c>
      <c r="D11" s="57">
        <f>SUMIFS('Raw Data'!$E$2:$E$1001,'Raw Data'!$N$2:$N$1001,A11)</f>
        <v>299789.01</v>
      </c>
      <c r="E11" s="55">
        <f>COUNTIFS('Raw Data'!$N$2:$N$1001,A11)</f>
        <v>55</v>
      </c>
      <c r="F11" s="57">
        <f t="shared" si="0"/>
        <v>5450.7092727272729</v>
      </c>
      <c r="G11" s="58">
        <f>IFERROR(SUMIFS('Raw Data'!$R$2:$R$1001,'Raw Data'!$N$2:$N$1001,A11)/SUMIFS('Raw Data'!$P$2:$P$1001,'Raw Data'!$N$2:$N$1001,A11),0)</f>
        <v>-5.1989203031848188E-2</v>
      </c>
      <c r="H11" s="55">
        <f>RANK(D11,$D$4:$D$23,0)+COUNTIF($D$4:D11,D11)-1</f>
        <v>4</v>
      </c>
      <c r="I11" s="55" t="str">
        <f t="shared" si="1"/>
        <v>High-Value</v>
      </c>
      <c r="J11" s="58">
        <f t="shared" si="2"/>
        <v>5.9727668545620963E-2</v>
      </c>
      <c r="L11" s="55">
        <v>8</v>
      </c>
      <c r="M11" s="55" t="str">
        <f t="shared" si="3"/>
        <v>West-David</v>
      </c>
      <c r="N11" s="57">
        <f t="shared" si="4"/>
        <v>263167.58999999997</v>
      </c>
      <c r="O11" s="58">
        <f t="shared" si="5"/>
        <v>5.2431497030094171E-2</v>
      </c>
      <c r="P11" s="58">
        <f>SUM($O$4:O11)</f>
        <v>0.46660693401930464</v>
      </c>
      <c r="Q11" s="55" t="str">
        <f t="shared" si="6"/>
        <v>A</v>
      </c>
      <c r="S11" s="55">
        <v>8</v>
      </c>
      <c r="T11" s="55" t="str">
        <f>INDEX('Raw Data'!$AG$2:$AG$1001,MATCH($S11,'Raw Data'!$AL$2:$AL$1001,0))</f>
        <v>WR-231019-0190</v>
      </c>
      <c r="U11" s="65">
        <f>INDEX('Raw Data'!$B$2:$B$1001,MATCH($S11,'Raw Data'!$AL$2:$AL$1001,0))</f>
        <v>45218</v>
      </c>
      <c r="V11" s="55" t="str">
        <f>INDEX('Raw Data'!$C$2:$C$1001,MATCH($S11,'Raw Data'!$AL$2:$AL$1001,0))</f>
        <v>Eve</v>
      </c>
      <c r="W11" s="55" t="str">
        <f>INDEX('Raw Data'!$D$2:$D$1001,MATCH($S11,'Raw Data'!$AL$2:$AL$1001,0))</f>
        <v>West</v>
      </c>
      <c r="X11" s="55" t="str">
        <f>INDEX('Raw Data'!$G$2:$G$1001,MATCH($S11,'Raw Data'!$AL$2:$AL$1001,0))</f>
        <v>Food</v>
      </c>
      <c r="Y11" s="55" t="str">
        <f>INDEX('Raw Data'!$M$2:$M$1001,MATCH($S11,'Raw Data'!$AL$2:$AL$1001,0))</f>
        <v>Retail</v>
      </c>
      <c r="Z11" s="57">
        <f>INDEX('Raw Data'!$E$2:$E$1001,MATCH($S11,'Raw Data'!$AL$2:$AL$1001,0))</f>
        <v>9933.2199999999993</v>
      </c>
    </row>
    <row r="12" spans="1:26" x14ac:dyDescent="0.2">
      <c r="A12" s="55" t="s">
        <v>152</v>
      </c>
      <c r="B12" s="55" t="s">
        <v>64</v>
      </c>
      <c r="C12" s="55" t="s">
        <v>76</v>
      </c>
      <c r="D12" s="57">
        <f>SUMIFS('Raw Data'!$E$2:$E$1001,'Raw Data'!$N$2:$N$1001,A12)</f>
        <v>282539.27</v>
      </c>
      <c r="E12" s="55">
        <f>COUNTIFS('Raw Data'!$N$2:$N$1001,A12)</f>
        <v>56</v>
      </c>
      <c r="F12" s="57">
        <f t="shared" si="0"/>
        <v>5045.3441071428579</v>
      </c>
      <c r="G12" s="58">
        <f>IFERROR(SUMIFS('Raw Data'!$R$2:$R$1001,'Raw Data'!$N$2:$N$1001,A12)/SUMIFS('Raw Data'!$P$2:$P$1001,'Raw Data'!$N$2:$N$1001,A12),0)</f>
        <v>-9.5243245156106021E-2</v>
      </c>
      <c r="H12" s="55">
        <f>RANK(D12,$D$4:$D$23,0)+COUNTIF($D$4:D12,D12)-1</f>
        <v>7</v>
      </c>
      <c r="I12" s="55" t="str">
        <f t="shared" si="1"/>
        <v>Mid</v>
      </c>
      <c r="J12" s="58">
        <f t="shared" si="2"/>
        <v>5.6290962332747656E-2</v>
      </c>
      <c r="L12" s="55">
        <v>9</v>
      </c>
      <c r="M12" s="55" t="str">
        <f t="shared" si="3"/>
        <v>East-Alice</v>
      </c>
      <c r="N12" s="57">
        <f t="shared" si="4"/>
        <v>260789.46999999994</v>
      </c>
      <c r="O12" s="58">
        <f t="shared" si="5"/>
        <v>5.1957698597250641E-2</v>
      </c>
      <c r="P12" s="58">
        <f>SUM($O$4:O12)</f>
        <v>0.51856463261655528</v>
      </c>
      <c r="Q12" s="55" t="str">
        <f t="shared" si="6"/>
        <v>A</v>
      </c>
      <c r="S12" s="55">
        <v>9</v>
      </c>
      <c r="T12" s="55" t="str">
        <f>INDEX('Raw Data'!$AG$2:$AG$1001,MATCH($S12,'Raw Data'!$AL$2:$AL$1001,0))</f>
        <v>SR-230922-0090</v>
      </c>
      <c r="U12" s="65">
        <f>INDEX('Raw Data'!$B$2:$B$1001,MATCH($S12,'Raw Data'!$AL$2:$AL$1001,0))</f>
        <v>45191</v>
      </c>
      <c r="V12" s="55" t="str">
        <f>INDEX('Raw Data'!$C$2:$C$1001,MATCH($S12,'Raw Data'!$AL$2:$AL$1001,0))</f>
        <v>David</v>
      </c>
      <c r="W12" s="55" t="str">
        <f>INDEX('Raw Data'!$D$2:$D$1001,MATCH($S12,'Raw Data'!$AL$2:$AL$1001,0))</f>
        <v>South</v>
      </c>
      <c r="X12" s="55" t="str">
        <f>INDEX('Raw Data'!$G$2:$G$1001,MATCH($S12,'Raw Data'!$AL$2:$AL$1001,0))</f>
        <v>Electronics</v>
      </c>
      <c r="Y12" s="55" t="str">
        <f>INDEX('Raw Data'!$M$2:$M$1001,MATCH($S12,'Raw Data'!$AL$2:$AL$1001,0))</f>
        <v>Retail</v>
      </c>
      <c r="Z12" s="57">
        <f>INDEX('Raw Data'!$E$2:$E$1001,MATCH($S12,'Raw Data'!$AL$2:$AL$1001,0))</f>
        <v>9914.15</v>
      </c>
    </row>
    <row r="13" spans="1:26" x14ac:dyDescent="0.2">
      <c r="A13" s="55" t="s">
        <v>148</v>
      </c>
      <c r="B13" s="55" t="s">
        <v>64</v>
      </c>
      <c r="C13" s="55" t="s">
        <v>79</v>
      </c>
      <c r="D13" s="57">
        <f>SUMIFS('Raw Data'!$E$2:$E$1001,'Raw Data'!$N$2:$N$1001,A13)</f>
        <v>304172.2</v>
      </c>
      <c r="E13" s="55">
        <f>COUNTIFS('Raw Data'!$N$2:$N$1001,A13)</f>
        <v>64</v>
      </c>
      <c r="F13" s="57">
        <f t="shared" si="0"/>
        <v>4752.6906250000002</v>
      </c>
      <c r="G13" s="58">
        <f>IFERROR(SUMIFS('Raw Data'!$R$2:$R$1001,'Raw Data'!$N$2:$N$1001,A13)/SUMIFS('Raw Data'!$P$2:$P$1001,'Raw Data'!$N$2:$N$1001,A13),0)</f>
        <v>-4.4670884710186043E-2</v>
      </c>
      <c r="H13" s="55">
        <f>RANK(D13,$D$4:$D$23,0)+COUNTIF($D$4:D13,D13)-1</f>
        <v>3</v>
      </c>
      <c r="I13" s="55" t="str">
        <f t="shared" si="1"/>
        <v>High-Value</v>
      </c>
      <c r="J13" s="58">
        <f t="shared" si="2"/>
        <v>6.0600941783664215E-2</v>
      </c>
      <c r="L13" s="55">
        <v>10</v>
      </c>
      <c r="M13" s="55" t="str">
        <f t="shared" si="3"/>
        <v>South-Bob</v>
      </c>
      <c r="N13" s="57">
        <f t="shared" si="4"/>
        <v>251200.43000000008</v>
      </c>
      <c r="O13" s="58">
        <f t="shared" si="5"/>
        <v>5.0047251637268045E-2</v>
      </c>
      <c r="P13" s="58">
        <f>SUM($O$4:O13)</f>
        <v>0.56861188425382336</v>
      </c>
      <c r="Q13" s="55" t="str">
        <f t="shared" si="6"/>
        <v>A</v>
      </c>
      <c r="S13" s="55">
        <v>10</v>
      </c>
      <c r="T13" s="55" t="str">
        <f>INDEX('Raw Data'!$AG$2:$AG$1001,MATCH($S13,'Raw Data'!$AL$2:$AL$1001,0))</f>
        <v>NO-231012-0785</v>
      </c>
      <c r="U13" s="65">
        <f>INDEX('Raw Data'!$B$2:$B$1001,MATCH($S13,'Raw Data'!$AL$2:$AL$1001,0))</f>
        <v>45211</v>
      </c>
      <c r="V13" s="55" t="str">
        <f>INDEX('Raw Data'!$C$2:$C$1001,MATCH($S13,'Raw Data'!$AL$2:$AL$1001,0))</f>
        <v>Charlie</v>
      </c>
      <c r="W13" s="55" t="str">
        <f>INDEX('Raw Data'!$D$2:$D$1001,MATCH($S13,'Raw Data'!$AL$2:$AL$1001,0))</f>
        <v>North</v>
      </c>
      <c r="X13" s="55" t="str">
        <f>INDEX('Raw Data'!$G$2:$G$1001,MATCH($S13,'Raw Data'!$AL$2:$AL$1001,0))</f>
        <v>Furniture</v>
      </c>
      <c r="Y13" s="55" t="str">
        <f>INDEX('Raw Data'!$M$2:$M$1001,MATCH($S13,'Raw Data'!$AL$2:$AL$1001,0))</f>
        <v>Online</v>
      </c>
      <c r="Z13" s="57">
        <f>INDEX('Raw Data'!$E$2:$E$1001,MATCH($S13,'Raw Data'!$AL$2:$AL$1001,0))</f>
        <v>9907.7199999999993</v>
      </c>
    </row>
    <row r="14" spans="1:26" x14ac:dyDescent="0.2">
      <c r="A14" s="55" t="s">
        <v>150</v>
      </c>
      <c r="B14" s="55" t="s">
        <v>69</v>
      </c>
      <c r="C14" s="55" t="s">
        <v>61</v>
      </c>
      <c r="D14" s="57">
        <f>SUMIFS('Raw Data'!$E$2:$E$1001,'Raw Data'!$N$2:$N$1001,A14)</f>
        <v>239414.53999999998</v>
      </c>
      <c r="E14" s="55">
        <f>COUNTIFS('Raw Data'!$N$2:$N$1001,A14)</f>
        <v>45</v>
      </c>
      <c r="F14" s="57">
        <f t="shared" si="0"/>
        <v>5320.3231111111108</v>
      </c>
      <c r="G14" s="58">
        <f>IFERROR(SUMIFS('Raw Data'!$R$2:$R$1001,'Raw Data'!$N$2:$N$1001,A14)/SUMIFS('Raw Data'!$P$2:$P$1001,'Raw Data'!$N$2:$N$1001,A14),0)</f>
        <v>-7.8566389732175418E-2</v>
      </c>
      <c r="H14" s="55">
        <f>RANK(D14,$D$4:$D$23,0)+COUNTIF($D$4:D14,D14)-1</f>
        <v>13</v>
      </c>
      <c r="I14" s="55" t="str">
        <f t="shared" si="1"/>
        <v>Low</v>
      </c>
      <c r="J14" s="58">
        <f t="shared" si="2"/>
        <v>4.7699121092271896E-2</v>
      </c>
      <c r="L14" s="55">
        <v>11</v>
      </c>
      <c r="M14" s="55" t="str">
        <f t="shared" si="3"/>
        <v>North-Alice</v>
      </c>
      <c r="N14" s="57">
        <f t="shared" si="4"/>
        <v>249647.22000000003</v>
      </c>
      <c r="O14" s="58">
        <f t="shared" si="5"/>
        <v>4.9737801961104972E-2</v>
      </c>
      <c r="P14" s="58">
        <f>SUM($O$4:O14)</f>
        <v>0.61834968621492836</v>
      </c>
      <c r="Q14" s="55" t="str">
        <f t="shared" si="6"/>
        <v>A</v>
      </c>
    </row>
    <row r="15" spans="1:26" x14ac:dyDescent="0.2">
      <c r="A15" s="55" t="s">
        <v>144</v>
      </c>
      <c r="B15" s="55" t="s">
        <v>69</v>
      </c>
      <c r="C15" s="55" t="s">
        <v>66</v>
      </c>
      <c r="D15" s="57">
        <f>SUMIFS('Raw Data'!$E$2:$E$1001,'Raw Data'!$N$2:$N$1001,A15)</f>
        <v>251200.43000000008</v>
      </c>
      <c r="E15" s="55">
        <f>COUNTIFS('Raw Data'!$N$2:$N$1001,A15)</f>
        <v>50</v>
      </c>
      <c r="F15" s="57">
        <f t="shared" si="0"/>
        <v>5024.0086000000019</v>
      </c>
      <c r="G15" s="58">
        <f>IFERROR(SUMIFS('Raw Data'!$R$2:$R$1001,'Raw Data'!$N$2:$N$1001,A15)/SUMIFS('Raw Data'!$P$2:$P$1001,'Raw Data'!$N$2:$N$1001,A15),0)</f>
        <v>-3.6569272924437457E-2</v>
      </c>
      <c r="H15" s="55">
        <f>RANK(D15,$D$4:$D$23,0)+COUNTIF($D$4:D15,D15)-1</f>
        <v>10</v>
      </c>
      <c r="I15" s="55" t="str">
        <f t="shared" si="1"/>
        <v>Mid</v>
      </c>
      <c r="J15" s="58">
        <f t="shared" si="2"/>
        <v>5.0047251637268045E-2</v>
      </c>
      <c r="L15" s="55">
        <v>12</v>
      </c>
      <c r="M15" s="55" t="str">
        <f t="shared" si="3"/>
        <v>West-Charlie</v>
      </c>
      <c r="N15" s="57">
        <f t="shared" si="4"/>
        <v>239708.85</v>
      </c>
      <c r="O15" s="58">
        <f t="shared" si="5"/>
        <v>4.7757757164787244E-2</v>
      </c>
      <c r="P15" s="58">
        <f>SUM($O$4:O15)</f>
        <v>0.66610744337971561</v>
      </c>
      <c r="Q15" s="55" t="str">
        <f t="shared" si="6"/>
        <v>A</v>
      </c>
    </row>
    <row r="16" spans="1:26" x14ac:dyDescent="0.2">
      <c r="A16" s="55" t="s">
        <v>151</v>
      </c>
      <c r="B16" s="55" t="s">
        <v>69</v>
      </c>
      <c r="C16" s="55" t="s">
        <v>71</v>
      </c>
      <c r="D16" s="57">
        <f>SUMIFS('Raw Data'!$E$2:$E$1001,'Raw Data'!$N$2:$N$1001,A16)</f>
        <v>156140.67999999996</v>
      </c>
      <c r="E16" s="55">
        <f>COUNTIFS('Raw Data'!$N$2:$N$1001,A16)</f>
        <v>32</v>
      </c>
      <c r="F16" s="57">
        <f t="shared" si="0"/>
        <v>4879.3962499999989</v>
      </c>
      <c r="G16" s="58">
        <f>IFERROR(SUMIFS('Raw Data'!$R$2:$R$1001,'Raw Data'!$N$2:$N$1001,A16)/SUMIFS('Raw Data'!$P$2:$P$1001,'Raw Data'!$N$2:$N$1001,A16),0)</f>
        <v>-5.0764610467756079E-2</v>
      </c>
      <c r="H16" s="55">
        <f>RANK(D16,$D$4:$D$23,0)+COUNTIF($D$4:D16,D16)-1</f>
        <v>20</v>
      </c>
      <c r="I16" s="55" t="str">
        <f t="shared" si="1"/>
        <v>Low</v>
      </c>
      <c r="J16" s="58">
        <f t="shared" si="2"/>
        <v>3.1108274387803163E-2</v>
      </c>
      <c r="L16" s="55">
        <v>13</v>
      </c>
      <c r="M16" s="55" t="str">
        <f t="shared" si="3"/>
        <v>South-Alice</v>
      </c>
      <c r="N16" s="57">
        <f t="shared" si="4"/>
        <v>239414.53999999998</v>
      </c>
      <c r="O16" s="58">
        <f t="shared" si="5"/>
        <v>4.7699121092271896E-2</v>
      </c>
      <c r="P16" s="58">
        <f>SUM($O$4:O16)</f>
        <v>0.71380656447198754</v>
      </c>
      <c r="Q16" s="55" t="str">
        <f t="shared" si="6"/>
        <v>A</v>
      </c>
    </row>
    <row r="17" spans="1:17" x14ac:dyDescent="0.2">
      <c r="A17" s="55" t="s">
        <v>142</v>
      </c>
      <c r="B17" s="55" t="s">
        <v>69</v>
      </c>
      <c r="C17" s="55" t="s">
        <v>76</v>
      </c>
      <c r="D17" s="57">
        <f>SUMIFS('Raw Data'!$E$2:$E$1001,'Raw Data'!$N$2:$N$1001,A17)</f>
        <v>311416.99000000005</v>
      </c>
      <c r="E17" s="55">
        <f>COUNTIFS('Raw Data'!$N$2:$N$1001,A17)</f>
        <v>56</v>
      </c>
      <c r="F17" s="57">
        <f t="shared" si="0"/>
        <v>5561.0176785714293</v>
      </c>
      <c r="G17" s="58">
        <f>IFERROR(SUMIFS('Raw Data'!$R$2:$R$1001,'Raw Data'!$N$2:$N$1001,A17)/SUMIFS('Raw Data'!$P$2:$P$1001,'Raw Data'!$N$2:$N$1001,A17),0)</f>
        <v>-7.0407377541006524E-2</v>
      </c>
      <c r="H17" s="55">
        <f>RANK(D17,$D$4:$D$23,0)+COUNTIF($D$4:D17,D17)-1</f>
        <v>1</v>
      </c>
      <c r="I17" s="55" t="str">
        <f t="shared" si="1"/>
        <v>High-Value</v>
      </c>
      <c r="J17" s="58">
        <f t="shared" si="2"/>
        <v>6.2044338310450274E-2</v>
      </c>
      <c r="L17" s="55">
        <v>14</v>
      </c>
      <c r="M17" s="55" t="str">
        <f t="shared" si="3"/>
        <v>East-Eve</v>
      </c>
      <c r="N17" s="57">
        <f t="shared" si="4"/>
        <v>239340.90000000002</v>
      </c>
      <c r="O17" s="58">
        <f t="shared" si="5"/>
        <v>4.7684449622121282E-2</v>
      </c>
      <c r="P17" s="58">
        <f>SUM($O$4:O17)</f>
        <v>0.7614910140941088</v>
      </c>
      <c r="Q17" s="55" t="str">
        <f t="shared" si="6"/>
        <v>A</v>
      </c>
    </row>
    <row r="18" spans="1:17" x14ac:dyDescent="0.2">
      <c r="A18" s="55" t="s">
        <v>147</v>
      </c>
      <c r="B18" s="55" t="s">
        <v>69</v>
      </c>
      <c r="C18" s="55" t="s">
        <v>79</v>
      </c>
      <c r="D18" s="57">
        <f>SUMIFS('Raw Data'!$E$2:$E$1001,'Raw Data'!$N$2:$N$1001,A18)</f>
        <v>196078.22000000006</v>
      </c>
      <c r="E18" s="55">
        <f>COUNTIFS('Raw Data'!$N$2:$N$1001,A18)</f>
        <v>43</v>
      </c>
      <c r="F18" s="57">
        <f t="shared" si="0"/>
        <v>4559.958604651164</v>
      </c>
      <c r="G18" s="58">
        <f>IFERROR(SUMIFS('Raw Data'!$R$2:$R$1001,'Raw Data'!$N$2:$N$1001,A18)/SUMIFS('Raw Data'!$P$2:$P$1001,'Raw Data'!$N$2:$N$1001,A18),0)</f>
        <v>-6.7276550568608276E-2</v>
      </c>
      <c r="H18" s="55">
        <f>RANK(D18,$D$4:$D$23,0)+COUNTIF($D$4:D18,D18)-1</f>
        <v>18</v>
      </c>
      <c r="I18" s="55" t="str">
        <f t="shared" si="1"/>
        <v>Low</v>
      </c>
      <c r="J18" s="58">
        <f t="shared" si="2"/>
        <v>3.9065124279156697E-2</v>
      </c>
      <c r="L18" s="55">
        <v>15</v>
      </c>
      <c r="M18" s="55" t="str">
        <f t="shared" si="3"/>
        <v>North-Bob</v>
      </c>
      <c r="N18" s="57">
        <f t="shared" si="4"/>
        <v>233464.80999999994</v>
      </c>
      <c r="O18" s="58">
        <f t="shared" si="5"/>
        <v>4.6513742410858795E-2</v>
      </c>
      <c r="P18" s="58">
        <f>SUM($O$4:O18)</f>
        <v>0.80800475650496761</v>
      </c>
      <c r="Q18" s="55" t="str">
        <f t="shared" si="6"/>
        <v>B</v>
      </c>
    </row>
    <row r="19" spans="1:17" x14ac:dyDescent="0.2">
      <c r="A19" s="55" t="s">
        <v>158</v>
      </c>
      <c r="B19" s="55" t="s">
        <v>74</v>
      </c>
      <c r="C19" s="55" t="s">
        <v>61</v>
      </c>
      <c r="D19" s="57">
        <f>SUMIFS('Raw Data'!$E$2:$E$1001,'Raw Data'!$N$2:$N$1001,A19)</f>
        <v>215690.53999999995</v>
      </c>
      <c r="E19" s="55">
        <f>COUNTIFS('Raw Data'!$N$2:$N$1001,A19)</f>
        <v>47</v>
      </c>
      <c r="F19" s="57">
        <f t="shared" si="0"/>
        <v>4589.1604255319135</v>
      </c>
      <c r="G19" s="58">
        <f>IFERROR(SUMIFS('Raw Data'!$R$2:$R$1001,'Raw Data'!$N$2:$N$1001,A19)/SUMIFS('Raw Data'!$P$2:$P$1001,'Raw Data'!$N$2:$N$1001,A19),0)</f>
        <v>-3.1362681307000193E-2</v>
      </c>
      <c r="H19" s="55">
        <f>RANK(D19,$D$4:$D$23,0)+COUNTIF($D$4:D19,D19)-1</f>
        <v>17</v>
      </c>
      <c r="I19" s="55" t="str">
        <f t="shared" si="1"/>
        <v>Low</v>
      </c>
      <c r="J19" s="58">
        <f t="shared" si="2"/>
        <v>4.2972532854176335E-2</v>
      </c>
      <c r="L19" s="55">
        <v>16</v>
      </c>
      <c r="M19" s="55" t="str">
        <f t="shared" si="3"/>
        <v>West-Eve</v>
      </c>
      <c r="N19" s="57">
        <f t="shared" si="4"/>
        <v>230592.67000000004</v>
      </c>
      <c r="O19" s="58">
        <f t="shared" si="5"/>
        <v>4.5941519213161808E-2</v>
      </c>
      <c r="P19" s="58">
        <f>SUM($O$4:O19)</f>
        <v>0.85394627571812942</v>
      </c>
      <c r="Q19" s="55" t="str">
        <f t="shared" si="6"/>
        <v>B</v>
      </c>
    </row>
    <row r="20" spans="1:17" x14ac:dyDescent="0.2">
      <c r="A20" s="55" t="s">
        <v>141</v>
      </c>
      <c r="B20" s="55" t="s">
        <v>74</v>
      </c>
      <c r="C20" s="55" t="s">
        <v>66</v>
      </c>
      <c r="D20" s="57">
        <f>SUMIFS('Raw Data'!$E$2:$E$1001,'Raw Data'!$N$2:$N$1001,A20)</f>
        <v>286449.27999999997</v>
      </c>
      <c r="E20" s="55">
        <f>COUNTIFS('Raw Data'!$N$2:$N$1001,A20)</f>
        <v>54</v>
      </c>
      <c r="F20" s="57">
        <f t="shared" si="0"/>
        <v>5304.6162962962953</v>
      </c>
      <c r="G20" s="58">
        <f>IFERROR(SUMIFS('Raw Data'!$R$2:$R$1001,'Raw Data'!$N$2:$N$1001,A20)/SUMIFS('Raw Data'!$P$2:$P$1001,'Raw Data'!$N$2:$N$1001,A20),0)</f>
        <v>-4.6356405137224464E-2</v>
      </c>
      <c r="H20" s="55">
        <f>RANK(D20,$D$4:$D$23,0)+COUNTIF($D$4:D20,D20)-1</f>
        <v>5</v>
      </c>
      <c r="I20" s="55" t="str">
        <f t="shared" si="1"/>
        <v>Mid</v>
      </c>
      <c r="J20" s="58">
        <f t="shared" si="2"/>
        <v>5.7069962808082159E-2</v>
      </c>
      <c r="L20" s="55">
        <v>17</v>
      </c>
      <c r="M20" s="55" t="str">
        <f t="shared" si="3"/>
        <v>West-Alice</v>
      </c>
      <c r="N20" s="57">
        <f t="shared" si="4"/>
        <v>215690.53999999995</v>
      </c>
      <c r="O20" s="58">
        <f t="shared" si="5"/>
        <v>4.2972532854176335E-2</v>
      </c>
      <c r="P20" s="58">
        <f>SUM($O$4:O20)</f>
        <v>0.89691880857230577</v>
      </c>
      <c r="Q20" s="55" t="str">
        <f t="shared" si="6"/>
        <v>B</v>
      </c>
    </row>
    <row r="21" spans="1:17" x14ac:dyDescent="0.2">
      <c r="A21" s="55" t="s">
        <v>146</v>
      </c>
      <c r="B21" s="55" t="s">
        <v>74</v>
      </c>
      <c r="C21" s="55" t="s">
        <v>71</v>
      </c>
      <c r="D21" s="57">
        <f>SUMIFS('Raw Data'!$E$2:$E$1001,'Raw Data'!$N$2:$N$1001,A21)</f>
        <v>239708.85</v>
      </c>
      <c r="E21" s="55">
        <f>COUNTIFS('Raw Data'!$N$2:$N$1001,A21)</f>
        <v>45</v>
      </c>
      <c r="F21" s="57">
        <f t="shared" si="0"/>
        <v>5326.8633333333337</v>
      </c>
      <c r="G21" s="58">
        <f>IFERROR(SUMIFS('Raw Data'!$R$2:$R$1001,'Raw Data'!$N$2:$N$1001,A21)/SUMIFS('Raw Data'!$P$2:$P$1001,'Raw Data'!$N$2:$N$1001,A21),0)</f>
        <v>-7.7525449497655441E-2</v>
      </c>
      <c r="H21" s="55">
        <f>RANK(D21,$D$4:$D$23,0)+COUNTIF($D$4:D21,D21)-1</f>
        <v>12</v>
      </c>
      <c r="I21" s="55" t="str">
        <f t="shared" si="1"/>
        <v>Low</v>
      </c>
      <c r="J21" s="58">
        <f t="shared" si="2"/>
        <v>4.7757757164787244E-2</v>
      </c>
      <c r="L21" s="55">
        <v>18</v>
      </c>
      <c r="M21" s="55" t="str">
        <f t="shared" si="3"/>
        <v>South-Eve</v>
      </c>
      <c r="N21" s="57">
        <f t="shared" si="4"/>
        <v>196078.22000000006</v>
      </c>
      <c r="O21" s="58">
        <f t="shared" si="5"/>
        <v>3.9065124279156697E-2</v>
      </c>
      <c r="P21" s="58">
        <f>SUM($O$4:O21)</f>
        <v>0.93598393285146242</v>
      </c>
      <c r="Q21" s="55" t="str">
        <f t="shared" si="6"/>
        <v>B</v>
      </c>
    </row>
    <row r="22" spans="1:17" x14ac:dyDescent="0.2">
      <c r="A22" s="55" t="s">
        <v>154</v>
      </c>
      <c r="B22" s="55" t="s">
        <v>74</v>
      </c>
      <c r="C22" s="55" t="s">
        <v>76</v>
      </c>
      <c r="D22" s="57">
        <f>SUMIFS('Raw Data'!$E$2:$E$1001,'Raw Data'!$N$2:$N$1001,A22)</f>
        <v>263167.58999999997</v>
      </c>
      <c r="E22" s="55">
        <f>COUNTIFS('Raw Data'!$N$2:$N$1001,A22)</f>
        <v>51</v>
      </c>
      <c r="F22" s="57">
        <f t="shared" si="0"/>
        <v>5160.1488235294109</v>
      </c>
      <c r="G22" s="58">
        <f>IFERROR(SUMIFS('Raw Data'!$R$2:$R$1001,'Raw Data'!$N$2:$N$1001,A22)/SUMIFS('Raw Data'!$P$2:$P$1001,'Raw Data'!$N$2:$N$1001,A22),0)</f>
        <v>-0.10824643668672498</v>
      </c>
      <c r="H22" s="55">
        <f>RANK(D22,$D$4:$D$23,0)+COUNTIF($D$4:D22,D22)-1</f>
        <v>8</v>
      </c>
      <c r="I22" s="55" t="str">
        <f t="shared" si="1"/>
        <v>Mid</v>
      </c>
      <c r="J22" s="58">
        <f t="shared" si="2"/>
        <v>5.2431497030094171E-2</v>
      </c>
      <c r="L22" s="55">
        <v>19</v>
      </c>
      <c r="M22" s="55" t="str">
        <f t="shared" si="3"/>
        <v>East-Charlie</v>
      </c>
      <c r="N22" s="57">
        <f t="shared" si="4"/>
        <v>165172.94</v>
      </c>
      <c r="O22" s="58">
        <f t="shared" si="5"/>
        <v>3.2907792760734418E-2</v>
      </c>
      <c r="P22" s="58">
        <f>SUM($O$4:O22)</f>
        <v>0.96889172561219683</v>
      </c>
      <c r="Q22" s="55" t="str">
        <f t="shared" si="6"/>
        <v>C</v>
      </c>
    </row>
    <row r="23" spans="1:17" x14ac:dyDescent="0.2">
      <c r="A23" s="55" t="s">
        <v>149</v>
      </c>
      <c r="B23" s="55" t="s">
        <v>74</v>
      </c>
      <c r="C23" s="55" t="s">
        <v>79</v>
      </c>
      <c r="D23" s="57">
        <f>SUMIFS('Raw Data'!$E$2:$E$1001,'Raw Data'!$N$2:$N$1001,A23)</f>
        <v>230592.67000000004</v>
      </c>
      <c r="E23" s="55">
        <f>COUNTIFS('Raw Data'!$N$2:$N$1001,A23)</f>
        <v>47</v>
      </c>
      <c r="F23" s="57">
        <f t="shared" si="0"/>
        <v>4906.227021276597</v>
      </c>
      <c r="G23" s="58">
        <f>IFERROR(SUMIFS('Raw Data'!$R$2:$R$1001,'Raw Data'!$N$2:$N$1001,A23)/SUMIFS('Raw Data'!$P$2:$P$1001,'Raw Data'!$N$2:$N$1001,A23),0)</f>
        <v>-9.143479336578858E-2</v>
      </c>
      <c r="H23" s="55">
        <f>RANK(D23,$D$4:$D$23,0)+COUNTIF($D$4:D23,D23)-1</f>
        <v>16</v>
      </c>
      <c r="I23" s="55" t="str">
        <f t="shared" si="1"/>
        <v>Low</v>
      </c>
      <c r="J23" s="58">
        <f t="shared" si="2"/>
        <v>4.5941519213161808E-2</v>
      </c>
      <c r="L23" s="55">
        <v>20</v>
      </c>
      <c r="M23" s="55" t="str">
        <f t="shared" si="3"/>
        <v>South-Charlie</v>
      </c>
      <c r="N23" s="57">
        <f t="shared" si="4"/>
        <v>156140.67999999996</v>
      </c>
      <c r="O23" s="58">
        <f t="shared" si="5"/>
        <v>3.1108274387803163E-2</v>
      </c>
      <c r="P23" s="58">
        <f>SUM($O$4:O23)</f>
        <v>1</v>
      </c>
      <c r="Q23" s="55" t="str">
        <f t="shared" si="6"/>
        <v>C</v>
      </c>
    </row>
    <row r="25" spans="1:17" x14ac:dyDescent="0.2">
      <c r="L25" s="16" t="s">
        <v>329</v>
      </c>
    </row>
  </sheetData>
  <conditionalFormatting sqref="D4:D23">
    <cfRule type="dataBar" priority="3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{353F39F5-43BC-49D0-96A0-536BD1ED861A}</x14:id>
        </ext>
      </extLst>
    </cfRule>
  </conditionalFormatting>
  <conditionalFormatting sqref="I4:I23">
    <cfRule type="cellIs" dxfId="2" priority="2" operator="equal">
      <formula>"High-Value"</formula>
    </cfRule>
  </conditionalFormatting>
  <conditionalFormatting sqref="N4:N23">
    <cfRule type="dataBar" priority="4">
      <dataBar>
        <cfvo type="num" val="0"/>
        <cfvo type="max"/>
        <color rgb="FF70AD47"/>
      </dataBar>
      <extLst>
        <ext xmlns:x14="http://schemas.microsoft.com/office/spreadsheetml/2009/9/main" uri="{B025F937-C7B1-47D3-B67F-A62EFF666E3E}">
          <x14:id>{9B2216F1-E1B0-4ABB-81E6-E0EDC0E11846}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3F39F5-43BC-49D0-96A0-536BD1ED861A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D4:D23</xm:sqref>
        </x14:conditionalFormatting>
        <x14:conditionalFormatting xmlns:xm="http://schemas.microsoft.com/office/excel/2006/main">
          <x14:cfRule type="dataBar" id="{9B2216F1-E1B0-4ABB-81E6-E0EDC0E11846}">
            <x14:dataBar axisPosition="none">
              <x14:cfvo type="num">
                <xm:f>0</xm:f>
              </x14:cfvo>
              <x14:cfvo type="max"/>
              <x14:negativeFillColor rgb="FF70AD47"/>
            </x14:dataBar>
          </x14:cfRule>
          <xm:sqref>N4:N23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</sheetPr>
  <dimension ref="A1:P10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13" customWidth="1"/>
    <col min="3" max="3" width="12" customWidth="1"/>
    <col min="4" max="4" width="15" customWidth="1"/>
    <col min="5" max="5" width="17" customWidth="1"/>
    <col min="6" max="6" width="15" customWidth="1"/>
    <col min="7" max="8" width="10" customWidth="1"/>
    <col min="9" max="9" width="5" customWidth="1"/>
    <col min="10" max="10" width="8" customWidth="1"/>
    <col min="11" max="11" width="26" customWidth="1"/>
    <col min="12" max="12" width="24" customWidth="1"/>
    <col min="13" max="13" width="18" customWidth="1"/>
    <col min="14" max="14" width="3" customWidth="1"/>
    <col min="15" max="15" width="38" customWidth="1"/>
    <col min="16" max="16" width="10" customWidth="1"/>
  </cols>
  <sheetData>
    <row r="1" spans="1:16" ht="20" x14ac:dyDescent="0.2">
      <c r="A1" s="15" t="s">
        <v>330</v>
      </c>
    </row>
    <row r="2" spans="1:16" x14ac:dyDescent="0.2">
      <c r="A2" s="16" t="s">
        <v>331</v>
      </c>
    </row>
    <row r="3" spans="1:16" ht="28" x14ac:dyDescent="0.2">
      <c r="A3" s="17" t="s">
        <v>105</v>
      </c>
      <c r="B3" s="17" t="s">
        <v>36</v>
      </c>
      <c r="C3" s="17" t="s">
        <v>33</v>
      </c>
      <c r="D3" s="17" t="s">
        <v>332</v>
      </c>
      <c r="E3" s="17" t="s">
        <v>333</v>
      </c>
      <c r="F3" s="17" t="s">
        <v>334</v>
      </c>
      <c r="G3" s="17" t="s">
        <v>335</v>
      </c>
      <c r="H3" s="17" t="s">
        <v>336</v>
      </c>
      <c r="J3" s="17" t="s">
        <v>337</v>
      </c>
      <c r="K3" s="17" t="s">
        <v>338</v>
      </c>
      <c r="L3" s="17" t="s">
        <v>339</v>
      </c>
      <c r="M3" s="17" t="s">
        <v>340</v>
      </c>
      <c r="O3" s="19" t="s">
        <v>341</v>
      </c>
    </row>
    <row r="4" spans="1:16" x14ac:dyDescent="0.2">
      <c r="A4" s="55">
        <v>1001</v>
      </c>
      <c r="B4" s="55">
        <f>COUNTIF('Raw Data'!$A$2:$A$1001,A4)</f>
        <v>16</v>
      </c>
      <c r="C4" s="57">
        <f>SUMIFS('Raw Data'!$E$2:$E$1001,'Raw Data'!$A$2:$A$1001,A4)</f>
        <v>81017.34</v>
      </c>
      <c r="D4" s="55">
        <f>(COUNTIFS('Raw Data'!$A$2:$A$1001,A4,'Raw Data'!$G$2:$G$1001,"Clothing")&gt;0)+(COUNTIFS('Raw Data'!$A$2:$A$1001,A4,'Raw Data'!$G$2:$G$1001,"Electronics")&gt;0)+(COUNTIFS('Raw Data'!$A$2:$A$1001,A4,'Raw Data'!$G$2:$G$1001,"Food")&gt;0)+(COUNTIFS('Raw Data'!$A$2:$A$1001,A4,'Raw Data'!$G$2:$G$1001,"Furniture")&gt;0)</f>
        <v>4</v>
      </c>
      <c r="E4" s="55">
        <f>COUNTIFS('Raw Data'!$A$2:$A$1001,A4,'Raw Data'!$G$2:$G$1001,"Electronics")</f>
        <v>5</v>
      </c>
      <c r="F4" s="55">
        <f>COUNTIFS('Raw Data'!$A$2:$A$1001,A4,'Raw Data'!$G$2:$G$1001,"Furniture")</f>
        <v>3</v>
      </c>
      <c r="G4" s="55">
        <f>IF(E4&gt;0,MAX(G$3:G3)+1,"")</f>
        <v>1</v>
      </c>
      <c r="H4" s="55">
        <f>IF(F4&gt;0,MAX(H$3:H3)+1,"")</f>
        <v>1</v>
      </c>
      <c r="J4" s="55">
        <v>1</v>
      </c>
      <c r="K4" s="55">
        <f t="shared" ref="K4:K35" si="0">IFERROR(INDEX($A$4:$A$103,MATCH(J4,$G$4:$G$103,0)),"")</f>
        <v>1001</v>
      </c>
      <c r="L4" s="55">
        <f t="shared" ref="L4:L35" si="1">IFERROR(INDEX($A$4:$A$103,MATCH(J4,$H$4:$H$103,0)),"")</f>
        <v>1001</v>
      </c>
      <c r="M4" s="55">
        <f t="shared" ref="M4:M35" si="2">IF(K4="","",IF(COUNTIF($L$4:$L$103,K4)&gt;0,K4,""))</f>
        <v>1001</v>
      </c>
      <c r="O4" s="39" t="s">
        <v>342</v>
      </c>
      <c r="P4" s="19">
        <f>MODE('Raw Data'!$A$2:$A$1001)</f>
        <v>1090</v>
      </c>
    </row>
    <row r="5" spans="1:16" x14ac:dyDescent="0.2">
      <c r="A5" s="55">
        <v>1002</v>
      </c>
      <c r="B5" s="55">
        <f>COUNTIF('Raw Data'!$A$2:$A$1001,A5)</f>
        <v>13</v>
      </c>
      <c r="C5" s="57">
        <f>SUMIFS('Raw Data'!$E$2:$E$1001,'Raw Data'!$A$2:$A$1001,A5)</f>
        <v>71841.309999999983</v>
      </c>
      <c r="D5" s="55">
        <f>(COUNTIFS('Raw Data'!$A$2:$A$1001,A5,'Raw Data'!$G$2:$G$1001,"Clothing")&gt;0)+(COUNTIFS('Raw Data'!$A$2:$A$1001,A5,'Raw Data'!$G$2:$G$1001,"Electronics")&gt;0)+(COUNTIFS('Raw Data'!$A$2:$A$1001,A5,'Raw Data'!$G$2:$G$1001,"Food")&gt;0)+(COUNTIFS('Raw Data'!$A$2:$A$1001,A5,'Raw Data'!$G$2:$G$1001,"Furniture")&gt;0)</f>
        <v>4</v>
      </c>
      <c r="E5" s="55">
        <f>COUNTIFS('Raw Data'!$A$2:$A$1001,A5,'Raw Data'!$G$2:$G$1001,"Electronics")</f>
        <v>1</v>
      </c>
      <c r="F5" s="55">
        <f>COUNTIFS('Raw Data'!$A$2:$A$1001,A5,'Raw Data'!$G$2:$G$1001,"Furniture")</f>
        <v>5</v>
      </c>
      <c r="G5" s="55">
        <f>IF(E5&gt;0,MAX(G$3:G4)+1,"")</f>
        <v>2</v>
      </c>
      <c r="H5" s="55">
        <f>IF(F5&gt;0,MAX(H$3:H4)+1,"")</f>
        <v>2</v>
      </c>
      <c r="J5" s="55">
        <v>2</v>
      </c>
      <c r="K5" s="55">
        <f t="shared" si="0"/>
        <v>1002</v>
      </c>
      <c r="L5" s="55">
        <f t="shared" si="1"/>
        <v>1002</v>
      </c>
      <c r="M5" s="55">
        <f t="shared" si="2"/>
        <v>1002</v>
      </c>
      <c r="O5" s="39" t="s">
        <v>343</v>
      </c>
      <c r="P5" s="19">
        <f>MAX(B4:B103)</f>
        <v>20</v>
      </c>
    </row>
    <row r="6" spans="1:16" x14ac:dyDescent="0.2">
      <c r="A6" s="55">
        <v>1003</v>
      </c>
      <c r="B6" s="55">
        <f>COUNTIF('Raw Data'!$A$2:$A$1001,A6)</f>
        <v>12</v>
      </c>
      <c r="C6" s="57">
        <f>SUMIFS('Raw Data'!$E$2:$E$1001,'Raw Data'!$A$2:$A$1001,A6)</f>
        <v>60462.999999999993</v>
      </c>
      <c r="D6" s="55">
        <f>(COUNTIFS('Raw Data'!$A$2:$A$1001,A6,'Raw Data'!$G$2:$G$1001,"Clothing")&gt;0)+(COUNTIFS('Raw Data'!$A$2:$A$1001,A6,'Raw Data'!$G$2:$G$1001,"Electronics")&gt;0)+(COUNTIFS('Raw Data'!$A$2:$A$1001,A6,'Raw Data'!$G$2:$G$1001,"Food")&gt;0)+(COUNTIFS('Raw Data'!$A$2:$A$1001,A6,'Raw Data'!$G$2:$G$1001,"Furniture")&gt;0)</f>
        <v>4</v>
      </c>
      <c r="E6" s="55">
        <f>COUNTIFS('Raw Data'!$A$2:$A$1001,A6,'Raw Data'!$G$2:$G$1001,"Electronics")</f>
        <v>3</v>
      </c>
      <c r="F6" s="55">
        <f>COUNTIFS('Raw Data'!$A$2:$A$1001,A6,'Raw Data'!$G$2:$G$1001,"Furniture")</f>
        <v>4</v>
      </c>
      <c r="G6" s="55">
        <f>IF(E6&gt;0,MAX(G$3:G5)+1,"")</f>
        <v>3</v>
      </c>
      <c r="H6" s="55">
        <f>IF(F6&gt;0,MAX(H$3:H5)+1,"")</f>
        <v>3</v>
      </c>
      <c r="J6" s="55">
        <v>3</v>
      </c>
      <c r="K6" s="55">
        <f t="shared" si="0"/>
        <v>1003</v>
      </c>
      <c r="L6" s="55">
        <f t="shared" si="1"/>
        <v>1003</v>
      </c>
      <c r="M6" s="55">
        <f t="shared" si="2"/>
        <v>1003</v>
      </c>
      <c r="O6" s="39" t="s">
        <v>344</v>
      </c>
      <c r="P6" s="19">
        <f>COUNT(K4:K103)</f>
        <v>88</v>
      </c>
    </row>
    <row r="7" spans="1:16" x14ac:dyDescent="0.2">
      <c r="A7" s="55">
        <v>1004</v>
      </c>
      <c r="B7" s="55">
        <f>COUNTIF('Raw Data'!$A$2:$A$1001,A7)</f>
        <v>11</v>
      </c>
      <c r="C7" s="57">
        <f>SUMIFS('Raw Data'!$E$2:$E$1001,'Raw Data'!$A$2:$A$1001,A7)</f>
        <v>70744.61</v>
      </c>
      <c r="D7" s="55">
        <f>(COUNTIFS('Raw Data'!$A$2:$A$1001,A7,'Raw Data'!$G$2:$G$1001,"Clothing")&gt;0)+(COUNTIFS('Raw Data'!$A$2:$A$1001,A7,'Raw Data'!$G$2:$G$1001,"Electronics")&gt;0)+(COUNTIFS('Raw Data'!$A$2:$A$1001,A7,'Raw Data'!$G$2:$G$1001,"Food")&gt;0)+(COUNTIFS('Raw Data'!$A$2:$A$1001,A7,'Raw Data'!$G$2:$G$1001,"Furniture")&gt;0)</f>
        <v>4</v>
      </c>
      <c r="E7" s="55">
        <f>COUNTIFS('Raw Data'!$A$2:$A$1001,A7,'Raw Data'!$G$2:$G$1001,"Electronics")</f>
        <v>2</v>
      </c>
      <c r="F7" s="55">
        <f>COUNTIFS('Raw Data'!$A$2:$A$1001,A7,'Raw Data'!$G$2:$G$1001,"Furniture")</f>
        <v>2</v>
      </c>
      <c r="G7" s="55">
        <f>IF(E7&gt;0,MAX(G$3:G6)+1,"")</f>
        <v>4</v>
      </c>
      <c r="H7" s="55">
        <f>IF(F7&gt;0,MAX(H$3:H6)+1,"")</f>
        <v>4</v>
      </c>
      <c r="J7" s="55">
        <v>4</v>
      </c>
      <c r="K7" s="55">
        <f t="shared" si="0"/>
        <v>1004</v>
      </c>
      <c r="L7" s="55">
        <f t="shared" si="1"/>
        <v>1004</v>
      </c>
      <c r="M7" s="55">
        <f t="shared" si="2"/>
        <v>1004</v>
      </c>
      <c r="O7" s="39" t="s">
        <v>345</v>
      </c>
      <c r="P7" s="19">
        <f>COUNT(L4:L103)</f>
        <v>91</v>
      </c>
    </row>
    <row r="8" spans="1:16" x14ac:dyDescent="0.2">
      <c r="A8" s="55">
        <v>1005</v>
      </c>
      <c r="B8" s="55">
        <f>COUNTIF('Raw Data'!$A$2:$A$1001,A8)</f>
        <v>11</v>
      </c>
      <c r="C8" s="57">
        <f>SUMIFS('Raw Data'!$E$2:$E$1001,'Raw Data'!$A$2:$A$1001,A8)</f>
        <v>48113.7</v>
      </c>
      <c r="D8" s="55">
        <f>(COUNTIFS('Raw Data'!$A$2:$A$1001,A8,'Raw Data'!$G$2:$G$1001,"Clothing")&gt;0)+(COUNTIFS('Raw Data'!$A$2:$A$1001,A8,'Raw Data'!$G$2:$G$1001,"Electronics")&gt;0)+(COUNTIFS('Raw Data'!$A$2:$A$1001,A8,'Raw Data'!$G$2:$G$1001,"Food")&gt;0)+(COUNTIFS('Raw Data'!$A$2:$A$1001,A8,'Raw Data'!$G$2:$G$1001,"Furniture")&gt;0)</f>
        <v>4</v>
      </c>
      <c r="E8" s="55">
        <f>COUNTIFS('Raw Data'!$A$2:$A$1001,A8,'Raw Data'!$G$2:$G$1001,"Electronics")</f>
        <v>2</v>
      </c>
      <c r="F8" s="55">
        <f>COUNTIFS('Raw Data'!$A$2:$A$1001,A8,'Raw Data'!$G$2:$G$1001,"Furniture")</f>
        <v>3</v>
      </c>
      <c r="G8" s="55">
        <f>IF(E8&gt;0,MAX(G$3:G7)+1,"")</f>
        <v>5</v>
      </c>
      <c r="H8" s="55">
        <f>IF(F8&gt;0,MAX(H$3:H7)+1,"")</f>
        <v>5</v>
      </c>
      <c r="J8" s="55">
        <v>5</v>
      </c>
      <c r="K8" s="55">
        <f t="shared" si="0"/>
        <v>1005</v>
      </c>
      <c r="L8" s="55">
        <f t="shared" si="1"/>
        <v>1005</v>
      </c>
      <c r="M8" s="55">
        <f t="shared" si="2"/>
        <v>1005</v>
      </c>
      <c r="O8" s="39" t="s">
        <v>346</v>
      </c>
      <c r="P8" s="19">
        <f>COUNT(M4:M103)</f>
        <v>80</v>
      </c>
    </row>
    <row r="9" spans="1:16" x14ac:dyDescent="0.2">
      <c r="A9" s="55">
        <v>1006</v>
      </c>
      <c r="B9" s="55">
        <f>COUNTIF('Raw Data'!$A$2:$A$1001,A9)</f>
        <v>8</v>
      </c>
      <c r="C9" s="57">
        <f>SUMIFS('Raw Data'!$E$2:$E$1001,'Raw Data'!$A$2:$A$1001,A9)</f>
        <v>37357.090000000004</v>
      </c>
      <c r="D9" s="55">
        <f>(COUNTIFS('Raw Data'!$A$2:$A$1001,A9,'Raw Data'!$G$2:$G$1001,"Clothing")&gt;0)+(COUNTIFS('Raw Data'!$A$2:$A$1001,A9,'Raw Data'!$G$2:$G$1001,"Electronics")&gt;0)+(COUNTIFS('Raw Data'!$A$2:$A$1001,A9,'Raw Data'!$G$2:$G$1001,"Food")&gt;0)+(COUNTIFS('Raw Data'!$A$2:$A$1001,A9,'Raw Data'!$G$2:$G$1001,"Furniture")&gt;0)</f>
        <v>4</v>
      </c>
      <c r="E9" s="55">
        <f>COUNTIFS('Raw Data'!$A$2:$A$1001,A9,'Raw Data'!$G$2:$G$1001,"Electronics")</f>
        <v>2</v>
      </c>
      <c r="F9" s="55">
        <f>COUNTIFS('Raw Data'!$A$2:$A$1001,A9,'Raw Data'!$G$2:$G$1001,"Furniture")</f>
        <v>1</v>
      </c>
      <c r="G9" s="55">
        <f>IF(E9&gt;0,MAX(G$3:G8)+1,"")</f>
        <v>6</v>
      </c>
      <c r="H9" s="55">
        <f>IF(F9&gt;0,MAX(H$3:H8)+1,"")</f>
        <v>6</v>
      </c>
      <c r="J9" s="55">
        <v>6</v>
      </c>
      <c r="K9" s="55">
        <f t="shared" si="0"/>
        <v>1006</v>
      </c>
      <c r="L9" s="55">
        <f t="shared" si="1"/>
        <v>1006</v>
      </c>
      <c r="M9" s="55">
        <f t="shared" si="2"/>
        <v>1006</v>
      </c>
      <c r="O9" s="39" t="s">
        <v>347</v>
      </c>
      <c r="P9" s="19">
        <f>COUNTIF(D4:D103,1)</f>
        <v>0</v>
      </c>
    </row>
    <row r="10" spans="1:16" x14ac:dyDescent="0.2">
      <c r="A10" s="55">
        <v>1007</v>
      </c>
      <c r="B10" s="55">
        <f>COUNTIF('Raw Data'!$A$2:$A$1001,A10)</f>
        <v>8</v>
      </c>
      <c r="C10" s="57">
        <f>SUMIFS('Raw Data'!$E$2:$E$1001,'Raw Data'!$A$2:$A$1001,A10)</f>
        <v>24419.759999999998</v>
      </c>
      <c r="D10" s="55">
        <f>(COUNTIFS('Raw Data'!$A$2:$A$1001,A10,'Raw Data'!$G$2:$G$1001,"Clothing")&gt;0)+(COUNTIFS('Raw Data'!$A$2:$A$1001,A10,'Raw Data'!$G$2:$G$1001,"Electronics")&gt;0)+(COUNTIFS('Raw Data'!$A$2:$A$1001,A10,'Raw Data'!$G$2:$G$1001,"Food")&gt;0)+(COUNTIFS('Raw Data'!$A$2:$A$1001,A10,'Raw Data'!$G$2:$G$1001,"Furniture")&gt;0)</f>
        <v>3</v>
      </c>
      <c r="E10" s="55">
        <f>COUNTIFS('Raw Data'!$A$2:$A$1001,A10,'Raw Data'!$G$2:$G$1001,"Electronics")</f>
        <v>0</v>
      </c>
      <c r="F10" s="55">
        <f>COUNTIFS('Raw Data'!$A$2:$A$1001,A10,'Raw Data'!$G$2:$G$1001,"Furniture")</f>
        <v>4</v>
      </c>
      <c r="G10" s="55" t="str">
        <f>IF(E10&gt;0,MAX(G$3:G9)+1,"")</f>
        <v/>
      </c>
      <c r="H10" s="55">
        <f>IF(F10&gt;0,MAX(H$3:H9)+1,"")</f>
        <v>7</v>
      </c>
      <c r="J10" s="55">
        <v>7</v>
      </c>
      <c r="K10" s="55">
        <f t="shared" si="0"/>
        <v>1008</v>
      </c>
      <c r="L10" s="55">
        <f t="shared" si="1"/>
        <v>1007</v>
      </c>
      <c r="M10" s="55">
        <f t="shared" si="2"/>
        <v>1008</v>
      </c>
      <c r="O10" s="39" t="s">
        <v>348</v>
      </c>
      <c r="P10" s="19">
        <f>COUNTIF(D4:D103,2)</f>
        <v>6</v>
      </c>
    </row>
    <row r="11" spans="1:16" x14ac:dyDescent="0.2">
      <c r="A11" s="55">
        <v>1008</v>
      </c>
      <c r="B11" s="55">
        <f>COUNTIF('Raw Data'!$A$2:$A$1001,A11)</f>
        <v>13</v>
      </c>
      <c r="C11" s="57">
        <f>SUMIFS('Raw Data'!$E$2:$E$1001,'Raw Data'!$A$2:$A$1001,A11)</f>
        <v>66573.72</v>
      </c>
      <c r="D11" s="55">
        <f>(COUNTIFS('Raw Data'!$A$2:$A$1001,A11,'Raw Data'!$G$2:$G$1001,"Clothing")&gt;0)+(COUNTIFS('Raw Data'!$A$2:$A$1001,A11,'Raw Data'!$G$2:$G$1001,"Electronics")&gt;0)+(COUNTIFS('Raw Data'!$A$2:$A$1001,A11,'Raw Data'!$G$2:$G$1001,"Food")&gt;0)+(COUNTIFS('Raw Data'!$A$2:$A$1001,A11,'Raw Data'!$G$2:$G$1001,"Furniture")&gt;0)</f>
        <v>4</v>
      </c>
      <c r="E11" s="55">
        <f>COUNTIFS('Raw Data'!$A$2:$A$1001,A11,'Raw Data'!$G$2:$G$1001,"Electronics")</f>
        <v>4</v>
      </c>
      <c r="F11" s="55">
        <f>COUNTIFS('Raw Data'!$A$2:$A$1001,A11,'Raw Data'!$G$2:$G$1001,"Furniture")</f>
        <v>2</v>
      </c>
      <c r="G11" s="55">
        <f>IF(E11&gt;0,MAX(G$3:G10)+1,"")</f>
        <v>7</v>
      </c>
      <c r="H11" s="55">
        <f>IF(F11&gt;0,MAX(H$3:H10)+1,"")</f>
        <v>8</v>
      </c>
      <c r="J11" s="55">
        <v>8</v>
      </c>
      <c r="K11" s="55">
        <f t="shared" si="0"/>
        <v>1011</v>
      </c>
      <c r="L11" s="55">
        <f t="shared" si="1"/>
        <v>1008</v>
      </c>
      <c r="M11" s="55">
        <f t="shared" si="2"/>
        <v>1011</v>
      </c>
      <c r="O11" s="39" t="s">
        <v>349</v>
      </c>
      <c r="P11" s="19">
        <f>COUNTIF(D4:D103,3)</f>
        <v>23</v>
      </c>
    </row>
    <row r="12" spans="1:16" x14ac:dyDescent="0.2">
      <c r="A12" s="55">
        <v>1009</v>
      </c>
      <c r="B12" s="55">
        <f>COUNTIF('Raw Data'!$A$2:$A$1001,A12)</f>
        <v>10</v>
      </c>
      <c r="C12" s="57">
        <f>SUMIFS('Raw Data'!$E$2:$E$1001,'Raw Data'!$A$2:$A$1001,A12)</f>
        <v>43834.350000000006</v>
      </c>
      <c r="D12" s="55">
        <f>(COUNTIFS('Raw Data'!$A$2:$A$1001,A12,'Raw Data'!$G$2:$G$1001,"Clothing")&gt;0)+(COUNTIFS('Raw Data'!$A$2:$A$1001,A12,'Raw Data'!$G$2:$G$1001,"Electronics")&gt;0)+(COUNTIFS('Raw Data'!$A$2:$A$1001,A12,'Raw Data'!$G$2:$G$1001,"Food")&gt;0)+(COUNTIFS('Raw Data'!$A$2:$A$1001,A12,'Raw Data'!$G$2:$G$1001,"Furniture")&gt;0)</f>
        <v>3</v>
      </c>
      <c r="E12" s="55">
        <f>COUNTIFS('Raw Data'!$A$2:$A$1001,A12,'Raw Data'!$G$2:$G$1001,"Electronics")</f>
        <v>0</v>
      </c>
      <c r="F12" s="55">
        <f>COUNTIFS('Raw Data'!$A$2:$A$1001,A12,'Raw Data'!$G$2:$G$1001,"Furniture")</f>
        <v>2</v>
      </c>
      <c r="G12" s="55" t="str">
        <f>IF(E12&gt;0,MAX(G$3:G11)+1,"")</f>
        <v/>
      </c>
      <c r="H12" s="55">
        <f>IF(F12&gt;0,MAX(H$3:H11)+1,"")</f>
        <v>9</v>
      </c>
      <c r="J12" s="55">
        <v>9</v>
      </c>
      <c r="K12" s="55">
        <f t="shared" si="0"/>
        <v>1012</v>
      </c>
      <c r="L12" s="55">
        <f t="shared" si="1"/>
        <v>1009</v>
      </c>
      <c r="M12" s="55">
        <f t="shared" si="2"/>
        <v>1012</v>
      </c>
      <c r="O12" s="39" t="s">
        <v>350</v>
      </c>
      <c r="P12" s="19">
        <f>COUNTIF(D4:D103,4)</f>
        <v>71</v>
      </c>
    </row>
    <row r="13" spans="1:16" x14ac:dyDescent="0.2">
      <c r="A13" s="55">
        <v>1010</v>
      </c>
      <c r="B13" s="55">
        <f>COUNTIF('Raw Data'!$A$2:$A$1001,A13)</f>
        <v>6</v>
      </c>
      <c r="C13" s="57">
        <f>SUMIFS('Raw Data'!$E$2:$E$1001,'Raw Data'!$A$2:$A$1001,A13)</f>
        <v>30228.93</v>
      </c>
      <c r="D13" s="55">
        <f>(COUNTIFS('Raw Data'!$A$2:$A$1001,A13,'Raw Data'!$G$2:$G$1001,"Clothing")&gt;0)+(COUNTIFS('Raw Data'!$A$2:$A$1001,A13,'Raw Data'!$G$2:$G$1001,"Electronics")&gt;0)+(COUNTIFS('Raw Data'!$A$2:$A$1001,A13,'Raw Data'!$G$2:$G$1001,"Food")&gt;0)+(COUNTIFS('Raw Data'!$A$2:$A$1001,A13,'Raw Data'!$G$2:$G$1001,"Furniture")&gt;0)</f>
        <v>3</v>
      </c>
      <c r="E13" s="55">
        <f>COUNTIFS('Raw Data'!$A$2:$A$1001,A13,'Raw Data'!$G$2:$G$1001,"Electronics")</f>
        <v>0</v>
      </c>
      <c r="F13" s="55">
        <f>COUNTIFS('Raw Data'!$A$2:$A$1001,A13,'Raw Data'!$G$2:$G$1001,"Furniture")</f>
        <v>2</v>
      </c>
      <c r="G13" s="55" t="str">
        <f>IF(E13&gt;0,MAX(G$3:G12)+1,"")</f>
        <v/>
      </c>
      <c r="H13" s="55">
        <f>IF(F13&gt;0,MAX(H$3:H12)+1,"")</f>
        <v>10</v>
      </c>
      <c r="J13" s="55">
        <v>10</v>
      </c>
      <c r="K13" s="55">
        <f t="shared" si="0"/>
        <v>1013</v>
      </c>
      <c r="L13" s="55">
        <f t="shared" si="1"/>
        <v>1010</v>
      </c>
      <c r="M13" s="55">
        <f t="shared" si="2"/>
        <v>1013</v>
      </c>
      <c r="O13" s="39" t="s">
        <v>351</v>
      </c>
      <c r="P13" s="19">
        <f>COUNTIF(B4:B103,"&gt;1")</f>
        <v>100</v>
      </c>
    </row>
    <row r="14" spans="1:16" x14ac:dyDescent="0.2">
      <c r="A14" s="55">
        <v>1011</v>
      </c>
      <c r="B14" s="55">
        <f>COUNTIF('Raw Data'!$A$2:$A$1001,A14)</f>
        <v>4</v>
      </c>
      <c r="C14" s="57">
        <f>SUMIFS('Raw Data'!$E$2:$E$1001,'Raw Data'!$A$2:$A$1001,A14)</f>
        <v>19099.43</v>
      </c>
      <c r="D14" s="55">
        <f>(COUNTIFS('Raw Data'!$A$2:$A$1001,A14,'Raw Data'!$G$2:$G$1001,"Clothing")&gt;0)+(COUNTIFS('Raw Data'!$A$2:$A$1001,A14,'Raw Data'!$G$2:$G$1001,"Electronics")&gt;0)+(COUNTIFS('Raw Data'!$A$2:$A$1001,A14,'Raw Data'!$G$2:$G$1001,"Food")&gt;0)+(COUNTIFS('Raw Data'!$A$2:$A$1001,A14,'Raw Data'!$G$2:$G$1001,"Furniture")&gt;0)</f>
        <v>2</v>
      </c>
      <c r="E14" s="55">
        <f>COUNTIFS('Raw Data'!$A$2:$A$1001,A14,'Raw Data'!$G$2:$G$1001,"Electronics")</f>
        <v>2</v>
      </c>
      <c r="F14" s="55">
        <f>COUNTIFS('Raw Data'!$A$2:$A$1001,A14,'Raw Data'!$G$2:$G$1001,"Furniture")</f>
        <v>2</v>
      </c>
      <c r="G14" s="55">
        <f>IF(E14&gt;0,MAX(G$3:G13)+1,"")</f>
        <v>8</v>
      </c>
      <c r="H14" s="55">
        <f>IF(F14&gt;0,MAX(H$3:H13)+1,"")</f>
        <v>11</v>
      </c>
      <c r="J14" s="55">
        <v>11</v>
      </c>
      <c r="K14" s="55">
        <f t="shared" si="0"/>
        <v>1014</v>
      </c>
      <c r="L14" s="55">
        <f t="shared" si="1"/>
        <v>1011</v>
      </c>
      <c r="M14" s="55">
        <f t="shared" si="2"/>
        <v>1014</v>
      </c>
    </row>
    <row r="15" spans="1:16" x14ac:dyDescent="0.2">
      <c r="A15" s="55">
        <v>1012</v>
      </c>
      <c r="B15" s="55">
        <f>COUNTIF('Raw Data'!$A$2:$A$1001,A15)</f>
        <v>13</v>
      </c>
      <c r="C15" s="57">
        <f>SUMIFS('Raw Data'!$E$2:$E$1001,'Raw Data'!$A$2:$A$1001,A15)</f>
        <v>61964.990000000005</v>
      </c>
      <c r="D15" s="55">
        <f>(COUNTIFS('Raw Data'!$A$2:$A$1001,A15,'Raw Data'!$G$2:$G$1001,"Clothing")&gt;0)+(COUNTIFS('Raw Data'!$A$2:$A$1001,A15,'Raw Data'!$G$2:$G$1001,"Electronics")&gt;0)+(COUNTIFS('Raw Data'!$A$2:$A$1001,A15,'Raw Data'!$G$2:$G$1001,"Food")&gt;0)+(COUNTIFS('Raw Data'!$A$2:$A$1001,A15,'Raw Data'!$G$2:$G$1001,"Furniture")&gt;0)</f>
        <v>4</v>
      </c>
      <c r="E15" s="55">
        <f>COUNTIFS('Raw Data'!$A$2:$A$1001,A15,'Raw Data'!$G$2:$G$1001,"Electronics")</f>
        <v>4</v>
      </c>
      <c r="F15" s="55">
        <f>COUNTIFS('Raw Data'!$A$2:$A$1001,A15,'Raw Data'!$G$2:$G$1001,"Furniture")</f>
        <v>3</v>
      </c>
      <c r="G15" s="55">
        <f>IF(E15&gt;0,MAX(G$3:G14)+1,"")</f>
        <v>9</v>
      </c>
      <c r="H15" s="55">
        <f>IF(F15&gt;0,MAX(H$3:H14)+1,"")</f>
        <v>12</v>
      </c>
      <c r="J15" s="55">
        <v>12</v>
      </c>
      <c r="K15" s="55">
        <f t="shared" si="0"/>
        <v>1015</v>
      </c>
      <c r="L15" s="55">
        <f t="shared" si="1"/>
        <v>1012</v>
      </c>
      <c r="M15" s="55">
        <f t="shared" si="2"/>
        <v>1015</v>
      </c>
    </row>
    <row r="16" spans="1:16" x14ac:dyDescent="0.2">
      <c r="A16" s="55">
        <v>1013</v>
      </c>
      <c r="B16" s="55">
        <f>COUNTIF('Raw Data'!$A$2:$A$1001,A16)</f>
        <v>10</v>
      </c>
      <c r="C16" s="57">
        <f>SUMIFS('Raw Data'!$E$2:$E$1001,'Raw Data'!$A$2:$A$1001,A16)</f>
        <v>58767.51</v>
      </c>
      <c r="D16" s="55">
        <f>(COUNTIFS('Raw Data'!$A$2:$A$1001,A16,'Raw Data'!$G$2:$G$1001,"Clothing")&gt;0)+(COUNTIFS('Raw Data'!$A$2:$A$1001,A16,'Raw Data'!$G$2:$G$1001,"Electronics")&gt;0)+(COUNTIFS('Raw Data'!$A$2:$A$1001,A16,'Raw Data'!$G$2:$G$1001,"Food")&gt;0)+(COUNTIFS('Raw Data'!$A$2:$A$1001,A16,'Raw Data'!$G$2:$G$1001,"Furniture")&gt;0)</f>
        <v>4</v>
      </c>
      <c r="E16" s="55">
        <f>COUNTIFS('Raw Data'!$A$2:$A$1001,A16,'Raw Data'!$G$2:$G$1001,"Electronics")</f>
        <v>3</v>
      </c>
      <c r="F16" s="55">
        <f>COUNTIFS('Raw Data'!$A$2:$A$1001,A16,'Raw Data'!$G$2:$G$1001,"Furniture")</f>
        <v>3</v>
      </c>
      <c r="G16" s="55">
        <f>IF(E16&gt;0,MAX(G$3:G15)+1,"")</f>
        <v>10</v>
      </c>
      <c r="H16" s="55">
        <f>IF(F16&gt;0,MAX(H$3:H15)+1,"")</f>
        <v>13</v>
      </c>
      <c r="J16" s="55">
        <v>13</v>
      </c>
      <c r="K16" s="55">
        <f t="shared" si="0"/>
        <v>1016</v>
      </c>
      <c r="L16" s="55">
        <f t="shared" si="1"/>
        <v>1013</v>
      </c>
      <c r="M16" s="55">
        <f t="shared" si="2"/>
        <v>1016</v>
      </c>
    </row>
    <row r="17" spans="1:13" x14ac:dyDescent="0.2">
      <c r="A17" s="55">
        <v>1014</v>
      </c>
      <c r="B17" s="55">
        <f>COUNTIF('Raw Data'!$A$2:$A$1001,A17)</f>
        <v>10</v>
      </c>
      <c r="C17" s="57">
        <f>SUMIFS('Raw Data'!$E$2:$E$1001,'Raw Data'!$A$2:$A$1001,A17)</f>
        <v>59633.149999999994</v>
      </c>
      <c r="D17" s="55">
        <f>(COUNTIFS('Raw Data'!$A$2:$A$1001,A17,'Raw Data'!$G$2:$G$1001,"Clothing")&gt;0)+(COUNTIFS('Raw Data'!$A$2:$A$1001,A17,'Raw Data'!$G$2:$G$1001,"Electronics")&gt;0)+(COUNTIFS('Raw Data'!$A$2:$A$1001,A17,'Raw Data'!$G$2:$G$1001,"Food")&gt;0)+(COUNTIFS('Raw Data'!$A$2:$A$1001,A17,'Raw Data'!$G$2:$G$1001,"Furniture")&gt;0)</f>
        <v>4</v>
      </c>
      <c r="E17" s="55">
        <f>COUNTIFS('Raw Data'!$A$2:$A$1001,A17,'Raw Data'!$G$2:$G$1001,"Electronics")</f>
        <v>2</v>
      </c>
      <c r="F17" s="55">
        <f>COUNTIFS('Raw Data'!$A$2:$A$1001,A17,'Raw Data'!$G$2:$G$1001,"Furniture")</f>
        <v>4</v>
      </c>
      <c r="G17" s="55">
        <f>IF(E17&gt;0,MAX(G$3:G16)+1,"")</f>
        <v>11</v>
      </c>
      <c r="H17" s="55">
        <f>IF(F17&gt;0,MAX(H$3:H16)+1,"")</f>
        <v>14</v>
      </c>
      <c r="J17" s="55">
        <v>14</v>
      </c>
      <c r="K17" s="55">
        <f t="shared" si="0"/>
        <v>1017</v>
      </c>
      <c r="L17" s="55">
        <f t="shared" si="1"/>
        <v>1014</v>
      </c>
      <c r="M17" s="55">
        <f t="shared" si="2"/>
        <v>1017</v>
      </c>
    </row>
    <row r="18" spans="1:13" x14ac:dyDescent="0.2">
      <c r="A18" s="55">
        <v>1015</v>
      </c>
      <c r="B18" s="55">
        <f>COUNTIF('Raw Data'!$A$2:$A$1001,A18)</f>
        <v>10</v>
      </c>
      <c r="C18" s="57">
        <f>SUMIFS('Raw Data'!$E$2:$E$1001,'Raw Data'!$A$2:$A$1001,A18)</f>
        <v>42424.3</v>
      </c>
      <c r="D18" s="55">
        <f>(COUNTIFS('Raw Data'!$A$2:$A$1001,A18,'Raw Data'!$G$2:$G$1001,"Clothing")&gt;0)+(COUNTIFS('Raw Data'!$A$2:$A$1001,A18,'Raw Data'!$G$2:$G$1001,"Electronics")&gt;0)+(COUNTIFS('Raw Data'!$A$2:$A$1001,A18,'Raw Data'!$G$2:$G$1001,"Food")&gt;0)+(COUNTIFS('Raw Data'!$A$2:$A$1001,A18,'Raw Data'!$G$2:$G$1001,"Furniture")&gt;0)</f>
        <v>4</v>
      </c>
      <c r="E18" s="55">
        <f>COUNTIFS('Raw Data'!$A$2:$A$1001,A18,'Raw Data'!$G$2:$G$1001,"Electronics")</f>
        <v>3</v>
      </c>
      <c r="F18" s="55">
        <f>COUNTIFS('Raw Data'!$A$2:$A$1001,A18,'Raw Data'!$G$2:$G$1001,"Furniture")</f>
        <v>2</v>
      </c>
      <c r="G18" s="55">
        <f>IF(E18&gt;0,MAX(G$3:G17)+1,"")</f>
        <v>12</v>
      </c>
      <c r="H18" s="55">
        <f>IF(F18&gt;0,MAX(H$3:H17)+1,"")</f>
        <v>15</v>
      </c>
      <c r="J18" s="55">
        <v>15</v>
      </c>
      <c r="K18" s="55">
        <f t="shared" si="0"/>
        <v>1018</v>
      </c>
      <c r="L18" s="55">
        <f t="shared" si="1"/>
        <v>1015</v>
      </c>
      <c r="M18" s="55">
        <f t="shared" si="2"/>
        <v>1018</v>
      </c>
    </row>
    <row r="19" spans="1:13" x14ac:dyDescent="0.2">
      <c r="A19" s="55">
        <v>1016</v>
      </c>
      <c r="B19" s="55">
        <f>COUNTIF('Raw Data'!$A$2:$A$1001,A19)</f>
        <v>13</v>
      </c>
      <c r="C19" s="57">
        <f>SUMIFS('Raw Data'!$E$2:$E$1001,'Raw Data'!$A$2:$A$1001,A19)</f>
        <v>63956.44</v>
      </c>
      <c r="D19" s="55">
        <f>(COUNTIFS('Raw Data'!$A$2:$A$1001,A19,'Raw Data'!$G$2:$G$1001,"Clothing")&gt;0)+(COUNTIFS('Raw Data'!$A$2:$A$1001,A19,'Raw Data'!$G$2:$G$1001,"Electronics")&gt;0)+(COUNTIFS('Raw Data'!$A$2:$A$1001,A19,'Raw Data'!$G$2:$G$1001,"Food")&gt;0)+(COUNTIFS('Raw Data'!$A$2:$A$1001,A19,'Raw Data'!$G$2:$G$1001,"Furniture")&gt;0)</f>
        <v>4</v>
      </c>
      <c r="E19" s="55">
        <f>COUNTIFS('Raw Data'!$A$2:$A$1001,A19,'Raw Data'!$G$2:$G$1001,"Electronics")</f>
        <v>5</v>
      </c>
      <c r="F19" s="55">
        <f>COUNTIFS('Raw Data'!$A$2:$A$1001,A19,'Raw Data'!$G$2:$G$1001,"Furniture")</f>
        <v>3</v>
      </c>
      <c r="G19" s="55">
        <f>IF(E19&gt;0,MAX(G$3:G18)+1,"")</f>
        <v>13</v>
      </c>
      <c r="H19" s="55">
        <f>IF(F19&gt;0,MAX(H$3:H18)+1,"")</f>
        <v>16</v>
      </c>
      <c r="J19" s="55">
        <v>16</v>
      </c>
      <c r="K19" s="55">
        <f t="shared" si="0"/>
        <v>1019</v>
      </c>
      <c r="L19" s="55">
        <f t="shared" si="1"/>
        <v>1016</v>
      </c>
      <c r="M19" s="55">
        <f t="shared" si="2"/>
        <v>1019</v>
      </c>
    </row>
    <row r="20" spans="1:13" x14ac:dyDescent="0.2">
      <c r="A20" s="55">
        <v>1017</v>
      </c>
      <c r="B20" s="55">
        <f>COUNTIF('Raw Data'!$A$2:$A$1001,A20)</f>
        <v>15</v>
      </c>
      <c r="C20" s="57">
        <f>SUMIFS('Raw Data'!$E$2:$E$1001,'Raw Data'!$A$2:$A$1001,A20)</f>
        <v>55854.55</v>
      </c>
      <c r="D20" s="55">
        <f>(COUNTIFS('Raw Data'!$A$2:$A$1001,A20,'Raw Data'!$G$2:$G$1001,"Clothing")&gt;0)+(COUNTIFS('Raw Data'!$A$2:$A$1001,A20,'Raw Data'!$G$2:$G$1001,"Electronics")&gt;0)+(COUNTIFS('Raw Data'!$A$2:$A$1001,A20,'Raw Data'!$G$2:$G$1001,"Food")&gt;0)+(COUNTIFS('Raw Data'!$A$2:$A$1001,A20,'Raw Data'!$G$2:$G$1001,"Furniture")&gt;0)</f>
        <v>4</v>
      </c>
      <c r="E20" s="55">
        <f>COUNTIFS('Raw Data'!$A$2:$A$1001,A20,'Raw Data'!$G$2:$G$1001,"Electronics")</f>
        <v>4</v>
      </c>
      <c r="F20" s="55">
        <f>COUNTIFS('Raw Data'!$A$2:$A$1001,A20,'Raw Data'!$G$2:$G$1001,"Furniture")</f>
        <v>6</v>
      </c>
      <c r="G20" s="55">
        <f>IF(E20&gt;0,MAX(G$3:G19)+1,"")</f>
        <v>14</v>
      </c>
      <c r="H20" s="55">
        <f>IF(F20&gt;0,MAX(H$3:H19)+1,"")</f>
        <v>17</v>
      </c>
      <c r="J20" s="55">
        <v>17</v>
      </c>
      <c r="K20" s="55">
        <f t="shared" si="0"/>
        <v>1020</v>
      </c>
      <c r="L20" s="55">
        <f t="shared" si="1"/>
        <v>1017</v>
      </c>
      <c r="M20" s="55">
        <f t="shared" si="2"/>
        <v>1020</v>
      </c>
    </row>
    <row r="21" spans="1:13" x14ac:dyDescent="0.2">
      <c r="A21" s="55">
        <v>1018</v>
      </c>
      <c r="B21" s="55">
        <f>COUNTIF('Raw Data'!$A$2:$A$1001,A21)</f>
        <v>9</v>
      </c>
      <c r="C21" s="57">
        <f>SUMIFS('Raw Data'!$E$2:$E$1001,'Raw Data'!$A$2:$A$1001,A21)</f>
        <v>43906.17</v>
      </c>
      <c r="D21" s="55">
        <f>(COUNTIFS('Raw Data'!$A$2:$A$1001,A21,'Raw Data'!$G$2:$G$1001,"Clothing")&gt;0)+(COUNTIFS('Raw Data'!$A$2:$A$1001,A21,'Raw Data'!$G$2:$G$1001,"Electronics")&gt;0)+(COUNTIFS('Raw Data'!$A$2:$A$1001,A21,'Raw Data'!$G$2:$G$1001,"Food")&gt;0)+(COUNTIFS('Raw Data'!$A$2:$A$1001,A21,'Raw Data'!$G$2:$G$1001,"Furniture")&gt;0)</f>
        <v>4</v>
      </c>
      <c r="E21" s="55">
        <f>COUNTIFS('Raw Data'!$A$2:$A$1001,A21,'Raw Data'!$G$2:$G$1001,"Electronics")</f>
        <v>3</v>
      </c>
      <c r="F21" s="55">
        <f>COUNTIFS('Raw Data'!$A$2:$A$1001,A21,'Raw Data'!$G$2:$G$1001,"Furniture")</f>
        <v>2</v>
      </c>
      <c r="G21" s="55">
        <f>IF(E21&gt;0,MAX(G$3:G20)+1,"")</f>
        <v>15</v>
      </c>
      <c r="H21" s="55">
        <f>IF(F21&gt;0,MAX(H$3:H20)+1,"")</f>
        <v>18</v>
      </c>
      <c r="J21" s="55">
        <v>18</v>
      </c>
      <c r="K21" s="55">
        <f t="shared" si="0"/>
        <v>1021</v>
      </c>
      <c r="L21" s="55">
        <f t="shared" si="1"/>
        <v>1018</v>
      </c>
      <c r="M21" s="55">
        <f t="shared" si="2"/>
        <v>1021</v>
      </c>
    </row>
    <row r="22" spans="1:13" x14ac:dyDescent="0.2">
      <c r="A22" s="55">
        <v>1019</v>
      </c>
      <c r="B22" s="55">
        <f>COUNTIF('Raw Data'!$A$2:$A$1001,A22)</f>
        <v>14</v>
      </c>
      <c r="C22" s="57">
        <f>SUMIFS('Raw Data'!$E$2:$E$1001,'Raw Data'!$A$2:$A$1001,A22)</f>
        <v>69845.789999999994</v>
      </c>
      <c r="D22" s="55">
        <f>(COUNTIFS('Raw Data'!$A$2:$A$1001,A22,'Raw Data'!$G$2:$G$1001,"Clothing")&gt;0)+(COUNTIFS('Raw Data'!$A$2:$A$1001,A22,'Raw Data'!$G$2:$G$1001,"Electronics")&gt;0)+(COUNTIFS('Raw Data'!$A$2:$A$1001,A22,'Raw Data'!$G$2:$G$1001,"Food")&gt;0)+(COUNTIFS('Raw Data'!$A$2:$A$1001,A22,'Raw Data'!$G$2:$G$1001,"Furniture")&gt;0)</f>
        <v>4</v>
      </c>
      <c r="E22" s="55">
        <f>COUNTIFS('Raw Data'!$A$2:$A$1001,A22,'Raw Data'!$G$2:$G$1001,"Electronics")</f>
        <v>2</v>
      </c>
      <c r="F22" s="55">
        <f>COUNTIFS('Raw Data'!$A$2:$A$1001,A22,'Raw Data'!$G$2:$G$1001,"Furniture")</f>
        <v>2</v>
      </c>
      <c r="G22" s="55">
        <f>IF(E22&gt;0,MAX(G$3:G21)+1,"")</f>
        <v>16</v>
      </c>
      <c r="H22" s="55">
        <f>IF(F22&gt;0,MAX(H$3:H21)+1,"")</f>
        <v>19</v>
      </c>
      <c r="J22" s="55">
        <v>19</v>
      </c>
      <c r="K22" s="55">
        <f t="shared" si="0"/>
        <v>1022</v>
      </c>
      <c r="L22" s="55">
        <f t="shared" si="1"/>
        <v>1019</v>
      </c>
      <c r="M22" s="55">
        <f t="shared" si="2"/>
        <v>1022</v>
      </c>
    </row>
    <row r="23" spans="1:13" x14ac:dyDescent="0.2">
      <c r="A23" s="55">
        <v>1020</v>
      </c>
      <c r="B23" s="55">
        <f>COUNTIF('Raw Data'!$A$2:$A$1001,A23)</f>
        <v>7</v>
      </c>
      <c r="C23" s="57">
        <f>SUMIFS('Raw Data'!$E$2:$E$1001,'Raw Data'!$A$2:$A$1001,A23)</f>
        <v>49603.159999999996</v>
      </c>
      <c r="D23" s="55">
        <f>(COUNTIFS('Raw Data'!$A$2:$A$1001,A23,'Raw Data'!$G$2:$G$1001,"Clothing")&gt;0)+(COUNTIFS('Raw Data'!$A$2:$A$1001,A23,'Raw Data'!$G$2:$G$1001,"Electronics")&gt;0)+(COUNTIFS('Raw Data'!$A$2:$A$1001,A23,'Raw Data'!$G$2:$G$1001,"Food")&gt;0)+(COUNTIFS('Raw Data'!$A$2:$A$1001,A23,'Raw Data'!$G$2:$G$1001,"Furniture")&gt;0)</f>
        <v>4</v>
      </c>
      <c r="E23" s="55">
        <f>COUNTIFS('Raw Data'!$A$2:$A$1001,A23,'Raw Data'!$G$2:$G$1001,"Electronics")</f>
        <v>2</v>
      </c>
      <c r="F23" s="55">
        <f>COUNTIFS('Raw Data'!$A$2:$A$1001,A23,'Raw Data'!$G$2:$G$1001,"Furniture")</f>
        <v>1</v>
      </c>
      <c r="G23" s="55">
        <f>IF(E23&gt;0,MAX(G$3:G22)+1,"")</f>
        <v>17</v>
      </c>
      <c r="H23" s="55">
        <f>IF(F23&gt;0,MAX(H$3:H22)+1,"")</f>
        <v>20</v>
      </c>
      <c r="J23" s="55">
        <v>20</v>
      </c>
      <c r="K23" s="55">
        <f t="shared" si="0"/>
        <v>1023</v>
      </c>
      <c r="L23" s="55">
        <f t="shared" si="1"/>
        <v>1020</v>
      </c>
      <c r="M23" s="55">
        <f t="shared" si="2"/>
        <v>1023</v>
      </c>
    </row>
    <row r="24" spans="1:13" x14ac:dyDescent="0.2">
      <c r="A24" s="55">
        <v>1021</v>
      </c>
      <c r="B24" s="55">
        <f>COUNTIF('Raw Data'!$A$2:$A$1001,A24)</f>
        <v>10</v>
      </c>
      <c r="C24" s="57">
        <f>SUMIFS('Raw Data'!$E$2:$E$1001,'Raw Data'!$A$2:$A$1001,A24)</f>
        <v>46998.02</v>
      </c>
      <c r="D24" s="55">
        <f>(COUNTIFS('Raw Data'!$A$2:$A$1001,A24,'Raw Data'!$G$2:$G$1001,"Clothing")&gt;0)+(COUNTIFS('Raw Data'!$A$2:$A$1001,A24,'Raw Data'!$G$2:$G$1001,"Electronics")&gt;0)+(COUNTIFS('Raw Data'!$A$2:$A$1001,A24,'Raw Data'!$G$2:$G$1001,"Food")&gt;0)+(COUNTIFS('Raw Data'!$A$2:$A$1001,A24,'Raw Data'!$G$2:$G$1001,"Furniture")&gt;0)</f>
        <v>4</v>
      </c>
      <c r="E24" s="55">
        <f>COUNTIFS('Raw Data'!$A$2:$A$1001,A24,'Raw Data'!$G$2:$G$1001,"Electronics")</f>
        <v>3</v>
      </c>
      <c r="F24" s="55">
        <f>COUNTIFS('Raw Data'!$A$2:$A$1001,A24,'Raw Data'!$G$2:$G$1001,"Furniture")</f>
        <v>3</v>
      </c>
      <c r="G24" s="55">
        <f>IF(E24&gt;0,MAX(G$3:G23)+1,"")</f>
        <v>18</v>
      </c>
      <c r="H24" s="55">
        <f>IF(F24&gt;0,MAX(H$3:H23)+1,"")</f>
        <v>21</v>
      </c>
      <c r="J24" s="55">
        <v>21</v>
      </c>
      <c r="K24" s="55">
        <f t="shared" si="0"/>
        <v>1024</v>
      </c>
      <c r="L24" s="55">
        <f t="shared" si="1"/>
        <v>1021</v>
      </c>
      <c r="M24" s="55">
        <f t="shared" si="2"/>
        <v>1024</v>
      </c>
    </row>
    <row r="25" spans="1:13" x14ac:dyDescent="0.2">
      <c r="A25" s="55">
        <v>1022</v>
      </c>
      <c r="B25" s="55">
        <f>COUNTIF('Raw Data'!$A$2:$A$1001,A25)</f>
        <v>6</v>
      </c>
      <c r="C25" s="57">
        <f>SUMIFS('Raw Data'!$E$2:$E$1001,'Raw Data'!$A$2:$A$1001,A25)</f>
        <v>42592.229999999996</v>
      </c>
      <c r="D25" s="55">
        <f>(COUNTIFS('Raw Data'!$A$2:$A$1001,A25,'Raw Data'!$G$2:$G$1001,"Clothing")&gt;0)+(COUNTIFS('Raw Data'!$A$2:$A$1001,A25,'Raw Data'!$G$2:$G$1001,"Electronics")&gt;0)+(COUNTIFS('Raw Data'!$A$2:$A$1001,A25,'Raw Data'!$G$2:$G$1001,"Food")&gt;0)+(COUNTIFS('Raw Data'!$A$2:$A$1001,A25,'Raw Data'!$G$2:$G$1001,"Furniture")&gt;0)</f>
        <v>3</v>
      </c>
      <c r="E25" s="55">
        <f>COUNTIFS('Raw Data'!$A$2:$A$1001,A25,'Raw Data'!$G$2:$G$1001,"Electronics")</f>
        <v>1</v>
      </c>
      <c r="F25" s="55">
        <f>COUNTIFS('Raw Data'!$A$2:$A$1001,A25,'Raw Data'!$G$2:$G$1001,"Furniture")</f>
        <v>3</v>
      </c>
      <c r="G25" s="55">
        <f>IF(E25&gt;0,MAX(G$3:G24)+1,"")</f>
        <v>19</v>
      </c>
      <c r="H25" s="55">
        <f>IF(F25&gt;0,MAX(H$3:H24)+1,"")</f>
        <v>22</v>
      </c>
      <c r="J25" s="55">
        <v>22</v>
      </c>
      <c r="K25" s="55">
        <f t="shared" si="0"/>
        <v>1025</v>
      </c>
      <c r="L25" s="55">
        <f t="shared" si="1"/>
        <v>1022</v>
      </c>
      <c r="M25" s="55">
        <f t="shared" si="2"/>
        <v>1025</v>
      </c>
    </row>
    <row r="26" spans="1:13" x14ac:dyDescent="0.2">
      <c r="A26" s="55">
        <v>1023</v>
      </c>
      <c r="B26" s="55">
        <f>COUNTIF('Raw Data'!$A$2:$A$1001,A26)</f>
        <v>13</v>
      </c>
      <c r="C26" s="57">
        <f>SUMIFS('Raw Data'!$E$2:$E$1001,'Raw Data'!$A$2:$A$1001,A26)</f>
        <v>66412.380000000019</v>
      </c>
      <c r="D26" s="55">
        <f>(COUNTIFS('Raw Data'!$A$2:$A$1001,A26,'Raw Data'!$G$2:$G$1001,"Clothing")&gt;0)+(COUNTIFS('Raw Data'!$A$2:$A$1001,A26,'Raw Data'!$G$2:$G$1001,"Electronics")&gt;0)+(COUNTIFS('Raw Data'!$A$2:$A$1001,A26,'Raw Data'!$G$2:$G$1001,"Food")&gt;0)+(COUNTIFS('Raw Data'!$A$2:$A$1001,A26,'Raw Data'!$G$2:$G$1001,"Furniture")&gt;0)</f>
        <v>4</v>
      </c>
      <c r="E26" s="55">
        <f>COUNTIFS('Raw Data'!$A$2:$A$1001,A26,'Raw Data'!$G$2:$G$1001,"Electronics")</f>
        <v>3</v>
      </c>
      <c r="F26" s="55">
        <f>COUNTIFS('Raw Data'!$A$2:$A$1001,A26,'Raw Data'!$G$2:$G$1001,"Furniture")</f>
        <v>1</v>
      </c>
      <c r="G26" s="55">
        <f>IF(E26&gt;0,MAX(G$3:G25)+1,"")</f>
        <v>20</v>
      </c>
      <c r="H26" s="55">
        <f>IF(F26&gt;0,MAX(H$3:H25)+1,"")</f>
        <v>23</v>
      </c>
      <c r="J26" s="55">
        <v>23</v>
      </c>
      <c r="K26" s="55">
        <f t="shared" si="0"/>
        <v>1026</v>
      </c>
      <c r="L26" s="55">
        <f t="shared" si="1"/>
        <v>1023</v>
      </c>
      <c r="M26" s="55" t="str">
        <f t="shared" si="2"/>
        <v/>
      </c>
    </row>
    <row r="27" spans="1:13" x14ac:dyDescent="0.2">
      <c r="A27" s="55">
        <v>1024</v>
      </c>
      <c r="B27" s="55">
        <f>COUNTIF('Raw Data'!$A$2:$A$1001,A27)</f>
        <v>14</v>
      </c>
      <c r="C27" s="57">
        <f>SUMIFS('Raw Data'!$E$2:$E$1001,'Raw Data'!$A$2:$A$1001,A27)</f>
        <v>75136.67</v>
      </c>
      <c r="D27" s="55">
        <f>(COUNTIFS('Raw Data'!$A$2:$A$1001,A27,'Raw Data'!$G$2:$G$1001,"Clothing")&gt;0)+(COUNTIFS('Raw Data'!$A$2:$A$1001,A27,'Raw Data'!$G$2:$G$1001,"Electronics")&gt;0)+(COUNTIFS('Raw Data'!$A$2:$A$1001,A27,'Raw Data'!$G$2:$G$1001,"Food")&gt;0)+(COUNTIFS('Raw Data'!$A$2:$A$1001,A27,'Raw Data'!$G$2:$G$1001,"Furniture")&gt;0)</f>
        <v>4</v>
      </c>
      <c r="E27" s="55">
        <f>COUNTIFS('Raw Data'!$A$2:$A$1001,A27,'Raw Data'!$G$2:$G$1001,"Electronics")</f>
        <v>3</v>
      </c>
      <c r="F27" s="55">
        <f>COUNTIFS('Raw Data'!$A$2:$A$1001,A27,'Raw Data'!$G$2:$G$1001,"Furniture")</f>
        <v>4</v>
      </c>
      <c r="G27" s="55">
        <f>IF(E27&gt;0,MAX(G$3:G26)+1,"")</f>
        <v>21</v>
      </c>
      <c r="H27" s="55">
        <f>IF(F27&gt;0,MAX(H$3:H26)+1,"")</f>
        <v>24</v>
      </c>
      <c r="J27" s="55">
        <v>24</v>
      </c>
      <c r="K27" s="55">
        <f t="shared" si="0"/>
        <v>1027</v>
      </c>
      <c r="L27" s="55">
        <f t="shared" si="1"/>
        <v>1024</v>
      </c>
      <c r="M27" s="55">
        <f t="shared" si="2"/>
        <v>1027</v>
      </c>
    </row>
    <row r="28" spans="1:13" x14ac:dyDescent="0.2">
      <c r="A28" s="55">
        <v>1025</v>
      </c>
      <c r="B28" s="55">
        <f>COUNTIF('Raw Data'!$A$2:$A$1001,A28)</f>
        <v>10</v>
      </c>
      <c r="C28" s="57">
        <f>SUMIFS('Raw Data'!$E$2:$E$1001,'Raw Data'!$A$2:$A$1001,A28)</f>
        <v>57284.34</v>
      </c>
      <c r="D28" s="55">
        <f>(COUNTIFS('Raw Data'!$A$2:$A$1001,A28,'Raw Data'!$G$2:$G$1001,"Clothing")&gt;0)+(COUNTIFS('Raw Data'!$A$2:$A$1001,A28,'Raw Data'!$G$2:$G$1001,"Electronics")&gt;0)+(COUNTIFS('Raw Data'!$A$2:$A$1001,A28,'Raw Data'!$G$2:$G$1001,"Food")&gt;0)+(COUNTIFS('Raw Data'!$A$2:$A$1001,A28,'Raw Data'!$G$2:$G$1001,"Furniture")&gt;0)</f>
        <v>4</v>
      </c>
      <c r="E28" s="55">
        <f>COUNTIFS('Raw Data'!$A$2:$A$1001,A28,'Raw Data'!$G$2:$G$1001,"Electronics")</f>
        <v>5</v>
      </c>
      <c r="F28" s="55">
        <f>COUNTIFS('Raw Data'!$A$2:$A$1001,A28,'Raw Data'!$G$2:$G$1001,"Furniture")</f>
        <v>2</v>
      </c>
      <c r="G28" s="55">
        <f>IF(E28&gt;0,MAX(G$3:G27)+1,"")</f>
        <v>22</v>
      </c>
      <c r="H28" s="55">
        <f>IF(F28&gt;0,MAX(H$3:H27)+1,"")</f>
        <v>25</v>
      </c>
      <c r="J28" s="55">
        <v>25</v>
      </c>
      <c r="K28" s="55">
        <f t="shared" si="0"/>
        <v>1028</v>
      </c>
      <c r="L28" s="55">
        <f t="shared" si="1"/>
        <v>1025</v>
      </c>
      <c r="M28" s="55">
        <f t="shared" si="2"/>
        <v>1028</v>
      </c>
    </row>
    <row r="29" spans="1:13" x14ac:dyDescent="0.2">
      <c r="A29" s="55">
        <v>1026</v>
      </c>
      <c r="B29" s="55">
        <f>COUNTIF('Raw Data'!$A$2:$A$1001,A29)</f>
        <v>9</v>
      </c>
      <c r="C29" s="57">
        <f>SUMIFS('Raw Data'!$E$2:$E$1001,'Raw Data'!$A$2:$A$1001,A29)</f>
        <v>29496.77</v>
      </c>
      <c r="D29" s="55">
        <f>(COUNTIFS('Raw Data'!$A$2:$A$1001,A29,'Raw Data'!$G$2:$G$1001,"Clothing")&gt;0)+(COUNTIFS('Raw Data'!$A$2:$A$1001,A29,'Raw Data'!$G$2:$G$1001,"Electronics")&gt;0)+(COUNTIFS('Raw Data'!$A$2:$A$1001,A29,'Raw Data'!$G$2:$G$1001,"Food")&gt;0)+(COUNTIFS('Raw Data'!$A$2:$A$1001,A29,'Raw Data'!$G$2:$G$1001,"Furniture")&gt;0)</f>
        <v>3</v>
      </c>
      <c r="E29" s="55">
        <f>COUNTIFS('Raw Data'!$A$2:$A$1001,A29,'Raw Data'!$G$2:$G$1001,"Electronics")</f>
        <v>5</v>
      </c>
      <c r="F29" s="55">
        <f>COUNTIFS('Raw Data'!$A$2:$A$1001,A29,'Raw Data'!$G$2:$G$1001,"Furniture")</f>
        <v>0</v>
      </c>
      <c r="G29" s="55">
        <f>IF(E29&gt;0,MAX(G$3:G28)+1,"")</f>
        <v>23</v>
      </c>
      <c r="H29" s="55" t="str">
        <f>IF(F29&gt;0,MAX(H$3:H28)+1,"")</f>
        <v/>
      </c>
      <c r="J29" s="55">
        <v>26</v>
      </c>
      <c r="K29" s="55">
        <f t="shared" si="0"/>
        <v>1029</v>
      </c>
      <c r="L29" s="55">
        <f t="shared" si="1"/>
        <v>1027</v>
      </c>
      <c r="M29" s="55">
        <f t="shared" si="2"/>
        <v>1029</v>
      </c>
    </row>
    <row r="30" spans="1:13" x14ac:dyDescent="0.2">
      <c r="A30" s="55">
        <v>1027</v>
      </c>
      <c r="B30" s="55">
        <f>COUNTIF('Raw Data'!$A$2:$A$1001,A30)</f>
        <v>11</v>
      </c>
      <c r="C30" s="57">
        <f>SUMIFS('Raw Data'!$E$2:$E$1001,'Raw Data'!$A$2:$A$1001,A30)</f>
        <v>65891.25</v>
      </c>
      <c r="D30" s="55">
        <f>(COUNTIFS('Raw Data'!$A$2:$A$1001,A30,'Raw Data'!$G$2:$G$1001,"Clothing")&gt;0)+(COUNTIFS('Raw Data'!$A$2:$A$1001,A30,'Raw Data'!$G$2:$G$1001,"Electronics")&gt;0)+(COUNTIFS('Raw Data'!$A$2:$A$1001,A30,'Raw Data'!$G$2:$G$1001,"Food")&gt;0)+(COUNTIFS('Raw Data'!$A$2:$A$1001,A30,'Raw Data'!$G$2:$G$1001,"Furniture")&gt;0)</f>
        <v>4</v>
      </c>
      <c r="E30" s="55">
        <f>COUNTIFS('Raw Data'!$A$2:$A$1001,A30,'Raw Data'!$G$2:$G$1001,"Electronics")</f>
        <v>2</v>
      </c>
      <c r="F30" s="55">
        <f>COUNTIFS('Raw Data'!$A$2:$A$1001,A30,'Raw Data'!$G$2:$G$1001,"Furniture")</f>
        <v>1</v>
      </c>
      <c r="G30" s="55">
        <f>IF(E30&gt;0,MAX(G$3:G29)+1,"")</f>
        <v>24</v>
      </c>
      <c r="H30" s="55">
        <f>IF(F30&gt;0,MAX(H$3:H29)+1,"")</f>
        <v>26</v>
      </c>
      <c r="J30" s="55">
        <v>27</v>
      </c>
      <c r="K30" s="55">
        <f t="shared" si="0"/>
        <v>1030</v>
      </c>
      <c r="L30" s="55">
        <f t="shared" si="1"/>
        <v>1028</v>
      </c>
      <c r="M30" s="55">
        <f t="shared" si="2"/>
        <v>1030</v>
      </c>
    </row>
    <row r="31" spans="1:13" x14ac:dyDescent="0.2">
      <c r="A31" s="55">
        <v>1028</v>
      </c>
      <c r="B31" s="55">
        <f>COUNTIF('Raw Data'!$A$2:$A$1001,A31)</f>
        <v>10</v>
      </c>
      <c r="C31" s="57">
        <f>SUMIFS('Raw Data'!$E$2:$E$1001,'Raw Data'!$A$2:$A$1001,A31)</f>
        <v>45308.89</v>
      </c>
      <c r="D31" s="55">
        <f>(COUNTIFS('Raw Data'!$A$2:$A$1001,A31,'Raw Data'!$G$2:$G$1001,"Clothing")&gt;0)+(COUNTIFS('Raw Data'!$A$2:$A$1001,A31,'Raw Data'!$G$2:$G$1001,"Electronics")&gt;0)+(COUNTIFS('Raw Data'!$A$2:$A$1001,A31,'Raw Data'!$G$2:$G$1001,"Food")&gt;0)+(COUNTIFS('Raw Data'!$A$2:$A$1001,A31,'Raw Data'!$G$2:$G$1001,"Furniture")&gt;0)</f>
        <v>4</v>
      </c>
      <c r="E31" s="55">
        <f>COUNTIFS('Raw Data'!$A$2:$A$1001,A31,'Raw Data'!$G$2:$G$1001,"Electronics")</f>
        <v>1</v>
      </c>
      <c r="F31" s="55">
        <f>COUNTIFS('Raw Data'!$A$2:$A$1001,A31,'Raw Data'!$G$2:$G$1001,"Furniture")</f>
        <v>2</v>
      </c>
      <c r="G31" s="55">
        <f>IF(E31&gt;0,MAX(G$3:G30)+1,"")</f>
        <v>25</v>
      </c>
      <c r="H31" s="55">
        <f>IF(F31&gt;0,MAX(H$3:H30)+1,"")</f>
        <v>27</v>
      </c>
      <c r="J31" s="55">
        <v>28</v>
      </c>
      <c r="K31" s="55">
        <f t="shared" si="0"/>
        <v>1031</v>
      </c>
      <c r="L31" s="55">
        <f t="shared" si="1"/>
        <v>1029</v>
      </c>
      <c r="M31" s="55" t="str">
        <f t="shared" si="2"/>
        <v/>
      </c>
    </row>
    <row r="32" spans="1:13" x14ac:dyDescent="0.2">
      <c r="A32" s="55">
        <v>1029</v>
      </c>
      <c r="B32" s="55">
        <f>COUNTIF('Raw Data'!$A$2:$A$1001,A32)</f>
        <v>8</v>
      </c>
      <c r="C32" s="57">
        <f>SUMIFS('Raw Data'!$E$2:$E$1001,'Raw Data'!$A$2:$A$1001,A32)</f>
        <v>40924.829999999994</v>
      </c>
      <c r="D32" s="55">
        <f>(COUNTIFS('Raw Data'!$A$2:$A$1001,A32,'Raw Data'!$G$2:$G$1001,"Clothing")&gt;0)+(COUNTIFS('Raw Data'!$A$2:$A$1001,A32,'Raw Data'!$G$2:$G$1001,"Electronics")&gt;0)+(COUNTIFS('Raw Data'!$A$2:$A$1001,A32,'Raw Data'!$G$2:$G$1001,"Food")&gt;0)+(COUNTIFS('Raw Data'!$A$2:$A$1001,A32,'Raw Data'!$G$2:$G$1001,"Furniture")&gt;0)</f>
        <v>4</v>
      </c>
      <c r="E32" s="55">
        <f>COUNTIFS('Raw Data'!$A$2:$A$1001,A32,'Raw Data'!$G$2:$G$1001,"Electronics")</f>
        <v>2</v>
      </c>
      <c r="F32" s="55">
        <f>COUNTIFS('Raw Data'!$A$2:$A$1001,A32,'Raw Data'!$G$2:$G$1001,"Furniture")</f>
        <v>2</v>
      </c>
      <c r="G32" s="55">
        <f>IF(E32&gt;0,MAX(G$3:G31)+1,"")</f>
        <v>26</v>
      </c>
      <c r="H32" s="55">
        <f>IF(F32&gt;0,MAX(H$3:H31)+1,"")</f>
        <v>28</v>
      </c>
      <c r="J32" s="55">
        <v>29</v>
      </c>
      <c r="K32" s="55">
        <f t="shared" si="0"/>
        <v>1032</v>
      </c>
      <c r="L32" s="55">
        <f t="shared" si="1"/>
        <v>1030</v>
      </c>
      <c r="M32" s="55" t="str">
        <f t="shared" si="2"/>
        <v/>
      </c>
    </row>
    <row r="33" spans="1:13" x14ac:dyDescent="0.2">
      <c r="A33" s="55">
        <v>1030</v>
      </c>
      <c r="B33" s="55">
        <f>COUNTIF('Raw Data'!$A$2:$A$1001,A33)</f>
        <v>10</v>
      </c>
      <c r="C33" s="57">
        <f>SUMIFS('Raw Data'!$E$2:$E$1001,'Raw Data'!$A$2:$A$1001,A33)</f>
        <v>49091.02</v>
      </c>
      <c r="D33" s="55">
        <f>(COUNTIFS('Raw Data'!$A$2:$A$1001,A33,'Raw Data'!$G$2:$G$1001,"Clothing")&gt;0)+(COUNTIFS('Raw Data'!$A$2:$A$1001,A33,'Raw Data'!$G$2:$G$1001,"Electronics")&gt;0)+(COUNTIFS('Raw Data'!$A$2:$A$1001,A33,'Raw Data'!$G$2:$G$1001,"Food")&gt;0)+(COUNTIFS('Raw Data'!$A$2:$A$1001,A33,'Raw Data'!$G$2:$G$1001,"Furniture")&gt;0)</f>
        <v>4</v>
      </c>
      <c r="E33" s="55">
        <f>COUNTIFS('Raw Data'!$A$2:$A$1001,A33,'Raw Data'!$G$2:$G$1001,"Electronics")</f>
        <v>2</v>
      </c>
      <c r="F33" s="55">
        <f>COUNTIFS('Raw Data'!$A$2:$A$1001,A33,'Raw Data'!$G$2:$G$1001,"Furniture")</f>
        <v>1</v>
      </c>
      <c r="G33" s="55">
        <f>IF(E33&gt;0,MAX(G$3:G32)+1,"")</f>
        <v>27</v>
      </c>
      <c r="H33" s="55">
        <f>IF(F33&gt;0,MAX(H$3:H32)+1,"")</f>
        <v>29</v>
      </c>
      <c r="J33" s="55">
        <v>30</v>
      </c>
      <c r="K33" s="55">
        <f t="shared" si="0"/>
        <v>1033</v>
      </c>
      <c r="L33" s="55">
        <f t="shared" si="1"/>
        <v>1033</v>
      </c>
      <c r="M33" s="55">
        <f t="shared" si="2"/>
        <v>1033</v>
      </c>
    </row>
    <row r="34" spans="1:13" x14ac:dyDescent="0.2">
      <c r="A34" s="55">
        <v>1031</v>
      </c>
      <c r="B34" s="55">
        <f>COUNTIF('Raw Data'!$A$2:$A$1001,A34)</f>
        <v>3</v>
      </c>
      <c r="C34" s="57">
        <f>SUMIFS('Raw Data'!$E$2:$E$1001,'Raw Data'!$A$2:$A$1001,A34)</f>
        <v>9782.2800000000007</v>
      </c>
      <c r="D34" s="55">
        <f>(COUNTIFS('Raw Data'!$A$2:$A$1001,A34,'Raw Data'!$G$2:$G$1001,"Clothing")&gt;0)+(COUNTIFS('Raw Data'!$A$2:$A$1001,A34,'Raw Data'!$G$2:$G$1001,"Electronics")&gt;0)+(COUNTIFS('Raw Data'!$A$2:$A$1001,A34,'Raw Data'!$G$2:$G$1001,"Food")&gt;0)+(COUNTIFS('Raw Data'!$A$2:$A$1001,A34,'Raw Data'!$G$2:$G$1001,"Furniture")&gt;0)</f>
        <v>3</v>
      </c>
      <c r="E34" s="55">
        <f>COUNTIFS('Raw Data'!$A$2:$A$1001,A34,'Raw Data'!$G$2:$G$1001,"Electronics")</f>
        <v>1</v>
      </c>
      <c r="F34" s="55">
        <f>COUNTIFS('Raw Data'!$A$2:$A$1001,A34,'Raw Data'!$G$2:$G$1001,"Furniture")</f>
        <v>0</v>
      </c>
      <c r="G34" s="55">
        <f>IF(E34&gt;0,MAX(G$3:G33)+1,"")</f>
        <v>28</v>
      </c>
      <c r="H34" s="55" t="str">
        <f>IF(F34&gt;0,MAX(H$3:H33)+1,"")</f>
        <v/>
      </c>
      <c r="J34" s="55">
        <v>31</v>
      </c>
      <c r="K34" s="55">
        <f t="shared" si="0"/>
        <v>1034</v>
      </c>
      <c r="L34" s="55">
        <f t="shared" si="1"/>
        <v>1034</v>
      </c>
      <c r="M34" s="55">
        <f t="shared" si="2"/>
        <v>1034</v>
      </c>
    </row>
    <row r="35" spans="1:13" x14ac:dyDescent="0.2">
      <c r="A35" s="55">
        <v>1032</v>
      </c>
      <c r="B35" s="55">
        <f>COUNTIF('Raw Data'!$A$2:$A$1001,A35)</f>
        <v>12</v>
      </c>
      <c r="C35" s="57">
        <f>SUMIFS('Raw Data'!$E$2:$E$1001,'Raw Data'!$A$2:$A$1001,A35)</f>
        <v>49412.11</v>
      </c>
      <c r="D35" s="55">
        <f>(COUNTIFS('Raw Data'!$A$2:$A$1001,A35,'Raw Data'!$G$2:$G$1001,"Clothing")&gt;0)+(COUNTIFS('Raw Data'!$A$2:$A$1001,A35,'Raw Data'!$G$2:$G$1001,"Electronics")&gt;0)+(COUNTIFS('Raw Data'!$A$2:$A$1001,A35,'Raw Data'!$G$2:$G$1001,"Food")&gt;0)+(COUNTIFS('Raw Data'!$A$2:$A$1001,A35,'Raw Data'!$G$2:$G$1001,"Furniture")&gt;0)</f>
        <v>3</v>
      </c>
      <c r="E35" s="55">
        <f>COUNTIFS('Raw Data'!$A$2:$A$1001,A35,'Raw Data'!$G$2:$G$1001,"Electronics")</f>
        <v>5</v>
      </c>
      <c r="F35" s="55">
        <f>COUNTIFS('Raw Data'!$A$2:$A$1001,A35,'Raw Data'!$G$2:$G$1001,"Furniture")</f>
        <v>0</v>
      </c>
      <c r="G35" s="55">
        <f>IF(E35&gt;0,MAX(G$3:G34)+1,"")</f>
        <v>29</v>
      </c>
      <c r="H35" s="55" t="str">
        <f>IF(F35&gt;0,MAX(H$3:H34)+1,"")</f>
        <v/>
      </c>
      <c r="J35" s="55">
        <v>32</v>
      </c>
      <c r="K35" s="55">
        <f t="shared" si="0"/>
        <v>1035</v>
      </c>
      <c r="L35" s="55">
        <f t="shared" si="1"/>
        <v>1035</v>
      </c>
      <c r="M35" s="55">
        <f t="shared" si="2"/>
        <v>1035</v>
      </c>
    </row>
    <row r="36" spans="1:13" x14ac:dyDescent="0.2">
      <c r="A36" s="55">
        <v>1033</v>
      </c>
      <c r="B36" s="55">
        <f>COUNTIF('Raw Data'!$A$2:$A$1001,A36)</f>
        <v>18</v>
      </c>
      <c r="C36" s="57">
        <f>SUMIFS('Raw Data'!$E$2:$E$1001,'Raw Data'!$A$2:$A$1001,A36)</f>
        <v>89130.409999999989</v>
      </c>
      <c r="D36" s="55">
        <f>(COUNTIFS('Raw Data'!$A$2:$A$1001,A36,'Raw Data'!$G$2:$G$1001,"Clothing")&gt;0)+(COUNTIFS('Raw Data'!$A$2:$A$1001,A36,'Raw Data'!$G$2:$G$1001,"Electronics")&gt;0)+(COUNTIFS('Raw Data'!$A$2:$A$1001,A36,'Raw Data'!$G$2:$G$1001,"Food")&gt;0)+(COUNTIFS('Raw Data'!$A$2:$A$1001,A36,'Raw Data'!$G$2:$G$1001,"Furniture")&gt;0)</f>
        <v>4</v>
      </c>
      <c r="E36" s="55">
        <f>COUNTIFS('Raw Data'!$A$2:$A$1001,A36,'Raw Data'!$G$2:$G$1001,"Electronics")</f>
        <v>3</v>
      </c>
      <c r="F36" s="55">
        <f>COUNTIFS('Raw Data'!$A$2:$A$1001,A36,'Raw Data'!$G$2:$G$1001,"Furniture")</f>
        <v>4</v>
      </c>
      <c r="G36" s="55">
        <f>IF(E36&gt;0,MAX(G$3:G35)+1,"")</f>
        <v>30</v>
      </c>
      <c r="H36" s="55">
        <f>IF(F36&gt;0,MAX(H$3:H35)+1,"")</f>
        <v>30</v>
      </c>
      <c r="J36" s="55">
        <v>33</v>
      </c>
      <c r="K36" s="55">
        <f t="shared" ref="K36:K67" si="3">IFERROR(INDEX($A$4:$A$103,MATCH(J36,$G$4:$G$103,0)),"")</f>
        <v>1036</v>
      </c>
      <c r="L36" s="55">
        <f t="shared" ref="L36:L67" si="4">IFERROR(INDEX($A$4:$A$103,MATCH(J36,$H$4:$H$103,0)),"")</f>
        <v>1036</v>
      </c>
      <c r="M36" s="55">
        <f t="shared" ref="M36:M67" si="5">IF(K36="","",IF(COUNTIF($L$4:$L$103,K36)&gt;0,K36,""))</f>
        <v>1036</v>
      </c>
    </row>
    <row r="37" spans="1:13" x14ac:dyDescent="0.2">
      <c r="A37" s="55">
        <v>1034</v>
      </c>
      <c r="B37" s="55">
        <f>COUNTIF('Raw Data'!$A$2:$A$1001,A37)</f>
        <v>9</v>
      </c>
      <c r="C37" s="57">
        <f>SUMIFS('Raw Data'!$E$2:$E$1001,'Raw Data'!$A$2:$A$1001,A37)</f>
        <v>27485.729999999996</v>
      </c>
      <c r="D37" s="55">
        <f>(COUNTIFS('Raw Data'!$A$2:$A$1001,A37,'Raw Data'!$G$2:$G$1001,"Clothing")&gt;0)+(COUNTIFS('Raw Data'!$A$2:$A$1001,A37,'Raw Data'!$G$2:$G$1001,"Electronics")&gt;0)+(COUNTIFS('Raw Data'!$A$2:$A$1001,A37,'Raw Data'!$G$2:$G$1001,"Food")&gt;0)+(COUNTIFS('Raw Data'!$A$2:$A$1001,A37,'Raw Data'!$G$2:$G$1001,"Furniture")&gt;0)</f>
        <v>4</v>
      </c>
      <c r="E37" s="55">
        <f>COUNTIFS('Raw Data'!$A$2:$A$1001,A37,'Raw Data'!$G$2:$G$1001,"Electronics")</f>
        <v>2</v>
      </c>
      <c r="F37" s="55">
        <f>COUNTIFS('Raw Data'!$A$2:$A$1001,A37,'Raw Data'!$G$2:$G$1001,"Furniture")</f>
        <v>2</v>
      </c>
      <c r="G37" s="55">
        <f>IF(E37&gt;0,MAX(G$3:G36)+1,"")</f>
        <v>31</v>
      </c>
      <c r="H37" s="55">
        <f>IF(F37&gt;0,MAX(H$3:H36)+1,"")</f>
        <v>31</v>
      </c>
      <c r="J37" s="55">
        <v>34</v>
      </c>
      <c r="K37" s="55">
        <f t="shared" si="3"/>
        <v>1037</v>
      </c>
      <c r="L37" s="55">
        <f t="shared" si="4"/>
        <v>1037</v>
      </c>
      <c r="M37" s="55">
        <f t="shared" si="5"/>
        <v>1037</v>
      </c>
    </row>
    <row r="38" spans="1:13" x14ac:dyDescent="0.2">
      <c r="A38" s="55">
        <v>1035</v>
      </c>
      <c r="B38" s="55">
        <f>COUNTIF('Raw Data'!$A$2:$A$1001,A38)</f>
        <v>10</v>
      </c>
      <c r="C38" s="57">
        <f>SUMIFS('Raw Data'!$E$2:$E$1001,'Raw Data'!$A$2:$A$1001,A38)</f>
        <v>47115.56</v>
      </c>
      <c r="D38" s="55">
        <f>(COUNTIFS('Raw Data'!$A$2:$A$1001,A38,'Raw Data'!$G$2:$G$1001,"Clothing")&gt;0)+(COUNTIFS('Raw Data'!$A$2:$A$1001,A38,'Raw Data'!$G$2:$G$1001,"Electronics")&gt;0)+(COUNTIFS('Raw Data'!$A$2:$A$1001,A38,'Raw Data'!$G$2:$G$1001,"Food")&gt;0)+(COUNTIFS('Raw Data'!$A$2:$A$1001,A38,'Raw Data'!$G$2:$G$1001,"Furniture")&gt;0)</f>
        <v>4</v>
      </c>
      <c r="E38" s="55">
        <f>COUNTIFS('Raw Data'!$A$2:$A$1001,A38,'Raw Data'!$G$2:$G$1001,"Electronics")</f>
        <v>2</v>
      </c>
      <c r="F38" s="55">
        <f>COUNTIFS('Raw Data'!$A$2:$A$1001,A38,'Raw Data'!$G$2:$G$1001,"Furniture")</f>
        <v>2</v>
      </c>
      <c r="G38" s="55">
        <f>IF(E38&gt;0,MAX(G$3:G37)+1,"")</f>
        <v>32</v>
      </c>
      <c r="H38" s="55">
        <f>IF(F38&gt;0,MAX(H$3:H37)+1,"")</f>
        <v>32</v>
      </c>
      <c r="J38" s="55">
        <v>35</v>
      </c>
      <c r="K38" s="55">
        <f t="shared" si="3"/>
        <v>1039</v>
      </c>
      <c r="L38" s="55">
        <f t="shared" si="4"/>
        <v>1038</v>
      </c>
      <c r="M38" s="55">
        <f t="shared" si="5"/>
        <v>1039</v>
      </c>
    </row>
    <row r="39" spans="1:13" x14ac:dyDescent="0.2">
      <c r="A39" s="55">
        <v>1036</v>
      </c>
      <c r="B39" s="55">
        <f>COUNTIF('Raw Data'!$A$2:$A$1001,A39)</f>
        <v>12</v>
      </c>
      <c r="C39" s="57">
        <f>SUMIFS('Raw Data'!$E$2:$E$1001,'Raw Data'!$A$2:$A$1001,A39)</f>
        <v>73844.45</v>
      </c>
      <c r="D39" s="55">
        <f>(COUNTIFS('Raw Data'!$A$2:$A$1001,A39,'Raw Data'!$G$2:$G$1001,"Clothing")&gt;0)+(COUNTIFS('Raw Data'!$A$2:$A$1001,A39,'Raw Data'!$G$2:$G$1001,"Electronics")&gt;0)+(COUNTIFS('Raw Data'!$A$2:$A$1001,A39,'Raw Data'!$G$2:$G$1001,"Food")&gt;0)+(COUNTIFS('Raw Data'!$A$2:$A$1001,A39,'Raw Data'!$G$2:$G$1001,"Furniture")&gt;0)</f>
        <v>4</v>
      </c>
      <c r="E39" s="55">
        <f>COUNTIFS('Raw Data'!$A$2:$A$1001,A39,'Raw Data'!$G$2:$G$1001,"Electronics")</f>
        <v>1</v>
      </c>
      <c r="F39" s="55">
        <f>COUNTIFS('Raw Data'!$A$2:$A$1001,A39,'Raw Data'!$G$2:$G$1001,"Furniture")</f>
        <v>5</v>
      </c>
      <c r="G39" s="55">
        <f>IF(E39&gt;0,MAX(G$3:G38)+1,"")</f>
        <v>33</v>
      </c>
      <c r="H39" s="55">
        <f>IF(F39&gt;0,MAX(H$3:H38)+1,"")</f>
        <v>33</v>
      </c>
      <c r="J39" s="55">
        <v>36</v>
      </c>
      <c r="K39" s="55">
        <f t="shared" si="3"/>
        <v>1040</v>
      </c>
      <c r="L39" s="55">
        <f t="shared" si="4"/>
        <v>1039</v>
      </c>
      <c r="M39" s="55">
        <f t="shared" si="5"/>
        <v>1040</v>
      </c>
    </row>
    <row r="40" spans="1:13" x14ac:dyDescent="0.2">
      <c r="A40" s="55">
        <v>1037</v>
      </c>
      <c r="B40" s="55">
        <f>COUNTIF('Raw Data'!$A$2:$A$1001,A40)</f>
        <v>7</v>
      </c>
      <c r="C40" s="57">
        <f>SUMIFS('Raw Data'!$E$2:$E$1001,'Raw Data'!$A$2:$A$1001,A40)</f>
        <v>41156.189999999995</v>
      </c>
      <c r="D40" s="55">
        <f>(COUNTIFS('Raw Data'!$A$2:$A$1001,A40,'Raw Data'!$G$2:$G$1001,"Clothing")&gt;0)+(COUNTIFS('Raw Data'!$A$2:$A$1001,A40,'Raw Data'!$G$2:$G$1001,"Electronics")&gt;0)+(COUNTIFS('Raw Data'!$A$2:$A$1001,A40,'Raw Data'!$G$2:$G$1001,"Food")&gt;0)+(COUNTIFS('Raw Data'!$A$2:$A$1001,A40,'Raw Data'!$G$2:$G$1001,"Furniture")&gt;0)</f>
        <v>4</v>
      </c>
      <c r="E40" s="55">
        <f>COUNTIFS('Raw Data'!$A$2:$A$1001,A40,'Raw Data'!$G$2:$G$1001,"Electronics")</f>
        <v>2</v>
      </c>
      <c r="F40" s="55">
        <f>COUNTIFS('Raw Data'!$A$2:$A$1001,A40,'Raw Data'!$G$2:$G$1001,"Furniture")</f>
        <v>1</v>
      </c>
      <c r="G40" s="55">
        <f>IF(E40&gt;0,MAX(G$3:G39)+1,"")</f>
        <v>34</v>
      </c>
      <c r="H40" s="55">
        <f>IF(F40&gt;0,MAX(H$3:H39)+1,"")</f>
        <v>34</v>
      </c>
      <c r="J40" s="55">
        <v>37</v>
      </c>
      <c r="K40" s="55">
        <f t="shared" si="3"/>
        <v>1041</v>
      </c>
      <c r="L40" s="55">
        <f t="shared" si="4"/>
        <v>1040</v>
      </c>
      <c r="M40" s="55" t="str">
        <f t="shared" si="5"/>
        <v/>
      </c>
    </row>
    <row r="41" spans="1:13" x14ac:dyDescent="0.2">
      <c r="A41" s="55">
        <v>1038</v>
      </c>
      <c r="B41" s="55">
        <f>COUNTIF('Raw Data'!$A$2:$A$1001,A41)</f>
        <v>10</v>
      </c>
      <c r="C41" s="57">
        <f>SUMIFS('Raw Data'!$E$2:$E$1001,'Raw Data'!$A$2:$A$1001,A41)</f>
        <v>54156.239999999991</v>
      </c>
      <c r="D41" s="55">
        <f>(COUNTIFS('Raw Data'!$A$2:$A$1001,A41,'Raw Data'!$G$2:$G$1001,"Clothing")&gt;0)+(COUNTIFS('Raw Data'!$A$2:$A$1001,A41,'Raw Data'!$G$2:$G$1001,"Electronics")&gt;0)+(COUNTIFS('Raw Data'!$A$2:$A$1001,A41,'Raw Data'!$G$2:$G$1001,"Food")&gt;0)+(COUNTIFS('Raw Data'!$A$2:$A$1001,A41,'Raw Data'!$G$2:$G$1001,"Furniture")&gt;0)</f>
        <v>3</v>
      </c>
      <c r="E41" s="55">
        <f>COUNTIFS('Raw Data'!$A$2:$A$1001,A41,'Raw Data'!$G$2:$G$1001,"Electronics")</f>
        <v>0</v>
      </c>
      <c r="F41" s="55">
        <f>COUNTIFS('Raw Data'!$A$2:$A$1001,A41,'Raw Data'!$G$2:$G$1001,"Furniture")</f>
        <v>3</v>
      </c>
      <c r="G41" s="55" t="str">
        <f>IF(E41&gt;0,MAX(G$3:G40)+1,"")</f>
        <v/>
      </c>
      <c r="H41" s="55">
        <f>IF(F41&gt;0,MAX(H$3:H40)+1,"")</f>
        <v>35</v>
      </c>
      <c r="J41" s="55">
        <v>38</v>
      </c>
      <c r="K41" s="55">
        <f t="shared" si="3"/>
        <v>1042</v>
      </c>
      <c r="L41" s="55">
        <f t="shared" si="4"/>
        <v>1042</v>
      </c>
      <c r="M41" s="55">
        <f t="shared" si="5"/>
        <v>1042</v>
      </c>
    </row>
    <row r="42" spans="1:13" x14ac:dyDescent="0.2">
      <c r="A42" s="55">
        <v>1039</v>
      </c>
      <c r="B42" s="55">
        <f>COUNTIF('Raw Data'!$A$2:$A$1001,A42)</f>
        <v>12</v>
      </c>
      <c r="C42" s="57">
        <f>SUMIFS('Raw Data'!$E$2:$E$1001,'Raw Data'!$A$2:$A$1001,A42)</f>
        <v>62364.51</v>
      </c>
      <c r="D42" s="55">
        <f>(COUNTIFS('Raw Data'!$A$2:$A$1001,A42,'Raw Data'!$G$2:$G$1001,"Clothing")&gt;0)+(COUNTIFS('Raw Data'!$A$2:$A$1001,A42,'Raw Data'!$G$2:$G$1001,"Electronics")&gt;0)+(COUNTIFS('Raw Data'!$A$2:$A$1001,A42,'Raw Data'!$G$2:$G$1001,"Food")&gt;0)+(COUNTIFS('Raw Data'!$A$2:$A$1001,A42,'Raw Data'!$G$2:$G$1001,"Furniture")&gt;0)</f>
        <v>4</v>
      </c>
      <c r="E42" s="55">
        <f>COUNTIFS('Raw Data'!$A$2:$A$1001,A42,'Raw Data'!$G$2:$G$1001,"Electronics")</f>
        <v>3</v>
      </c>
      <c r="F42" s="55">
        <f>COUNTIFS('Raw Data'!$A$2:$A$1001,A42,'Raw Data'!$G$2:$G$1001,"Furniture")</f>
        <v>2</v>
      </c>
      <c r="G42" s="55">
        <f>IF(E42&gt;0,MAX(G$3:G41)+1,"")</f>
        <v>35</v>
      </c>
      <c r="H42" s="55">
        <f>IF(F42&gt;0,MAX(H$3:H41)+1,"")</f>
        <v>36</v>
      </c>
      <c r="J42" s="55">
        <v>39</v>
      </c>
      <c r="K42" s="55">
        <f t="shared" si="3"/>
        <v>1043</v>
      </c>
      <c r="L42" s="55">
        <f t="shared" si="4"/>
        <v>1044</v>
      </c>
      <c r="M42" s="55" t="str">
        <f t="shared" si="5"/>
        <v/>
      </c>
    </row>
    <row r="43" spans="1:13" x14ac:dyDescent="0.2">
      <c r="A43" s="55">
        <v>1040</v>
      </c>
      <c r="B43" s="55">
        <f>COUNTIF('Raw Data'!$A$2:$A$1001,A43)</f>
        <v>5</v>
      </c>
      <c r="C43" s="57">
        <f>SUMIFS('Raw Data'!$E$2:$E$1001,'Raw Data'!$A$2:$A$1001,A43)</f>
        <v>22823.469999999998</v>
      </c>
      <c r="D43" s="55">
        <f>(COUNTIFS('Raw Data'!$A$2:$A$1001,A43,'Raw Data'!$G$2:$G$1001,"Clothing")&gt;0)+(COUNTIFS('Raw Data'!$A$2:$A$1001,A43,'Raw Data'!$G$2:$G$1001,"Electronics")&gt;0)+(COUNTIFS('Raw Data'!$A$2:$A$1001,A43,'Raw Data'!$G$2:$G$1001,"Food")&gt;0)+(COUNTIFS('Raw Data'!$A$2:$A$1001,A43,'Raw Data'!$G$2:$G$1001,"Furniture")&gt;0)</f>
        <v>3</v>
      </c>
      <c r="E43" s="55">
        <f>COUNTIFS('Raw Data'!$A$2:$A$1001,A43,'Raw Data'!$G$2:$G$1001,"Electronics")</f>
        <v>2</v>
      </c>
      <c r="F43" s="55">
        <f>COUNTIFS('Raw Data'!$A$2:$A$1001,A43,'Raw Data'!$G$2:$G$1001,"Furniture")</f>
        <v>1</v>
      </c>
      <c r="G43" s="55">
        <f>IF(E43&gt;0,MAX(G$3:G42)+1,"")</f>
        <v>36</v>
      </c>
      <c r="H43" s="55">
        <f>IF(F43&gt;0,MAX(H$3:H42)+1,"")</f>
        <v>37</v>
      </c>
      <c r="J43" s="55">
        <v>40</v>
      </c>
      <c r="K43" s="55">
        <f t="shared" si="3"/>
        <v>1044</v>
      </c>
      <c r="L43" s="55">
        <f t="shared" si="4"/>
        <v>1045</v>
      </c>
      <c r="M43" s="55">
        <f t="shared" si="5"/>
        <v>1044</v>
      </c>
    </row>
    <row r="44" spans="1:13" x14ac:dyDescent="0.2">
      <c r="A44" s="55">
        <v>1041</v>
      </c>
      <c r="B44" s="55">
        <f>COUNTIF('Raw Data'!$A$2:$A$1001,A44)</f>
        <v>4</v>
      </c>
      <c r="C44" s="57">
        <f>SUMIFS('Raw Data'!$E$2:$E$1001,'Raw Data'!$A$2:$A$1001,A44)</f>
        <v>10682.460000000001</v>
      </c>
      <c r="D44" s="55">
        <f>(COUNTIFS('Raw Data'!$A$2:$A$1001,A44,'Raw Data'!$G$2:$G$1001,"Clothing")&gt;0)+(COUNTIFS('Raw Data'!$A$2:$A$1001,A44,'Raw Data'!$G$2:$G$1001,"Electronics")&gt;0)+(COUNTIFS('Raw Data'!$A$2:$A$1001,A44,'Raw Data'!$G$2:$G$1001,"Food")&gt;0)+(COUNTIFS('Raw Data'!$A$2:$A$1001,A44,'Raw Data'!$G$2:$G$1001,"Furniture")&gt;0)</f>
        <v>2</v>
      </c>
      <c r="E44" s="55">
        <f>COUNTIFS('Raw Data'!$A$2:$A$1001,A44,'Raw Data'!$G$2:$G$1001,"Electronics")</f>
        <v>1</v>
      </c>
      <c r="F44" s="55">
        <f>COUNTIFS('Raw Data'!$A$2:$A$1001,A44,'Raw Data'!$G$2:$G$1001,"Furniture")</f>
        <v>0</v>
      </c>
      <c r="G44" s="55">
        <f>IF(E44&gt;0,MAX(G$3:G43)+1,"")</f>
        <v>37</v>
      </c>
      <c r="H44" s="55" t="str">
        <f>IF(F44&gt;0,MAX(H$3:H43)+1,"")</f>
        <v/>
      </c>
      <c r="J44" s="55">
        <v>41</v>
      </c>
      <c r="K44" s="55">
        <f t="shared" si="3"/>
        <v>1045</v>
      </c>
      <c r="L44" s="55">
        <f t="shared" si="4"/>
        <v>1046</v>
      </c>
      <c r="M44" s="55">
        <f t="shared" si="5"/>
        <v>1045</v>
      </c>
    </row>
    <row r="45" spans="1:13" x14ac:dyDescent="0.2">
      <c r="A45" s="55">
        <v>1042</v>
      </c>
      <c r="B45" s="55">
        <f>COUNTIF('Raw Data'!$A$2:$A$1001,A45)</f>
        <v>9</v>
      </c>
      <c r="C45" s="57">
        <f>SUMIFS('Raw Data'!$E$2:$E$1001,'Raw Data'!$A$2:$A$1001,A45)</f>
        <v>53005.15</v>
      </c>
      <c r="D45" s="55">
        <f>(COUNTIFS('Raw Data'!$A$2:$A$1001,A45,'Raw Data'!$G$2:$G$1001,"Clothing")&gt;0)+(COUNTIFS('Raw Data'!$A$2:$A$1001,A45,'Raw Data'!$G$2:$G$1001,"Electronics")&gt;0)+(COUNTIFS('Raw Data'!$A$2:$A$1001,A45,'Raw Data'!$G$2:$G$1001,"Food")&gt;0)+(COUNTIFS('Raw Data'!$A$2:$A$1001,A45,'Raw Data'!$G$2:$G$1001,"Furniture")&gt;0)</f>
        <v>4</v>
      </c>
      <c r="E45" s="55">
        <f>COUNTIFS('Raw Data'!$A$2:$A$1001,A45,'Raw Data'!$G$2:$G$1001,"Electronics")</f>
        <v>3</v>
      </c>
      <c r="F45" s="55">
        <f>COUNTIFS('Raw Data'!$A$2:$A$1001,A45,'Raw Data'!$G$2:$G$1001,"Furniture")</f>
        <v>2</v>
      </c>
      <c r="G45" s="55">
        <f>IF(E45&gt;0,MAX(G$3:G44)+1,"")</f>
        <v>38</v>
      </c>
      <c r="H45" s="55">
        <f>IF(F45&gt;0,MAX(H$3:H44)+1,"")</f>
        <v>38</v>
      </c>
      <c r="J45" s="55">
        <v>42</v>
      </c>
      <c r="K45" s="55">
        <f t="shared" si="3"/>
        <v>1047</v>
      </c>
      <c r="L45" s="55">
        <f t="shared" si="4"/>
        <v>1047</v>
      </c>
      <c r="M45" s="55">
        <f t="shared" si="5"/>
        <v>1047</v>
      </c>
    </row>
    <row r="46" spans="1:13" x14ac:dyDescent="0.2">
      <c r="A46" s="55">
        <v>1043</v>
      </c>
      <c r="B46" s="55">
        <f>COUNTIF('Raw Data'!$A$2:$A$1001,A46)</f>
        <v>5</v>
      </c>
      <c r="C46" s="57">
        <f>SUMIFS('Raw Data'!$E$2:$E$1001,'Raw Data'!$A$2:$A$1001,A46)</f>
        <v>19475.57</v>
      </c>
      <c r="D46" s="55">
        <f>(COUNTIFS('Raw Data'!$A$2:$A$1001,A46,'Raw Data'!$G$2:$G$1001,"Clothing")&gt;0)+(COUNTIFS('Raw Data'!$A$2:$A$1001,A46,'Raw Data'!$G$2:$G$1001,"Electronics")&gt;0)+(COUNTIFS('Raw Data'!$A$2:$A$1001,A46,'Raw Data'!$G$2:$G$1001,"Food")&gt;0)+(COUNTIFS('Raw Data'!$A$2:$A$1001,A46,'Raw Data'!$G$2:$G$1001,"Furniture")&gt;0)</f>
        <v>3</v>
      </c>
      <c r="E46" s="55">
        <f>COUNTIFS('Raw Data'!$A$2:$A$1001,A46,'Raw Data'!$G$2:$G$1001,"Electronics")</f>
        <v>3</v>
      </c>
      <c r="F46" s="55">
        <f>COUNTIFS('Raw Data'!$A$2:$A$1001,A46,'Raw Data'!$G$2:$G$1001,"Furniture")</f>
        <v>0</v>
      </c>
      <c r="G46" s="55">
        <f>IF(E46&gt;0,MAX(G$3:G45)+1,"")</f>
        <v>39</v>
      </c>
      <c r="H46" s="55" t="str">
        <f>IF(F46&gt;0,MAX(H$3:H45)+1,"")</f>
        <v/>
      </c>
      <c r="J46" s="55">
        <v>43</v>
      </c>
      <c r="K46" s="55">
        <f t="shared" si="3"/>
        <v>1048</v>
      </c>
      <c r="L46" s="55">
        <f t="shared" si="4"/>
        <v>1048</v>
      </c>
      <c r="M46" s="55">
        <f t="shared" si="5"/>
        <v>1048</v>
      </c>
    </row>
    <row r="47" spans="1:13" x14ac:dyDescent="0.2">
      <c r="A47" s="55">
        <v>1044</v>
      </c>
      <c r="B47" s="55">
        <f>COUNTIF('Raw Data'!$A$2:$A$1001,A47)</f>
        <v>10</v>
      </c>
      <c r="C47" s="57">
        <f>SUMIFS('Raw Data'!$E$2:$E$1001,'Raw Data'!$A$2:$A$1001,A47)</f>
        <v>58318.5</v>
      </c>
      <c r="D47" s="55">
        <f>(COUNTIFS('Raw Data'!$A$2:$A$1001,A47,'Raw Data'!$G$2:$G$1001,"Clothing")&gt;0)+(COUNTIFS('Raw Data'!$A$2:$A$1001,A47,'Raw Data'!$G$2:$G$1001,"Electronics")&gt;0)+(COUNTIFS('Raw Data'!$A$2:$A$1001,A47,'Raw Data'!$G$2:$G$1001,"Food")&gt;0)+(COUNTIFS('Raw Data'!$A$2:$A$1001,A47,'Raw Data'!$G$2:$G$1001,"Furniture")&gt;0)</f>
        <v>4</v>
      </c>
      <c r="E47" s="55">
        <f>COUNTIFS('Raw Data'!$A$2:$A$1001,A47,'Raw Data'!$G$2:$G$1001,"Electronics")</f>
        <v>3</v>
      </c>
      <c r="F47" s="55">
        <f>COUNTIFS('Raw Data'!$A$2:$A$1001,A47,'Raw Data'!$G$2:$G$1001,"Furniture")</f>
        <v>1</v>
      </c>
      <c r="G47" s="55">
        <f>IF(E47&gt;0,MAX(G$3:G46)+1,"")</f>
        <v>40</v>
      </c>
      <c r="H47" s="55">
        <f>IF(F47&gt;0,MAX(H$3:H46)+1,"")</f>
        <v>39</v>
      </c>
      <c r="J47" s="55">
        <v>44</v>
      </c>
      <c r="K47" s="55">
        <f t="shared" si="3"/>
        <v>1049</v>
      </c>
      <c r="L47" s="55">
        <f t="shared" si="4"/>
        <v>1049</v>
      </c>
      <c r="M47" s="55">
        <f t="shared" si="5"/>
        <v>1049</v>
      </c>
    </row>
    <row r="48" spans="1:13" x14ac:dyDescent="0.2">
      <c r="A48" s="55">
        <v>1045</v>
      </c>
      <c r="B48" s="55">
        <f>COUNTIF('Raw Data'!$A$2:$A$1001,A48)</f>
        <v>9</v>
      </c>
      <c r="C48" s="57">
        <f>SUMIFS('Raw Data'!$E$2:$E$1001,'Raw Data'!$A$2:$A$1001,A48)</f>
        <v>40108.81</v>
      </c>
      <c r="D48" s="55">
        <f>(COUNTIFS('Raw Data'!$A$2:$A$1001,A48,'Raw Data'!$G$2:$G$1001,"Clothing")&gt;0)+(COUNTIFS('Raw Data'!$A$2:$A$1001,A48,'Raw Data'!$G$2:$G$1001,"Electronics")&gt;0)+(COUNTIFS('Raw Data'!$A$2:$A$1001,A48,'Raw Data'!$G$2:$G$1001,"Food")&gt;0)+(COUNTIFS('Raw Data'!$A$2:$A$1001,A48,'Raw Data'!$G$2:$G$1001,"Furniture")&gt;0)</f>
        <v>4</v>
      </c>
      <c r="E48" s="55">
        <f>COUNTIFS('Raw Data'!$A$2:$A$1001,A48,'Raw Data'!$G$2:$G$1001,"Electronics")</f>
        <v>3</v>
      </c>
      <c r="F48" s="55">
        <f>COUNTIFS('Raw Data'!$A$2:$A$1001,A48,'Raw Data'!$G$2:$G$1001,"Furniture")</f>
        <v>1</v>
      </c>
      <c r="G48" s="55">
        <f>IF(E48&gt;0,MAX(G$3:G47)+1,"")</f>
        <v>41</v>
      </c>
      <c r="H48" s="55">
        <f>IF(F48&gt;0,MAX(H$3:H47)+1,"")</f>
        <v>40</v>
      </c>
      <c r="J48" s="55">
        <v>45</v>
      </c>
      <c r="K48" s="55">
        <f t="shared" si="3"/>
        <v>1050</v>
      </c>
      <c r="L48" s="55">
        <f t="shared" si="4"/>
        <v>1050</v>
      </c>
      <c r="M48" s="55">
        <f t="shared" si="5"/>
        <v>1050</v>
      </c>
    </row>
    <row r="49" spans="1:13" x14ac:dyDescent="0.2">
      <c r="A49" s="55">
        <v>1046</v>
      </c>
      <c r="B49" s="55">
        <f>COUNTIF('Raw Data'!$A$2:$A$1001,A49)</f>
        <v>7</v>
      </c>
      <c r="C49" s="57">
        <f>SUMIFS('Raw Data'!$E$2:$E$1001,'Raw Data'!$A$2:$A$1001,A49)</f>
        <v>33158.79</v>
      </c>
      <c r="D49" s="55">
        <f>(COUNTIFS('Raw Data'!$A$2:$A$1001,A49,'Raw Data'!$G$2:$G$1001,"Clothing")&gt;0)+(COUNTIFS('Raw Data'!$A$2:$A$1001,A49,'Raw Data'!$G$2:$G$1001,"Electronics")&gt;0)+(COUNTIFS('Raw Data'!$A$2:$A$1001,A49,'Raw Data'!$G$2:$G$1001,"Food")&gt;0)+(COUNTIFS('Raw Data'!$A$2:$A$1001,A49,'Raw Data'!$G$2:$G$1001,"Furniture")&gt;0)</f>
        <v>2</v>
      </c>
      <c r="E49" s="55">
        <f>COUNTIFS('Raw Data'!$A$2:$A$1001,A49,'Raw Data'!$G$2:$G$1001,"Electronics")</f>
        <v>0</v>
      </c>
      <c r="F49" s="55">
        <f>COUNTIFS('Raw Data'!$A$2:$A$1001,A49,'Raw Data'!$G$2:$G$1001,"Furniture")</f>
        <v>4</v>
      </c>
      <c r="G49" s="55" t="str">
        <f>IF(E49&gt;0,MAX(G$3:G48)+1,"")</f>
        <v/>
      </c>
      <c r="H49" s="55">
        <f>IF(F49&gt;0,MAX(H$3:H48)+1,"")</f>
        <v>41</v>
      </c>
      <c r="J49" s="55">
        <v>46</v>
      </c>
      <c r="K49" s="55">
        <f t="shared" si="3"/>
        <v>1051</v>
      </c>
      <c r="L49" s="55">
        <f t="shared" si="4"/>
        <v>1051</v>
      </c>
      <c r="M49" s="55">
        <f t="shared" si="5"/>
        <v>1051</v>
      </c>
    </row>
    <row r="50" spans="1:13" x14ac:dyDescent="0.2">
      <c r="A50" s="55">
        <v>1047</v>
      </c>
      <c r="B50" s="55">
        <f>COUNTIF('Raw Data'!$A$2:$A$1001,A50)</f>
        <v>12</v>
      </c>
      <c r="C50" s="57">
        <f>SUMIFS('Raw Data'!$E$2:$E$1001,'Raw Data'!$A$2:$A$1001,A50)</f>
        <v>60322.7</v>
      </c>
      <c r="D50" s="55">
        <f>(COUNTIFS('Raw Data'!$A$2:$A$1001,A50,'Raw Data'!$G$2:$G$1001,"Clothing")&gt;0)+(COUNTIFS('Raw Data'!$A$2:$A$1001,A50,'Raw Data'!$G$2:$G$1001,"Electronics")&gt;0)+(COUNTIFS('Raw Data'!$A$2:$A$1001,A50,'Raw Data'!$G$2:$G$1001,"Food")&gt;0)+(COUNTIFS('Raw Data'!$A$2:$A$1001,A50,'Raw Data'!$G$2:$G$1001,"Furniture")&gt;0)</f>
        <v>4</v>
      </c>
      <c r="E50" s="55">
        <f>COUNTIFS('Raw Data'!$A$2:$A$1001,A50,'Raw Data'!$G$2:$G$1001,"Electronics")</f>
        <v>4</v>
      </c>
      <c r="F50" s="55">
        <f>COUNTIFS('Raw Data'!$A$2:$A$1001,A50,'Raw Data'!$G$2:$G$1001,"Furniture")</f>
        <v>2</v>
      </c>
      <c r="G50" s="55">
        <f>IF(E50&gt;0,MAX(G$3:G49)+1,"")</f>
        <v>42</v>
      </c>
      <c r="H50" s="55">
        <f>IF(F50&gt;0,MAX(H$3:H49)+1,"")</f>
        <v>42</v>
      </c>
      <c r="J50" s="55">
        <v>47</v>
      </c>
      <c r="K50" s="55">
        <f t="shared" si="3"/>
        <v>1052</v>
      </c>
      <c r="L50" s="55">
        <f t="shared" si="4"/>
        <v>1052</v>
      </c>
      <c r="M50" s="55">
        <f t="shared" si="5"/>
        <v>1052</v>
      </c>
    </row>
    <row r="51" spans="1:13" x14ac:dyDescent="0.2">
      <c r="A51" s="55">
        <v>1048</v>
      </c>
      <c r="B51" s="55">
        <f>COUNTIF('Raw Data'!$A$2:$A$1001,A51)</f>
        <v>11</v>
      </c>
      <c r="C51" s="57">
        <f>SUMIFS('Raw Data'!$E$2:$E$1001,'Raw Data'!$A$2:$A$1001,A51)</f>
        <v>81496.820000000007</v>
      </c>
      <c r="D51" s="55">
        <f>(COUNTIFS('Raw Data'!$A$2:$A$1001,A51,'Raw Data'!$G$2:$G$1001,"Clothing")&gt;0)+(COUNTIFS('Raw Data'!$A$2:$A$1001,A51,'Raw Data'!$G$2:$G$1001,"Electronics")&gt;0)+(COUNTIFS('Raw Data'!$A$2:$A$1001,A51,'Raw Data'!$G$2:$G$1001,"Food")&gt;0)+(COUNTIFS('Raw Data'!$A$2:$A$1001,A51,'Raw Data'!$G$2:$G$1001,"Furniture")&gt;0)</f>
        <v>4</v>
      </c>
      <c r="E51" s="55">
        <f>COUNTIFS('Raw Data'!$A$2:$A$1001,A51,'Raw Data'!$G$2:$G$1001,"Electronics")</f>
        <v>5</v>
      </c>
      <c r="F51" s="55">
        <f>COUNTIFS('Raw Data'!$A$2:$A$1001,A51,'Raw Data'!$G$2:$G$1001,"Furniture")</f>
        <v>2</v>
      </c>
      <c r="G51" s="55">
        <f>IF(E51&gt;0,MAX(G$3:G50)+1,"")</f>
        <v>43</v>
      </c>
      <c r="H51" s="55">
        <f>IF(F51&gt;0,MAX(H$3:H50)+1,"")</f>
        <v>43</v>
      </c>
      <c r="J51" s="55">
        <v>48</v>
      </c>
      <c r="K51" s="55">
        <f t="shared" si="3"/>
        <v>1053</v>
      </c>
      <c r="L51" s="55">
        <f t="shared" si="4"/>
        <v>1053</v>
      </c>
      <c r="M51" s="55">
        <f t="shared" si="5"/>
        <v>1053</v>
      </c>
    </row>
    <row r="52" spans="1:13" x14ac:dyDescent="0.2">
      <c r="A52" s="55">
        <v>1049</v>
      </c>
      <c r="B52" s="55">
        <f>COUNTIF('Raw Data'!$A$2:$A$1001,A52)</f>
        <v>9</v>
      </c>
      <c r="C52" s="57">
        <f>SUMIFS('Raw Data'!$E$2:$E$1001,'Raw Data'!$A$2:$A$1001,A52)</f>
        <v>41917.86</v>
      </c>
      <c r="D52" s="55">
        <f>(COUNTIFS('Raw Data'!$A$2:$A$1001,A52,'Raw Data'!$G$2:$G$1001,"Clothing")&gt;0)+(COUNTIFS('Raw Data'!$A$2:$A$1001,A52,'Raw Data'!$G$2:$G$1001,"Electronics")&gt;0)+(COUNTIFS('Raw Data'!$A$2:$A$1001,A52,'Raw Data'!$G$2:$G$1001,"Food")&gt;0)+(COUNTIFS('Raw Data'!$A$2:$A$1001,A52,'Raw Data'!$G$2:$G$1001,"Furniture")&gt;0)</f>
        <v>4</v>
      </c>
      <c r="E52" s="55">
        <f>COUNTIFS('Raw Data'!$A$2:$A$1001,A52,'Raw Data'!$G$2:$G$1001,"Electronics")</f>
        <v>3</v>
      </c>
      <c r="F52" s="55">
        <f>COUNTIFS('Raw Data'!$A$2:$A$1001,A52,'Raw Data'!$G$2:$G$1001,"Furniture")</f>
        <v>2</v>
      </c>
      <c r="G52" s="55">
        <f>IF(E52&gt;0,MAX(G$3:G51)+1,"")</f>
        <v>44</v>
      </c>
      <c r="H52" s="55">
        <f>IF(F52&gt;0,MAX(H$3:H51)+1,"")</f>
        <v>44</v>
      </c>
      <c r="J52" s="55">
        <v>49</v>
      </c>
      <c r="K52" s="55">
        <f t="shared" si="3"/>
        <v>1054</v>
      </c>
      <c r="L52" s="55">
        <f t="shared" si="4"/>
        <v>1054</v>
      </c>
      <c r="M52" s="55">
        <f t="shared" si="5"/>
        <v>1054</v>
      </c>
    </row>
    <row r="53" spans="1:13" x14ac:dyDescent="0.2">
      <c r="A53" s="55">
        <v>1050</v>
      </c>
      <c r="B53" s="55">
        <f>COUNTIF('Raw Data'!$A$2:$A$1001,A53)</f>
        <v>9</v>
      </c>
      <c r="C53" s="57">
        <f>SUMIFS('Raw Data'!$E$2:$E$1001,'Raw Data'!$A$2:$A$1001,A53)</f>
        <v>56681.61</v>
      </c>
      <c r="D53" s="55">
        <f>(COUNTIFS('Raw Data'!$A$2:$A$1001,A53,'Raw Data'!$G$2:$G$1001,"Clothing")&gt;0)+(COUNTIFS('Raw Data'!$A$2:$A$1001,A53,'Raw Data'!$G$2:$G$1001,"Electronics")&gt;0)+(COUNTIFS('Raw Data'!$A$2:$A$1001,A53,'Raw Data'!$G$2:$G$1001,"Food")&gt;0)+(COUNTIFS('Raw Data'!$A$2:$A$1001,A53,'Raw Data'!$G$2:$G$1001,"Furniture")&gt;0)</f>
        <v>4</v>
      </c>
      <c r="E53" s="55">
        <f>COUNTIFS('Raw Data'!$A$2:$A$1001,A53,'Raw Data'!$G$2:$G$1001,"Electronics")</f>
        <v>1</v>
      </c>
      <c r="F53" s="55">
        <f>COUNTIFS('Raw Data'!$A$2:$A$1001,A53,'Raw Data'!$G$2:$G$1001,"Furniture")</f>
        <v>6</v>
      </c>
      <c r="G53" s="55">
        <f>IF(E53&gt;0,MAX(G$3:G52)+1,"")</f>
        <v>45</v>
      </c>
      <c r="H53" s="55">
        <f>IF(F53&gt;0,MAX(H$3:H52)+1,"")</f>
        <v>45</v>
      </c>
      <c r="J53" s="55">
        <v>50</v>
      </c>
      <c r="K53" s="55">
        <f t="shared" si="3"/>
        <v>1055</v>
      </c>
      <c r="L53" s="55">
        <f t="shared" si="4"/>
        <v>1055</v>
      </c>
      <c r="M53" s="55">
        <f t="shared" si="5"/>
        <v>1055</v>
      </c>
    </row>
    <row r="54" spans="1:13" x14ac:dyDescent="0.2">
      <c r="A54" s="55">
        <v>1051</v>
      </c>
      <c r="B54" s="55">
        <f>COUNTIF('Raw Data'!$A$2:$A$1001,A54)</f>
        <v>13</v>
      </c>
      <c r="C54" s="57">
        <f>SUMIFS('Raw Data'!$E$2:$E$1001,'Raw Data'!$A$2:$A$1001,A54)</f>
        <v>64199.86</v>
      </c>
      <c r="D54" s="55">
        <f>(COUNTIFS('Raw Data'!$A$2:$A$1001,A54,'Raw Data'!$G$2:$G$1001,"Clothing")&gt;0)+(COUNTIFS('Raw Data'!$A$2:$A$1001,A54,'Raw Data'!$G$2:$G$1001,"Electronics")&gt;0)+(COUNTIFS('Raw Data'!$A$2:$A$1001,A54,'Raw Data'!$G$2:$G$1001,"Food")&gt;0)+(COUNTIFS('Raw Data'!$A$2:$A$1001,A54,'Raw Data'!$G$2:$G$1001,"Furniture")&gt;0)</f>
        <v>4</v>
      </c>
      <c r="E54" s="55">
        <f>COUNTIFS('Raw Data'!$A$2:$A$1001,A54,'Raw Data'!$G$2:$G$1001,"Electronics")</f>
        <v>4</v>
      </c>
      <c r="F54" s="55">
        <f>COUNTIFS('Raw Data'!$A$2:$A$1001,A54,'Raw Data'!$G$2:$G$1001,"Furniture")</f>
        <v>4</v>
      </c>
      <c r="G54" s="55">
        <f>IF(E54&gt;0,MAX(G$3:G53)+1,"")</f>
        <v>46</v>
      </c>
      <c r="H54" s="55">
        <f>IF(F54&gt;0,MAX(H$3:H53)+1,"")</f>
        <v>46</v>
      </c>
      <c r="J54" s="55">
        <v>51</v>
      </c>
      <c r="K54" s="55">
        <f t="shared" si="3"/>
        <v>1056</v>
      </c>
      <c r="L54" s="55">
        <f t="shared" si="4"/>
        <v>1056</v>
      </c>
      <c r="M54" s="55">
        <f t="shared" si="5"/>
        <v>1056</v>
      </c>
    </row>
    <row r="55" spans="1:13" x14ac:dyDescent="0.2">
      <c r="A55" s="55">
        <v>1052</v>
      </c>
      <c r="B55" s="55">
        <f>COUNTIF('Raw Data'!$A$2:$A$1001,A55)</f>
        <v>12</v>
      </c>
      <c r="C55" s="57">
        <f>SUMIFS('Raw Data'!$E$2:$E$1001,'Raw Data'!$A$2:$A$1001,A55)</f>
        <v>65938.450000000012</v>
      </c>
      <c r="D55" s="55">
        <f>(COUNTIFS('Raw Data'!$A$2:$A$1001,A55,'Raw Data'!$G$2:$G$1001,"Clothing")&gt;0)+(COUNTIFS('Raw Data'!$A$2:$A$1001,A55,'Raw Data'!$G$2:$G$1001,"Electronics")&gt;0)+(COUNTIFS('Raw Data'!$A$2:$A$1001,A55,'Raw Data'!$G$2:$G$1001,"Food")&gt;0)+(COUNTIFS('Raw Data'!$A$2:$A$1001,A55,'Raw Data'!$G$2:$G$1001,"Furniture")&gt;0)</f>
        <v>4</v>
      </c>
      <c r="E55" s="55">
        <f>COUNTIFS('Raw Data'!$A$2:$A$1001,A55,'Raw Data'!$G$2:$G$1001,"Electronics")</f>
        <v>3</v>
      </c>
      <c r="F55" s="55">
        <f>COUNTIFS('Raw Data'!$A$2:$A$1001,A55,'Raw Data'!$G$2:$G$1001,"Furniture")</f>
        <v>4</v>
      </c>
      <c r="G55" s="55">
        <f>IF(E55&gt;0,MAX(G$3:G54)+1,"")</f>
        <v>47</v>
      </c>
      <c r="H55" s="55">
        <f>IF(F55&gt;0,MAX(H$3:H54)+1,"")</f>
        <v>47</v>
      </c>
      <c r="J55" s="55">
        <v>52</v>
      </c>
      <c r="K55" s="55">
        <f t="shared" si="3"/>
        <v>1057</v>
      </c>
      <c r="L55" s="55">
        <f t="shared" si="4"/>
        <v>1057</v>
      </c>
      <c r="M55" s="55">
        <f t="shared" si="5"/>
        <v>1057</v>
      </c>
    </row>
    <row r="56" spans="1:13" x14ac:dyDescent="0.2">
      <c r="A56" s="55">
        <v>1053</v>
      </c>
      <c r="B56" s="55">
        <f>COUNTIF('Raw Data'!$A$2:$A$1001,A56)</f>
        <v>11</v>
      </c>
      <c r="C56" s="57">
        <f>SUMIFS('Raw Data'!$E$2:$E$1001,'Raw Data'!$A$2:$A$1001,A56)</f>
        <v>53628.74</v>
      </c>
      <c r="D56" s="55">
        <f>(COUNTIFS('Raw Data'!$A$2:$A$1001,A56,'Raw Data'!$G$2:$G$1001,"Clothing")&gt;0)+(COUNTIFS('Raw Data'!$A$2:$A$1001,A56,'Raw Data'!$G$2:$G$1001,"Electronics")&gt;0)+(COUNTIFS('Raw Data'!$A$2:$A$1001,A56,'Raw Data'!$G$2:$G$1001,"Food")&gt;0)+(COUNTIFS('Raw Data'!$A$2:$A$1001,A56,'Raw Data'!$G$2:$G$1001,"Furniture")&gt;0)</f>
        <v>4</v>
      </c>
      <c r="E56" s="55">
        <f>COUNTIFS('Raw Data'!$A$2:$A$1001,A56,'Raw Data'!$G$2:$G$1001,"Electronics")</f>
        <v>3</v>
      </c>
      <c r="F56" s="55">
        <f>COUNTIFS('Raw Data'!$A$2:$A$1001,A56,'Raw Data'!$G$2:$G$1001,"Furniture")</f>
        <v>5</v>
      </c>
      <c r="G56" s="55">
        <f>IF(E56&gt;0,MAX(G$3:G55)+1,"")</f>
        <v>48</v>
      </c>
      <c r="H56" s="55">
        <f>IF(F56&gt;0,MAX(H$3:H55)+1,"")</f>
        <v>48</v>
      </c>
      <c r="J56" s="55">
        <v>53</v>
      </c>
      <c r="K56" s="55">
        <f t="shared" si="3"/>
        <v>1058</v>
      </c>
      <c r="L56" s="55">
        <f t="shared" si="4"/>
        <v>1058</v>
      </c>
      <c r="M56" s="55">
        <f t="shared" si="5"/>
        <v>1058</v>
      </c>
    </row>
    <row r="57" spans="1:13" x14ac:dyDescent="0.2">
      <c r="A57" s="55">
        <v>1054</v>
      </c>
      <c r="B57" s="55">
        <f>COUNTIF('Raw Data'!$A$2:$A$1001,A57)</f>
        <v>12</v>
      </c>
      <c r="C57" s="57">
        <f>SUMIFS('Raw Data'!$E$2:$E$1001,'Raw Data'!$A$2:$A$1001,A57)</f>
        <v>59543.86</v>
      </c>
      <c r="D57" s="55">
        <f>(COUNTIFS('Raw Data'!$A$2:$A$1001,A57,'Raw Data'!$G$2:$G$1001,"Clothing")&gt;0)+(COUNTIFS('Raw Data'!$A$2:$A$1001,A57,'Raw Data'!$G$2:$G$1001,"Electronics")&gt;0)+(COUNTIFS('Raw Data'!$A$2:$A$1001,A57,'Raw Data'!$G$2:$G$1001,"Food")&gt;0)+(COUNTIFS('Raw Data'!$A$2:$A$1001,A57,'Raw Data'!$G$2:$G$1001,"Furniture")&gt;0)</f>
        <v>4</v>
      </c>
      <c r="E57" s="55">
        <f>COUNTIFS('Raw Data'!$A$2:$A$1001,A57,'Raw Data'!$G$2:$G$1001,"Electronics")</f>
        <v>4</v>
      </c>
      <c r="F57" s="55">
        <f>COUNTIFS('Raw Data'!$A$2:$A$1001,A57,'Raw Data'!$G$2:$G$1001,"Furniture")</f>
        <v>2</v>
      </c>
      <c r="G57" s="55">
        <f>IF(E57&gt;0,MAX(G$3:G56)+1,"")</f>
        <v>49</v>
      </c>
      <c r="H57" s="55">
        <f>IF(F57&gt;0,MAX(H$3:H56)+1,"")</f>
        <v>49</v>
      </c>
      <c r="J57" s="55">
        <v>54</v>
      </c>
      <c r="K57" s="55">
        <f t="shared" si="3"/>
        <v>1059</v>
      </c>
      <c r="L57" s="55">
        <f t="shared" si="4"/>
        <v>1059</v>
      </c>
      <c r="M57" s="55">
        <f t="shared" si="5"/>
        <v>1059</v>
      </c>
    </row>
    <row r="58" spans="1:13" x14ac:dyDescent="0.2">
      <c r="A58" s="55">
        <v>1055</v>
      </c>
      <c r="B58" s="55">
        <f>COUNTIF('Raw Data'!$A$2:$A$1001,A58)</f>
        <v>7</v>
      </c>
      <c r="C58" s="57">
        <f>SUMIFS('Raw Data'!$E$2:$E$1001,'Raw Data'!$A$2:$A$1001,A58)</f>
        <v>28872.02</v>
      </c>
      <c r="D58" s="55">
        <f>(COUNTIFS('Raw Data'!$A$2:$A$1001,A58,'Raw Data'!$G$2:$G$1001,"Clothing")&gt;0)+(COUNTIFS('Raw Data'!$A$2:$A$1001,A58,'Raw Data'!$G$2:$G$1001,"Electronics")&gt;0)+(COUNTIFS('Raw Data'!$A$2:$A$1001,A58,'Raw Data'!$G$2:$G$1001,"Food")&gt;0)+(COUNTIFS('Raw Data'!$A$2:$A$1001,A58,'Raw Data'!$G$2:$G$1001,"Furniture")&gt;0)</f>
        <v>3</v>
      </c>
      <c r="E58" s="55">
        <f>COUNTIFS('Raw Data'!$A$2:$A$1001,A58,'Raw Data'!$G$2:$G$1001,"Electronics")</f>
        <v>2</v>
      </c>
      <c r="F58" s="55">
        <f>COUNTIFS('Raw Data'!$A$2:$A$1001,A58,'Raw Data'!$G$2:$G$1001,"Furniture")</f>
        <v>3</v>
      </c>
      <c r="G58" s="55">
        <f>IF(E58&gt;0,MAX(G$3:G57)+1,"")</f>
        <v>50</v>
      </c>
      <c r="H58" s="55">
        <f>IF(F58&gt;0,MAX(H$3:H57)+1,"")</f>
        <v>50</v>
      </c>
      <c r="J58" s="55">
        <v>55</v>
      </c>
      <c r="K58" s="55">
        <f t="shared" si="3"/>
        <v>1060</v>
      </c>
      <c r="L58" s="55">
        <f t="shared" si="4"/>
        <v>1060</v>
      </c>
      <c r="M58" s="55">
        <f t="shared" si="5"/>
        <v>1060</v>
      </c>
    </row>
    <row r="59" spans="1:13" x14ac:dyDescent="0.2">
      <c r="A59" s="55">
        <v>1056</v>
      </c>
      <c r="B59" s="55">
        <f>COUNTIF('Raw Data'!$A$2:$A$1001,A59)</f>
        <v>9</v>
      </c>
      <c r="C59" s="57">
        <f>SUMIFS('Raw Data'!$E$2:$E$1001,'Raw Data'!$A$2:$A$1001,A59)</f>
        <v>58055</v>
      </c>
      <c r="D59" s="55">
        <f>(COUNTIFS('Raw Data'!$A$2:$A$1001,A59,'Raw Data'!$G$2:$G$1001,"Clothing")&gt;0)+(COUNTIFS('Raw Data'!$A$2:$A$1001,A59,'Raw Data'!$G$2:$G$1001,"Electronics")&gt;0)+(COUNTIFS('Raw Data'!$A$2:$A$1001,A59,'Raw Data'!$G$2:$G$1001,"Food")&gt;0)+(COUNTIFS('Raw Data'!$A$2:$A$1001,A59,'Raw Data'!$G$2:$G$1001,"Furniture")&gt;0)</f>
        <v>4</v>
      </c>
      <c r="E59" s="55">
        <f>COUNTIFS('Raw Data'!$A$2:$A$1001,A59,'Raw Data'!$G$2:$G$1001,"Electronics")</f>
        <v>1</v>
      </c>
      <c r="F59" s="55">
        <f>COUNTIFS('Raw Data'!$A$2:$A$1001,A59,'Raw Data'!$G$2:$G$1001,"Furniture")</f>
        <v>3</v>
      </c>
      <c r="G59" s="55">
        <f>IF(E59&gt;0,MAX(G$3:G58)+1,"")</f>
        <v>51</v>
      </c>
      <c r="H59" s="55">
        <f>IF(F59&gt;0,MAX(H$3:H58)+1,"")</f>
        <v>51</v>
      </c>
      <c r="J59" s="55">
        <v>56</v>
      </c>
      <c r="K59" s="55">
        <f t="shared" si="3"/>
        <v>1061</v>
      </c>
      <c r="L59" s="55">
        <f t="shared" si="4"/>
        <v>1061</v>
      </c>
      <c r="M59" s="55">
        <f t="shared" si="5"/>
        <v>1061</v>
      </c>
    </row>
    <row r="60" spans="1:13" x14ac:dyDescent="0.2">
      <c r="A60" s="55">
        <v>1057</v>
      </c>
      <c r="B60" s="55">
        <f>COUNTIF('Raw Data'!$A$2:$A$1001,A60)</f>
        <v>9</v>
      </c>
      <c r="C60" s="57">
        <f>SUMIFS('Raw Data'!$E$2:$E$1001,'Raw Data'!$A$2:$A$1001,A60)</f>
        <v>37865.269999999997</v>
      </c>
      <c r="D60" s="55">
        <f>(COUNTIFS('Raw Data'!$A$2:$A$1001,A60,'Raw Data'!$G$2:$G$1001,"Clothing")&gt;0)+(COUNTIFS('Raw Data'!$A$2:$A$1001,A60,'Raw Data'!$G$2:$G$1001,"Electronics")&gt;0)+(COUNTIFS('Raw Data'!$A$2:$A$1001,A60,'Raw Data'!$G$2:$G$1001,"Food")&gt;0)+(COUNTIFS('Raw Data'!$A$2:$A$1001,A60,'Raw Data'!$G$2:$G$1001,"Furniture")&gt;0)</f>
        <v>4</v>
      </c>
      <c r="E60" s="55">
        <f>COUNTIFS('Raw Data'!$A$2:$A$1001,A60,'Raw Data'!$G$2:$G$1001,"Electronics")</f>
        <v>1</v>
      </c>
      <c r="F60" s="55">
        <f>COUNTIFS('Raw Data'!$A$2:$A$1001,A60,'Raw Data'!$G$2:$G$1001,"Furniture")</f>
        <v>3</v>
      </c>
      <c r="G60" s="55">
        <f>IF(E60&gt;0,MAX(G$3:G59)+1,"")</f>
        <v>52</v>
      </c>
      <c r="H60" s="55">
        <f>IF(F60&gt;0,MAX(H$3:H59)+1,"")</f>
        <v>52</v>
      </c>
      <c r="J60" s="55">
        <v>57</v>
      </c>
      <c r="K60" s="55">
        <f t="shared" si="3"/>
        <v>1062</v>
      </c>
      <c r="L60" s="55">
        <f t="shared" si="4"/>
        <v>1062</v>
      </c>
      <c r="M60" s="55">
        <f t="shared" si="5"/>
        <v>1062</v>
      </c>
    </row>
    <row r="61" spans="1:13" x14ac:dyDescent="0.2">
      <c r="A61" s="55">
        <v>1058</v>
      </c>
      <c r="B61" s="55">
        <f>COUNTIF('Raw Data'!$A$2:$A$1001,A61)</f>
        <v>15</v>
      </c>
      <c r="C61" s="57">
        <f>SUMIFS('Raw Data'!$E$2:$E$1001,'Raw Data'!$A$2:$A$1001,A61)</f>
        <v>63234.39</v>
      </c>
      <c r="D61" s="55">
        <f>(COUNTIFS('Raw Data'!$A$2:$A$1001,A61,'Raw Data'!$G$2:$G$1001,"Clothing")&gt;0)+(COUNTIFS('Raw Data'!$A$2:$A$1001,A61,'Raw Data'!$G$2:$G$1001,"Electronics")&gt;0)+(COUNTIFS('Raw Data'!$A$2:$A$1001,A61,'Raw Data'!$G$2:$G$1001,"Food")&gt;0)+(COUNTIFS('Raw Data'!$A$2:$A$1001,A61,'Raw Data'!$G$2:$G$1001,"Furniture")&gt;0)</f>
        <v>4</v>
      </c>
      <c r="E61" s="55">
        <f>COUNTIFS('Raw Data'!$A$2:$A$1001,A61,'Raw Data'!$G$2:$G$1001,"Electronics")</f>
        <v>3</v>
      </c>
      <c r="F61" s="55">
        <f>COUNTIFS('Raw Data'!$A$2:$A$1001,A61,'Raw Data'!$G$2:$G$1001,"Furniture")</f>
        <v>5</v>
      </c>
      <c r="G61" s="55">
        <f>IF(E61&gt;0,MAX(G$3:G60)+1,"")</f>
        <v>53</v>
      </c>
      <c r="H61" s="55">
        <f>IF(F61&gt;0,MAX(H$3:H60)+1,"")</f>
        <v>53</v>
      </c>
      <c r="J61" s="55">
        <v>58</v>
      </c>
      <c r="K61" s="55">
        <f t="shared" si="3"/>
        <v>1063</v>
      </c>
      <c r="L61" s="55">
        <f t="shared" si="4"/>
        <v>1063</v>
      </c>
      <c r="M61" s="55">
        <f t="shared" si="5"/>
        <v>1063</v>
      </c>
    </row>
    <row r="62" spans="1:13" x14ac:dyDescent="0.2">
      <c r="A62" s="55">
        <v>1059</v>
      </c>
      <c r="B62" s="55">
        <f>COUNTIF('Raw Data'!$A$2:$A$1001,A62)</f>
        <v>10</v>
      </c>
      <c r="C62" s="57">
        <f>SUMIFS('Raw Data'!$E$2:$E$1001,'Raw Data'!$A$2:$A$1001,A62)</f>
        <v>45467.600000000006</v>
      </c>
      <c r="D62" s="55">
        <f>(COUNTIFS('Raw Data'!$A$2:$A$1001,A62,'Raw Data'!$G$2:$G$1001,"Clothing")&gt;0)+(COUNTIFS('Raw Data'!$A$2:$A$1001,A62,'Raw Data'!$G$2:$G$1001,"Electronics")&gt;0)+(COUNTIFS('Raw Data'!$A$2:$A$1001,A62,'Raw Data'!$G$2:$G$1001,"Food")&gt;0)+(COUNTIFS('Raw Data'!$A$2:$A$1001,A62,'Raw Data'!$G$2:$G$1001,"Furniture")&gt;0)</f>
        <v>4</v>
      </c>
      <c r="E62" s="55">
        <f>COUNTIFS('Raw Data'!$A$2:$A$1001,A62,'Raw Data'!$G$2:$G$1001,"Electronics")</f>
        <v>4</v>
      </c>
      <c r="F62" s="55">
        <f>COUNTIFS('Raw Data'!$A$2:$A$1001,A62,'Raw Data'!$G$2:$G$1001,"Furniture")</f>
        <v>2</v>
      </c>
      <c r="G62" s="55">
        <f>IF(E62&gt;0,MAX(G$3:G61)+1,"")</f>
        <v>54</v>
      </c>
      <c r="H62" s="55">
        <f>IF(F62&gt;0,MAX(H$3:H61)+1,"")</f>
        <v>54</v>
      </c>
      <c r="J62" s="55">
        <v>59</v>
      </c>
      <c r="K62" s="55">
        <f t="shared" si="3"/>
        <v>1064</v>
      </c>
      <c r="L62" s="55">
        <f t="shared" si="4"/>
        <v>1065</v>
      </c>
      <c r="M62" s="55" t="str">
        <f t="shared" si="5"/>
        <v/>
      </c>
    </row>
    <row r="63" spans="1:13" x14ac:dyDescent="0.2">
      <c r="A63" s="55">
        <v>1060</v>
      </c>
      <c r="B63" s="55">
        <f>COUNTIF('Raw Data'!$A$2:$A$1001,A63)</f>
        <v>11</v>
      </c>
      <c r="C63" s="57">
        <f>SUMIFS('Raw Data'!$E$2:$E$1001,'Raw Data'!$A$2:$A$1001,A63)</f>
        <v>46756.11</v>
      </c>
      <c r="D63" s="55">
        <f>(COUNTIFS('Raw Data'!$A$2:$A$1001,A63,'Raw Data'!$G$2:$G$1001,"Clothing")&gt;0)+(COUNTIFS('Raw Data'!$A$2:$A$1001,A63,'Raw Data'!$G$2:$G$1001,"Electronics")&gt;0)+(COUNTIFS('Raw Data'!$A$2:$A$1001,A63,'Raw Data'!$G$2:$G$1001,"Food")&gt;0)+(COUNTIFS('Raw Data'!$A$2:$A$1001,A63,'Raw Data'!$G$2:$G$1001,"Furniture")&gt;0)</f>
        <v>3</v>
      </c>
      <c r="E63" s="55">
        <f>COUNTIFS('Raw Data'!$A$2:$A$1001,A63,'Raw Data'!$G$2:$G$1001,"Electronics")</f>
        <v>4</v>
      </c>
      <c r="F63" s="55">
        <f>COUNTIFS('Raw Data'!$A$2:$A$1001,A63,'Raw Data'!$G$2:$G$1001,"Furniture")</f>
        <v>2</v>
      </c>
      <c r="G63" s="55">
        <f>IF(E63&gt;0,MAX(G$3:G62)+1,"")</f>
        <v>55</v>
      </c>
      <c r="H63" s="55">
        <f>IF(F63&gt;0,MAX(H$3:H62)+1,"")</f>
        <v>55</v>
      </c>
      <c r="J63" s="55">
        <v>60</v>
      </c>
      <c r="K63" s="55">
        <f t="shared" si="3"/>
        <v>1065</v>
      </c>
      <c r="L63" s="55">
        <f t="shared" si="4"/>
        <v>1066</v>
      </c>
      <c r="M63" s="55">
        <f t="shared" si="5"/>
        <v>1065</v>
      </c>
    </row>
    <row r="64" spans="1:13" x14ac:dyDescent="0.2">
      <c r="A64" s="55">
        <v>1061</v>
      </c>
      <c r="B64" s="55">
        <f>COUNTIF('Raw Data'!$A$2:$A$1001,A64)</f>
        <v>12</v>
      </c>
      <c r="C64" s="57">
        <f>SUMIFS('Raw Data'!$E$2:$E$1001,'Raw Data'!$A$2:$A$1001,A64)</f>
        <v>62727.089999999989</v>
      </c>
      <c r="D64" s="55">
        <f>(COUNTIFS('Raw Data'!$A$2:$A$1001,A64,'Raw Data'!$G$2:$G$1001,"Clothing")&gt;0)+(COUNTIFS('Raw Data'!$A$2:$A$1001,A64,'Raw Data'!$G$2:$G$1001,"Electronics")&gt;0)+(COUNTIFS('Raw Data'!$A$2:$A$1001,A64,'Raw Data'!$G$2:$G$1001,"Food")&gt;0)+(COUNTIFS('Raw Data'!$A$2:$A$1001,A64,'Raw Data'!$G$2:$G$1001,"Furniture")&gt;0)</f>
        <v>4</v>
      </c>
      <c r="E64" s="55">
        <f>COUNTIFS('Raw Data'!$A$2:$A$1001,A64,'Raw Data'!$G$2:$G$1001,"Electronics")</f>
        <v>3</v>
      </c>
      <c r="F64" s="55">
        <f>COUNTIFS('Raw Data'!$A$2:$A$1001,A64,'Raw Data'!$G$2:$G$1001,"Furniture")</f>
        <v>3</v>
      </c>
      <c r="G64" s="55">
        <f>IF(E64&gt;0,MAX(G$3:G63)+1,"")</f>
        <v>56</v>
      </c>
      <c r="H64" s="55">
        <f>IF(F64&gt;0,MAX(H$3:H63)+1,"")</f>
        <v>56</v>
      </c>
      <c r="J64" s="55">
        <v>61</v>
      </c>
      <c r="K64" s="55">
        <f t="shared" si="3"/>
        <v>1066</v>
      </c>
      <c r="L64" s="55">
        <f t="shared" si="4"/>
        <v>1067</v>
      </c>
      <c r="M64" s="55">
        <f t="shared" si="5"/>
        <v>1066</v>
      </c>
    </row>
    <row r="65" spans="1:13" x14ac:dyDescent="0.2">
      <c r="A65" s="55">
        <v>1062</v>
      </c>
      <c r="B65" s="55">
        <f>COUNTIF('Raw Data'!$A$2:$A$1001,A65)</f>
        <v>19</v>
      </c>
      <c r="C65" s="57">
        <f>SUMIFS('Raw Data'!$E$2:$E$1001,'Raw Data'!$A$2:$A$1001,A65)</f>
        <v>76696.759999999995</v>
      </c>
      <c r="D65" s="55">
        <f>(COUNTIFS('Raw Data'!$A$2:$A$1001,A65,'Raw Data'!$G$2:$G$1001,"Clothing")&gt;0)+(COUNTIFS('Raw Data'!$A$2:$A$1001,A65,'Raw Data'!$G$2:$G$1001,"Electronics")&gt;0)+(COUNTIFS('Raw Data'!$A$2:$A$1001,A65,'Raw Data'!$G$2:$G$1001,"Food")&gt;0)+(COUNTIFS('Raw Data'!$A$2:$A$1001,A65,'Raw Data'!$G$2:$G$1001,"Furniture")&gt;0)</f>
        <v>4</v>
      </c>
      <c r="E65" s="55">
        <f>COUNTIFS('Raw Data'!$A$2:$A$1001,A65,'Raw Data'!$G$2:$G$1001,"Electronics")</f>
        <v>8</v>
      </c>
      <c r="F65" s="55">
        <f>COUNTIFS('Raw Data'!$A$2:$A$1001,A65,'Raw Data'!$G$2:$G$1001,"Furniture")</f>
        <v>3</v>
      </c>
      <c r="G65" s="55">
        <f>IF(E65&gt;0,MAX(G$3:G64)+1,"")</f>
        <v>57</v>
      </c>
      <c r="H65" s="55">
        <f>IF(F65&gt;0,MAX(H$3:H64)+1,"")</f>
        <v>57</v>
      </c>
      <c r="J65" s="55">
        <v>62</v>
      </c>
      <c r="K65" s="55">
        <f t="shared" si="3"/>
        <v>1067</v>
      </c>
      <c r="L65" s="55">
        <f t="shared" si="4"/>
        <v>1069</v>
      </c>
      <c r="M65" s="55">
        <f t="shared" si="5"/>
        <v>1067</v>
      </c>
    </row>
    <row r="66" spans="1:13" x14ac:dyDescent="0.2">
      <c r="A66" s="55">
        <v>1063</v>
      </c>
      <c r="B66" s="55">
        <f>COUNTIF('Raw Data'!$A$2:$A$1001,A66)</f>
        <v>13</v>
      </c>
      <c r="C66" s="57">
        <f>SUMIFS('Raw Data'!$E$2:$E$1001,'Raw Data'!$A$2:$A$1001,A66)</f>
        <v>74874.63</v>
      </c>
      <c r="D66" s="55">
        <f>(COUNTIFS('Raw Data'!$A$2:$A$1001,A66,'Raw Data'!$G$2:$G$1001,"Clothing")&gt;0)+(COUNTIFS('Raw Data'!$A$2:$A$1001,A66,'Raw Data'!$G$2:$G$1001,"Electronics")&gt;0)+(COUNTIFS('Raw Data'!$A$2:$A$1001,A66,'Raw Data'!$G$2:$G$1001,"Food")&gt;0)+(COUNTIFS('Raw Data'!$A$2:$A$1001,A66,'Raw Data'!$G$2:$G$1001,"Furniture")&gt;0)</f>
        <v>4</v>
      </c>
      <c r="E66" s="55">
        <f>COUNTIFS('Raw Data'!$A$2:$A$1001,A66,'Raw Data'!$G$2:$G$1001,"Electronics")</f>
        <v>5</v>
      </c>
      <c r="F66" s="55">
        <f>COUNTIFS('Raw Data'!$A$2:$A$1001,A66,'Raw Data'!$G$2:$G$1001,"Furniture")</f>
        <v>1</v>
      </c>
      <c r="G66" s="55">
        <f>IF(E66&gt;0,MAX(G$3:G65)+1,"")</f>
        <v>58</v>
      </c>
      <c r="H66" s="55">
        <f>IF(F66&gt;0,MAX(H$3:H65)+1,"")</f>
        <v>58</v>
      </c>
      <c r="J66" s="55">
        <v>63</v>
      </c>
      <c r="K66" s="55">
        <f t="shared" si="3"/>
        <v>1069</v>
      </c>
      <c r="L66" s="55">
        <f t="shared" si="4"/>
        <v>1070</v>
      </c>
      <c r="M66" s="55">
        <f t="shared" si="5"/>
        <v>1069</v>
      </c>
    </row>
    <row r="67" spans="1:13" x14ac:dyDescent="0.2">
      <c r="A67" s="55">
        <v>1064</v>
      </c>
      <c r="B67" s="55">
        <f>COUNTIF('Raw Data'!$A$2:$A$1001,A67)</f>
        <v>9</v>
      </c>
      <c r="C67" s="57">
        <f>SUMIFS('Raw Data'!$E$2:$E$1001,'Raw Data'!$A$2:$A$1001,A67)</f>
        <v>37444.869999999995</v>
      </c>
      <c r="D67" s="55">
        <f>(COUNTIFS('Raw Data'!$A$2:$A$1001,A67,'Raw Data'!$G$2:$G$1001,"Clothing")&gt;0)+(COUNTIFS('Raw Data'!$A$2:$A$1001,A67,'Raw Data'!$G$2:$G$1001,"Electronics")&gt;0)+(COUNTIFS('Raw Data'!$A$2:$A$1001,A67,'Raw Data'!$G$2:$G$1001,"Food")&gt;0)+(COUNTIFS('Raw Data'!$A$2:$A$1001,A67,'Raw Data'!$G$2:$G$1001,"Furniture")&gt;0)</f>
        <v>3</v>
      </c>
      <c r="E67" s="55">
        <f>COUNTIFS('Raw Data'!$A$2:$A$1001,A67,'Raw Data'!$G$2:$G$1001,"Electronics")</f>
        <v>4</v>
      </c>
      <c r="F67" s="55">
        <f>COUNTIFS('Raw Data'!$A$2:$A$1001,A67,'Raw Data'!$G$2:$G$1001,"Furniture")</f>
        <v>0</v>
      </c>
      <c r="G67" s="55">
        <f>IF(E67&gt;0,MAX(G$3:G66)+1,"")</f>
        <v>59</v>
      </c>
      <c r="H67" s="55" t="str">
        <f>IF(F67&gt;0,MAX(H$3:H66)+1,"")</f>
        <v/>
      </c>
      <c r="J67" s="55">
        <v>64</v>
      </c>
      <c r="K67" s="55">
        <f t="shared" si="3"/>
        <v>1070</v>
      </c>
      <c r="L67" s="55">
        <f t="shared" si="4"/>
        <v>1071</v>
      </c>
      <c r="M67" s="55">
        <f t="shared" si="5"/>
        <v>1070</v>
      </c>
    </row>
    <row r="68" spans="1:13" x14ac:dyDescent="0.2">
      <c r="A68" s="55">
        <v>1065</v>
      </c>
      <c r="B68" s="55">
        <f>COUNTIF('Raw Data'!$A$2:$A$1001,A68)</f>
        <v>8</v>
      </c>
      <c r="C68" s="57">
        <f>SUMIFS('Raw Data'!$E$2:$E$1001,'Raw Data'!$A$2:$A$1001,A68)</f>
        <v>50350.080000000002</v>
      </c>
      <c r="D68" s="55">
        <f>(COUNTIFS('Raw Data'!$A$2:$A$1001,A68,'Raw Data'!$G$2:$G$1001,"Clothing")&gt;0)+(COUNTIFS('Raw Data'!$A$2:$A$1001,A68,'Raw Data'!$G$2:$G$1001,"Electronics")&gt;0)+(COUNTIFS('Raw Data'!$A$2:$A$1001,A68,'Raw Data'!$G$2:$G$1001,"Food")&gt;0)+(COUNTIFS('Raw Data'!$A$2:$A$1001,A68,'Raw Data'!$G$2:$G$1001,"Furniture")&gt;0)</f>
        <v>4</v>
      </c>
      <c r="E68" s="55">
        <f>COUNTIFS('Raw Data'!$A$2:$A$1001,A68,'Raw Data'!$G$2:$G$1001,"Electronics")</f>
        <v>1</v>
      </c>
      <c r="F68" s="55">
        <f>COUNTIFS('Raw Data'!$A$2:$A$1001,A68,'Raw Data'!$G$2:$G$1001,"Furniture")</f>
        <v>2</v>
      </c>
      <c r="G68" s="55">
        <f>IF(E68&gt;0,MAX(G$3:G67)+1,"")</f>
        <v>60</v>
      </c>
      <c r="H68" s="55">
        <f>IF(F68&gt;0,MAX(H$3:H67)+1,"")</f>
        <v>59</v>
      </c>
      <c r="J68" s="55">
        <v>65</v>
      </c>
      <c r="K68" s="55">
        <f t="shared" ref="K68:K99" si="6">IFERROR(INDEX($A$4:$A$103,MATCH(J68,$G$4:$G$103,0)),"")</f>
        <v>1071</v>
      </c>
      <c r="L68" s="55">
        <f t="shared" ref="L68:L103" si="7">IFERROR(INDEX($A$4:$A$103,MATCH(J68,$H$4:$H$103,0)),"")</f>
        <v>1072</v>
      </c>
      <c r="M68" s="55">
        <f t="shared" ref="M68:M103" si="8">IF(K68="","",IF(COUNTIF($L$4:$L$103,K68)&gt;0,K68,""))</f>
        <v>1071</v>
      </c>
    </row>
    <row r="69" spans="1:13" x14ac:dyDescent="0.2">
      <c r="A69" s="55">
        <v>1066</v>
      </c>
      <c r="B69" s="55">
        <f>COUNTIF('Raw Data'!$A$2:$A$1001,A69)</f>
        <v>8</v>
      </c>
      <c r="C69" s="57">
        <f>SUMIFS('Raw Data'!$E$2:$E$1001,'Raw Data'!$A$2:$A$1001,A69)</f>
        <v>45099.48</v>
      </c>
      <c r="D69" s="55">
        <f>(COUNTIFS('Raw Data'!$A$2:$A$1001,A69,'Raw Data'!$G$2:$G$1001,"Clothing")&gt;0)+(COUNTIFS('Raw Data'!$A$2:$A$1001,A69,'Raw Data'!$G$2:$G$1001,"Electronics")&gt;0)+(COUNTIFS('Raw Data'!$A$2:$A$1001,A69,'Raw Data'!$G$2:$G$1001,"Food")&gt;0)+(COUNTIFS('Raw Data'!$A$2:$A$1001,A69,'Raw Data'!$G$2:$G$1001,"Furniture")&gt;0)</f>
        <v>4</v>
      </c>
      <c r="E69" s="55">
        <f>COUNTIFS('Raw Data'!$A$2:$A$1001,A69,'Raw Data'!$G$2:$G$1001,"Electronics")</f>
        <v>1</v>
      </c>
      <c r="F69" s="55">
        <f>COUNTIFS('Raw Data'!$A$2:$A$1001,A69,'Raw Data'!$G$2:$G$1001,"Furniture")</f>
        <v>4</v>
      </c>
      <c r="G69" s="55">
        <f>IF(E69&gt;0,MAX(G$3:G68)+1,"")</f>
        <v>61</v>
      </c>
      <c r="H69" s="55">
        <f>IF(F69&gt;0,MAX(H$3:H68)+1,"")</f>
        <v>60</v>
      </c>
      <c r="J69" s="55">
        <v>66</v>
      </c>
      <c r="K69" s="55">
        <f t="shared" si="6"/>
        <v>1072</v>
      </c>
      <c r="L69" s="55">
        <f t="shared" si="7"/>
        <v>1073</v>
      </c>
      <c r="M69" s="55">
        <f t="shared" si="8"/>
        <v>1072</v>
      </c>
    </row>
    <row r="70" spans="1:13" x14ac:dyDescent="0.2">
      <c r="A70" s="55">
        <v>1067</v>
      </c>
      <c r="B70" s="55">
        <f>COUNTIF('Raw Data'!$A$2:$A$1001,A70)</f>
        <v>10</v>
      </c>
      <c r="C70" s="57">
        <f>SUMIFS('Raw Data'!$E$2:$E$1001,'Raw Data'!$A$2:$A$1001,A70)</f>
        <v>44611</v>
      </c>
      <c r="D70" s="55">
        <f>(COUNTIFS('Raw Data'!$A$2:$A$1001,A70,'Raw Data'!$G$2:$G$1001,"Clothing")&gt;0)+(COUNTIFS('Raw Data'!$A$2:$A$1001,A70,'Raw Data'!$G$2:$G$1001,"Electronics")&gt;0)+(COUNTIFS('Raw Data'!$A$2:$A$1001,A70,'Raw Data'!$G$2:$G$1001,"Food")&gt;0)+(COUNTIFS('Raw Data'!$A$2:$A$1001,A70,'Raw Data'!$G$2:$G$1001,"Furniture")&gt;0)</f>
        <v>4</v>
      </c>
      <c r="E70" s="55">
        <f>COUNTIFS('Raw Data'!$A$2:$A$1001,A70,'Raw Data'!$G$2:$G$1001,"Electronics")</f>
        <v>3</v>
      </c>
      <c r="F70" s="55">
        <f>COUNTIFS('Raw Data'!$A$2:$A$1001,A70,'Raw Data'!$G$2:$G$1001,"Furniture")</f>
        <v>3</v>
      </c>
      <c r="G70" s="55">
        <f>IF(E70&gt;0,MAX(G$3:G69)+1,"")</f>
        <v>62</v>
      </c>
      <c r="H70" s="55">
        <f>IF(F70&gt;0,MAX(H$3:H69)+1,"")</f>
        <v>61</v>
      </c>
      <c r="J70" s="55">
        <v>67</v>
      </c>
      <c r="K70" s="55">
        <f t="shared" si="6"/>
        <v>1075</v>
      </c>
      <c r="L70" s="55">
        <f t="shared" si="7"/>
        <v>1074</v>
      </c>
      <c r="M70" s="55">
        <f t="shared" si="8"/>
        <v>1075</v>
      </c>
    </row>
    <row r="71" spans="1:13" x14ac:dyDescent="0.2">
      <c r="A71" s="55">
        <v>1068</v>
      </c>
      <c r="B71" s="55">
        <f>COUNTIF('Raw Data'!$A$2:$A$1001,A71)</f>
        <v>5</v>
      </c>
      <c r="C71" s="57">
        <f>SUMIFS('Raw Data'!$E$2:$E$1001,'Raw Data'!$A$2:$A$1001,A71)</f>
        <v>28986.54</v>
      </c>
      <c r="D71" s="55">
        <f>(COUNTIFS('Raw Data'!$A$2:$A$1001,A71,'Raw Data'!$G$2:$G$1001,"Clothing")&gt;0)+(COUNTIFS('Raw Data'!$A$2:$A$1001,A71,'Raw Data'!$G$2:$G$1001,"Electronics")&gt;0)+(COUNTIFS('Raw Data'!$A$2:$A$1001,A71,'Raw Data'!$G$2:$G$1001,"Food")&gt;0)+(COUNTIFS('Raw Data'!$A$2:$A$1001,A71,'Raw Data'!$G$2:$G$1001,"Furniture")&gt;0)</f>
        <v>2</v>
      </c>
      <c r="E71" s="55">
        <f>COUNTIFS('Raw Data'!$A$2:$A$1001,A71,'Raw Data'!$G$2:$G$1001,"Electronics")</f>
        <v>0</v>
      </c>
      <c r="F71" s="55">
        <f>COUNTIFS('Raw Data'!$A$2:$A$1001,A71,'Raw Data'!$G$2:$G$1001,"Furniture")</f>
        <v>0</v>
      </c>
      <c r="G71" s="55" t="str">
        <f>IF(E71&gt;0,MAX(G$3:G70)+1,"")</f>
        <v/>
      </c>
      <c r="H71" s="55" t="str">
        <f>IF(F71&gt;0,MAX(H$3:H70)+1,"")</f>
        <v/>
      </c>
      <c r="J71" s="55">
        <v>68</v>
      </c>
      <c r="K71" s="55">
        <f t="shared" si="6"/>
        <v>1076</v>
      </c>
      <c r="L71" s="55">
        <f t="shared" si="7"/>
        <v>1075</v>
      </c>
      <c r="M71" s="55" t="str">
        <f t="shared" si="8"/>
        <v/>
      </c>
    </row>
    <row r="72" spans="1:13" x14ac:dyDescent="0.2">
      <c r="A72" s="55">
        <v>1069</v>
      </c>
      <c r="B72" s="55">
        <f>COUNTIF('Raw Data'!$A$2:$A$1001,A72)</f>
        <v>12</v>
      </c>
      <c r="C72" s="57">
        <f>SUMIFS('Raw Data'!$E$2:$E$1001,'Raw Data'!$A$2:$A$1001,A72)</f>
        <v>60085.710000000006</v>
      </c>
      <c r="D72" s="55">
        <f>(COUNTIFS('Raw Data'!$A$2:$A$1001,A72,'Raw Data'!$G$2:$G$1001,"Clothing")&gt;0)+(COUNTIFS('Raw Data'!$A$2:$A$1001,A72,'Raw Data'!$G$2:$G$1001,"Electronics")&gt;0)+(COUNTIFS('Raw Data'!$A$2:$A$1001,A72,'Raw Data'!$G$2:$G$1001,"Food")&gt;0)+(COUNTIFS('Raw Data'!$A$2:$A$1001,A72,'Raw Data'!$G$2:$G$1001,"Furniture")&gt;0)</f>
        <v>4</v>
      </c>
      <c r="E72" s="55">
        <f>COUNTIFS('Raw Data'!$A$2:$A$1001,A72,'Raw Data'!$G$2:$G$1001,"Electronics")</f>
        <v>5</v>
      </c>
      <c r="F72" s="55">
        <f>COUNTIFS('Raw Data'!$A$2:$A$1001,A72,'Raw Data'!$G$2:$G$1001,"Furniture")</f>
        <v>4</v>
      </c>
      <c r="G72" s="55">
        <f>IF(E72&gt;0,MAX(G$3:G71)+1,"")</f>
        <v>63</v>
      </c>
      <c r="H72" s="55">
        <f>IF(F72&gt;0,MAX(H$3:H71)+1,"")</f>
        <v>62</v>
      </c>
      <c r="J72" s="55">
        <v>69</v>
      </c>
      <c r="K72" s="55">
        <f t="shared" si="6"/>
        <v>1077</v>
      </c>
      <c r="L72" s="55">
        <f t="shared" si="7"/>
        <v>1078</v>
      </c>
      <c r="M72" s="55" t="str">
        <f t="shared" si="8"/>
        <v/>
      </c>
    </row>
    <row r="73" spans="1:13" x14ac:dyDescent="0.2">
      <c r="A73" s="55">
        <v>1070</v>
      </c>
      <c r="B73" s="55">
        <f>COUNTIF('Raw Data'!$A$2:$A$1001,A73)</f>
        <v>7</v>
      </c>
      <c r="C73" s="57">
        <f>SUMIFS('Raw Data'!$E$2:$E$1001,'Raw Data'!$A$2:$A$1001,A73)</f>
        <v>26057.250000000004</v>
      </c>
      <c r="D73" s="55">
        <f>(COUNTIFS('Raw Data'!$A$2:$A$1001,A73,'Raw Data'!$G$2:$G$1001,"Clothing")&gt;0)+(COUNTIFS('Raw Data'!$A$2:$A$1001,A73,'Raw Data'!$G$2:$G$1001,"Electronics")&gt;0)+(COUNTIFS('Raw Data'!$A$2:$A$1001,A73,'Raw Data'!$G$2:$G$1001,"Food")&gt;0)+(COUNTIFS('Raw Data'!$A$2:$A$1001,A73,'Raw Data'!$G$2:$G$1001,"Furniture")&gt;0)</f>
        <v>4</v>
      </c>
      <c r="E73" s="55">
        <f>COUNTIFS('Raw Data'!$A$2:$A$1001,A73,'Raw Data'!$G$2:$G$1001,"Electronics")</f>
        <v>2</v>
      </c>
      <c r="F73" s="55">
        <f>COUNTIFS('Raw Data'!$A$2:$A$1001,A73,'Raw Data'!$G$2:$G$1001,"Furniture")</f>
        <v>3</v>
      </c>
      <c r="G73" s="55">
        <f>IF(E73&gt;0,MAX(G$3:G72)+1,"")</f>
        <v>64</v>
      </c>
      <c r="H73" s="55">
        <f>IF(F73&gt;0,MAX(H$3:H72)+1,"")</f>
        <v>63</v>
      </c>
      <c r="J73" s="55">
        <v>70</v>
      </c>
      <c r="K73" s="55">
        <f t="shared" si="6"/>
        <v>1078</v>
      </c>
      <c r="L73" s="55">
        <f t="shared" si="7"/>
        <v>1079</v>
      </c>
      <c r="M73" s="55">
        <f t="shared" si="8"/>
        <v>1078</v>
      </c>
    </row>
    <row r="74" spans="1:13" x14ac:dyDescent="0.2">
      <c r="A74" s="55">
        <v>1071</v>
      </c>
      <c r="B74" s="55">
        <f>COUNTIF('Raw Data'!$A$2:$A$1001,A74)</f>
        <v>6</v>
      </c>
      <c r="C74" s="57">
        <f>SUMIFS('Raw Data'!$E$2:$E$1001,'Raw Data'!$A$2:$A$1001,A74)</f>
        <v>29922.100000000002</v>
      </c>
      <c r="D74" s="55">
        <f>(COUNTIFS('Raw Data'!$A$2:$A$1001,A74,'Raw Data'!$G$2:$G$1001,"Clothing")&gt;0)+(COUNTIFS('Raw Data'!$A$2:$A$1001,A74,'Raw Data'!$G$2:$G$1001,"Electronics")&gt;0)+(COUNTIFS('Raw Data'!$A$2:$A$1001,A74,'Raw Data'!$G$2:$G$1001,"Food")&gt;0)+(COUNTIFS('Raw Data'!$A$2:$A$1001,A74,'Raw Data'!$G$2:$G$1001,"Furniture")&gt;0)</f>
        <v>4</v>
      </c>
      <c r="E74" s="55">
        <f>COUNTIFS('Raw Data'!$A$2:$A$1001,A74,'Raw Data'!$G$2:$G$1001,"Electronics")</f>
        <v>1</v>
      </c>
      <c r="F74" s="55">
        <f>COUNTIFS('Raw Data'!$A$2:$A$1001,A74,'Raw Data'!$G$2:$G$1001,"Furniture")</f>
        <v>1</v>
      </c>
      <c r="G74" s="55">
        <f>IF(E74&gt;0,MAX(G$3:G73)+1,"")</f>
        <v>65</v>
      </c>
      <c r="H74" s="55">
        <f>IF(F74&gt;0,MAX(H$3:H73)+1,"")</f>
        <v>64</v>
      </c>
      <c r="J74" s="55">
        <v>71</v>
      </c>
      <c r="K74" s="55">
        <f t="shared" si="6"/>
        <v>1080</v>
      </c>
      <c r="L74" s="55">
        <f t="shared" si="7"/>
        <v>1080</v>
      </c>
      <c r="M74" s="55">
        <f t="shared" si="8"/>
        <v>1080</v>
      </c>
    </row>
    <row r="75" spans="1:13" x14ac:dyDescent="0.2">
      <c r="A75" s="55">
        <v>1072</v>
      </c>
      <c r="B75" s="55">
        <f>COUNTIF('Raw Data'!$A$2:$A$1001,A75)</f>
        <v>8</v>
      </c>
      <c r="C75" s="57">
        <f>SUMIFS('Raw Data'!$E$2:$E$1001,'Raw Data'!$A$2:$A$1001,A75)</f>
        <v>40513.020000000004</v>
      </c>
      <c r="D75" s="55">
        <f>(COUNTIFS('Raw Data'!$A$2:$A$1001,A75,'Raw Data'!$G$2:$G$1001,"Clothing")&gt;0)+(COUNTIFS('Raw Data'!$A$2:$A$1001,A75,'Raw Data'!$G$2:$G$1001,"Electronics")&gt;0)+(COUNTIFS('Raw Data'!$A$2:$A$1001,A75,'Raw Data'!$G$2:$G$1001,"Food")&gt;0)+(COUNTIFS('Raw Data'!$A$2:$A$1001,A75,'Raw Data'!$G$2:$G$1001,"Furniture")&gt;0)</f>
        <v>4</v>
      </c>
      <c r="E75" s="55">
        <f>COUNTIFS('Raw Data'!$A$2:$A$1001,A75,'Raw Data'!$G$2:$G$1001,"Electronics")</f>
        <v>1</v>
      </c>
      <c r="F75" s="55">
        <f>COUNTIFS('Raw Data'!$A$2:$A$1001,A75,'Raw Data'!$G$2:$G$1001,"Furniture")</f>
        <v>1</v>
      </c>
      <c r="G75" s="55">
        <f>IF(E75&gt;0,MAX(G$3:G74)+1,"")</f>
        <v>66</v>
      </c>
      <c r="H75" s="55">
        <f>IF(F75&gt;0,MAX(H$3:H74)+1,"")</f>
        <v>65</v>
      </c>
      <c r="J75" s="55">
        <v>72</v>
      </c>
      <c r="K75" s="55">
        <f t="shared" si="6"/>
        <v>1081</v>
      </c>
      <c r="L75" s="55">
        <f t="shared" si="7"/>
        <v>1081</v>
      </c>
      <c r="M75" s="55">
        <f t="shared" si="8"/>
        <v>1081</v>
      </c>
    </row>
    <row r="76" spans="1:13" x14ac:dyDescent="0.2">
      <c r="A76" s="55">
        <v>1073</v>
      </c>
      <c r="B76" s="55">
        <f>COUNTIF('Raw Data'!$A$2:$A$1001,A76)</f>
        <v>7</v>
      </c>
      <c r="C76" s="57">
        <f>SUMIFS('Raw Data'!$E$2:$E$1001,'Raw Data'!$A$2:$A$1001,A76)</f>
        <v>25098.909999999996</v>
      </c>
      <c r="D76" s="55">
        <f>(COUNTIFS('Raw Data'!$A$2:$A$1001,A76,'Raw Data'!$G$2:$G$1001,"Clothing")&gt;0)+(COUNTIFS('Raw Data'!$A$2:$A$1001,A76,'Raw Data'!$G$2:$G$1001,"Electronics")&gt;0)+(COUNTIFS('Raw Data'!$A$2:$A$1001,A76,'Raw Data'!$G$2:$G$1001,"Food")&gt;0)+(COUNTIFS('Raw Data'!$A$2:$A$1001,A76,'Raw Data'!$G$2:$G$1001,"Furniture")&gt;0)</f>
        <v>3</v>
      </c>
      <c r="E76" s="55">
        <f>COUNTIFS('Raw Data'!$A$2:$A$1001,A76,'Raw Data'!$G$2:$G$1001,"Electronics")</f>
        <v>0</v>
      </c>
      <c r="F76" s="55">
        <f>COUNTIFS('Raw Data'!$A$2:$A$1001,A76,'Raw Data'!$G$2:$G$1001,"Furniture")</f>
        <v>2</v>
      </c>
      <c r="G76" s="55" t="str">
        <f>IF(E76&gt;0,MAX(G$3:G75)+1,"")</f>
        <v/>
      </c>
      <c r="H76" s="55">
        <f>IF(F76&gt;0,MAX(H$3:H75)+1,"")</f>
        <v>66</v>
      </c>
      <c r="J76" s="55">
        <v>73</v>
      </c>
      <c r="K76" s="55">
        <f t="shared" si="6"/>
        <v>1082</v>
      </c>
      <c r="L76" s="55">
        <f t="shared" si="7"/>
        <v>1082</v>
      </c>
      <c r="M76" s="55">
        <f t="shared" si="8"/>
        <v>1082</v>
      </c>
    </row>
    <row r="77" spans="1:13" x14ac:dyDescent="0.2">
      <c r="A77" s="55">
        <v>1074</v>
      </c>
      <c r="B77" s="55">
        <f>COUNTIF('Raw Data'!$A$2:$A$1001,A77)</f>
        <v>10</v>
      </c>
      <c r="C77" s="57">
        <f>SUMIFS('Raw Data'!$E$2:$E$1001,'Raw Data'!$A$2:$A$1001,A77)</f>
        <v>50995.31</v>
      </c>
      <c r="D77" s="55">
        <f>(COUNTIFS('Raw Data'!$A$2:$A$1001,A77,'Raw Data'!$G$2:$G$1001,"Clothing")&gt;0)+(COUNTIFS('Raw Data'!$A$2:$A$1001,A77,'Raw Data'!$G$2:$G$1001,"Electronics")&gt;0)+(COUNTIFS('Raw Data'!$A$2:$A$1001,A77,'Raw Data'!$G$2:$G$1001,"Food")&gt;0)+(COUNTIFS('Raw Data'!$A$2:$A$1001,A77,'Raw Data'!$G$2:$G$1001,"Furniture")&gt;0)</f>
        <v>2</v>
      </c>
      <c r="E77" s="55">
        <f>COUNTIFS('Raw Data'!$A$2:$A$1001,A77,'Raw Data'!$G$2:$G$1001,"Electronics")</f>
        <v>0</v>
      </c>
      <c r="F77" s="55">
        <f>COUNTIFS('Raw Data'!$A$2:$A$1001,A77,'Raw Data'!$G$2:$G$1001,"Furniture")</f>
        <v>7</v>
      </c>
      <c r="G77" s="55" t="str">
        <f>IF(E77&gt;0,MAX(G$3:G76)+1,"")</f>
        <v/>
      </c>
      <c r="H77" s="55">
        <f>IF(F77&gt;0,MAX(H$3:H76)+1,"")</f>
        <v>67</v>
      </c>
      <c r="J77" s="55">
        <v>74</v>
      </c>
      <c r="K77" s="55">
        <f t="shared" si="6"/>
        <v>1085</v>
      </c>
      <c r="L77" s="55">
        <f t="shared" si="7"/>
        <v>1083</v>
      </c>
      <c r="M77" s="55">
        <f t="shared" si="8"/>
        <v>1085</v>
      </c>
    </row>
    <row r="78" spans="1:13" x14ac:dyDescent="0.2">
      <c r="A78" s="55">
        <v>1075</v>
      </c>
      <c r="B78" s="55">
        <f>COUNTIF('Raw Data'!$A$2:$A$1001,A78)</f>
        <v>12</v>
      </c>
      <c r="C78" s="57">
        <f>SUMIFS('Raw Data'!$E$2:$E$1001,'Raw Data'!$A$2:$A$1001,A78)</f>
        <v>73876.83</v>
      </c>
      <c r="D78" s="55">
        <f>(COUNTIFS('Raw Data'!$A$2:$A$1001,A78,'Raw Data'!$G$2:$G$1001,"Clothing")&gt;0)+(COUNTIFS('Raw Data'!$A$2:$A$1001,A78,'Raw Data'!$G$2:$G$1001,"Electronics")&gt;0)+(COUNTIFS('Raw Data'!$A$2:$A$1001,A78,'Raw Data'!$G$2:$G$1001,"Food")&gt;0)+(COUNTIFS('Raw Data'!$A$2:$A$1001,A78,'Raw Data'!$G$2:$G$1001,"Furniture")&gt;0)</f>
        <v>4</v>
      </c>
      <c r="E78" s="55">
        <f>COUNTIFS('Raw Data'!$A$2:$A$1001,A78,'Raw Data'!$G$2:$G$1001,"Electronics")</f>
        <v>3</v>
      </c>
      <c r="F78" s="55">
        <f>COUNTIFS('Raw Data'!$A$2:$A$1001,A78,'Raw Data'!$G$2:$G$1001,"Furniture")</f>
        <v>4</v>
      </c>
      <c r="G78" s="55">
        <f>IF(E78&gt;0,MAX(G$3:G77)+1,"")</f>
        <v>67</v>
      </c>
      <c r="H78" s="55">
        <f>IF(F78&gt;0,MAX(H$3:H77)+1,"")</f>
        <v>68</v>
      </c>
      <c r="J78" s="55">
        <v>75</v>
      </c>
      <c r="K78" s="55">
        <f t="shared" si="6"/>
        <v>1086</v>
      </c>
      <c r="L78" s="55">
        <f t="shared" si="7"/>
        <v>1084</v>
      </c>
      <c r="M78" s="55">
        <f t="shared" si="8"/>
        <v>1086</v>
      </c>
    </row>
    <row r="79" spans="1:13" x14ac:dyDescent="0.2">
      <c r="A79" s="55">
        <v>1076</v>
      </c>
      <c r="B79" s="55">
        <f>COUNTIF('Raw Data'!$A$2:$A$1001,A79)</f>
        <v>8</v>
      </c>
      <c r="C79" s="57">
        <f>SUMIFS('Raw Data'!$E$2:$E$1001,'Raw Data'!$A$2:$A$1001,A79)</f>
        <v>37812.680000000008</v>
      </c>
      <c r="D79" s="55">
        <f>(COUNTIFS('Raw Data'!$A$2:$A$1001,A79,'Raw Data'!$G$2:$G$1001,"Clothing")&gt;0)+(COUNTIFS('Raw Data'!$A$2:$A$1001,A79,'Raw Data'!$G$2:$G$1001,"Electronics")&gt;0)+(COUNTIFS('Raw Data'!$A$2:$A$1001,A79,'Raw Data'!$G$2:$G$1001,"Food")&gt;0)+(COUNTIFS('Raw Data'!$A$2:$A$1001,A79,'Raw Data'!$G$2:$G$1001,"Furniture")&gt;0)</f>
        <v>3</v>
      </c>
      <c r="E79" s="55">
        <f>COUNTIFS('Raw Data'!$A$2:$A$1001,A79,'Raw Data'!$G$2:$G$1001,"Electronics")</f>
        <v>1</v>
      </c>
      <c r="F79" s="55">
        <f>COUNTIFS('Raw Data'!$A$2:$A$1001,A79,'Raw Data'!$G$2:$G$1001,"Furniture")</f>
        <v>0</v>
      </c>
      <c r="G79" s="55">
        <f>IF(E79&gt;0,MAX(G$3:G78)+1,"")</f>
        <v>68</v>
      </c>
      <c r="H79" s="55" t="str">
        <f>IF(F79&gt;0,MAX(H$3:H78)+1,"")</f>
        <v/>
      </c>
      <c r="J79" s="55">
        <v>76</v>
      </c>
      <c r="K79" s="55">
        <f t="shared" si="6"/>
        <v>1087</v>
      </c>
      <c r="L79" s="55">
        <f t="shared" si="7"/>
        <v>1085</v>
      </c>
      <c r="M79" s="55">
        <f t="shared" si="8"/>
        <v>1087</v>
      </c>
    </row>
    <row r="80" spans="1:13" x14ac:dyDescent="0.2">
      <c r="A80" s="55">
        <v>1077</v>
      </c>
      <c r="B80" s="55">
        <f>COUNTIF('Raw Data'!$A$2:$A$1001,A80)</f>
        <v>7</v>
      </c>
      <c r="C80" s="57">
        <f>SUMIFS('Raw Data'!$E$2:$E$1001,'Raw Data'!$A$2:$A$1001,A80)</f>
        <v>35694.580000000009</v>
      </c>
      <c r="D80" s="55">
        <f>(COUNTIFS('Raw Data'!$A$2:$A$1001,A80,'Raw Data'!$G$2:$G$1001,"Clothing")&gt;0)+(COUNTIFS('Raw Data'!$A$2:$A$1001,A80,'Raw Data'!$G$2:$G$1001,"Electronics")&gt;0)+(COUNTIFS('Raw Data'!$A$2:$A$1001,A80,'Raw Data'!$G$2:$G$1001,"Food")&gt;0)+(COUNTIFS('Raw Data'!$A$2:$A$1001,A80,'Raw Data'!$G$2:$G$1001,"Furniture")&gt;0)</f>
        <v>3</v>
      </c>
      <c r="E80" s="55">
        <f>COUNTIFS('Raw Data'!$A$2:$A$1001,A80,'Raw Data'!$G$2:$G$1001,"Electronics")</f>
        <v>5</v>
      </c>
      <c r="F80" s="55">
        <f>COUNTIFS('Raw Data'!$A$2:$A$1001,A80,'Raw Data'!$G$2:$G$1001,"Furniture")</f>
        <v>0</v>
      </c>
      <c r="G80" s="55">
        <f>IF(E80&gt;0,MAX(G$3:G79)+1,"")</f>
        <v>69</v>
      </c>
      <c r="H80" s="55" t="str">
        <f>IF(F80&gt;0,MAX(H$3:H79)+1,"")</f>
        <v/>
      </c>
      <c r="J80" s="55">
        <v>77</v>
      </c>
      <c r="K80" s="55">
        <f t="shared" si="6"/>
        <v>1088</v>
      </c>
      <c r="L80" s="55">
        <f t="shared" si="7"/>
        <v>1086</v>
      </c>
      <c r="M80" s="55">
        <f t="shared" si="8"/>
        <v>1088</v>
      </c>
    </row>
    <row r="81" spans="1:13" x14ac:dyDescent="0.2">
      <c r="A81" s="55">
        <v>1078</v>
      </c>
      <c r="B81" s="55">
        <f>COUNTIF('Raw Data'!$A$2:$A$1001,A81)</f>
        <v>8</v>
      </c>
      <c r="C81" s="57">
        <f>SUMIFS('Raw Data'!$E$2:$E$1001,'Raw Data'!$A$2:$A$1001,A81)</f>
        <v>46488.299999999996</v>
      </c>
      <c r="D81" s="55">
        <f>(COUNTIFS('Raw Data'!$A$2:$A$1001,A81,'Raw Data'!$G$2:$G$1001,"Clothing")&gt;0)+(COUNTIFS('Raw Data'!$A$2:$A$1001,A81,'Raw Data'!$G$2:$G$1001,"Electronics")&gt;0)+(COUNTIFS('Raw Data'!$A$2:$A$1001,A81,'Raw Data'!$G$2:$G$1001,"Food")&gt;0)+(COUNTIFS('Raw Data'!$A$2:$A$1001,A81,'Raw Data'!$G$2:$G$1001,"Furniture")&gt;0)</f>
        <v>4</v>
      </c>
      <c r="E81" s="55">
        <f>COUNTIFS('Raw Data'!$A$2:$A$1001,A81,'Raw Data'!$G$2:$G$1001,"Electronics")</f>
        <v>1</v>
      </c>
      <c r="F81" s="55">
        <f>COUNTIFS('Raw Data'!$A$2:$A$1001,A81,'Raw Data'!$G$2:$G$1001,"Furniture")</f>
        <v>3</v>
      </c>
      <c r="G81" s="55">
        <f>IF(E81&gt;0,MAX(G$3:G80)+1,"")</f>
        <v>70</v>
      </c>
      <c r="H81" s="55">
        <f>IF(F81&gt;0,MAX(H$3:H80)+1,"")</f>
        <v>69</v>
      </c>
      <c r="J81" s="55">
        <v>78</v>
      </c>
      <c r="K81" s="55">
        <f t="shared" si="6"/>
        <v>1090</v>
      </c>
      <c r="L81" s="55">
        <f t="shared" si="7"/>
        <v>1087</v>
      </c>
      <c r="M81" s="55">
        <f t="shared" si="8"/>
        <v>1090</v>
      </c>
    </row>
    <row r="82" spans="1:13" x14ac:dyDescent="0.2">
      <c r="A82" s="55">
        <v>1079</v>
      </c>
      <c r="B82" s="55">
        <f>COUNTIF('Raw Data'!$A$2:$A$1001,A82)</f>
        <v>6</v>
      </c>
      <c r="C82" s="57">
        <f>SUMIFS('Raw Data'!$E$2:$E$1001,'Raw Data'!$A$2:$A$1001,A82)</f>
        <v>17828.370000000003</v>
      </c>
      <c r="D82" s="55">
        <f>(COUNTIFS('Raw Data'!$A$2:$A$1001,A82,'Raw Data'!$G$2:$G$1001,"Clothing")&gt;0)+(COUNTIFS('Raw Data'!$A$2:$A$1001,A82,'Raw Data'!$G$2:$G$1001,"Electronics")&gt;0)+(COUNTIFS('Raw Data'!$A$2:$A$1001,A82,'Raw Data'!$G$2:$G$1001,"Food")&gt;0)+(COUNTIFS('Raw Data'!$A$2:$A$1001,A82,'Raw Data'!$G$2:$G$1001,"Furniture")&gt;0)</f>
        <v>3</v>
      </c>
      <c r="E82" s="55">
        <f>COUNTIFS('Raw Data'!$A$2:$A$1001,A82,'Raw Data'!$G$2:$G$1001,"Electronics")</f>
        <v>0</v>
      </c>
      <c r="F82" s="55">
        <f>COUNTIFS('Raw Data'!$A$2:$A$1001,A82,'Raw Data'!$G$2:$G$1001,"Furniture")</f>
        <v>2</v>
      </c>
      <c r="G82" s="55" t="str">
        <f>IF(E82&gt;0,MAX(G$3:G81)+1,"")</f>
        <v/>
      </c>
      <c r="H82" s="55">
        <f>IF(F82&gt;0,MAX(H$3:H81)+1,"")</f>
        <v>70</v>
      </c>
      <c r="J82" s="55">
        <v>79</v>
      </c>
      <c r="K82" s="55">
        <f t="shared" si="6"/>
        <v>1091</v>
      </c>
      <c r="L82" s="55">
        <f t="shared" si="7"/>
        <v>1088</v>
      </c>
      <c r="M82" s="55">
        <f t="shared" si="8"/>
        <v>1091</v>
      </c>
    </row>
    <row r="83" spans="1:13" x14ac:dyDescent="0.2">
      <c r="A83" s="55">
        <v>1080</v>
      </c>
      <c r="B83" s="55">
        <f>COUNTIF('Raw Data'!$A$2:$A$1001,A83)</f>
        <v>8</v>
      </c>
      <c r="C83" s="57">
        <f>SUMIFS('Raw Data'!$E$2:$E$1001,'Raw Data'!$A$2:$A$1001,A83)</f>
        <v>31388.14</v>
      </c>
      <c r="D83" s="55">
        <f>(COUNTIFS('Raw Data'!$A$2:$A$1001,A83,'Raw Data'!$G$2:$G$1001,"Clothing")&gt;0)+(COUNTIFS('Raw Data'!$A$2:$A$1001,A83,'Raw Data'!$G$2:$G$1001,"Electronics")&gt;0)+(COUNTIFS('Raw Data'!$A$2:$A$1001,A83,'Raw Data'!$G$2:$G$1001,"Food")&gt;0)+(COUNTIFS('Raw Data'!$A$2:$A$1001,A83,'Raw Data'!$G$2:$G$1001,"Furniture")&gt;0)</f>
        <v>3</v>
      </c>
      <c r="E83" s="55">
        <f>COUNTIFS('Raw Data'!$A$2:$A$1001,A83,'Raw Data'!$G$2:$G$1001,"Electronics")</f>
        <v>4</v>
      </c>
      <c r="F83" s="55">
        <f>COUNTIFS('Raw Data'!$A$2:$A$1001,A83,'Raw Data'!$G$2:$G$1001,"Furniture")</f>
        <v>3</v>
      </c>
      <c r="G83" s="55">
        <f>IF(E83&gt;0,MAX(G$3:G82)+1,"")</f>
        <v>71</v>
      </c>
      <c r="H83" s="55">
        <f>IF(F83&gt;0,MAX(H$3:H82)+1,"")</f>
        <v>71</v>
      </c>
      <c r="J83" s="55">
        <v>80</v>
      </c>
      <c r="K83" s="55">
        <f t="shared" si="6"/>
        <v>1092</v>
      </c>
      <c r="L83" s="55">
        <f t="shared" si="7"/>
        <v>1089</v>
      </c>
      <c r="M83" s="55">
        <f t="shared" si="8"/>
        <v>1092</v>
      </c>
    </row>
    <row r="84" spans="1:13" x14ac:dyDescent="0.2">
      <c r="A84" s="55">
        <v>1081</v>
      </c>
      <c r="B84" s="55">
        <f>COUNTIF('Raw Data'!$A$2:$A$1001,A84)</f>
        <v>7</v>
      </c>
      <c r="C84" s="57">
        <f>SUMIFS('Raw Data'!$E$2:$E$1001,'Raw Data'!$A$2:$A$1001,A84)</f>
        <v>36863.42</v>
      </c>
      <c r="D84" s="55">
        <f>(COUNTIFS('Raw Data'!$A$2:$A$1001,A84,'Raw Data'!$G$2:$G$1001,"Clothing")&gt;0)+(COUNTIFS('Raw Data'!$A$2:$A$1001,A84,'Raw Data'!$G$2:$G$1001,"Electronics")&gt;0)+(COUNTIFS('Raw Data'!$A$2:$A$1001,A84,'Raw Data'!$G$2:$G$1001,"Food")&gt;0)+(COUNTIFS('Raw Data'!$A$2:$A$1001,A84,'Raw Data'!$G$2:$G$1001,"Furniture")&gt;0)</f>
        <v>4</v>
      </c>
      <c r="E84" s="55">
        <f>COUNTIFS('Raw Data'!$A$2:$A$1001,A84,'Raw Data'!$G$2:$G$1001,"Electronics")</f>
        <v>2</v>
      </c>
      <c r="F84" s="55">
        <f>COUNTIFS('Raw Data'!$A$2:$A$1001,A84,'Raw Data'!$G$2:$G$1001,"Furniture")</f>
        <v>1</v>
      </c>
      <c r="G84" s="55">
        <f>IF(E84&gt;0,MAX(G$3:G83)+1,"")</f>
        <v>72</v>
      </c>
      <c r="H84" s="55">
        <f>IF(F84&gt;0,MAX(H$3:H83)+1,"")</f>
        <v>72</v>
      </c>
      <c r="J84" s="55">
        <v>81</v>
      </c>
      <c r="K84" s="55">
        <f t="shared" si="6"/>
        <v>1093</v>
      </c>
      <c r="L84" s="55">
        <f t="shared" si="7"/>
        <v>1090</v>
      </c>
      <c r="M84" s="55">
        <f t="shared" si="8"/>
        <v>1093</v>
      </c>
    </row>
    <row r="85" spans="1:13" x14ac:dyDescent="0.2">
      <c r="A85" s="55">
        <v>1082</v>
      </c>
      <c r="B85" s="55">
        <f>COUNTIF('Raw Data'!$A$2:$A$1001,A85)</f>
        <v>7</v>
      </c>
      <c r="C85" s="57">
        <f>SUMIFS('Raw Data'!$E$2:$E$1001,'Raw Data'!$A$2:$A$1001,A85)</f>
        <v>41043.760000000002</v>
      </c>
      <c r="D85" s="55">
        <f>(COUNTIFS('Raw Data'!$A$2:$A$1001,A85,'Raw Data'!$G$2:$G$1001,"Clothing")&gt;0)+(COUNTIFS('Raw Data'!$A$2:$A$1001,A85,'Raw Data'!$G$2:$G$1001,"Electronics")&gt;0)+(COUNTIFS('Raw Data'!$A$2:$A$1001,A85,'Raw Data'!$G$2:$G$1001,"Food")&gt;0)+(COUNTIFS('Raw Data'!$A$2:$A$1001,A85,'Raw Data'!$G$2:$G$1001,"Furniture")&gt;0)</f>
        <v>4</v>
      </c>
      <c r="E85" s="55">
        <f>COUNTIFS('Raw Data'!$A$2:$A$1001,A85,'Raw Data'!$G$2:$G$1001,"Electronics")</f>
        <v>1</v>
      </c>
      <c r="F85" s="55">
        <f>COUNTIFS('Raw Data'!$A$2:$A$1001,A85,'Raw Data'!$G$2:$G$1001,"Furniture")</f>
        <v>3</v>
      </c>
      <c r="G85" s="55">
        <f>IF(E85&gt;0,MAX(G$3:G84)+1,"")</f>
        <v>73</v>
      </c>
      <c r="H85" s="55">
        <f>IF(F85&gt;0,MAX(H$3:H84)+1,"")</f>
        <v>73</v>
      </c>
      <c r="J85" s="55">
        <v>82</v>
      </c>
      <c r="K85" s="55">
        <f t="shared" si="6"/>
        <v>1094</v>
      </c>
      <c r="L85" s="55">
        <f t="shared" si="7"/>
        <v>1091</v>
      </c>
      <c r="M85" s="55">
        <f t="shared" si="8"/>
        <v>1094</v>
      </c>
    </row>
    <row r="86" spans="1:13" x14ac:dyDescent="0.2">
      <c r="A86" s="55">
        <v>1083</v>
      </c>
      <c r="B86" s="55">
        <f>COUNTIF('Raw Data'!$A$2:$A$1001,A86)</f>
        <v>4</v>
      </c>
      <c r="C86" s="57">
        <f>SUMIFS('Raw Data'!$E$2:$E$1001,'Raw Data'!$A$2:$A$1001,A86)</f>
        <v>8059.0499999999993</v>
      </c>
      <c r="D86" s="55">
        <f>(COUNTIFS('Raw Data'!$A$2:$A$1001,A86,'Raw Data'!$G$2:$G$1001,"Clothing")&gt;0)+(COUNTIFS('Raw Data'!$A$2:$A$1001,A86,'Raw Data'!$G$2:$G$1001,"Electronics")&gt;0)+(COUNTIFS('Raw Data'!$A$2:$A$1001,A86,'Raw Data'!$G$2:$G$1001,"Food")&gt;0)+(COUNTIFS('Raw Data'!$A$2:$A$1001,A86,'Raw Data'!$G$2:$G$1001,"Furniture")&gt;0)</f>
        <v>2</v>
      </c>
      <c r="E86" s="55">
        <f>COUNTIFS('Raw Data'!$A$2:$A$1001,A86,'Raw Data'!$G$2:$G$1001,"Electronics")</f>
        <v>0</v>
      </c>
      <c r="F86" s="55">
        <f>COUNTIFS('Raw Data'!$A$2:$A$1001,A86,'Raw Data'!$G$2:$G$1001,"Furniture")</f>
        <v>1</v>
      </c>
      <c r="G86" s="55" t="str">
        <f>IF(E86&gt;0,MAX(G$3:G85)+1,"")</f>
        <v/>
      </c>
      <c r="H86" s="55">
        <f>IF(F86&gt;0,MAX(H$3:H85)+1,"")</f>
        <v>74</v>
      </c>
      <c r="J86" s="55">
        <v>83</v>
      </c>
      <c r="K86" s="55">
        <f t="shared" si="6"/>
        <v>1095</v>
      </c>
      <c r="L86" s="55">
        <f t="shared" si="7"/>
        <v>1092</v>
      </c>
      <c r="M86" s="55">
        <f t="shared" si="8"/>
        <v>1095</v>
      </c>
    </row>
    <row r="87" spans="1:13" x14ac:dyDescent="0.2">
      <c r="A87" s="55">
        <v>1084</v>
      </c>
      <c r="B87" s="55">
        <f>COUNTIF('Raw Data'!$A$2:$A$1001,A87)</f>
        <v>8</v>
      </c>
      <c r="C87" s="57">
        <f>SUMIFS('Raw Data'!$E$2:$E$1001,'Raw Data'!$A$2:$A$1001,A87)</f>
        <v>37430.820000000007</v>
      </c>
      <c r="D87" s="55">
        <f>(COUNTIFS('Raw Data'!$A$2:$A$1001,A87,'Raw Data'!$G$2:$G$1001,"Clothing")&gt;0)+(COUNTIFS('Raw Data'!$A$2:$A$1001,A87,'Raw Data'!$G$2:$G$1001,"Electronics")&gt;0)+(COUNTIFS('Raw Data'!$A$2:$A$1001,A87,'Raw Data'!$G$2:$G$1001,"Food")&gt;0)+(COUNTIFS('Raw Data'!$A$2:$A$1001,A87,'Raw Data'!$G$2:$G$1001,"Furniture")&gt;0)</f>
        <v>3</v>
      </c>
      <c r="E87" s="55">
        <f>COUNTIFS('Raw Data'!$A$2:$A$1001,A87,'Raw Data'!$G$2:$G$1001,"Electronics")</f>
        <v>0</v>
      </c>
      <c r="F87" s="55">
        <f>COUNTIFS('Raw Data'!$A$2:$A$1001,A87,'Raw Data'!$G$2:$G$1001,"Furniture")</f>
        <v>4</v>
      </c>
      <c r="G87" s="55" t="str">
        <f>IF(E87&gt;0,MAX(G$3:G86)+1,"")</f>
        <v/>
      </c>
      <c r="H87" s="55">
        <f>IF(F87&gt;0,MAX(H$3:H86)+1,"")</f>
        <v>75</v>
      </c>
      <c r="J87" s="55">
        <v>84</v>
      </c>
      <c r="K87" s="55">
        <f t="shared" si="6"/>
        <v>1096</v>
      </c>
      <c r="L87" s="55">
        <f t="shared" si="7"/>
        <v>1093</v>
      </c>
      <c r="M87" s="55">
        <f t="shared" si="8"/>
        <v>1096</v>
      </c>
    </row>
    <row r="88" spans="1:13" x14ac:dyDescent="0.2">
      <c r="A88" s="55">
        <v>1085</v>
      </c>
      <c r="B88" s="55">
        <f>COUNTIF('Raw Data'!$A$2:$A$1001,A88)</f>
        <v>8</v>
      </c>
      <c r="C88" s="57">
        <f>SUMIFS('Raw Data'!$E$2:$E$1001,'Raw Data'!$A$2:$A$1001,A88)</f>
        <v>34357.920000000006</v>
      </c>
      <c r="D88" s="55">
        <f>(COUNTIFS('Raw Data'!$A$2:$A$1001,A88,'Raw Data'!$G$2:$G$1001,"Clothing")&gt;0)+(COUNTIFS('Raw Data'!$A$2:$A$1001,A88,'Raw Data'!$G$2:$G$1001,"Electronics")&gt;0)+(COUNTIFS('Raw Data'!$A$2:$A$1001,A88,'Raw Data'!$G$2:$G$1001,"Food")&gt;0)+(COUNTIFS('Raw Data'!$A$2:$A$1001,A88,'Raw Data'!$G$2:$G$1001,"Furniture")&gt;0)</f>
        <v>4</v>
      </c>
      <c r="E88" s="55">
        <f>COUNTIFS('Raw Data'!$A$2:$A$1001,A88,'Raw Data'!$G$2:$G$1001,"Electronics")</f>
        <v>1</v>
      </c>
      <c r="F88" s="55">
        <f>COUNTIFS('Raw Data'!$A$2:$A$1001,A88,'Raw Data'!$G$2:$G$1001,"Furniture")</f>
        <v>2</v>
      </c>
      <c r="G88" s="55">
        <f>IF(E88&gt;0,MAX(G$3:G87)+1,"")</f>
        <v>74</v>
      </c>
      <c r="H88" s="55">
        <f>IF(F88&gt;0,MAX(H$3:H87)+1,"")</f>
        <v>76</v>
      </c>
      <c r="J88" s="55">
        <v>85</v>
      </c>
      <c r="K88" s="55">
        <f t="shared" si="6"/>
        <v>1097</v>
      </c>
      <c r="L88" s="55">
        <f t="shared" si="7"/>
        <v>1094</v>
      </c>
      <c r="M88" s="55">
        <f t="shared" si="8"/>
        <v>1097</v>
      </c>
    </row>
    <row r="89" spans="1:13" x14ac:dyDescent="0.2">
      <c r="A89" s="55">
        <v>1086</v>
      </c>
      <c r="B89" s="55">
        <f>COUNTIF('Raw Data'!$A$2:$A$1001,A89)</f>
        <v>15</v>
      </c>
      <c r="C89" s="57">
        <f>SUMIFS('Raw Data'!$E$2:$E$1001,'Raw Data'!$A$2:$A$1001,A89)</f>
        <v>82269.710000000021</v>
      </c>
      <c r="D89" s="55">
        <f>(COUNTIFS('Raw Data'!$A$2:$A$1001,A89,'Raw Data'!$G$2:$G$1001,"Clothing")&gt;0)+(COUNTIFS('Raw Data'!$A$2:$A$1001,A89,'Raw Data'!$G$2:$G$1001,"Electronics")&gt;0)+(COUNTIFS('Raw Data'!$A$2:$A$1001,A89,'Raw Data'!$G$2:$G$1001,"Food")&gt;0)+(COUNTIFS('Raw Data'!$A$2:$A$1001,A89,'Raw Data'!$G$2:$G$1001,"Furniture")&gt;0)</f>
        <v>4</v>
      </c>
      <c r="E89" s="55">
        <f>COUNTIFS('Raw Data'!$A$2:$A$1001,A89,'Raw Data'!$G$2:$G$1001,"Electronics")</f>
        <v>4</v>
      </c>
      <c r="F89" s="55">
        <f>COUNTIFS('Raw Data'!$A$2:$A$1001,A89,'Raw Data'!$G$2:$G$1001,"Furniture")</f>
        <v>4</v>
      </c>
      <c r="G89" s="55">
        <f>IF(E89&gt;0,MAX(G$3:G88)+1,"")</f>
        <v>75</v>
      </c>
      <c r="H89" s="55">
        <f>IF(F89&gt;0,MAX(H$3:H88)+1,"")</f>
        <v>77</v>
      </c>
      <c r="J89" s="55">
        <v>86</v>
      </c>
      <c r="K89" s="55">
        <f t="shared" si="6"/>
        <v>1098</v>
      </c>
      <c r="L89" s="55">
        <f t="shared" si="7"/>
        <v>1095</v>
      </c>
      <c r="M89" s="55">
        <f t="shared" si="8"/>
        <v>1098</v>
      </c>
    </row>
    <row r="90" spans="1:13" x14ac:dyDescent="0.2">
      <c r="A90" s="55">
        <v>1087</v>
      </c>
      <c r="B90" s="55">
        <f>COUNTIF('Raw Data'!$A$2:$A$1001,A90)</f>
        <v>10</v>
      </c>
      <c r="C90" s="57">
        <f>SUMIFS('Raw Data'!$E$2:$E$1001,'Raw Data'!$A$2:$A$1001,A90)</f>
        <v>51881.03</v>
      </c>
      <c r="D90" s="55">
        <f>(COUNTIFS('Raw Data'!$A$2:$A$1001,A90,'Raw Data'!$G$2:$G$1001,"Clothing")&gt;0)+(COUNTIFS('Raw Data'!$A$2:$A$1001,A90,'Raw Data'!$G$2:$G$1001,"Electronics")&gt;0)+(COUNTIFS('Raw Data'!$A$2:$A$1001,A90,'Raw Data'!$G$2:$G$1001,"Food")&gt;0)+(COUNTIFS('Raw Data'!$A$2:$A$1001,A90,'Raw Data'!$G$2:$G$1001,"Furniture")&gt;0)</f>
        <v>4</v>
      </c>
      <c r="E90" s="55">
        <f>COUNTIFS('Raw Data'!$A$2:$A$1001,A90,'Raw Data'!$G$2:$G$1001,"Electronics")</f>
        <v>2</v>
      </c>
      <c r="F90" s="55">
        <f>COUNTIFS('Raw Data'!$A$2:$A$1001,A90,'Raw Data'!$G$2:$G$1001,"Furniture")</f>
        <v>4</v>
      </c>
      <c r="G90" s="55">
        <f>IF(E90&gt;0,MAX(G$3:G89)+1,"")</f>
        <v>76</v>
      </c>
      <c r="H90" s="55">
        <f>IF(F90&gt;0,MAX(H$3:H89)+1,"")</f>
        <v>78</v>
      </c>
      <c r="J90" s="55">
        <v>87</v>
      </c>
      <c r="K90" s="55">
        <f t="shared" si="6"/>
        <v>1099</v>
      </c>
      <c r="L90" s="55">
        <f t="shared" si="7"/>
        <v>1096</v>
      </c>
      <c r="M90" s="55">
        <f t="shared" si="8"/>
        <v>1099</v>
      </c>
    </row>
    <row r="91" spans="1:13" x14ac:dyDescent="0.2">
      <c r="A91" s="55">
        <v>1088</v>
      </c>
      <c r="B91" s="55">
        <f>COUNTIF('Raw Data'!$A$2:$A$1001,A91)</f>
        <v>9</v>
      </c>
      <c r="C91" s="57">
        <f>SUMIFS('Raw Data'!$E$2:$E$1001,'Raw Data'!$A$2:$A$1001,A91)</f>
        <v>47356.240000000005</v>
      </c>
      <c r="D91" s="55">
        <f>(COUNTIFS('Raw Data'!$A$2:$A$1001,A91,'Raw Data'!$G$2:$G$1001,"Clothing")&gt;0)+(COUNTIFS('Raw Data'!$A$2:$A$1001,A91,'Raw Data'!$G$2:$G$1001,"Electronics")&gt;0)+(COUNTIFS('Raw Data'!$A$2:$A$1001,A91,'Raw Data'!$G$2:$G$1001,"Food")&gt;0)+(COUNTIFS('Raw Data'!$A$2:$A$1001,A91,'Raw Data'!$G$2:$G$1001,"Furniture")&gt;0)</f>
        <v>4</v>
      </c>
      <c r="E91" s="55">
        <f>COUNTIFS('Raw Data'!$A$2:$A$1001,A91,'Raw Data'!$G$2:$G$1001,"Electronics")</f>
        <v>1</v>
      </c>
      <c r="F91" s="55">
        <f>COUNTIFS('Raw Data'!$A$2:$A$1001,A91,'Raw Data'!$G$2:$G$1001,"Furniture")</f>
        <v>4</v>
      </c>
      <c r="G91" s="55">
        <f>IF(E91&gt;0,MAX(G$3:G90)+1,"")</f>
        <v>77</v>
      </c>
      <c r="H91" s="55">
        <f>IF(F91&gt;0,MAX(H$3:H90)+1,"")</f>
        <v>79</v>
      </c>
      <c r="J91" s="55">
        <v>88</v>
      </c>
      <c r="K91" s="55">
        <f t="shared" si="6"/>
        <v>1100</v>
      </c>
      <c r="L91" s="55">
        <f t="shared" si="7"/>
        <v>1097</v>
      </c>
      <c r="M91" s="55">
        <f t="shared" si="8"/>
        <v>1100</v>
      </c>
    </row>
    <row r="92" spans="1:13" x14ac:dyDescent="0.2">
      <c r="A92" s="55">
        <v>1089</v>
      </c>
      <c r="B92" s="55">
        <f>COUNTIF('Raw Data'!$A$2:$A$1001,A92)</f>
        <v>14</v>
      </c>
      <c r="C92" s="57">
        <f>SUMIFS('Raw Data'!$E$2:$E$1001,'Raw Data'!$A$2:$A$1001,A92)</f>
        <v>82055.12999999999</v>
      </c>
      <c r="D92" s="55">
        <f>(COUNTIFS('Raw Data'!$A$2:$A$1001,A92,'Raw Data'!$G$2:$G$1001,"Clothing")&gt;0)+(COUNTIFS('Raw Data'!$A$2:$A$1001,A92,'Raw Data'!$G$2:$G$1001,"Electronics")&gt;0)+(COUNTIFS('Raw Data'!$A$2:$A$1001,A92,'Raw Data'!$G$2:$G$1001,"Food")&gt;0)+(COUNTIFS('Raw Data'!$A$2:$A$1001,A92,'Raw Data'!$G$2:$G$1001,"Furniture")&gt;0)</f>
        <v>3</v>
      </c>
      <c r="E92" s="55">
        <f>COUNTIFS('Raw Data'!$A$2:$A$1001,A92,'Raw Data'!$G$2:$G$1001,"Electronics")</f>
        <v>0</v>
      </c>
      <c r="F92" s="55">
        <f>COUNTIFS('Raw Data'!$A$2:$A$1001,A92,'Raw Data'!$G$2:$G$1001,"Furniture")</f>
        <v>8</v>
      </c>
      <c r="G92" s="55" t="str">
        <f>IF(E92&gt;0,MAX(G$3:G91)+1,"")</f>
        <v/>
      </c>
      <c r="H92" s="55">
        <f>IF(F92&gt;0,MAX(H$3:H91)+1,"")</f>
        <v>80</v>
      </c>
      <c r="J92" s="55">
        <v>89</v>
      </c>
      <c r="K92" s="55" t="str">
        <f t="shared" si="6"/>
        <v/>
      </c>
      <c r="L92" s="55">
        <f t="shared" si="7"/>
        <v>1098</v>
      </c>
      <c r="M92" s="55" t="str">
        <f t="shared" si="8"/>
        <v/>
      </c>
    </row>
    <row r="93" spans="1:13" x14ac:dyDescent="0.2">
      <c r="A93" s="55">
        <v>1090</v>
      </c>
      <c r="B93" s="55">
        <f>COUNTIF('Raw Data'!$A$2:$A$1001,A93)</f>
        <v>20</v>
      </c>
      <c r="C93" s="57">
        <f>SUMIFS('Raw Data'!$E$2:$E$1001,'Raw Data'!$A$2:$A$1001,A93)</f>
        <v>88043.250000000015</v>
      </c>
      <c r="D93" s="55">
        <f>(COUNTIFS('Raw Data'!$A$2:$A$1001,A93,'Raw Data'!$G$2:$G$1001,"Clothing")&gt;0)+(COUNTIFS('Raw Data'!$A$2:$A$1001,A93,'Raw Data'!$G$2:$G$1001,"Electronics")&gt;0)+(COUNTIFS('Raw Data'!$A$2:$A$1001,A93,'Raw Data'!$G$2:$G$1001,"Food")&gt;0)+(COUNTIFS('Raw Data'!$A$2:$A$1001,A93,'Raw Data'!$G$2:$G$1001,"Furniture")&gt;0)</f>
        <v>3</v>
      </c>
      <c r="E93" s="55">
        <f>COUNTIFS('Raw Data'!$A$2:$A$1001,A93,'Raw Data'!$G$2:$G$1001,"Electronics")</f>
        <v>5</v>
      </c>
      <c r="F93" s="55">
        <f>COUNTIFS('Raw Data'!$A$2:$A$1001,A93,'Raw Data'!$G$2:$G$1001,"Furniture")</f>
        <v>6</v>
      </c>
      <c r="G93" s="55">
        <f>IF(E93&gt;0,MAX(G$3:G92)+1,"")</f>
        <v>78</v>
      </c>
      <c r="H93" s="55">
        <f>IF(F93&gt;0,MAX(H$3:H92)+1,"")</f>
        <v>81</v>
      </c>
      <c r="J93" s="55">
        <v>90</v>
      </c>
      <c r="K93" s="55" t="str">
        <f t="shared" si="6"/>
        <v/>
      </c>
      <c r="L93" s="55">
        <f t="shared" si="7"/>
        <v>1099</v>
      </c>
      <c r="M93" s="55" t="str">
        <f t="shared" si="8"/>
        <v/>
      </c>
    </row>
    <row r="94" spans="1:13" x14ac:dyDescent="0.2">
      <c r="A94" s="55">
        <v>1091</v>
      </c>
      <c r="B94" s="55">
        <f>COUNTIF('Raw Data'!$A$2:$A$1001,A94)</f>
        <v>5</v>
      </c>
      <c r="C94" s="57">
        <f>SUMIFS('Raw Data'!$E$2:$E$1001,'Raw Data'!$A$2:$A$1001,A94)</f>
        <v>30960.53</v>
      </c>
      <c r="D94" s="55">
        <f>(COUNTIFS('Raw Data'!$A$2:$A$1001,A94,'Raw Data'!$G$2:$G$1001,"Clothing")&gt;0)+(COUNTIFS('Raw Data'!$A$2:$A$1001,A94,'Raw Data'!$G$2:$G$1001,"Electronics")&gt;0)+(COUNTIFS('Raw Data'!$A$2:$A$1001,A94,'Raw Data'!$G$2:$G$1001,"Food")&gt;0)+(COUNTIFS('Raw Data'!$A$2:$A$1001,A94,'Raw Data'!$G$2:$G$1001,"Furniture")&gt;0)</f>
        <v>4</v>
      </c>
      <c r="E94" s="55">
        <f>COUNTIFS('Raw Data'!$A$2:$A$1001,A94,'Raw Data'!$G$2:$G$1001,"Electronics")</f>
        <v>2</v>
      </c>
      <c r="F94" s="55">
        <f>COUNTIFS('Raw Data'!$A$2:$A$1001,A94,'Raw Data'!$G$2:$G$1001,"Furniture")</f>
        <v>1</v>
      </c>
      <c r="G94" s="55">
        <f>IF(E94&gt;0,MAX(G$3:G93)+1,"")</f>
        <v>79</v>
      </c>
      <c r="H94" s="55">
        <f>IF(F94&gt;0,MAX(H$3:H93)+1,"")</f>
        <v>82</v>
      </c>
      <c r="J94" s="55">
        <v>91</v>
      </c>
      <c r="K94" s="55" t="str">
        <f t="shared" si="6"/>
        <v/>
      </c>
      <c r="L94" s="55">
        <f t="shared" si="7"/>
        <v>1100</v>
      </c>
      <c r="M94" s="55" t="str">
        <f t="shared" si="8"/>
        <v/>
      </c>
    </row>
    <row r="95" spans="1:13" x14ac:dyDescent="0.2">
      <c r="A95" s="55">
        <v>1092</v>
      </c>
      <c r="B95" s="55">
        <f>COUNTIF('Raw Data'!$A$2:$A$1001,A95)</f>
        <v>19</v>
      </c>
      <c r="C95" s="57">
        <f>SUMIFS('Raw Data'!$E$2:$E$1001,'Raw Data'!$A$2:$A$1001,A95)</f>
        <v>90615.62000000001</v>
      </c>
      <c r="D95" s="55">
        <f>(COUNTIFS('Raw Data'!$A$2:$A$1001,A95,'Raw Data'!$G$2:$G$1001,"Clothing")&gt;0)+(COUNTIFS('Raw Data'!$A$2:$A$1001,A95,'Raw Data'!$G$2:$G$1001,"Electronics")&gt;0)+(COUNTIFS('Raw Data'!$A$2:$A$1001,A95,'Raw Data'!$G$2:$G$1001,"Food")&gt;0)+(COUNTIFS('Raw Data'!$A$2:$A$1001,A95,'Raw Data'!$G$2:$G$1001,"Furniture")&gt;0)</f>
        <v>4</v>
      </c>
      <c r="E95" s="55">
        <f>COUNTIFS('Raw Data'!$A$2:$A$1001,A95,'Raw Data'!$G$2:$G$1001,"Electronics")</f>
        <v>3</v>
      </c>
      <c r="F95" s="55">
        <f>COUNTIFS('Raw Data'!$A$2:$A$1001,A95,'Raw Data'!$G$2:$G$1001,"Furniture")</f>
        <v>6</v>
      </c>
      <c r="G95" s="55">
        <f>IF(E95&gt;0,MAX(G$3:G94)+1,"")</f>
        <v>80</v>
      </c>
      <c r="H95" s="55">
        <f>IF(F95&gt;0,MAX(H$3:H94)+1,"")</f>
        <v>83</v>
      </c>
      <c r="J95" s="55">
        <v>92</v>
      </c>
      <c r="K95" s="55" t="str">
        <f t="shared" si="6"/>
        <v/>
      </c>
      <c r="L95" s="55" t="str">
        <f t="shared" si="7"/>
        <v/>
      </c>
      <c r="M95" s="55" t="str">
        <f t="shared" si="8"/>
        <v/>
      </c>
    </row>
    <row r="96" spans="1:13" x14ac:dyDescent="0.2">
      <c r="A96" s="55">
        <v>1093</v>
      </c>
      <c r="B96" s="55">
        <f>COUNTIF('Raw Data'!$A$2:$A$1001,A96)</f>
        <v>11</v>
      </c>
      <c r="C96" s="57">
        <f>SUMIFS('Raw Data'!$E$2:$E$1001,'Raw Data'!$A$2:$A$1001,A96)</f>
        <v>49086.829999999994</v>
      </c>
      <c r="D96" s="55">
        <f>(COUNTIFS('Raw Data'!$A$2:$A$1001,A96,'Raw Data'!$G$2:$G$1001,"Clothing")&gt;0)+(COUNTIFS('Raw Data'!$A$2:$A$1001,A96,'Raw Data'!$G$2:$G$1001,"Electronics")&gt;0)+(COUNTIFS('Raw Data'!$A$2:$A$1001,A96,'Raw Data'!$G$2:$G$1001,"Food")&gt;0)+(COUNTIFS('Raw Data'!$A$2:$A$1001,A96,'Raw Data'!$G$2:$G$1001,"Furniture")&gt;0)</f>
        <v>4</v>
      </c>
      <c r="E96" s="55">
        <f>COUNTIFS('Raw Data'!$A$2:$A$1001,A96,'Raw Data'!$G$2:$G$1001,"Electronics")</f>
        <v>3</v>
      </c>
      <c r="F96" s="55">
        <f>COUNTIFS('Raw Data'!$A$2:$A$1001,A96,'Raw Data'!$G$2:$G$1001,"Furniture")</f>
        <v>4</v>
      </c>
      <c r="G96" s="55">
        <f>IF(E96&gt;0,MAX(G$3:G95)+1,"")</f>
        <v>81</v>
      </c>
      <c r="H96" s="55">
        <f>IF(F96&gt;0,MAX(H$3:H95)+1,"")</f>
        <v>84</v>
      </c>
      <c r="J96" s="55">
        <v>93</v>
      </c>
      <c r="K96" s="55" t="str">
        <f t="shared" si="6"/>
        <v/>
      </c>
      <c r="L96" s="55" t="str">
        <f t="shared" si="7"/>
        <v/>
      </c>
      <c r="M96" s="55" t="str">
        <f t="shared" si="8"/>
        <v/>
      </c>
    </row>
    <row r="97" spans="1:13" x14ac:dyDescent="0.2">
      <c r="A97" s="55">
        <v>1094</v>
      </c>
      <c r="B97" s="55">
        <f>COUNTIF('Raw Data'!$A$2:$A$1001,A97)</f>
        <v>8</v>
      </c>
      <c r="C97" s="57">
        <f>SUMIFS('Raw Data'!$E$2:$E$1001,'Raw Data'!$A$2:$A$1001,A97)</f>
        <v>50915.28</v>
      </c>
      <c r="D97" s="55">
        <f>(COUNTIFS('Raw Data'!$A$2:$A$1001,A97,'Raw Data'!$G$2:$G$1001,"Clothing")&gt;0)+(COUNTIFS('Raw Data'!$A$2:$A$1001,A97,'Raw Data'!$G$2:$G$1001,"Electronics")&gt;0)+(COUNTIFS('Raw Data'!$A$2:$A$1001,A97,'Raw Data'!$G$2:$G$1001,"Food")&gt;0)+(COUNTIFS('Raw Data'!$A$2:$A$1001,A97,'Raw Data'!$G$2:$G$1001,"Furniture")&gt;0)</f>
        <v>3</v>
      </c>
      <c r="E97" s="55">
        <f>COUNTIFS('Raw Data'!$A$2:$A$1001,A97,'Raw Data'!$G$2:$G$1001,"Electronics")</f>
        <v>1</v>
      </c>
      <c r="F97" s="55">
        <f>COUNTIFS('Raw Data'!$A$2:$A$1001,A97,'Raw Data'!$G$2:$G$1001,"Furniture")</f>
        <v>3</v>
      </c>
      <c r="G97" s="55">
        <f>IF(E97&gt;0,MAX(G$3:G96)+1,"")</f>
        <v>82</v>
      </c>
      <c r="H97" s="55">
        <f>IF(F97&gt;0,MAX(H$3:H96)+1,"")</f>
        <v>85</v>
      </c>
      <c r="J97" s="55">
        <v>94</v>
      </c>
      <c r="K97" s="55" t="str">
        <f t="shared" si="6"/>
        <v/>
      </c>
      <c r="L97" s="55" t="str">
        <f t="shared" si="7"/>
        <v/>
      </c>
      <c r="M97" s="55" t="str">
        <f t="shared" si="8"/>
        <v/>
      </c>
    </row>
    <row r="98" spans="1:13" x14ac:dyDescent="0.2">
      <c r="A98" s="55">
        <v>1095</v>
      </c>
      <c r="B98" s="55">
        <f>COUNTIF('Raw Data'!$A$2:$A$1001,A98)</f>
        <v>10</v>
      </c>
      <c r="C98" s="57">
        <f>SUMIFS('Raw Data'!$E$2:$E$1001,'Raw Data'!$A$2:$A$1001,A98)</f>
        <v>70345.98</v>
      </c>
      <c r="D98" s="55">
        <f>(COUNTIFS('Raw Data'!$A$2:$A$1001,A98,'Raw Data'!$G$2:$G$1001,"Clothing")&gt;0)+(COUNTIFS('Raw Data'!$A$2:$A$1001,A98,'Raw Data'!$G$2:$G$1001,"Electronics")&gt;0)+(COUNTIFS('Raw Data'!$A$2:$A$1001,A98,'Raw Data'!$G$2:$G$1001,"Food")&gt;0)+(COUNTIFS('Raw Data'!$A$2:$A$1001,A98,'Raw Data'!$G$2:$G$1001,"Furniture")&gt;0)</f>
        <v>4</v>
      </c>
      <c r="E98" s="55">
        <f>COUNTIFS('Raw Data'!$A$2:$A$1001,A98,'Raw Data'!$G$2:$G$1001,"Electronics")</f>
        <v>3</v>
      </c>
      <c r="F98" s="55">
        <f>COUNTIFS('Raw Data'!$A$2:$A$1001,A98,'Raw Data'!$G$2:$G$1001,"Furniture")</f>
        <v>1</v>
      </c>
      <c r="G98" s="55">
        <f>IF(E98&gt;0,MAX(G$3:G97)+1,"")</f>
        <v>83</v>
      </c>
      <c r="H98" s="55">
        <f>IF(F98&gt;0,MAX(H$3:H97)+1,"")</f>
        <v>86</v>
      </c>
      <c r="J98" s="55">
        <v>95</v>
      </c>
      <c r="K98" s="55" t="str">
        <f t="shared" si="6"/>
        <v/>
      </c>
      <c r="L98" s="55" t="str">
        <f t="shared" si="7"/>
        <v/>
      </c>
      <c r="M98" s="55" t="str">
        <f t="shared" si="8"/>
        <v/>
      </c>
    </row>
    <row r="99" spans="1:13" x14ac:dyDescent="0.2">
      <c r="A99" s="55">
        <v>1096</v>
      </c>
      <c r="B99" s="55">
        <f>COUNTIF('Raw Data'!$A$2:$A$1001,A99)</f>
        <v>13</v>
      </c>
      <c r="C99" s="57">
        <f>SUMIFS('Raw Data'!$E$2:$E$1001,'Raw Data'!$A$2:$A$1001,A99)</f>
        <v>73872.890000000014</v>
      </c>
      <c r="D99" s="55">
        <f>(COUNTIFS('Raw Data'!$A$2:$A$1001,A99,'Raw Data'!$G$2:$G$1001,"Clothing")&gt;0)+(COUNTIFS('Raw Data'!$A$2:$A$1001,A99,'Raw Data'!$G$2:$G$1001,"Electronics")&gt;0)+(COUNTIFS('Raw Data'!$A$2:$A$1001,A99,'Raw Data'!$G$2:$G$1001,"Food")&gt;0)+(COUNTIFS('Raw Data'!$A$2:$A$1001,A99,'Raw Data'!$G$2:$G$1001,"Furniture")&gt;0)</f>
        <v>4</v>
      </c>
      <c r="E99" s="55">
        <f>COUNTIFS('Raw Data'!$A$2:$A$1001,A99,'Raw Data'!$G$2:$G$1001,"Electronics")</f>
        <v>4</v>
      </c>
      <c r="F99" s="55">
        <f>COUNTIFS('Raw Data'!$A$2:$A$1001,A99,'Raw Data'!$G$2:$G$1001,"Furniture")</f>
        <v>4</v>
      </c>
      <c r="G99" s="55">
        <f>IF(E99&gt;0,MAX(G$3:G98)+1,"")</f>
        <v>84</v>
      </c>
      <c r="H99" s="55">
        <f>IF(F99&gt;0,MAX(H$3:H98)+1,"")</f>
        <v>87</v>
      </c>
      <c r="J99" s="55">
        <v>96</v>
      </c>
      <c r="K99" s="55" t="str">
        <f t="shared" si="6"/>
        <v/>
      </c>
      <c r="L99" s="55" t="str">
        <f t="shared" si="7"/>
        <v/>
      </c>
      <c r="M99" s="55" t="str">
        <f t="shared" si="8"/>
        <v/>
      </c>
    </row>
    <row r="100" spans="1:13" x14ac:dyDescent="0.2">
      <c r="A100" s="55">
        <v>1097</v>
      </c>
      <c r="B100" s="55">
        <f>COUNTIF('Raw Data'!$A$2:$A$1001,A100)</f>
        <v>9</v>
      </c>
      <c r="C100" s="57">
        <f>SUMIFS('Raw Data'!$E$2:$E$1001,'Raw Data'!$A$2:$A$1001,A100)</f>
        <v>48134.560000000005</v>
      </c>
      <c r="D100" s="55">
        <f>(COUNTIFS('Raw Data'!$A$2:$A$1001,A100,'Raw Data'!$G$2:$G$1001,"Clothing")&gt;0)+(COUNTIFS('Raw Data'!$A$2:$A$1001,A100,'Raw Data'!$G$2:$G$1001,"Electronics")&gt;0)+(COUNTIFS('Raw Data'!$A$2:$A$1001,A100,'Raw Data'!$G$2:$G$1001,"Food")&gt;0)+(COUNTIFS('Raw Data'!$A$2:$A$1001,A100,'Raw Data'!$G$2:$G$1001,"Furniture")&gt;0)</f>
        <v>4</v>
      </c>
      <c r="E100" s="55">
        <f>COUNTIFS('Raw Data'!$A$2:$A$1001,A100,'Raw Data'!$G$2:$G$1001,"Electronics")</f>
        <v>4</v>
      </c>
      <c r="F100" s="55">
        <f>COUNTIFS('Raw Data'!$A$2:$A$1001,A100,'Raw Data'!$G$2:$G$1001,"Furniture")</f>
        <v>1</v>
      </c>
      <c r="G100" s="55">
        <f>IF(E100&gt;0,MAX(G$3:G99)+1,"")</f>
        <v>85</v>
      </c>
      <c r="H100" s="55">
        <f>IF(F100&gt;0,MAX(H$3:H99)+1,"")</f>
        <v>88</v>
      </c>
      <c r="J100" s="55">
        <v>97</v>
      </c>
      <c r="K100" s="55" t="str">
        <f t="shared" ref="K100:K131" si="9">IFERROR(INDEX($A$4:$A$103,MATCH(J100,$G$4:$G$103,0)),"")</f>
        <v/>
      </c>
      <c r="L100" s="55" t="str">
        <f t="shared" si="7"/>
        <v/>
      </c>
      <c r="M100" s="55" t="str">
        <f t="shared" si="8"/>
        <v/>
      </c>
    </row>
    <row r="101" spans="1:13" x14ac:dyDescent="0.2">
      <c r="A101" s="55">
        <v>1098</v>
      </c>
      <c r="B101" s="55">
        <f>COUNTIF('Raw Data'!$A$2:$A$1001,A101)</f>
        <v>7</v>
      </c>
      <c r="C101" s="57">
        <f>SUMIFS('Raw Data'!$E$2:$E$1001,'Raw Data'!$A$2:$A$1001,A101)</f>
        <v>34978.980000000003</v>
      </c>
      <c r="D101" s="55">
        <f>(COUNTIFS('Raw Data'!$A$2:$A$1001,A101,'Raw Data'!$G$2:$G$1001,"Clothing")&gt;0)+(COUNTIFS('Raw Data'!$A$2:$A$1001,A101,'Raw Data'!$G$2:$G$1001,"Electronics")&gt;0)+(COUNTIFS('Raw Data'!$A$2:$A$1001,A101,'Raw Data'!$G$2:$G$1001,"Food")&gt;0)+(COUNTIFS('Raw Data'!$A$2:$A$1001,A101,'Raw Data'!$G$2:$G$1001,"Furniture")&gt;0)</f>
        <v>4</v>
      </c>
      <c r="E101" s="55">
        <f>COUNTIFS('Raw Data'!$A$2:$A$1001,A101,'Raw Data'!$G$2:$G$1001,"Electronics")</f>
        <v>3</v>
      </c>
      <c r="F101" s="55">
        <f>COUNTIFS('Raw Data'!$A$2:$A$1001,A101,'Raw Data'!$G$2:$G$1001,"Furniture")</f>
        <v>2</v>
      </c>
      <c r="G101" s="55">
        <f>IF(E101&gt;0,MAX(G$3:G100)+1,"")</f>
        <v>86</v>
      </c>
      <c r="H101" s="55">
        <f>IF(F101&gt;0,MAX(H$3:H100)+1,"")</f>
        <v>89</v>
      </c>
      <c r="J101" s="55">
        <v>98</v>
      </c>
      <c r="K101" s="55" t="str">
        <f t="shared" si="9"/>
        <v/>
      </c>
      <c r="L101" s="55" t="str">
        <f t="shared" si="7"/>
        <v/>
      </c>
      <c r="M101" s="55" t="str">
        <f t="shared" si="8"/>
        <v/>
      </c>
    </row>
    <row r="102" spans="1:13" x14ac:dyDescent="0.2">
      <c r="A102" s="55">
        <v>1099</v>
      </c>
      <c r="B102" s="55">
        <f>COUNTIF('Raw Data'!$A$2:$A$1001,A102)</f>
        <v>18</v>
      </c>
      <c r="C102" s="57">
        <f>SUMIFS('Raw Data'!$E$2:$E$1001,'Raw Data'!$A$2:$A$1001,A102)</f>
        <v>101773.87</v>
      </c>
      <c r="D102" s="55">
        <f>(COUNTIFS('Raw Data'!$A$2:$A$1001,A102,'Raw Data'!$G$2:$G$1001,"Clothing")&gt;0)+(COUNTIFS('Raw Data'!$A$2:$A$1001,A102,'Raw Data'!$G$2:$G$1001,"Electronics")&gt;0)+(COUNTIFS('Raw Data'!$A$2:$A$1001,A102,'Raw Data'!$G$2:$G$1001,"Food")&gt;0)+(COUNTIFS('Raw Data'!$A$2:$A$1001,A102,'Raw Data'!$G$2:$G$1001,"Furniture")&gt;0)</f>
        <v>4</v>
      </c>
      <c r="E102" s="55">
        <f>COUNTIFS('Raw Data'!$A$2:$A$1001,A102,'Raw Data'!$G$2:$G$1001,"Electronics")</f>
        <v>4</v>
      </c>
      <c r="F102" s="55">
        <f>COUNTIFS('Raw Data'!$A$2:$A$1001,A102,'Raw Data'!$G$2:$G$1001,"Furniture")</f>
        <v>4</v>
      </c>
      <c r="G102" s="55">
        <f>IF(E102&gt;0,MAX(G$3:G101)+1,"")</f>
        <v>87</v>
      </c>
      <c r="H102" s="55">
        <f>IF(F102&gt;0,MAX(H$3:H101)+1,"")</f>
        <v>90</v>
      </c>
      <c r="J102" s="55">
        <v>99</v>
      </c>
      <c r="K102" s="55" t="str">
        <f t="shared" si="9"/>
        <v/>
      </c>
      <c r="L102" s="55" t="str">
        <f t="shared" si="7"/>
        <v/>
      </c>
      <c r="M102" s="55" t="str">
        <f t="shared" si="8"/>
        <v/>
      </c>
    </row>
    <row r="103" spans="1:13" x14ac:dyDescent="0.2">
      <c r="A103" s="55">
        <v>1100</v>
      </c>
      <c r="B103" s="55">
        <f>COUNTIF('Raw Data'!$A$2:$A$1001,A103)</f>
        <v>9</v>
      </c>
      <c r="C103" s="57">
        <f>SUMIFS('Raw Data'!$E$2:$E$1001,'Raw Data'!$A$2:$A$1001,A103)</f>
        <v>27882.489999999998</v>
      </c>
      <c r="D103" s="55">
        <f>(COUNTIFS('Raw Data'!$A$2:$A$1001,A103,'Raw Data'!$G$2:$G$1001,"Clothing")&gt;0)+(COUNTIFS('Raw Data'!$A$2:$A$1001,A103,'Raw Data'!$G$2:$G$1001,"Electronics")&gt;0)+(COUNTIFS('Raw Data'!$A$2:$A$1001,A103,'Raw Data'!$G$2:$G$1001,"Food")&gt;0)+(COUNTIFS('Raw Data'!$A$2:$A$1001,A103,'Raw Data'!$G$2:$G$1001,"Furniture")&gt;0)</f>
        <v>3</v>
      </c>
      <c r="E103" s="55">
        <f>COUNTIFS('Raw Data'!$A$2:$A$1001,A103,'Raw Data'!$G$2:$G$1001,"Electronics")</f>
        <v>3</v>
      </c>
      <c r="F103" s="55">
        <f>COUNTIFS('Raw Data'!$A$2:$A$1001,A103,'Raw Data'!$G$2:$G$1001,"Furniture")</f>
        <v>3</v>
      </c>
      <c r="G103" s="55">
        <f>IF(E103&gt;0,MAX(G$3:G102)+1,"")</f>
        <v>88</v>
      </c>
      <c r="H103" s="55">
        <f>IF(F103&gt;0,MAX(H$3:H102)+1,"")</f>
        <v>91</v>
      </c>
      <c r="J103" s="55">
        <v>100</v>
      </c>
      <c r="K103" s="55" t="str">
        <f t="shared" si="9"/>
        <v/>
      </c>
      <c r="L103" s="55" t="str">
        <f t="shared" si="7"/>
        <v/>
      </c>
      <c r="M103" s="55" t="str">
        <f t="shared" si="8"/>
        <v/>
      </c>
    </row>
  </sheetData>
  <conditionalFormatting sqref="C4:C103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{8798C620-BE26-4372-8335-194EE911109A}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98C620-BE26-4372-8335-194EE911109A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C4:C103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BFBF"/>
  </sheetPr>
  <dimension ref="A1:I41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18" customWidth="1"/>
    <col min="3" max="4" width="12" customWidth="1"/>
    <col min="5" max="5" width="10" customWidth="1"/>
    <col min="6" max="6" width="14" customWidth="1"/>
    <col min="7" max="7" width="10" customWidth="1"/>
    <col min="8" max="8" width="7" customWidth="1"/>
    <col min="9" max="9" width="14" customWidth="1"/>
  </cols>
  <sheetData>
    <row r="1" spans="1:9" ht="20" x14ac:dyDescent="0.2">
      <c r="A1" s="15" t="s">
        <v>352</v>
      </c>
    </row>
    <row r="2" spans="1:9" x14ac:dyDescent="0.2">
      <c r="A2" s="16" t="s">
        <v>353</v>
      </c>
    </row>
    <row r="4" spans="1:9" x14ac:dyDescent="0.2">
      <c r="A4" s="19" t="s">
        <v>53</v>
      </c>
      <c r="B4" s="71" t="s">
        <v>15</v>
      </c>
    </row>
    <row r="5" spans="1:9" x14ac:dyDescent="0.2">
      <c r="A5" s="19" t="s">
        <v>354</v>
      </c>
      <c r="B5" s="71" t="s">
        <v>15</v>
      </c>
    </row>
    <row r="6" spans="1:9" x14ac:dyDescent="0.2">
      <c r="A6" s="19" t="s">
        <v>355</v>
      </c>
      <c r="B6" s="72">
        <v>9000</v>
      </c>
    </row>
    <row r="7" spans="1:9" x14ac:dyDescent="0.2">
      <c r="A7" s="19" t="s">
        <v>356</v>
      </c>
      <c r="B7" s="19">
        <f>COUNT('Raw Data'!$AH$2:$AH$1001)</f>
        <v>90</v>
      </c>
    </row>
    <row r="9" spans="1:9" x14ac:dyDescent="0.2">
      <c r="A9" s="19" t="s">
        <v>357</v>
      </c>
    </row>
    <row r="10" spans="1:9" x14ac:dyDescent="0.2">
      <c r="A10" s="73" t="s">
        <v>358</v>
      </c>
    </row>
    <row r="11" spans="1:9" x14ac:dyDescent="0.2">
      <c r="A11" s="17" t="s">
        <v>337</v>
      </c>
      <c r="B11" s="17" t="s">
        <v>131</v>
      </c>
      <c r="C11" s="17" t="s">
        <v>327</v>
      </c>
      <c r="D11" s="17" t="s">
        <v>217</v>
      </c>
      <c r="E11" s="17" t="s">
        <v>53</v>
      </c>
      <c r="F11" s="17" t="s">
        <v>213</v>
      </c>
      <c r="G11" s="17" t="s">
        <v>221</v>
      </c>
      <c r="H11" s="17" t="s">
        <v>359</v>
      </c>
      <c r="I11" s="17" t="s">
        <v>107</v>
      </c>
    </row>
    <row r="12" spans="1:9" x14ac:dyDescent="0.2">
      <c r="A12" s="55">
        <v>1</v>
      </c>
      <c r="B12" s="55" t="str">
        <f>IFERROR(INDEX('Raw Data'!$AG$2:$AG$1001,MATCH($A12,'Raw Data'!$AH$2:$AH$1001,0)),"")</f>
        <v>WR-230713-0048</v>
      </c>
      <c r="C12" s="65">
        <f>IFERROR(INDEX('Raw Data'!$B$2:$B$1001,MATCH($A12,'Raw Data'!$AH$2:$AH$1001,0)),"")</f>
        <v>45120</v>
      </c>
      <c r="D12" s="55" t="str">
        <f>IFERROR(INDEX('Raw Data'!$C$2:$C$1001,MATCH($A12,'Raw Data'!$AH$2:$AH$1001,0)),"")</f>
        <v>Bob</v>
      </c>
      <c r="E12" s="55" t="str">
        <f>IFERROR(INDEX('Raw Data'!$D$2:$D$1001,MATCH($A12,'Raw Data'!$AH$2:$AH$1001,0)),"")</f>
        <v>West</v>
      </c>
      <c r="F12" s="55" t="str">
        <f>IFERROR(INDEX('Raw Data'!$G$2:$G$1001,MATCH($A12,'Raw Data'!$AH$2:$AH$1001,0)),"")</f>
        <v>Furniture</v>
      </c>
      <c r="G12" s="55" t="str">
        <f>IFERROR(INDEX('Raw Data'!$M$2:$M$1001,MATCH($A12,'Raw Data'!$AH$2:$AH$1001,0)),"")</f>
        <v>Retail</v>
      </c>
      <c r="H12" s="55">
        <f>IFERROR(INDEX('Raw Data'!$F$2:$F$1001,MATCH($A12,'Raw Data'!$AH$2:$AH$1001,0)),"")</f>
        <v>43</v>
      </c>
      <c r="I12" s="74">
        <f>IFERROR(INDEX('Raw Data'!$E$2:$E$1001,MATCH($A12,'Raw Data'!$AH$2:$AH$1001,0)),"")</f>
        <v>9638.64</v>
      </c>
    </row>
    <row r="13" spans="1:9" x14ac:dyDescent="0.2">
      <c r="A13" s="55">
        <v>2</v>
      </c>
      <c r="B13" s="55" t="str">
        <f>IFERROR(INDEX('Raw Data'!$AG$2:$AG$1001,MATCH($A13,'Raw Data'!$AH$2:$AH$1001,0)),"")</f>
        <v>WO-231122-0055</v>
      </c>
      <c r="C13" s="65">
        <f>IFERROR(INDEX('Raw Data'!$B$2:$B$1001,MATCH($A13,'Raw Data'!$AH$2:$AH$1001,0)),"")</f>
        <v>45252</v>
      </c>
      <c r="D13" s="55" t="str">
        <f>IFERROR(INDEX('Raw Data'!$C$2:$C$1001,MATCH($A13,'Raw Data'!$AH$2:$AH$1001,0)),"")</f>
        <v>David</v>
      </c>
      <c r="E13" s="55" t="str">
        <f>IFERROR(INDEX('Raw Data'!$D$2:$D$1001,MATCH($A13,'Raw Data'!$AH$2:$AH$1001,0)),"")</f>
        <v>West</v>
      </c>
      <c r="F13" s="55" t="str">
        <f>IFERROR(INDEX('Raw Data'!$G$2:$G$1001,MATCH($A13,'Raw Data'!$AH$2:$AH$1001,0)),"")</f>
        <v>Food</v>
      </c>
      <c r="G13" s="55" t="str">
        <f>IFERROR(INDEX('Raw Data'!$M$2:$M$1001,MATCH($A13,'Raw Data'!$AH$2:$AH$1001,0)),"")</f>
        <v>Online</v>
      </c>
      <c r="H13" s="55">
        <f>IFERROR(INDEX('Raw Data'!$F$2:$F$1001,MATCH($A13,'Raw Data'!$AH$2:$AH$1001,0)),"")</f>
        <v>17</v>
      </c>
      <c r="I13" s="74">
        <f>IFERROR(INDEX('Raw Data'!$E$2:$E$1001,MATCH($A13,'Raw Data'!$AH$2:$AH$1001,0)),"")</f>
        <v>9762.5400000000009</v>
      </c>
    </row>
    <row r="14" spans="1:9" x14ac:dyDescent="0.2">
      <c r="A14" s="55">
        <v>3</v>
      </c>
      <c r="B14" s="55" t="str">
        <f>IFERROR(INDEX('Raw Data'!$AG$2:$AG$1001,MATCH($A14,'Raw Data'!$AH$2:$AH$1001,0)),"")</f>
        <v>ER-230519-0071</v>
      </c>
      <c r="C14" s="65">
        <f>IFERROR(INDEX('Raw Data'!$B$2:$B$1001,MATCH($A14,'Raw Data'!$AH$2:$AH$1001,0)),"")</f>
        <v>45065</v>
      </c>
      <c r="D14" s="55" t="str">
        <f>IFERROR(INDEX('Raw Data'!$C$2:$C$1001,MATCH($A14,'Raw Data'!$AH$2:$AH$1001,0)),"")</f>
        <v>Charlie</v>
      </c>
      <c r="E14" s="55" t="str">
        <f>IFERROR(INDEX('Raw Data'!$D$2:$D$1001,MATCH($A14,'Raw Data'!$AH$2:$AH$1001,0)),"")</f>
        <v>East</v>
      </c>
      <c r="F14" s="55" t="str">
        <f>IFERROR(INDEX('Raw Data'!$G$2:$G$1001,MATCH($A14,'Raw Data'!$AH$2:$AH$1001,0)),"")</f>
        <v>Clothing</v>
      </c>
      <c r="G14" s="55" t="str">
        <f>IFERROR(INDEX('Raw Data'!$M$2:$M$1001,MATCH($A14,'Raw Data'!$AH$2:$AH$1001,0)),"")</f>
        <v>Retail</v>
      </c>
      <c r="H14" s="55">
        <f>IFERROR(INDEX('Raw Data'!$F$2:$F$1001,MATCH($A14,'Raw Data'!$AH$2:$AH$1001,0)),"")</f>
        <v>35</v>
      </c>
      <c r="I14" s="74">
        <f>IFERROR(INDEX('Raw Data'!$E$2:$E$1001,MATCH($A14,'Raw Data'!$AH$2:$AH$1001,0)),"")</f>
        <v>9744.52</v>
      </c>
    </row>
    <row r="15" spans="1:9" x14ac:dyDescent="0.2">
      <c r="A15" s="55">
        <v>4</v>
      </c>
      <c r="B15" s="55" t="str">
        <f>IFERROR(INDEX('Raw Data'!$AG$2:$AG$1001,MATCH($A15,'Raw Data'!$AH$2:$AH$1001,0)),"")</f>
        <v>SO-230411-0087</v>
      </c>
      <c r="C15" s="65">
        <f>IFERROR(INDEX('Raw Data'!$B$2:$B$1001,MATCH($A15,'Raw Data'!$AH$2:$AH$1001,0)),"")</f>
        <v>45027</v>
      </c>
      <c r="D15" s="55" t="str">
        <f>IFERROR(INDEX('Raw Data'!$C$2:$C$1001,MATCH($A15,'Raw Data'!$AH$2:$AH$1001,0)),"")</f>
        <v>Alice</v>
      </c>
      <c r="E15" s="55" t="str">
        <f>IFERROR(INDEX('Raw Data'!$D$2:$D$1001,MATCH($A15,'Raw Data'!$AH$2:$AH$1001,0)),"")</f>
        <v>South</v>
      </c>
      <c r="F15" s="55" t="str">
        <f>IFERROR(INDEX('Raw Data'!$G$2:$G$1001,MATCH($A15,'Raw Data'!$AH$2:$AH$1001,0)),"")</f>
        <v>Food</v>
      </c>
      <c r="G15" s="55" t="str">
        <f>IFERROR(INDEX('Raw Data'!$M$2:$M$1001,MATCH($A15,'Raw Data'!$AH$2:$AH$1001,0)),"")</f>
        <v>Online</v>
      </c>
      <c r="H15" s="55">
        <f>IFERROR(INDEX('Raw Data'!$F$2:$F$1001,MATCH($A15,'Raw Data'!$AH$2:$AH$1001,0)),"")</f>
        <v>38</v>
      </c>
      <c r="I15" s="74">
        <f>IFERROR(INDEX('Raw Data'!$E$2:$E$1001,MATCH($A15,'Raw Data'!$AH$2:$AH$1001,0)),"")</f>
        <v>9582.1200000000008</v>
      </c>
    </row>
    <row r="16" spans="1:9" x14ac:dyDescent="0.2">
      <c r="A16" s="55">
        <v>5</v>
      </c>
      <c r="B16" s="55" t="str">
        <f>IFERROR(INDEX('Raw Data'!$AG$2:$AG$1001,MATCH($A16,'Raw Data'!$AH$2:$AH$1001,0)),"")</f>
        <v>ER-231125-0088</v>
      </c>
      <c r="C16" s="65">
        <f>IFERROR(INDEX('Raw Data'!$B$2:$B$1001,MATCH($A16,'Raw Data'!$AH$2:$AH$1001,0)),"")</f>
        <v>45255</v>
      </c>
      <c r="D16" s="55" t="str">
        <f>IFERROR(INDEX('Raw Data'!$C$2:$C$1001,MATCH($A16,'Raw Data'!$AH$2:$AH$1001,0)),"")</f>
        <v>Alice</v>
      </c>
      <c r="E16" s="55" t="str">
        <f>IFERROR(INDEX('Raw Data'!$D$2:$D$1001,MATCH($A16,'Raw Data'!$AH$2:$AH$1001,0)),"")</f>
        <v>East</v>
      </c>
      <c r="F16" s="55" t="str">
        <f>IFERROR(INDEX('Raw Data'!$G$2:$G$1001,MATCH($A16,'Raw Data'!$AH$2:$AH$1001,0)),"")</f>
        <v>Electronics</v>
      </c>
      <c r="G16" s="55" t="str">
        <f>IFERROR(INDEX('Raw Data'!$M$2:$M$1001,MATCH($A16,'Raw Data'!$AH$2:$AH$1001,0)),"")</f>
        <v>Retail</v>
      </c>
      <c r="H16" s="55">
        <f>IFERROR(INDEX('Raw Data'!$F$2:$F$1001,MATCH($A16,'Raw Data'!$AH$2:$AH$1001,0)),"")</f>
        <v>37</v>
      </c>
      <c r="I16" s="74">
        <f>IFERROR(INDEX('Raw Data'!$E$2:$E$1001,MATCH($A16,'Raw Data'!$AH$2:$AH$1001,0)),"")</f>
        <v>9432.9699999999993</v>
      </c>
    </row>
    <row r="17" spans="1:9" x14ac:dyDescent="0.2">
      <c r="A17" s="55">
        <v>6</v>
      </c>
      <c r="B17" s="55" t="str">
        <f>IFERROR(INDEX('Raw Data'!$AG$2:$AG$1001,MATCH($A17,'Raw Data'!$AH$2:$AH$1001,0)),"")</f>
        <v>SR-230922-0090</v>
      </c>
      <c r="C17" s="65">
        <f>IFERROR(INDEX('Raw Data'!$B$2:$B$1001,MATCH($A17,'Raw Data'!$AH$2:$AH$1001,0)),"")</f>
        <v>45191</v>
      </c>
      <c r="D17" s="55" t="str">
        <f>IFERROR(INDEX('Raw Data'!$C$2:$C$1001,MATCH($A17,'Raw Data'!$AH$2:$AH$1001,0)),"")</f>
        <v>David</v>
      </c>
      <c r="E17" s="55" t="str">
        <f>IFERROR(INDEX('Raw Data'!$D$2:$D$1001,MATCH($A17,'Raw Data'!$AH$2:$AH$1001,0)),"")</f>
        <v>South</v>
      </c>
      <c r="F17" s="55" t="str">
        <f>IFERROR(INDEX('Raw Data'!$G$2:$G$1001,MATCH($A17,'Raw Data'!$AH$2:$AH$1001,0)),"")</f>
        <v>Electronics</v>
      </c>
      <c r="G17" s="55" t="str">
        <f>IFERROR(INDEX('Raw Data'!$M$2:$M$1001,MATCH($A17,'Raw Data'!$AH$2:$AH$1001,0)),"")</f>
        <v>Retail</v>
      </c>
      <c r="H17" s="55">
        <f>IFERROR(INDEX('Raw Data'!$F$2:$F$1001,MATCH($A17,'Raw Data'!$AH$2:$AH$1001,0)),"")</f>
        <v>22</v>
      </c>
      <c r="I17" s="74">
        <f>IFERROR(INDEX('Raw Data'!$E$2:$E$1001,MATCH($A17,'Raw Data'!$AH$2:$AH$1001,0)),"")</f>
        <v>9914.15</v>
      </c>
    </row>
    <row r="18" spans="1:9" x14ac:dyDescent="0.2">
      <c r="A18" s="55">
        <v>7</v>
      </c>
      <c r="B18" s="55" t="str">
        <f>IFERROR(INDEX('Raw Data'!$AG$2:$AG$1001,MATCH($A18,'Raw Data'!$AH$2:$AH$1001,0)),"")</f>
        <v>ER-230404-0092</v>
      </c>
      <c r="C18" s="65">
        <f>IFERROR(INDEX('Raw Data'!$B$2:$B$1001,MATCH($A18,'Raw Data'!$AH$2:$AH$1001,0)),"")</f>
        <v>45020</v>
      </c>
      <c r="D18" s="55" t="str">
        <f>IFERROR(INDEX('Raw Data'!$C$2:$C$1001,MATCH($A18,'Raw Data'!$AH$2:$AH$1001,0)),"")</f>
        <v>David</v>
      </c>
      <c r="E18" s="55" t="str">
        <f>IFERROR(INDEX('Raw Data'!$D$2:$D$1001,MATCH($A18,'Raw Data'!$AH$2:$AH$1001,0)),"")</f>
        <v>East</v>
      </c>
      <c r="F18" s="55" t="str">
        <f>IFERROR(INDEX('Raw Data'!$G$2:$G$1001,MATCH($A18,'Raw Data'!$AH$2:$AH$1001,0)),"")</f>
        <v>Furniture</v>
      </c>
      <c r="G18" s="55" t="str">
        <f>IFERROR(INDEX('Raw Data'!$M$2:$M$1001,MATCH($A18,'Raw Data'!$AH$2:$AH$1001,0)),"")</f>
        <v>Retail</v>
      </c>
      <c r="H18" s="55">
        <f>IFERROR(INDEX('Raw Data'!$F$2:$F$1001,MATCH($A18,'Raw Data'!$AH$2:$AH$1001,0)),"")</f>
        <v>49</v>
      </c>
      <c r="I18" s="74">
        <f>IFERROR(INDEX('Raw Data'!$E$2:$E$1001,MATCH($A18,'Raw Data'!$AH$2:$AH$1001,0)),"")</f>
        <v>9631.41</v>
      </c>
    </row>
    <row r="19" spans="1:9" x14ac:dyDescent="0.2">
      <c r="A19" s="55">
        <v>8</v>
      </c>
      <c r="B19" s="55" t="str">
        <f>IFERROR(INDEX('Raw Data'!$AG$2:$AG$1001,MATCH($A19,'Raw Data'!$AH$2:$AH$1001,0)),"")</f>
        <v>ER-231124-0108</v>
      </c>
      <c r="C19" s="65">
        <f>IFERROR(INDEX('Raw Data'!$B$2:$B$1001,MATCH($A19,'Raw Data'!$AH$2:$AH$1001,0)),"")</f>
        <v>45254</v>
      </c>
      <c r="D19" s="55" t="str">
        <f>IFERROR(INDEX('Raw Data'!$C$2:$C$1001,MATCH($A19,'Raw Data'!$AH$2:$AH$1001,0)),"")</f>
        <v>Bob</v>
      </c>
      <c r="E19" s="55" t="str">
        <f>IFERROR(INDEX('Raw Data'!$D$2:$D$1001,MATCH($A19,'Raw Data'!$AH$2:$AH$1001,0)),"")</f>
        <v>East</v>
      </c>
      <c r="F19" s="55" t="str">
        <f>IFERROR(INDEX('Raw Data'!$G$2:$G$1001,MATCH($A19,'Raw Data'!$AH$2:$AH$1001,0)),"")</f>
        <v>Food</v>
      </c>
      <c r="G19" s="55" t="str">
        <f>IFERROR(INDEX('Raw Data'!$M$2:$M$1001,MATCH($A19,'Raw Data'!$AH$2:$AH$1001,0)),"")</f>
        <v>Retail</v>
      </c>
      <c r="H19" s="55">
        <f>IFERROR(INDEX('Raw Data'!$F$2:$F$1001,MATCH($A19,'Raw Data'!$AH$2:$AH$1001,0)),"")</f>
        <v>18</v>
      </c>
      <c r="I19" s="74">
        <f>IFERROR(INDEX('Raw Data'!$E$2:$E$1001,MATCH($A19,'Raw Data'!$AH$2:$AH$1001,0)),"")</f>
        <v>9183.11</v>
      </c>
    </row>
    <row r="20" spans="1:9" x14ac:dyDescent="0.2">
      <c r="A20" s="55">
        <v>9</v>
      </c>
      <c r="B20" s="55" t="str">
        <f>IFERROR(INDEX('Raw Data'!$AG$2:$AG$1001,MATCH($A20,'Raw Data'!$AH$2:$AH$1001,0)),"")</f>
        <v>ER-231205-0119</v>
      </c>
      <c r="C20" s="65">
        <f>IFERROR(INDEX('Raw Data'!$B$2:$B$1001,MATCH($A20,'Raw Data'!$AH$2:$AH$1001,0)),"")</f>
        <v>45265</v>
      </c>
      <c r="D20" s="55" t="str">
        <f>IFERROR(INDEX('Raw Data'!$C$2:$C$1001,MATCH($A20,'Raw Data'!$AH$2:$AH$1001,0)),"")</f>
        <v>Charlie</v>
      </c>
      <c r="E20" s="55" t="str">
        <f>IFERROR(INDEX('Raw Data'!$D$2:$D$1001,MATCH($A20,'Raw Data'!$AH$2:$AH$1001,0)),"")</f>
        <v>East</v>
      </c>
      <c r="F20" s="55" t="str">
        <f>IFERROR(INDEX('Raw Data'!$G$2:$G$1001,MATCH($A20,'Raw Data'!$AH$2:$AH$1001,0)),"")</f>
        <v>Electronics</v>
      </c>
      <c r="G20" s="55" t="str">
        <f>IFERROR(INDEX('Raw Data'!$M$2:$M$1001,MATCH($A20,'Raw Data'!$AH$2:$AH$1001,0)),"")</f>
        <v>Retail</v>
      </c>
      <c r="H20" s="55">
        <f>IFERROR(INDEX('Raw Data'!$F$2:$F$1001,MATCH($A20,'Raw Data'!$AH$2:$AH$1001,0)),"")</f>
        <v>27</v>
      </c>
      <c r="I20" s="74">
        <f>IFERROR(INDEX('Raw Data'!$E$2:$E$1001,MATCH($A20,'Raw Data'!$AH$2:$AH$1001,0)),"")</f>
        <v>9583.5499999999993</v>
      </c>
    </row>
    <row r="21" spans="1:9" x14ac:dyDescent="0.2">
      <c r="A21" s="55">
        <v>10</v>
      </c>
      <c r="B21" s="55" t="str">
        <f>IFERROR(INDEX('Raw Data'!$AG$2:$AG$1001,MATCH($A21,'Raw Data'!$AH$2:$AH$1001,0)),"")</f>
        <v>NO-230123-0136</v>
      </c>
      <c r="C21" s="65">
        <f>IFERROR(INDEX('Raw Data'!$B$2:$B$1001,MATCH($A21,'Raw Data'!$AH$2:$AH$1001,0)),"")</f>
        <v>44949</v>
      </c>
      <c r="D21" s="55" t="str">
        <f>IFERROR(INDEX('Raw Data'!$C$2:$C$1001,MATCH($A21,'Raw Data'!$AH$2:$AH$1001,0)),"")</f>
        <v>Bob</v>
      </c>
      <c r="E21" s="55" t="str">
        <f>IFERROR(INDEX('Raw Data'!$D$2:$D$1001,MATCH($A21,'Raw Data'!$AH$2:$AH$1001,0)),"")</f>
        <v>North</v>
      </c>
      <c r="F21" s="55" t="str">
        <f>IFERROR(INDEX('Raw Data'!$G$2:$G$1001,MATCH($A21,'Raw Data'!$AH$2:$AH$1001,0)),"")</f>
        <v>Clothing</v>
      </c>
      <c r="G21" s="55" t="str">
        <f>IFERROR(INDEX('Raw Data'!$M$2:$M$1001,MATCH($A21,'Raw Data'!$AH$2:$AH$1001,0)),"")</f>
        <v>Online</v>
      </c>
      <c r="H21" s="55">
        <f>IFERROR(INDEX('Raw Data'!$F$2:$F$1001,MATCH($A21,'Raw Data'!$AH$2:$AH$1001,0)),"")</f>
        <v>40</v>
      </c>
      <c r="I21" s="74">
        <f>IFERROR(INDEX('Raw Data'!$E$2:$E$1001,MATCH($A21,'Raw Data'!$AH$2:$AH$1001,0)),"")</f>
        <v>9813.81</v>
      </c>
    </row>
    <row r="22" spans="1:9" x14ac:dyDescent="0.2">
      <c r="A22" s="55">
        <v>11</v>
      </c>
      <c r="B22" s="55" t="str">
        <f>IFERROR(INDEX('Raw Data'!$AG$2:$AG$1001,MATCH($A22,'Raw Data'!$AH$2:$AH$1001,0)),"")</f>
        <v>NR-230525-0140</v>
      </c>
      <c r="C22" s="65">
        <f>IFERROR(INDEX('Raw Data'!$B$2:$B$1001,MATCH($A22,'Raw Data'!$AH$2:$AH$1001,0)),"")</f>
        <v>45071</v>
      </c>
      <c r="D22" s="55" t="str">
        <f>IFERROR(INDEX('Raw Data'!$C$2:$C$1001,MATCH($A22,'Raw Data'!$AH$2:$AH$1001,0)),"")</f>
        <v>Alice</v>
      </c>
      <c r="E22" s="55" t="str">
        <f>IFERROR(INDEX('Raw Data'!$D$2:$D$1001,MATCH($A22,'Raw Data'!$AH$2:$AH$1001,0)),"")</f>
        <v>North</v>
      </c>
      <c r="F22" s="55" t="str">
        <f>IFERROR(INDEX('Raw Data'!$G$2:$G$1001,MATCH($A22,'Raw Data'!$AH$2:$AH$1001,0)),"")</f>
        <v>Clothing</v>
      </c>
      <c r="G22" s="55" t="str">
        <f>IFERROR(INDEX('Raw Data'!$M$2:$M$1001,MATCH($A22,'Raw Data'!$AH$2:$AH$1001,0)),"")</f>
        <v>Retail</v>
      </c>
      <c r="H22" s="55">
        <f>IFERROR(INDEX('Raw Data'!$F$2:$F$1001,MATCH($A22,'Raw Data'!$AH$2:$AH$1001,0)),"")</f>
        <v>24</v>
      </c>
      <c r="I22" s="74">
        <f>IFERROR(INDEX('Raw Data'!$E$2:$E$1001,MATCH($A22,'Raw Data'!$AH$2:$AH$1001,0)),"")</f>
        <v>9610.2099999999991</v>
      </c>
    </row>
    <row r="23" spans="1:9" x14ac:dyDescent="0.2">
      <c r="A23" s="55">
        <v>12</v>
      </c>
      <c r="B23" s="55" t="str">
        <f>IFERROR(INDEX('Raw Data'!$AG$2:$AG$1001,MATCH($A23,'Raw Data'!$AH$2:$AH$1001,0)),"")</f>
        <v>ER-231105-0142</v>
      </c>
      <c r="C23" s="65">
        <f>IFERROR(INDEX('Raw Data'!$B$2:$B$1001,MATCH($A23,'Raw Data'!$AH$2:$AH$1001,0)),"")</f>
        <v>45235</v>
      </c>
      <c r="D23" s="55" t="str">
        <f>IFERROR(INDEX('Raw Data'!$C$2:$C$1001,MATCH($A23,'Raw Data'!$AH$2:$AH$1001,0)),"")</f>
        <v>Alice</v>
      </c>
      <c r="E23" s="55" t="str">
        <f>IFERROR(INDEX('Raw Data'!$D$2:$D$1001,MATCH($A23,'Raw Data'!$AH$2:$AH$1001,0)),"")</f>
        <v>East</v>
      </c>
      <c r="F23" s="55" t="str">
        <f>IFERROR(INDEX('Raw Data'!$G$2:$G$1001,MATCH($A23,'Raw Data'!$AH$2:$AH$1001,0)),"")</f>
        <v>Furniture</v>
      </c>
      <c r="G23" s="55" t="str">
        <f>IFERROR(INDEX('Raw Data'!$M$2:$M$1001,MATCH($A23,'Raw Data'!$AH$2:$AH$1001,0)),"")</f>
        <v>Retail</v>
      </c>
      <c r="H23" s="55">
        <f>IFERROR(INDEX('Raw Data'!$F$2:$F$1001,MATCH($A23,'Raw Data'!$AH$2:$AH$1001,0)),"")</f>
        <v>3</v>
      </c>
      <c r="I23" s="74">
        <f>IFERROR(INDEX('Raw Data'!$E$2:$E$1001,MATCH($A23,'Raw Data'!$AH$2:$AH$1001,0)),"")</f>
        <v>9519.16</v>
      </c>
    </row>
    <row r="24" spans="1:9" x14ac:dyDescent="0.2">
      <c r="A24" s="55">
        <v>13</v>
      </c>
      <c r="B24" s="55" t="str">
        <f>IFERROR(INDEX('Raw Data'!$AG$2:$AG$1001,MATCH($A24,'Raw Data'!$AH$2:$AH$1001,0)),"")</f>
        <v>EO-230414-0143</v>
      </c>
      <c r="C24" s="65">
        <f>IFERROR(INDEX('Raw Data'!$B$2:$B$1001,MATCH($A24,'Raw Data'!$AH$2:$AH$1001,0)),"")</f>
        <v>45030</v>
      </c>
      <c r="D24" s="55" t="str">
        <f>IFERROR(INDEX('Raw Data'!$C$2:$C$1001,MATCH($A24,'Raw Data'!$AH$2:$AH$1001,0)),"")</f>
        <v>Alice</v>
      </c>
      <c r="E24" s="55" t="str">
        <f>IFERROR(INDEX('Raw Data'!$D$2:$D$1001,MATCH($A24,'Raw Data'!$AH$2:$AH$1001,0)),"")</f>
        <v>East</v>
      </c>
      <c r="F24" s="55" t="str">
        <f>IFERROR(INDEX('Raw Data'!$G$2:$G$1001,MATCH($A24,'Raw Data'!$AH$2:$AH$1001,0)),"")</f>
        <v>Food</v>
      </c>
      <c r="G24" s="55" t="str">
        <f>IFERROR(INDEX('Raw Data'!$M$2:$M$1001,MATCH($A24,'Raw Data'!$AH$2:$AH$1001,0)),"")</f>
        <v>Online</v>
      </c>
      <c r="H24" s="55">
        <f>IFERROR(INDEX('Raw Data'!$F$2:$F$1001,MATCH($A24,'Raw Data'!$AH$2:$AH$1001,0)),"")</f>
        <v>27</v>
      </c>
      <c r="I24" s="74">
        <f>IFERROR(INDEX('Raw Data'!$E$2:$E$1001,MATCH($A24,'Raw Data'!$AH$2:$AH$1001,0)),"")</f>
        <v>9948.7099999999991</v>
      </c>
    </row>
    <row r="25" spans="1:9" x14ac:dyDescent="0.2">
      <c r="A25" s="55">
        <v>14</v>
      </c>
      <c r="B25" s="55" t="str">
        <f>IFERROR(INDEX('Raw Data'!$AG$2:$AG$1001,MATCH($A25,'Raw Data'!$AH$2:$AH$1001,0)),"")</f>
        <v>SR-230208-0145</v>
      </c>
      <c r="C25" s="65">
        <f>IFERROR(INDEX('Raw Data'!$B$2:$B$1001,MATCH($A25,'Raw Data'!$AH$2:$AH$1001,0)),"")</f>
        <v>44965</v>
      </c>
      <c r="D25" s="55" t="str">
        <f>IFERROR(INDEX('Raw Data'!$C$2:$C$1001,MATCH($A25,'Raw Data'!$AH$2:$AH$1001,0)),"")</f>
        <v>Alice</v>
      </c>
      <c r="E25" s="55" t="str">
        <f>IFERROR(INDEX('Raw Data'!$D$2:$D$1001,MATCH($A25,'Raw Data'!$AH$2:$AH$1001,0)),"")</f>
        <v>South</v>
      </c>
      <c r="F25" s="55" t="str">
        <f>IFERROR(INDEX('Raw Data'!$G$2:$G$1001,MATCH($A25,'Raw Data'!$AH$2:$AH$1001,0)),"")</f>
        <v>Furniture</v>
      </c>
      <c r="G25" s="55" t="str">
        <f>IFERROR(INDEX('Raw Data'!$M$2:$M$1001,MATCH($A25,'Raw Data'!$AH$2:$AH$1001,0)),"")</f>
        <v>Retail</v>
      </c>
      <c r="H25" s="55">
        <f>IFERROR(INDEX('Raw Data'!$F$2:$F$1001,MATCH($A25,'Raw Data'!$AH$2:$AH$1001,0)),"")</f>
        <v>49</v>
      </c>
      <c r="I25" s="74">
        <f>IFERROR(INDEX('Raw Data'!$E$2:$E$1001,MATCH($A25,'Raw Data'!$AH$2:$AH$1001,0)),"")</f>
        <v>9813.32</v>
      </c>
    </row>
    <row r="26" spans="1:9" x14ac:dyDescent="0.2">
      <c r="A26" s="55">
        <v>15</v>
      </c>
      <c r="B26" s="55" t="str">
        <f>IFERROR(INDEX('Raw Data'!$AG$2:$AG$1001,MATCH($A26,'Raw Data'!$AH$2:$AH$1001,0)),"")</f>
        <v>NR-230421-0152</v>
      </c>
      <c r="C26" s="65">
        <f>IFERROR(INDEX('Raw Data'!$B$2:$B$1001,MATCH($A26,'Raw Data'!$AH$2:$AH$1001,0)),"")</f>
        <v>45037</v>
      </c>
      <c r="D26" s="55" t="str">
        <f>IFERROR(INDEX('Raw Data'!$C$2:$C$1001,MATCH($A26,'Raw Data'!$AH$2:$AH$1001,0)),"")</f>
        <v>Eve</v>
      </c>
      <c r="E26" s="55" t="str">
        <f>IFERROR(INDEX('Raw Data'!$D$2:$D$1001,MATCH($A26,'Raw Data'!$AH$2:$AH$1001,0)),"")</f>
        <v>North</v>
      </c>
      <c r="F26" s="55" t="str">
        <f>IFERROR(INDEX('Raw Data'!$G$2:$G$1001,MATCH($A26,'Raw Data'!$AH$2:$AH$1001,0)),"")</f>
        <v>Clothing</v>
      </c>
      <c r="G26" s="55" t="str">
        <f>IFERROR(INDEX('Raw Data'!$M$2:$M$1001,MATCH($A26,'Raw Data'!$AH$2:$AH$1001,0)),"")</f>
        <v>Retail</v>
      </c>
      <c r="H26" s="55">
        <f>IFERROR(INDEX('Raw Data'!$F$2:$F$1001,MATCH($A26,'Raw Data'!$AH$2:$AH$1001,0)),"")</f>
        <v>47</v>
      </c>
      <c r="I26" s="74">
        <f>IFERROR(INDEX('Raw Data'!$E$2:$E$1001,MATCH($A26,'Raw Data'!$AH$2:$AH$1001,0)),"")</f>
        <v>9813.66</v>
      </c>
    </row>
    <row r="27" spans="1:9" x14ac:dyDescent="0.2">
      <c r="A27" s="55">
        <v>16</v>
      </c>
      <c r="B27" s="55" t="str">
        <f>IFERROR(INDEX('Raw Data'!$AG$2:$AG$1001,MATCH($A27,'Raw Data'!$AH$2:$AH$1001,0)),"")</f>
        <v>WR-230819-0155</v>
      </c>
      <c r="C27" s="65">
        <f>IFERROR(INDEX('Raw Data'!$B$2:$B$1001,MATCH($A27,'Raw Data'!$AH$2:$AH$1001,0)),"")</f>
        <v>45157</v>
      </c>
      <c r="D27" s="55" t="str">
        <f>IFERROR(INDEX('Raw Data'!$C$2:$C$1001,MATCH($A27,'Raw Data'!$AH$2:$AH$1001,0)),"")</f>
        <v>Bob</v>
      </c>
      <c r="E27" s="55" t="str">
        <f>IFERROR(INDEX('Raw Data'!$D$2:$D$1001,MATCH($A27,'Raw Data'!$AH$2:$AH$1001,0)),"")</f>
        <v>West</v>
      </c>
      <c r="F27" s="55" t="str">
        <f>IFERROR(INDEX('Raw Data'!$G$2:$G$1001,MATCH($A27,'Raw Data'!$AH$2:$AH$1001,0)),"")</f>
        <v>Clothing</v>
      </c>
      <c r="G27" s="55" t="str">
        <f>IFERROR(INDEX('Raw Data'!$M$2:$M$1001,MATCH($A27,'Raw Data'!$AH$2:$AH$1001,0)),"")</f>
        <v>Retail</v>
      </c>
      <c r="H27" s="55">
        <f>IFERROR(INDEX('Raw Data'!$F$2:$F$1001,MATCH($A27,'Raw Data'!$AH$2:$AH$1001,0)),"")</f>
        <v>31</v>
      </c>
      <c r="I27" s="74">
        <f>IFERROR(INDEX('Raw Data'!$E$2:$E$1001,MATCH($A27,'Raw Data'!$AH$2:$AH$1001,0)),"")</f>
        <v>9088.2000000000007</v>
      </c>
    </row>
    <row r="28" spans="1:9" x14ac:dyDescent="0.2">
      <c r="A28" s="55">
        <v>17</v>
      </c>
      <c r="B28" s="55" t="str">
        <f>IFERROR(INDEX('Raw Data'!$AG$2:$AG$1001,MATCH($A28,'Raw Data'!$AH$2:$AH$1001,0)),"")</f>
        <v>NR-230606-0156</v>
      </c>
      <c r="C28" s="65">
        <f>IFERROR(INDEX('Raw Data'!$B$2:$B$1001,MATCH($A28,'Raw Data'!$AH$2:$AH$1001,0)),"")</f>
        <v>45083</v>
      </c>
      <c r="D28" s="55" t="str">
        <f>IFERROR(INDEX('Raw Data'!$C$2:$C$1001,MATCH($A28,'Raw Data'!$AH$2:$AH$1001,0)),"")</f>
        <v>Bob</v>
      </c>
      <c r="E28" s="55" t="str">
        <f>IFERROR(INDEX('Raw Data'!$D$2:$D$1001,MATCH($A28,'Raw Data'!$AH$2:$AH$1001,0)),"")</f>
        <v>North</v>
      </c>
      <c r="F28" s="55" t="str">
        <f>IFERROR(INDEX('Raw Data'!$G$2:$G$1001,MATCH($A28,'Raw Data'!$AH$2:$AH$1001,0)),"")</f>
        <v>Food</v>
      </c>
      <c r="G28" s="55" t="str">
        <f>IFERROR(INDEX('Raw Data'!$M$2:$M$1001,MATCH($A28,'Raw Data'!$AH$2:$AH$1001,0)),"")</f>
        <v>Retail</v>
      </c>
      <c r="H28" s="55">
        <f>IFERROR(INDEX('Raw Data'!$F$2:$F$1001,MATCH($A28,'Raw Data'!$AH$2:$AH$1001,0)),"")</f>
        <v>20</v>
      </c>
      <c r="I28" s="74">
        <f>IFERROR(INDEX('Raw Data'!$E$2:$E$1001,MATCH($A28,'Raw Data'!$AH$2:$AH$1001,0)),"")</f>
        <v>9442.65</v>
      </c>
    </row>
    <row r="29" spans="1:9" x14ac:dyDescent="0.2">
      <c r="A29" s="55">
        <v>18</v>
      </c>
      <c r="B29" s="55" t="str">
        <f>IFERROR(INDEX('Raw Data'!$AG$2:$AG$1001,MATCH($A29,'Raw Data'!$AH$2:$AH$1001,0)),"")</f>
        <v>WR-230207-0157</v>
      </c>
      <c r="C29" s="65">
        <f>IFERROR(INDEX('Raw Data'!$B$2:$B$1001,MATCH($A29,'Raw Data'!$AH$2:$AH$1001,0)),"")</f>
        <v>44964</v>
      </c>
      <c r="D29" s="55" t="str">
        <f>IFERROR(INDEX('Raw Data'!$C$2:$C$1001,MATCH($A29,'Raw Data'!$AH$2:$AH$1001,0)),"")</f>
        <v>Eve</v>
      </c>
      <c r="E29" s="55" t="str">
        <f>IFERROR(INDEX('Raw Data'!$D$2:$D$1001,MATCH($A29,'Raw Data'!$AH$2:$AH$1001,0)),"")</f>
        <v>West</v>
      </c>
      <c r="F29" s="55" t="str">
        <f>IFERROR(INDEX('Raw Data'!$G$2:$G$1001,MATCH($A29,'Raw Data'!$AH$2:$AH$1001,0)),"")</f>
        <v>Clothing</v>
      </c>
      <c r="G29" s="55" t="str">
        <f>IFERROR(INDEX('Raw Data'!$M$2:$M$1001,MATCH($A29,'Raw Data'!$AH$2:$AH$1001,0)),"")</f>
        <v>Retail</v>
      </c>
      <c r="H29" s="55">
        <f>IFERROR(INDEX('Raw Data'!$F$2:$F$1001,MATCH($A29,'Raw Data'!$AH$2:$AH$1001,0)),"")</f>
        <v>12</v>
      </c>
      <c r="I29" s="74">
        <f>IFERROR(INDEX('Raw Data'!$E$2:$E$1001,MATCH($A29,'Raw Data'!$AH$2:$AH$1001,0)),"")</f>
        <v>9605.34</v>
      </c>
    </row>
    <row r="30" spans="1:9" x14ac:dyDescent="0.2">
      <c r="A30" s="55">
        <v>19</v>
      </c>
      <c r="B30" s="55" t="str">
        <f>IFERROR(INDEX('Raw Data'!$AG$2:$AG$1001,MATCH($A30,'Raw Data'!$AH$2:$AH$1001,0)),"")</f>
        <v>NR-231016-0159</v>
      </c>
      <c r="C30" s="65">
        <f>IFERROR(INDEX('Raw Data'!$B$2:$B$1001,MATCH($A30,'Raw Data'!$AH$2:$AH$1001,0)),"")</f>
        <v>45215</v>
      </c>
      <c r="D30" s="55" t="str">
        <f>IFERROR(INDEX('Raw Data'!$C$2:$C$1001,MATCH($A30,'Raw Data'!$AH$2:$AH$1001,0)),"")</f>
        <v>Charlie</v>
      </c>
      <c r="E30" s="55" t="str">
        <f>IFERROR(INDEX('Raw Data'!$D$2:$D$1001,MATCH($A30,'Raw Data'!$AH$2:$AH$1001,0)),"")</f>
        <v>North</v>
      </c>
      <c r="F30" s="55" t="str">
        <f>IFERROR(INDEX('Raw Data'!$G$2:$G$1001,MATCH($A30,'Raw Data'!$AH$2:$AH$1001,0)),"")</f>
        <v>Clothing</v>
      </c>
      <c r="G30" s="55" t="str">
        <f>IFERROR(INDEX('Raw Data'!$M$2:$M$1001,MATCH($A30,'Raw Data'!$AH$2:$AH$1001,0)),"")</f>
        <v>Retail</v>
      </c>
      <c r="H30" s="55">
        <f>IFERROR(INDEX('Raw Data'!$F$2:$F$1001,MATCH($A30,'Raw Data'!$AH$2:$AH$1001,0)),"")</f>
        <v>4</v>
      </c>
      <c r="I30" s="74">
        <f>IFERROR(INDEX('Raw Data'!$E$2:$E$1001,MATCH($A30,'Raw Data'!$AH$2:$AH$1001,0)),"")</f>
        <v>9775.35</v>
      </c>
    </row>
    <row r="31" spans="1:9" x14ac:dyDescent="0.2">
      <c r="A31" s="55">
        <v>20</v>
      </c>
      <c r="B31" s="55" t="str">
        <f>IFERROR(INDEX('Raw Data'!$AG$2:$AG$1001,MATCH($A31,'Raw Data'!$AH$2:$AH$1001,0)),"")</f>
        <v>SR-231231-0174</v>
      </c>
      <c r="C31" s="65">
        <f>IFERROR(INDEX('Raw Data'!$B$2:$B$1001,MATCH($A31,'Raw Data'!$AH$2:$AH$1001,0)),"")</f>
        <v>45291</v>
      </c>
      <c r="D31" s="55" t="str">
        <f>IFERROR(INDEX('Raw Data'!$C$2:$C$1001,MATCH($A31,'Raw Data'!$AH$2:$AH$1001,0)),"")</f>
        <v>Alice</v>
      </c>
      <c r="E31" s="55" t="str">
        <f>IFERROR(INDEX('Raw Data'!$D$2:$D$1001,MATCH($A31,'Raw Data'!$AH$2:$AH$1001,0)),"")</f>
        <v>South</v>
      </c>
      <c r="F31" s="55" t="str">
        <f>IFERROR(INDEX('Raw Data'!$G$2:$G$1001,MATCH($A31,'Raw Data'!$AH$2:$AH$1001,0)),"")</f>
        <v>Clothing</v>
      </c>
      <c r="G31" s="55" t="str">
        <f>IFERROR(INDEX('Raw Data'!$M$2:$M$1001,MATCH($A31,'Raw Data'!$AH$2:$AH$1001,0)),"")</f>
        <v>Retail</v>
      </c>
      <c r="H31" s="55">
        <f>IFERROR(INDEX('Raw Data'!$F$2:$F$1001,MATCH($A31,'Raw Data'!$AH$2:$AH$1001,0)),"")</f>
        <v>33</v>
      </c>
      <c r="I31" s="74">
        <f>IFERROR(INDEX('Raw Data'!$E$2:$E$1001,MATCH($A31,'Raw Data'!$AH$2:$AH$1001,0)),"")</f>
        <v>9269.32</v>
      </c>
    </row>
    <row r="32" spans="1:9" x14ac:dyDescent="0.2">
      <c r="A32" s="55">
        <v>21</v>
      </c>
      <c r="B32" s="55" t="str">
        <f>IFERROR(INDEX('Raw Data'!$AG$2:$AG$1001,MATCH($A32,'Raw Data'!$AH$2:$AH$1001,0)),"")</f>
        <v>SR-230831-0189</v>
      </c>
      <c r="C32" s="65">
        <f>IFERROR(INDEX('Raw Data'!$B$2:$B$1001,MATCH($A32,'Raw Data'!$AH$2:$AH$1001,0)),"")</f>
        <v>45169</v>
      </c>
      <c r="D32" s="55" t="str">
        <f>IFERROR(INDEX('Raw Data'!$C$2:$C$1001,MATCH($A32,'Raw Data'!$AH$2:$AH$1001,0)),"")</f>
        <v>Eve</v>
      </c>
      <c r="E32" s="55" t="str">
        <f>IFERROR(INDEX('Raw Data'!$D$2:$D$1001,MATCH($A32,'Raw Data'!$AH$2:$AH$1001,0)),"")</f>
        <v>South</v>
      </c>
      <c r="F32" s="55" t="str">
        <f>IFERROR(INDEX('Raw Data'!$G$2:$G$1001,MATCH($A32,'Raw Data'!$AH$2:$AH$1001,0)),"")</f>
        <v>Food</v>
      </c>
      <c r="G32" s="55" t="str">
        <f>IFERROR(INDEX('Raw Data'!$M$2:$M$1001,MATCH($A32,'Raw Data'!$AH$2:$AH$1001,0)),"")</f>
        <v>Retail</v>
      </c>
      <c r="H32" s="55">
        <f>IFERROR(INDEX('Raw Data'!$F$2:$F$1001,MATCH($A32,'Raw Data'!$AH$2:$AH$1001,0)),"")</f>
        <v>47</v>
      </c>
      <c r="I32" s="74">
        <f>IFERROR(INDEX('Raw Data'!$E$2:$E$1001,MATCH($A32,'Raw Data'!$AH$2:$AH$1001,0)),"")</f>
        <v>9203.36</v>
      </c>
    </row>
    <row r="33" spans="1:9" x14ac:dyDescent="0.2">
      <c r="A33" s="55">
        <v>22</v>
      </c>
      <c r="B33" s="55" t="str">
        <f>IFERROR(INDEX('Raw Data'!$AG$2:$AG$1001,MATCH($A33,'Raw Data'!$AH$2:$AH$1001,0)),"")</f>
        <v>WR-231019-0190</v>
      </c>
      <c r="C33" s="65">
        <f>IFERROR(INDEX('Raw Data'!$B$2:$B$1001,MATCH($A33,'Raw Data'!$AH$2:$AH$1001,0)),"")</f>
        <v>45218</v>
      </c>
      <c r="D33" s="55" t="str">
        <f>IFERROR(INDEX('Raw Data'!$C$2:$C$1001,MATCH($A33,'Raw Data'!$AH$2:$AH$1001,0)),"")</f>
        <v>Eve</v>
      </c>
      <c r="E33" s="55" t="str">
        <f>IFERROR(INDEX('Raw Data'!$D$2:$D$1001,MATCH($A33,'Raw Data'!$AH$2:$AH$1001,0)),"")</f>
        <v>West</v>
      </c>
      <c r="F33" s="55" t="str">
        <f>IFERROR(INDEX('Raw Data'!$G$2:$G$1001,MATCH($A33,'Raw Data'!$AH$2:$AH$1001,0)),"")</f>
        <v>Food</v>
      </c>
      <c r="G33" s="55" t="str">
        <f>IFERROR(INDEX('Raw Data'!$M$2:$M$1001,MATCH($A33,'Raw Data'!$AH$2:$AH$1001,0)),"")</f>
        <v>Retail</v>
      </c>
      <c r="H33" s="55">
        <f>IFERROR(INDEX('Raw Data'!$F$2:$F$1001,MATCH($A33,'Raw Data'!$AH$2:$AH$1001,0)),"")</f>
        <v>23</v>
      </c>
      <c r="I33" s="74">
        <f>IFERROR(INDEX('Raw Data'!$E$2:$E$1001,MATCH($A33,'Raw Data'!$AH$2:$AH$1001,0)),"")</f>
        <v>9933.2199999999993</v>
      </c>
    </row>
    <row r="34" spans="1:9" x14ac:dyDescent="0.2">
      <c r="A34" s="55">
        <v>23</v>
      </c>
      <c r="B34" s="55" t="str">
        <f>IFERROR(INDEX('Raw Data'!$AG$2:$AG$1001,MATCH($A34,'Raw Data'!$AH$2:$AH$1001,0)),"")</f>
        <v>NR-230111-0196</v>
      </c>
      <c r="C34" s="65">
        <f>IFERROR(INDEX('Raw Data'!$B$2:$B$1001,MATCH($A34,'Raw Data'!$AH$2:$AH$1001,0)),"")</f>
        <v>44937</v>
      </c>
      <c r="D34" s="55" t="str">
        <f>IFERROR(INDEX('Raw Data'!$C$2:$C$1001,MATCH($A34,'Raw Data'!$AH$2:$AH$1001,0)),"")</f>
        <v>Eve</v>
      </c>
      <c r="E34" s="55" t="str">
        <f>IFERROR(INDEX('Raw Data'!$D$2:$D$1001,MATCH($A34,'Raw Data'!$AH$2:$AH$1001,0)),"")</f>
        <v>North</v>
      </c>
      <c r="F34" s="55" t="str">
        <f>IFERROR(INDEX('Raw Data'!$G$2:$G$1001,MATCH($A34,'Raw Data'!$AH$2:$AH$1001,0)),"")</f>
        <v>Electronics</v>
      </c>
      <c r="G34" s="55" t="str">
        <f>IFERROR(INDEX('Raw Data'!$M$2:$M$1001,MATCH($A34,'Raw Data'!$AH$2:$AH$1001,0)),"")</f>
        <v>Retail</v>
      </c>
      <c r="H34" s="55">
        <f>IFERROR(INDEX('Raw Data'!$F$2:$F$1001,MATCH($A34,'Raw Data'!$AH$2:$AH$1001,0)),"")</f>
        <v>35</v>
      </c>
      <c r="I34" s="74">
        <f>IFERROR(INDEX('Raw Data'!$E$2:$E$1001,MATCH($A34,'Raw Data'!$AH$2:$AH$1001,0)),"")</f>
        <v>9192.42</v>
      </c>
    </row>
    <row r="35" spans="1:9" x14ac:dyDescent="0.2">
      <c r="A35" s="55">
        <v>24</v>
      </c>
      <c r="B35" s="55" t="str">
        <f>IFERROR(INDEX('Raw Data'!$AG$2:$AG$1001,MATCH($A35,'Raw Data'!$AH$2:$AH$1001,0)),"")</f>
        <v>EO-230911-0197</v>
      </c>
      <c r="C35" s="65">
        <f>IFERROR(INDEX('Raw Data'!$B$2:$B$1001,MATCH($A35,'Raw Data'!$AH$2:$AH$1001,0)),"")</f>
        <v>45180</v>
      </c>
      <c r="D35" s="55" t="str">
        <f>IFERROR(INDEX('Raw Data'!$C$2:$C$1001,MATCH($A35,'Raw Data'!$AH$2:$AH$1001,0)),"")</f>
        <v>David</v>
      </c>
      <c r="E35" s="55" t="str">
        <f>IFERROR(INDEX('Raw Data'!$D$2:$D$1001,MATCH($A35,'Raw Data'!$AH$2:$AH$1001,0)),"")</f>
        <v>East</v>
      </c>
      <c r="F35" s="55" t="str">
        <f>IFERROR(INDEX('Raw Data'!$G$2:$G$1001,MATCH($A35,'Raw Data'!$AH$2:$AH$1001,0)),"")</f>
        <v>Food</v>
      </c>
      <c r="G35" s="55" t="str">
        <f>IFERROR(INDEX('Raw Data'!$M$2:$M$1001,MATCH($A35,'Raw Data'!$AH$2:$AH$1001,0)),"")</f>
        <v>Online</v>
      </c>
      <c r="H35" s="55">
        <f>IFERROR(INDEX('Raw Data'!$F$2:$F$1001,MATCH($A35,'Raw Data'!$AH$2:$AH$1001,0)),"")</f>
        <v>22</v>
      </c>
      <c r="I35" s="74">
        <f>IFERROR(INDEX('Raw Data'!$E$2:$E$1001,MATCH($A35,'Raw Data'!$AH$2:$AH$1001,0)),"")</f>
        <v>9514.19</v>
      </c>
    </row>
    <row r="36" spans="1:9" x14ac:dyDescent="0.2">
      <c r="A36" s="55">
        <v>25</v>
      </c>
      <c r="B36" s="55" t="str">
        <f>IFERROR(INDEX('Raw Data'!$AG$2:$AG$1001,MATCH($A36,'Raw Data'!$AH$2:$AH$1001,0)),"")</f>
        <v>NR-231229-0207</v>
      </c>
      <c r="C36" s="65">
        <f>IFERROR(INDEX('Raw Data'!$B$2:$B$1001,MATCH($A36,'Raw Data'!$AH$2:$AH$1001,0)),"")</f>
        <v>45289</v>
      </c>
      <c r="D36" s="55" t="str">
        <f>IFERROR(INDEX('Raw Data'!$C$2:$C$1001,MATCH($A36,'Raw Data'!$AH$2:$AH$1001,0)),"")</f>
        <v>Eve</v>
      </c>
      <c r="E36" s="55" t="str">
        <f>IFERROR(INDEX('Raw Data'!$D$2:$D$1001,MATCH($A36,'Raw Data'!$AH$2:$AH$1001,0)),"")</f>
        <v>North</v>
      </c>
      <c r="F36" s="55" t="str">
        <f>IFERROR(INDEX('Raw Data'!$G$2:$G$1001,MATCH($A36,'Raw Data'!$AH$2:$AH$1001,0)),"")</f>
        <v>Furniture</v>
      </c>
      <c r="G36" s="55" t="str">
        <f>IFERROR(INDEX('Raw Data'!$M$2:$M$1001,MATCH($A36,'Raw Data'!$AH$2:$AH$1001,0)),"")</f>
        <v>Retail</v>
      </c>
      <c r="H36" s="55">
        <f>IFERROR(INDEX('Raw Data'!$F$2:$F$1001,MATCH($A36,'Raw Data'!$AH$2:$AH$1001,0)),"")</f>
        <v>5</v>
      </c>
      <c r="I36" s="74">
        <f>IFERROR(INDEX('Raw Data'!$E$2:$E$1001,MATCH($A36,'Raw Data'!$AH$2:$AH$1001,0)),"")</f>
        <v>9190.57</v>
      </c>
    </row>
    <row r="37" spans="1:9" x14ac:dyDescent="0.2">
      <c r="A37" s="55">
        <v>26</v>
      </c>
      <c r="B37" s="55" t="str">
        <f>IFERROR(INDEX('Raw Data'!$AG$2:$AG$1001,MATCH($A37,'Raw Data'!$AH$2:$AH$1001,0)),"")</f>
        <v>WO-231222-0216</v>
      </c>
      <c r="C37" s="65">
        <f>IFERROR(INDEX('Raw Data'!$B$2:$B$1001,MATCH($A37,'Raw Data'!$AH$2:$AH$1001,0)),"")</f>
        <v>45282</v>
      </c>
      <c r="D37" s="55" t="str">
        <f>IFERROR(INDEX('Raw Data'!$C$2:$C$1001,MATCH($A37,'Raw Data'!$AH$2:$AH$1001,0)),"")</f>
        <v>Charlie</v>
      </c>
      <c r="E37" s="55" t="str">
        <f>IFERROR(INDEX('Raw Data'!$D$2:$D$1001,MATCH($A37,'Raw Data'!$AH$2:$AH$1001,0)),"")</f>
        <v>West</v>
      </c>
      <c r="F37" s="55" t="str">
        <f>IFERROR(INDEX('Raw Data'!$G$2:$G$1001,MATCH($A37,'Raw Data'!$AH$2:$AH$1001,0)),"")</f>
        <v>Furniture</v>
      </c>
      <c r="G37" s="55" t="str">
        <f>IFERROR(INDEX('Raw Data'!$M$2:$M$1001,MATCH($A37,'Raw Data'!$AH$2:$AH$1001,0)),"")</f>
        <v>Online</v>
      </c>
      <c r="H37" s="55">
        <f>IFERROR(INDEX('Raw Data'!$F$2:$F$1001,MATCH($A37,'Raw Data'!$AH$2:$AH$1001,0)),"")</f>
        <v>2</v>
      </c>
      <c r="I37" s="74">
        <f>IFERROR(INDEX('Raw Data'!$E$2:$E$1001,MATCH($A37,'Raw Data'!$AH$2:$AH$1001,0)),"")</f>
        <v>9509.5499999999993</v>
      </c>
    </row>
    <row r="38" spans="1:9" x14ac:dyDescent="0.2">
      <c r="A38" s="55">
        <v>27</v>
      </c>
      <c r="B38" s="55" t="str">
        <f>IFERROR(INDEX('Raw Data'!$AG$2:$AG$1001,MATCH($A38,'Raw Data'!$AH$2:$AH$1001,0)),"")</f>
        <v>WR-230220-0225</v>
      </c>
      <c r="C38" s="65">
        <f>IFERROR(INDEX('Raw Data'!$B$2:$B$1001,MATCH($A38,'Raw Data'!$AH$2:$AH$1001,0)),"")</f>
        <v>44977</v>
      </c>
      <c r="D38" s="55" t="str">
        <f>IFERROR(INDEX('Raw Data'!$C$2:$C$1001,MATCH($A38,'Raw Data'!$AH$2:$AH$1001,0)),"")</f>
        <v>Charlie</v>
      </c>
      <c r="E38" s="55" t="str">
        <f>IFERROR(INDEX('Raw Data'!$D$2:$D$1001,MATCH($A38,'Raw Data'!$AH$2:$AH$1001,0)),"")</f>
        <v>West</v>
      </c>
      <c r="F38" s="55" t="str">
        <f>IFERROR(INDEX('Raw Data'!$G$2:$G$1001,MATCH($A38,'Raw Data'!$AH$2:$AH$1001,0)),"")</f>
        <v>Food</v>
      </c>
      <c r="G38" s="55" t="str">
        <f>IFERROR(INDEX('Raw Data'!$M$2:$M$1001,MATCH($A38,'Raw Data'!$AH$2:$AH$1001,0)),"")</f>
        <v>Retail</v>
      </c>
      <c r="H38" s="55">
        <f>IFERROR(INDEX('Raw Data'!$F$2:$F$1001,MATCH($A38,'Raw Data'!$AH$2:$AH$1001,0)),"")</f>
        <v>26</v>
      </c>
      <c r="I38" s="74">
        <f>IFERROR(INDEX('Raw Data'!$E$2:$E$1001,MATCH($A38,'Raw Data'!$AH$2:$AH$1001,0)),"")</f>
        <v>9469.92</v>
      </c>
    </row>
    <row r="39" spans="1:9" x14ac:dyDescent="0.2">
      <c r="A39" s="55">
        <v>28</v>
      </c>
      <c r="B39" s="55" t="str">
        <f>IFERROR(INDEX('Raw Data'!$AG$2:$AG$1001,MATCH($A39,'Raw Data'!$AH$2:$AH$1001,0)),"")</f>
        <v>WR-231115-0239</v>
      </c>
      <c r="C39" s="65">
        <f>IFERROR(INDEX('Raw Data'!$B$2:$B$1001,MATCH($A39,'Raw Data'!$AH$2:$AH$1001,0)),"")</f>
        <v>45245</v>
      </c>
      <c r="D39" s="55" t="str">
        <f>IFERROR(INDEX('Raw Data'!$C$2:$C$1001,MATCH($A39,'Raw Data'!$AH$2:$AH$1001,0)),"")</f>
        <v>Alice</v>
      </c>
      <c r="E39" s="55" t="str">
        <f>IFERROR(INDEX('Raw Data'!$D$2:$D$1001,MATCH($A39,'Raw Data'!$AH$2:$AH$1001,0)),"")</f>
        <v>West</v>
      </c>
      <c r="F39" s="55" t="str">
        <f>IFERROR(INDEX('Raw Data'!$G$2:$G$1001,MATCH($A39,'Raw Data'!$AH$2:$AH$1001,0)),"")</f>
        <v>Food</v>
      </c>
      <c r="G39" s="55" t="str">
        <f>IFERROR(INDEX('Raw Data'!$M$2:$M$1001,MATCH($A39,'Raw Data'!$AH$2:$AH$1001,0)),"")</f>
        <v>Retail</v>
      </c>
      <c r="H39" s="55">
        <f>IFERROR(INDEX('Raw Data'!$F$2:$F$1001,MATCH($A39,'Raw Data'!$AH$2:$AH$1001,0)),"")</f>
        <v>1</v>
      </c>
      <c r="I39" s="74">
        <f>IFERROR(INDEX('Raw Data'!$E$2:$E$1001,MATCH($A39,'Raw Data'!$AH$2:$AH$1001,0)),"")</f>
        <v>9413.77</v>
      </c>
    </row>
    <row r="40" spans="1:9" x14ac:dyDescent="0.2">
      <c r="A40" s="55">
        <v>29</v>
      </c>
      <c r="B40" s="55" t="str">
        <f>IFERROR(INDEX('Raw Data'!$AG$2:$AG$1001,MATCH($A40,'Raw Data'!$AH$2:$AH$1001,0)),"")</f>
        <v>NR-230908-0260</v>
      </c>
      <c r="C40" s="65">
        <f>IFERROR(INDEX('Raw Data'!$B$2:$B$1001,MATCH($A40,'Raw Data'!$AH$2:$AH$1001,0)),"")</f>
        <v>45177</v>
      </c>
      <c r="D40" s="55" t="str">
        <f>IFERROR(INDEX('Raw Data'!$C$2:$C$1001,MATCH($A40,'Raw Data'!$AH$2:$AH$1001,0)),"")</f>
        <v>Eve</v>
      </c>
      <c r="E40" s="55" t="str">
        <f>IFERROR(INDEX('Raw Data'!$D$2:$D$1001,MATCH($A40,'Raw Data'!$AH$2:$AH$1001,0)),"")</f>
        <v>North</v>
      </c>
      <c r="F40" s="55" t="str">
        <f>IFERROR(INDEX('Raw Data'!$G$2:$G$1001,MATCH($A40,'Raw Data'!$AH$2:$AH$1001,0)),"")</f>
        <v>Clothing</v>
      </c>
      <c r="G40" s="55" t="str">
        <f>IFERROR(INDEX('Raw Data'!$M$2:$M$1001,MATCH($A40,'Raw Data'!$AH$2:$AH$1001,0)),"")</f>
        <v>Retail</v>
      </c>
      <c r="H40" s="55">
        <f>IFERROR(INDEX('Raw Data'!$F$2:$F$1001,MATCH($A40,'Raw Data'!$AH$2:$AH$1001,0)),"")</f>
        <v>26</v>
      </c>
      <c r="I40" s="74">
        <f>IFERROR(INDEX('Raw Data'!$E$2:$E$1001,MATCH($A40,'Raw Data'!$AH$2:$AH$1001,0)),"")</f>
        <v>9733.4699999999993</v>
      </c>
    </row>
    <row r="41" spans="1:9" x14ac:dyDescent="0.2">
      <c r="A41" s="55">
        <v>30</v>
      </c>
      <c r="B41" s="55" t="str">
        <f>IFERROR(INDEX('Raw Data'!$AG$2:$AG$1001,MATCH($A41,'Raw Data'!$AH$2:$AH$1001,0)),"")</f>
        <v>NO-231210-0267</v>
      </c>
      <c r="C41" s="65">
        <f>IFERROR(INDEX('Raw Data'!$B$2:$B$1001,MATCH($A41,'Raw Data'!$AH$2:$AH$1001,0)),"")</f>
        <v>45270</v>
      </c>
      <c r="D41" s="55" t="str">
        <f>IFERROR(INDEX('Raw Data'!$C$2:$C$1001,MATCH($A41,'Raw Data'!$AH$2:$AH$1001,0)),"")</f>
        <v>Bob</v>
      </c>
      <c r="E41" s="55" t="str">
        <f>IFERROR(INDEX('Raw Data'!$D$2:$D$1001,MATCH($A41,'Raw Data'!$AH$2:$AH$1001,0)),"")</f>
        <v>North</v>
      </c>
      <c r="F41" s="55" t="str">
        <f>IFERROR(INDEX('Raw Data'!$G$2:$G$1001,MATCH($A41,'Raw Data'!$AH$2:$AH$1001,0)),"")</f>
        <v>Electronics</v>
      </c>
      <c r="G41" s="55" t="str">
        <f>IFERROR(INDEX('Raw Data'!$M$2:$M$1001,MATCH($A41,'Raw Data'!$AH$2:$AH$1001,0)),"")</f>
        <v>Online</v>
      </c>
      <c r="H41" s="55">
        <f>IFERROR(INDEX('Raw Data'!$F$2:$F$1001,MATCH($A41,'Raw Data'!$AH$2:$AH$1001,0)),"")</f>
        <v>45</v>
      </c>
      <c r="I41" s="74">
        <f>IFERROR(INDEX('Raw Data'!$E$2:$E$1001,MATCH($A41,'Raw Data'!$AH$2:$AH$1001,0)),"")</f>
        <v>9671.77</v>
      </c>
    </row>
  </sheetData>
  <dataValidations count="2">
    <dataValidation type="list" sqref="B4" xr:uid="{00000000-0002-0000-0700-000000000000}">
      <formula1>"All,East,North,South,West"</formula1>
      <formula2>0</formula2>
    </dataValidation>
    <dataValidation type="list" sqref="B5" xr:uid="{00000000-0002-0000-0700-000001000000}">
      <formula1>"All,Online,Retail"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AQ24"/>
  <sheetViews>
    <sheetView showGridLines="0" zoomScaleNormal="100" workbookViewId="0"/>
  </sheetViews>
  <sheetFormatPr baseColWidth="10" defaultColWidth="8.6640625" defaultRowHeight="15" x14ac:dyDescent="0.2"/>
  <cols>
    <col min="1" max="43" width="14" customWidth="1"/>
  </cols>
  <sheetData>
    <row r="1" spans="1:43" ht="20" x14ac:dyDescent="0.2">
      <c r="A1" s="15" t="s">
        <v>360</v>
      </c>
    </row>
    <row r="2" spans="1:43" x14ac:dyDescent="0.2">
      <c r="A2" s="16" t="s">
        <v>361</v>
      </c>
    </row>
    <row r="3" spans="1:43" x14ac:dyDescent="0.2">
      <c r="A3" s="16" t="s">
        <v>362</v>
      </c>
    </row>
    <row r="4" spans="1:43" x14ac:dyDescent="0.2">
      <c r="A4" s="159" t="s">
        <v>21</v>
      </c>
      <c r="B4" s="159"/>
      <c r="E4" s="159" t="s">
        <v>48</v>
      </c>
      <c r="F4" s="159"/>
      <c r="I4" s="159" t="s">
        <v>46</v>
      </c>
      <c r="J4" s="159"/>
      <c r="M4" s="159" t="s">
        <v>47</v>
      </c>
      <c r="N4" s="159"/>
      <c r="Q4" s="159" t="s">
        <v>363</v>
      </c>
      <c r="R4" s="159"/>
      <c r="U4" s="159" t="s">
        <v>364</v>
      </c>
      <c r="V4" s="159"/>
      <c r="W4" s="159"/>
      <c r="X4" s="159"/>
      <c r="Y4" s="159"/>
      <c r="Z4" s="159"/>
      <c r="AB4" s="159" t="s">
        <v>365</v>
      </c>
      <c r="AC4" s="159"/>
      <c r="AD4" s="159"/>
      <c r="AE4" s="159"/>
      <c r="AF4" s="159"/>
      <c r="AG4" s="159"/>
      <c r="AH4" s="159"/>
      <c r="AJ4" s="159" t="s">
        <v>366</v>
      </c>
      <c r="AK4" s="159"/>
      <c r="AN4" s="159" t="s">
        <v>367</v>
      </c>
      <c r="AO4" s="159"/>
      <c r="AP4" s="159"/>
      <c r="AQ4" s="159"/>
    </row>
    <row r="6" spans="1:43" x14ac:dyDescent="0.2">
      <c r="A6" t="s">
        <v>50</v>
      </c>
      <c r="E6" t="s">
        <v>50</v>
      </c>
      <c r="I6" t="s">
        <v>50</v>
      </c>
      <c r="M6" t="s">
        <v>50</v>
      </c>
      <c r="Q6" t="s">
        <v>50</v>
      </c>
      <c r="U6" t="s">
        <v>50</v>
      </c>
      <c r="AB6" t="s">
        <v>50</v>
      </c>
      <c r="AJ6" t="s">
        <v>50</v>
      </c>
      <c r="AN6" t="s">
        <v>50</v>
      </c>
    </row>
    <row r="7" spans="1:43" x14ac:dyDescent="0.2">
      <c r="A7" s="26" t="s">
        <v>51</v>
      </c>
      <c r="B7" s="27" t="s">
        <v>52</v>
      </c>
      <c r="E7" s="26" t="s">
        <v>53</v>
      </c>
      <c r="F7" s="27" t="s">
        <v>52</v>
      </c>
      <c r="I7" s="26" t="s">
        <v>53</v>
      </c>
      <c r="J7" s="27" t="s">
        <v>52</v>
      </c>
      <c r="M7" s="26" t="s">
        <v>53</v>
      </c>
      <c r="N7" s="27" t="s">
        <v>52</v>
      </c>
      <c r="Q7" s="26" t="s">
        <v>53</v>
      </c>
      <c r="R7" s="27" t="s">
        <v>52</v>
      </c>
      <c r="U7" s="26" t="s">
        <v>53</v>
      </c>
      <c r="V7" s="27" t="s">
        <v>52</v>
      </c>
      <c r="AB7" s="26" t="s">
        <v>51</v>
      </c>
      <c r="AC7" s="27" t="s">
        <v>52</v>
      </c>
      <c r="AJ7" s="26" t="s">
        <v>53</v>
      </c>
      <c r="AK7" s="27" t="s">
        <v>52</v>
      </c>
      <c r="AN7" s="26" t="s">
        <v>53</v>
      </c>
      <c r="AO7" s="27" t="s">
        <v>52</v>
      </c>
    </row>
    <row r="8" spans="1:43" x14ac:dyDescent="0.2">
      <c r="A8" s="26" t="s">
        <v>54</v>
      </c>
      <c r="B8" s="27" t="s">
        <v>52</v>
      </c>
      <c r="E8" s="26" t="s">
        <v>51</v>
      </c>
      <c r="F8" s="27" t="s">
        <v>52</v>
      </c>
      <c r="I8" s="26" t="s">
        <v>54</v>
      </c>
      <c r="J8" s="27" t="s">
        <v>52</v>
      </c>
      <c r="M8" s="26" t="s">
        <v>51</v>
      </c>
      <c r="N8" s="27" t="s">
        <v>52</v>
      </c>
      <c r="Q8" s="26" t="s">
        <v>51</v>
      </c>
      <c r="R8" s="27" t="s">
        <v>52</v>
      </c>
      <c r="AJ8" s="26" t="s">
        <v>51</v>
      </c>
      <c r="AK8" s="27" t="s">
        <v>52</v>
      </c>
    </row>
    <row r="9" spans="1:43" x14ac:dyDescent="0.2">
      <c r="U9" s="75" t="s">
        <v>55</v>
      </c>
      <c r="V9" s="76" t="s">
        <v>51</v>
      </c>
      <c r="W9" s="77"/>
      <c r="X9" s="77"/>
      <c r="Y9" s="77"/>
      <c r="Z9" s="78"/>
      <c r="AB9" s="75" t="s">
        <v>55</v>
      </c>
      <c r="AC9" s="76" t="s">
        <v>56</v>
      </c>
      <c r="AD9" s="77"/>
      <c r="AE9" s="77"/>
      <c r="AF9" s="77"/>
      <c r="AG9" s="77"/>
      <c r="AH9" s="78"/>
      <c r="AN9" s="75" t="s">
        <v>55</v>
      </c>
      <c r="AO9" s="76" t="s">
        <v>111</v>
      </c>
      <c r="AP9" s="77"/>
      <c r="AQ9" s="78"/>
    </row>
    <row r="10" spans="1:43" x14ac:dyDescent="0.2">
      <c r="A10" s="28" t="s">
        <v>53</v>
      </c>
      <c r="B10" s="29" t="s">
        <v>55</v>
      </c>
      <c r="E10" s="28" t="s">
        <v>57</v>
      </c>
      <c r="F10" s="29" t="s">
        <v>55</v>
      </c>
      <c r="I10" s="28" t="s">
        <v>51</v>
      </c>
      <c r="J10" s="29" t="s">
        <v>55</v>
      </c>
      <c r="M10" s="28" t="s">
        <v>56</v>
      </c>
      <c r="N10" s="29" t="s">
        <v>55</v>
      </c>
      <c r="Q10" s="28" t="s">
        <v>58</v>
      </c>
      <c r="R10" s="29" t="s">
        <v>368</v>
      </c>
      <c r="U10" s="79" t="s">
        <v>123</v>
      </c>
      <c r="V10" s="80" t="s">
        <v>60</v>
      </c>
      <c r="W10" s="81" t="s">
        <v>65</v>
      </c>
      <c r="X10" s="81" t="s">
        <v>70</v>
      </c>
      <c r="Y10" s="81" t="s">
        <v>75</v>
      </c>
      <c r="Z10" s="82" t="s">
        <v>78</v>
      </c>
      <c r="AB10" s="79" t="s">
        <v>53</v>
      </c>
      <c r="AC10" s="80" t="s">
        <v>61</v>
      </c>
      <c r="AD10" s="81" t="s">
        <v>66</v>
      </c>
      <c r="AE10" s="81" t="s">
        <v>71</v>
      </c>
      <c r="AF10" s="81" t="s">
        <v>76</v>
      </c>
      <c r="AG10" s="81" t="s">
        <v>79</v>
      </c>
      <c r="AH10" s="82" t="s">
        <v>78</v>
      </c>
      <c r="AJ10" s="28" t="s">
        <v>120</v>
      </c>
      <c r="AK10" s="29" t="s">
        <v>369</v>
      </c>
      <c r="AN10" s="79" t="s">
        <v>54</v>
      </c>
      <c r="AO10" s="80" t="s">
        <v>143</v>
      </c>
      <c r="AP10" s="81" t="s">
        <v>137</v>
      </c>
      <c r="AQ10" s="82" t="s">
        <v>78</v>
      </c>
    </row>
    <row r="11" spans="1:43" x14ac:dyDescent="0.2">
      <c r="A11" s="30" t="s">
        <v>59</v>
      </c>
      <c r="B11" s="31">
        <v>1259792.93</v>
      </c>
      <c r="E11" s="30" t="s">
        <v>62</v>
      </c>
      <c r="F11" s="31">
        <v>476092.36</v>
      </c>
      <c r="I11" s="30" t="s">
        <v>60</v>
      </c>
      <c r="J11" s="31">
        <v>1313474.3600000001</v>
      </c>
      <c r="M11" s="30" t="s">
        <v>61</v>
      </c>
      <c r="N11" s="31">
        <v>965541.77000000095</v>
      </c>
      <c r="Q11" s="30" t="s">
        <v>63</v>
      </c>
      <c r="R11" s="83">
        <v>342</v>
      </c>
      <c r="U11" s="30" t="s">
        <v>256</v>
      </c>
      <c r="V11" s="84">
        <v>350256.74</v>
      </c>
      <c r="W11" s="85">
        <v>284310.07</v>
      </c>
      <c r="X11" s="85">
        <v>265563.34999999998</v>
      </c>
      <c r="Y11" s="86">
        <v>347520.33</v>
      </c>
      <c r="Z11" s="87">
        <v>1247650.49</v>
      </c>
      <c r="AB11" s="30" t="s">
        <v>59</v>
      </c>
      <c r="AC11" s="84">
        <v>260789.47</v>
      </c>
      <c r="AD11" s="85">
        <v>309876.11</v>
      </c>
      <c r="AE11" s="85">
        <v>165172.94</v>
      </c>
      <c r="AF11" s="85">
        <v>284613.51</v>
      </c>
      <c r="AG11" s="86">
        <v>239340.9</v>
      </c>
      <c r="AH11" s="87">
        <v>1259792.93</v>
      </c>
      <c r="AJ11" s="30" t="s">
        <v>234</v>
      </c>
      <c r="AK11" s="31">
        <v>4982.8263258786001</v>
      </c>
      <c r="AN11" s="30" t="s">
        <v>138</v>
      </c>
      <c r="AO11" s="84">
        <v>1282624.01</v>
      </c>
      <c r="AP11" s="86">
        <v>1176209.9199999999</v>
      </c>
      <c r="AQ11" s="87">
        <v>2458833.9300000002</v>
      </c>
    </row>
    <row r="12" spans="1:43" x14ac:dyDescent="0.2">
      <c r="A12" s="32" t="s">
        <v>64</v>
      </c>
      <c r="B12" s="33">
        <v>1369612.51</v>
      </c>
      <c r="E12" s="32" t="s">
        <v>67</v>
      </c>
      <c r="F12" s="33">
        <v>368919.36</v>
      </c>
      <c r="I12" s="32" t="s">
        <v>65</v>
      </c>
      <c r="J12" s="33">
        <v>1243499.6399999999</v>
      </c>
      <c r="M12" s="32" t="s">
        <v>66</v>
      </c>
      <c r="N12" s="33">
        <v>1080990.6299999999</v>
      </c>
      <c r="Q12" s="32" t="s">
        <v>68</v>
      </c>
      <c r="R12" s="88">
        <v>313</v>
      </c>
      <c r="U12" s="32" t="s">
        <v>257</v>
      </c>
      <c r="V12" s="89">
        <v>287512.71999999997</v>
      </c>
      <c r="W12" s="90">
        <v>322811.44</v>
      </c>
      <c r="X12" s="90">
        <v>281996.18</v>
      </c>
      <c r="Y12" s="91">
        <v>354209.37</v>
      </c>
      <c r="Z12" s="92">
        <v>1246529.71</v>
      </c>
      <c r="AB12" s="32" t="s">
        <v>64</v>
      </c>
      <c r="AC12" s="89">
        <v>249647.22</v>
      </c>
      <c r="AD12" s="90">
        <v>233464.81</v>
      </c>
      <c r="AE12" s="90">
        <v>299789.01</v>
      </c>
      <c r="AF12" s="90">
        <v>282539.27</v>
      </c>
      <c r="AG12" s="91">
        <v>304172.2</v>
      </c>
      <c r="AH12" s="92">
        <v>1369612.51</v>
      </c>
      <c r="AJ12" s="32" t="s">
        <v>235</v>
      </c>
      <c r="AK12" s="33">
        <v>4798.0265798045602</v>
      </c>
      <c r="AN12" s="32" t="s">
        <v>140</v>
      </c>
      <c r="AO12" s="93">
        <v>1223634.29</v>
      </c>
      <c r="AP12" s="94">
        <v>1336797.01</v>
      </c>
      <c r="AQ12" s="95">
        <v>2560431.2999999998</v>
      </c>
    </row>
    <row r="13" spans="1:43" x14ac:dyDescent="0.2">
      <c r="A13" s="32" t="s">
        <v>69</v>
      </c>
      <c r="B13" s="33">
        <v>1154250.8600000001</v>
      </c>
      <c r="E13" s="32" t="s">
        <v>72</v>
      </c>
      <c r="F13" s="33">
        <v>402638.77</v>
      </c>
      <c r="I13" s="32" t="s">
        <v>70</v>
      </c>
      <c r="J13" s="33">
        <v>1201773.54</v>
      </c>
      <c r="M13" s="32" t="s">
        <v>71</v>
      </c>
      <c r="N13" s="33">
        <v>860811.48</v>
      </c>
      <c r="Q13" s="32" t="s">
        <v>73</v>
      </c>
      <c r="R13" s="96">
        <v>345</v>
      </c>
      <c r="U13" s="32" t="s">
        <v>258</v>
      </c>
      <c r="V13" s="89">
        <v>324530.56</v>
      </c>
      <c r="W13" s="90">
        <v>309438.08000000002</v>
      </c>
      <c r="X13" s="90">
        <v>290914.51</v>
      </c>
      <c r="Y13" s="91">
        <v>260368.61</v>
      </c>
      <c r="Z13" s="92">
        <v>1185251.76</v>
      </c>
      <c r="AB13" s="32" t="s">
        <v>69</v>
      </c>
      <c r="AC13" s="89">
        <v>239414.54</v>
      </c>
      <c r="AD13" s="90">
        <v>251200.43</v>
      </c>
      <c r="AE13" s="90">
        <v>156140.68</v>
      </c>
      <c r="AF13" s="90">
        <v>311416.99</v>
      </c>
      <c r="AG13" s="91">
        <v>196078.22</v>
      </c>
      <c r="AH13" s="92">
        <v>1154250.8600000001</v>
      </c>
      <c r="AJ13" s="32" t="s">
        <v>236</v>
      </c>
      <c r="AK13" s="34">
        <v>5228.0169210526301</v>
      </c>
      <c r="AN13" s="35" t="s">
        <v>78</v>
      </c>
      <c r="AO13" s="97">
        <v>2506258.2999999998</v>
      </c>
      <c r="AP13" s="98">
        <v>2513006.9300000002</v>
      </c>
      <c r="AQ13" s="36">
        <v>5019265.2300000004</v>
      </c>
    </row>
    <row r="14" spans="1:43" x14ac:dyDescent="0.2">
      <c r="A14" s="32" t="s">
        <v>74</v>
      </c>
      <c r="B14" s="34">
        <v>1235608.93</v>
      </c>
      <c r="E14" s="32" t="s">
        <v>77</v>
      </c>
      <c r="F14" s="33">
        <v>438992.61</v>
      </c>
      <c r="I14" s="32" t="s">
        <v>75</v>
      </c>
      <c r="J14" s="34">
        <v>1260517.69</v>
      </c>
      <c r="M14" s="32" t="s">
        <v>76</v>
      </c>
      <c r="N14" s="33">
        <v>1141737.3600000001</v>
      </c>
      <c r="Q14" s="35" t="s">
        <v>78</v>
      </c>
      <c r="R14" s="99">
        <v>1000</v>
      </c>
      <c r="U14" s="32" t="s">
        <v>259</v>
      </c>
      <c r="V14" s="89">
        <v>348803.62</v>
      </c>
      <c r="W14" s="90">
        <v>318360.33</v>
      </c>
      <c r="X14" s="90">
        <v>354921.93</v>
      </c>
      <c r="Y14" s="91">
        <v>298419.38</v>
      </c>
      <c r="Z14" s="92">
        <v>1320505.26</v>
      </c>
      <c r="AB14" s="32" t="s">
        <v>74</v>
      </c>
      <c r="AC14" s="93">
        <v>215690.54</v>
      </c>
      <c r="AD14" s="100">
        <v>286449.28000000003</v>
      </c>
      <c r="AE14" s="100">
        <v>239708.85</v>
      </c>
      <c r="AF14" s="100">
        <v>263167.59000000003</v>
      </c>
      <c r="AG14" s="94">
        <v>230592.67</v>
      </c>
      <c r="AH14" s="95">
        <v>1235608.93</v>
      </c>
      <c r="AJ14" s="35" t="s">
        <v>78</v>
      </c>
      <c r="AK14" s="36">
        <v>5019.26523</v>
      </c>
    </row>
    <row r="15" spans="1:43" x14ac:dyDescent="0.2">
      <c r="A15" s="35" t="s">
        <v>78</v>
      </c>
      <c r="B15" s="36">
        <v>5019265.2300000004</v>
      </c>
      <c r="E15" s="32" t="s">
        <v>80</v>
      </c>
      <c r="F15" s="33">
        <v>389078.76</v>
      </c>
      <c r="I15" s="35" t="s">
        <v>78</v>
      </c>
      <c r="J15" s="36">
        <v>5019265.2300000004</v>
      </c>
      <c r="M15" s="32" t="s">
        <v>79</v>
      </c>
      <c r="N15" s="34">
        <v>970183.99</v>
      </c>
      <c r="U15" s="32" t="s">
        <v>260</v>
      </c>
      <c r="V15" s="93">
        <v>2370.7199999999998</v>
      </c>
      <c r="W15" s="100">
        <v>8579.7199999999993</v>
      </c>
      <c r="X15" s="100">
        <v>8377.57</v>
      </c>
      <c r="Y15" s="101"/>
      <c r="Z15" s="95">
        <v>19328.009999999998</v>
      </c>
      <c r="AB15" s="35" t="s">
        <v>78</v>
      </c>
      <c r="AC15" s="97">
        <v>965541.77000000095</v>
      </c>
      <c r="AD15" s="102">
        <v>1080990.6299999999</v>
      </c>
      <c r="AE15" s="102">
        <v>860811.48</v>
      </c>
      <c r="AF15" s="102">
        <v>1141737.3600000001</v>
      </c>
      <c r="AG15" s="98">
        <v>970183.99</v>
      </c>
      <c r="AH15" s="36">
        <v>5019265.2300000004</v>
      </c>
    </row>
    <row r="16" spans="1:43" x14ac:dyDescent="0.2">
      <c r="E16" s="32" t="s">
        <v>81</v>
      </c>
      <c r="F16" s="33">
        <v>418458.34</v>
      </c>
      <c r="M16" s="35" t="s">
        <v>78</v>
      </c>
      <c r="N16" s="36">
        <v>5019265.2300000004</v>
      </c>
      <c r="U16" s="35" t="s">
        <v>78</v>
      </c>
      <c r="V16" s="97">
        <v>1313474.3600000001</v>
      </c>
      <c r="W16" s="102">
        <v>1243499.6399999999</v>
      </c>
      <c r="X16" s="102">
        <v>1201773.54</v>
      </c>
      <c r="Y16" s="98">
        <v>1260517.69</v>
      </c>
      <c r="Z16" s="36">
        <v>5019265.2300000004</v>
      </c>
    </row>
    <row r="17" spans="5:6" x14ac:dyDescent="0.2">
      <c r="E17" s="32" t="s">
        <v>82</v>
      </c>
      <c r="F17" s="33">
        <v>374242.88</v>
      </c>
    </row>
    <row r="18" spans="5:6" x14ac:dyDescent="0.2">
      <c r="E18" s="32" t="s">
        <v>83</v>
      </c>
      <c r="F18" s="33">
        <v>443171.28</v>
      </c>
    </row>
    <row r="19" spans="5:6" x14ac:dyDescent="0.2">
      <c r="E19" s="32" t="s">
        <v>84</v>
      </c>
      <c r="F19" s="33">
        <v>367837.6</v>
      </c>
    </row>
    <row r="20" spans="5:6" x14ac:dyDescent="0.2">
      <c r="E20" s="32" t="s">
        <v>85</v>
      </c>
      <c r="F20" s="33">
        <v>460378.78</v>
      </c>
    </row>
    <row r="21" spans="5:6" x14ac:dyDescent="0.2">
      <c r="E21" s="32" t="s">
        <v>86</v>
      </c>
      <c r="F21" s="33">
        <v>467482.9</v>
      </c>
    </row>
    <row r="22" spans="5:6" x14ac:dyDescent="0.2">
      <c r="E22" s="32" t="s">
        <v>87</v>
      </c>
      <c r="F22" s="33">
        <v>392643.58</v>
      </c>
    </row>
    <row r="23" spans="5:6" x14ac:dyDescent="0.2">
      <c r="E23" s="32" t="s">
        <v>88</v>
      </c>
      <c r="F23" s="34">
        <v>19328.009999999998</v>
      </c>
    </row>
    <row r="24" spans="5:6" x14ac:dyDescent="0.2">
      <c r="E24" s="35" t="s">
        <v>78</v>
      </c>
      <c r="F24" s="36">
        <v>5019265.2300000004</v>
      </c>
    </row>
  </sheetData>
  <mergeCells count="9">
    <mergeCell ref="U4:Z4"/>
    <mergeCell ref="AB4:AH4"/>
    <mergeCell ref="AJ4:AK4"/>
    <mergeCell ref="AN4:AQ4"/>
    <mergeCell ref="A4:B4"/>
    <mergeCell ref="E4:F4"/>
    <mergeCell ref="I4:J4"/>
    <mergeCell ref="M4:N4"/>
    <mergeCell ref="Q4:R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G92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7" width="17" customWidth="1"/>
  </cols>
  <sheetData>
    <row r="1" spans="1:7" ht="20" x14ac:dyDescent="0.2">
      <c r="A1" s="15" t="s">
        <v>370</v>
      </c>
    </row>
    <row r="2" spans="1:7" x14ac:dyDescent="0.2">
      <c r="A2" s="16" t="s">
        <v>371</v>
      </c>
    </row>
    <row r="4" spans="1:7" x14ac:dyDescent="0.2">
      <c r="A4" s="45" t="s">
        <v>372</v>
      </c>
      <c r="B4" s="46"/>
      <c r="C4" s="46"/>
      <c r="D4" s="46"/>
      <c r="E4" s="46"/>
      <c r="F4" s="46"/>
      <c r="G4" s="46"/>
    </row>
    <row r="5" spans="1:7" x14ac:dyDescent="0.2">
      <c r="A5" s="45" t="s">
        <v>373</v>
      </c>
      <c r="B5" s="45"/>
      <c r="C5" s="103"/>
      <c r="D5" s="103"/>
      <c r="E5" s="103"/>
      <c r="F5" s="103"/>
      <c r="G5" s="103"/>
    </row>
    <row r="6" spans="1:7" x14ac:dyDescent="0.2">
      <c r="A6" s="55" t="s">
        <v>374</v>
      </c>
      <c r="B6" s="104">
        <f>SQRT(B7)</f>
        <v>4.3197528082644786E-2</v>
      </c>
      <c r="C6" s="55"/>
      <c r="D6" s="55"/>
      <c r="E6" s="55"/>
      <c r="F6" s="55"/>
      <c r="G6" s="55"/>
    </row>
    <row r="7" spans="1:7" x14ac:dyDescent="0.2">
      <c r="A7" s="55" t="s">
        <v>375</v>
      </c>
      <c r="B7" s="104">
        <f>INDEX(LINEST(Analysis!$E$167:$E$178,Analysis!$C$167:$C$178,TRUE(),TRUE()),3,1)</f>
        <v>1.866026432450885E-3</v>
      </c>
      <c r="C7" s="55"/>
      <c r="D7" s="55"/>
      <c r="E7" s="55"/>
      <c r="F7" s="55"/>
      <c r="G7" s="55"/>
    </row>
    <row r="8" spans="1:7" x14ac:dyDescent="0.2">
      <c r="A8" s="55" t="s">
        <v>376</v>
      </c>
      <c r="B8" s="104">
        <f>1-(1-B7)*(B10-1)/(B10-1-1)</f>
        <v>-9.7947370924303945E-2</v>
      </c>
      <c r="C8" s="55"/>
      <c r="D8" s="55"/>
      <c r="E8" s="55"/>
      <c r="F8" s="55"/>
      <c r="G8" s="55"/>
    </row>
    <row r="9" spans="1:7" x14ac:dyDescent="0.2">
      <c r="A9" s="55" t="s">
        <v>377</v>
      </c>
      <c r="B9" s="105">
        <f>INDEX(LINEST(Analysis!$E$167:$E$178,Analysis!$C$167:$C$178,TRUE(),TRUE()),3,2)</f>
        <v>41467.216580711596</v>
      </c>
      <c r="C9" s="55"/>
      <c r="D9" s="55"/>
      <c r="E9" s="55"/>
      <c r="F9" s="55"/>
      <c r="G9" s="55"/>
    </row>
    <row r="10" spans="1:7" x14ac:dyDescent="0.2">
      <c r="A10" s="55" t="s">
        <v>378</v>
      </c>
      <c r="B10" s="106">
        <f>COUNT(Analysis!$E$167:$E$178)</f>
        <v>12</v>
      </c>
      <c r="C10" s="55"/>
      <c r="D10" s="55"/>
      <c r="E10" s="55"/>
      <c r="F10" s="55"/>
      <c r="G10" s="55"/>
    </row>
    <row r="11" spans="1:7" x14ac:dyDescent="0.2">
      <c r="A11" s="55"/>
      <c r="B11" s="55"/>
      <c r="C11" s="55"/>
      <c r="D11" s="55"/>
      <c r="E11" s="55"/>
      <c r="F11" s="55"/>
      <c r="G11" s="55"/>
    </row>
    <row r="12" spans="1:7" x14ac:dyDescent="0.2">
      <c r="A12" s="107" t="s">
        <v>379</v>
      </c>
      <c r="B12" s="107"/>
      <c r="C12" s="107"/>
      <c r="D12" s="107"/>
      <c r="E12" s="107"/>
      <c r="F12" s="107"/>
      <c r="G12" s="107"/>
    </row>
    <row r="13" spans="1:7" x14ac:dyDescent="0.2">
      <c r="A13" s="17"/>
      <c r="B13" s="17" t="s">
        <v>380</v>
      </c>
      <c r="C13" s="17" t="s">
        <v>381</v>
      </c>
      <c r="D13" s="17" t="s">
        <v>382</v>
      </c>
      <c r="E13" s="17" t="s">
        <v>383</v>
      </c>
      <c r="F13" s="17" t="s">
        <v>384</v>
      </c>
      <c r="G13" s="108"/>
    </row>
    <row r="14" spans="1:7" x14ac:dyDescent="0.2">
      <c r="A14" s="55" t="s">
        <v>385</v>
      </c>
      <c r="B14" s="55">
        <v>1</v>
      </c>
      <c r="C14" s="56">
        <f>INDEX(LINEST(Analysis!$E$167:$E$178,Analysis!$C$167:$C$178,TRUE(),TRUE()),5,1)</f>
        <v>32146872.177898407</v>
      </c>
      <c r="D14" s="56">
        <f>C14/B14</f>
        <v>32146872.177898407</v>
      </c>
      <c r="E14" s="104">
        <f>D14/D15</f>
        <v>1.8695149968508719E-2</v>
      </c>
      <c r="F14" s="104">
        <f>FDIST(E14,B14,B15)</f>
        <v>0.89395763354247615</v>
      </c>
      <c r="G14" s="55"/>
    </row>
    <row r="15" spans="1:7" x14ac:dyDescent="0.2">
      <c r="A15" s="55" t="s">
        <v>386</v>
      </c>
      <c r="B15" s="55">
        <f>B10-1-1</f>
        <v>10</v>
      </c>
      <c r="C15" s="56">
        <f>INDEX(LINEST(Analysis!$E$167:$E$178,Analysis!$C$167:$C$178,TRUE(),TRUE()),5,2)</f>
        <v>17195300509.51643</v>
      </c>
      <c r="D15" s="56">
        <f>C15/B15</f>
        <v>1719530050.951643</v>
      </c>
      <c r="E15" s="55"/>
      <c r="F15" s="55"/>
      <c r="G15" s="55"/>
    </row>
    <row r="16" spans="1:7" x14ac:dyDescent="0.2">
      <c r="A16" s="55" t="s">
        <v>209</v>
      </c>
      <c r="B16" s="55">
        <f>B10-1</f>
        <v>11</v>
      </c>
      <c r="C16" s="56">
        <f>C14+C15</f>
        <v>17227447381.694328</v>
      </c>
      <c r="D16" s="56"/>
      <c r="E16" s="55"/>
      <c r="F16" s="55"/>
      <c r="G16" s="55"/>
    </row>
    <row r="17" spans="1:7" x14ac:dyDescent="0.2">
      <c r="A17" s="55"/>
      <c r="B17" s="55"/>
      <c r="C17" s="55"/>
      <c r="D17" s="55"/>
      <c r="E17" s="55"/>
      <c r="F17" s="55"/>
      <c r="G17" s="55"/>
    </row>
    <row r="18" spans="1:7" x14ac:dyDescent="0.2">
      <c r="A18" s="107" t="s">
        <v>387</v>
      </c>
      <c r="B18" s="107"/>
      <c r="C18" s="107"/>
      <c r="D18" s="107"/>
      <c r="E18" s="107"/>
      <c r="F18" s="107"/>
      <c r="G18" s="107"/>
    </row>
    <row r="19" spans="1:7" x14ac:dyDescent="0.2">
      <c r="A19" s="17"/>
      <c r="B19" s="17" t="s">
        <v>387</v>
      </c>
      <c r="C19" s="17" t="s">
        <v>377</v>
      </c>
      <c r="D19" s="17" t="s">
        <v>388</v>
      </c>
      <c r="E19" s="17" t="s">
        <v>389</v>
      </c>
      <c r="F19" s="17" t="s">
        <v>390</v>
      </c>
      <c r="G19" s="17" t="s">
        <v>391</v>
      </c>
    </row>
    <row r="20" spans="1:7" x14ac:dyDescent="0.2">
      <c r="A20" s="55" t="s">
        <v>392</v>
      </c>
      <c r="B20" s="105">
        <f>INDEX(LINEST(Analysis!$E$167:$E$178,Analysis!$C$167:$C$178,TRUE(),TRUE()),1,2)</f>
        <v>413579.56227272737</v>
      </c>
      <c r="C20" s="105">
        <f>INDEX(LINEST(Analysis!$E$167:$E$178,Analysis!$C$167:$C$178,TRUE(),TRUE()),2,2)</f>
        <v>25521.307578413493</v>
      </c>
      <c r="D20" s="104">
        <f>B20/C20</f>
        <v>16.20526538469927</v>
      </c>
      <c r="E20" s="104">
        <f>TDIST(ABS(D20),$B$15,2)</f>
        <v>1.6600942699430477E-8</v>
      </c>
      <c r="F20" s="105">
        <f>B20-TINV(0.05,$B$15)*C20</f>
        <v>356714.54530377255</v>
      </c>
      <c r="G20" s="105">
        <f>B20+TINV(0.05,$B$15)*C20</f>
        <v>470444.57924168219</v>
      </c>
    </row>
    <row r="21" spans="1:7" x14ac:dyDescent="0.2">
      <c r="A21" s="55" t="s">
        <v>393</v>
      </c>
      <c r="B21" s="105">
        <f>INDEX(LINEST(Analysis!$E$167:$E$178,Analysis!$C$167:$C$178,TRUE(),TRUE()),1,1)</f>
        <v>474.1342657342575</v>
      </c>
      <c r="C21" s="105">
        <f>INDEX(LINEST(Analysis!$E$167:$E$178,Analysis!$C$167:$C$178,TRUE(),TRUE()),2,1)</f>
        <v>3467.6628542853632</v>
      </c>
      <c r="D21" s="104">
        <f>B21/C21</f>
        <v>0.13673020869036298</v>
      </c>
      <c r="E21" s="104">
        <f>TDIST(ABS(D21),$B$15,2)</f>
        <v>0.89395763354247193</v>
      </c>
      <c r="F21" s="105">
        <f>B21-TINV(0.05,$B$15)*C21</f>
        <v>-7252.3000654885791</v>
      </c>
      <c r="G21" s="105">
        <f>B21+TINV(0.05,$B$15)*C21</f>
        <v>8200.568596957095</v>
      </c>
    </row>
    <row r="22" spans="1:7" ht="7.5" customHeight="1" x14ac:dyDescent="0.2"/>
    <row r="23" spans="1:7" x14ac:dyDescent="0.2">
      <c r="A23" s="45" t="s">
        <v>394</v>
      </c>
      <c r="B23" s="46"/>
      <c r="C23" s="46"/>
      <c r="D23" s="46"/>
    </row>
    <row r="24" spans="1:7" x14ac:dyDescent="0.2">
      <c r="A24" s="17" t="s">
        <v>395</v>
      </c>
      <c r="B24" s="17" t="s">
        <v>267</v>
      </c>
      <c r="C24" s="17" t="s">
        <v>396</v>
      </c>
      <c r="D24" s="17" t="s">
        <v>397</v>
      </c>
    </row>
    <row r="25" spans="1:7" x14ac:dyDescent="0.2">
      <c r="A25" s="55">
        <v>1</v>
      </c>
      <c r="B25" s="55" t="str">
        <f>Analysis!B167</f>
        <v>Jan-23</v>
      </c>
      <c r="C25" s="57">
        <f>$B$20+$B$21*Analysis!C167</f>
        <v>414053.69653846161</v>
      </c>
      <c r="D25" s="57">
        <f>Analysis!E167-C25</f>
        <v>62038.663461538497</v>
      </c>
    </row>
    <row r="26" spans="1:7" x14ac:dyDescent="0.2">
      <c r="A26" s="55">
        <v>2</v>
      </c>
      <c r="B26" s="55" t="str">
        <f>Analysis!B168</f>
        <v>Feb-23</v>
      </c>
      <c r="C26" s="57">
        <f>$B$20+$B$21*Analysis!C168</f>
        <v>414527.8308041959</v>
      </c>
      <c r="D26" s="57">
        <f>Analysis!E168-C26</f>
        <v>-45608.470804195968</v>
      </c>
    </row>
    <row r="27" spans="1:7" x14ac:dyDescent="0.2">
      <c r="A27" s="55">
        <v>3</v>
      </c>
      <c r="B27" s="55" t="str">
        <f>Analysis!B169</f>
        <v>Mar-23</v>
      </c>
      <c r="C27" s="57">
        <f>$B$20+$B$21*Analysis!C169</f>
        <v>415001.96506993013</v>
      </c>
      <c r="D27" s="57">
        <f>Analysis!E169-C27</f>
        <v>-12363.195069930051</v>
      </c>
    </row>
    <row r="28" spans="1:7" x14ac:dyDescent="0.2">
      <c r="A28" s="55">
        <v>4</v>
      </c>
      <c r="B28" s="55" t="str">
        <f>Analysis!B170</f>
        <v>Apr-23</v>
      </c>
      <c r="C28" s="57">
        <f>$B$20+$B$21*Analysis!C170</f>
        <v>415476.09933566442</v>
      </c>
      <c r="D28" s="57">
        <f>Analysis!E170-C28</f>
        <v>23516.510664335627</v>
      </c>
    </row>
    <row r="29" spans="1:7" x14ac:dyDescent="0.2">
      <c r="A29" s="55">
        <v>5</v>
      </c>
      <c r="B29" s="55" t="str">
        <f>Analysis!B171</f>
        <v>May-23</v>
      </c>
      <c r="C29" s="57">
        <f>$B$20+$B$21*Analysis!C171</f>
        <v>415950.23360139865</v>
      </c>
      <c r="D29" s="57">
        <f>Analysis!E171-C29</f>
        <v>-26871.473601398757</v>
      </c>
    </row>
    <row r="30" spans="1:7" x14ac:dyDescent="0.2">
      <c r="A30" s="55">
        <v>6</v>
      </c>
      <c r="B30" s="55" t="str">
        <f>Analysis!B172</f>
        <v>Jun-23</v>
      </c>
      <c r="C30" s="57">
        <f>$B$20+$B$21*Analysis!C172</f>
        <v>416424.36786713294</v>
      </c>
      <c r="D30" s="57">
        <f>Analysis!E172-C30</f>
        <v>2033.972132867144</v>
      </c>
    </row>
    <row r="31" spans="1:7" x14ac:dyDescent="0.2">
      <c r="A31" s="55">
        <v>7</v>
      </c>
      <c r="B31" s="55" t="str">
        <f>Analysis!B173</f>
        <v>Jul-23</v>
      </c>
      <c r="C31" s="57">
        <f>$B$20+$B$21*Analysis!C173</f>
        <v>416898.50213286717</v>
      </c>
      <c r="D31" s="57">
        <f>Analysis!E173-C31</f>
        <v>-42655.622132867167</v>
      </c>
    </row>
    <row r="32" spans="1:7" x14ac:dyDescent="0.2">
      <c r="A32" s="55">
        <v>8</v>
      </c>
      <c r="B32" s="55" t="str">
        <f>Analysis!B174</f>
        <v>Aug-23</v>
      </c>
      <c r="C32" s="57">
        <f>$B$20+$B$21*Analysis!C174</f>
        <v>417372.63639860146</v>
      </c>
      <c r="D32" s="57">
        <f>Analysis!E174-C32</f>
        <v>25798.643601398566</v>
      </c>
    </row>
    <row r="33" spans="1:7" x14ac:dyDescent="0.2">
      <c r="A33" s="55">
        <v>9</v>
      </c>
      <c r="B33" s="55" t="str">
        <f>Analysis!B175</f>
        <v>Sep-23</v>
      </c>
      <c r="C33" s="57">
        <f>$B$20+$B$21*Analysis!C175</f>
        <v>417846.77066433569</v>
      </c>
      <c r="D33" s="57">
        <f>Analysis!E175-C33</f>
        <v>-50009.170664335659</v>
      </c>
    </row>
    <row r="34" spans="1:7" x14ac:dyDescent="0.2">
      <c r="A34" s="55">
        <v>10</v>
      </c>
      <c r="B34" s="55" t="str">
        <f>Analysis!B176</f>
        <v>Oct-23</v>
      </c>
      <c r="C34" s="57">
        <f>$B$20+$B$21*Analysis!C176</f>
        <v>418320.90493006993</v>
      </c>
      <c r="D34" s="57">
        <f>Analysis!E176-C34</f>
        <v>42057.875069930218</v>
      </c>
    </row>
    <row r="35" spans="1:7" x14ac:dyDescent="0.2">
      <c r="A35" s="55">
        <v>11</v>
      </c>
      <c r="B35" s="55" t="str">
        <f>Analysis!B177</f>
        <v>Nov-23</v>
      </c>
      <c r="C35" s="57">
        <f>$B$20+$B$21*Analysis!C177</f>
        <v>418795.03919580422</v>
      </c>
      <c r="D35" s="57">
        <f>Analysis!E177-C35</f>
        <v>48687.860804195632</v>
      </c>
    </row>
    <row r="36" spans="1:7" x14ac:dyDescent="0.2">
      <c r="A36" s="55">
        <v>12</v>
      </c>
      <c r="B36" s="55" t="str">
        <f>Analysis!B178</f>
        <v>Dec-23</v>
      </c>
      <c r="C36" s="57">
        <f>$B$20+$B$21*Analysis!C178</f>
        <v>419269.17346153845</v>
      </c>
      <c r="D36" s="57">
        <f>Analysis!E178-C36</f>
        <v>-26625.593461538607</v>
      </c>
    </row>
    <row r="39" spans="1:7" x14ac:dyDescent="0.2">
      <c r="A39" s="45" t="s">
        <v>398</v>
      </c>
      <c r="B39" s="46"/>
      <c r="C39" s="46"/>
      <c r="D39" s="46"/>
      <c r="E39" s="46"/>
      <c r="F39" s="46"/>
      <c r="G39" s="46"/>
    </row>
    <row r="40" spans="1:7" x14ac:dyDescent="0.2">
      <c r="A40" s="45" t="s">
        <v>373</v>
      </c>
      <c r="B40" s="45"/>
      <c r="C40" s="103"/>
      <c r="D40" s="103"/>
      <c r="E40" s="103"/>
      <c r="F40" s="103"/>
      <c r="G40" s="103"/>
    </row>
    <row r="41" spans="1:7" x14ac:dyDescent="0.2">
      <c r="A41" s="55" t="s">
        <v>374</v>
      </c>
      <c r="B41" s="104">
        <f>SQRT(B42)</f>
        <v>4.964633997398693E-2</v>
      </c>
      <c r="C41" s="55"/>
      <c r="D41" s="55"/>
      <c r="E41" s="55"/>
      <c r="F41" s="55"/>
      <c r="G41" s="55"/>
    </row>
    <row r="42" spans="1:7" x14ac:dyDescent="0.2">
      <c r="A42" s="55" t="s">
        <v>375</v>
      </c>
      <c r="B42" s="104">
        <f>INDEX(LINEST('Raw Data'!$E$2:$E$1001,'Raw Data'!$AI$2:$AK$1001,TRUE(),TRUE()),3,1)</f>
        <v>2.4647590728126925E-3</v>
      </c>
      <c r="C42" s="55"/>
      <c r="D42" s="55"/>
      <c r="E42" s="55"/>
      <c r="F42" s="55"/>
      <c r="G42" s="55"/>
    </row>
    <row r="43" spans="1:7" x14ac:dyDescent="0.2">
      <c r="A43" s="55" t="s">
        <v>376</v>
      </c>
      <c r="B43" s="104">
        <f>1-(1-B42)*(B45-1)/(B45-3-1)</f>
        <v>-5.3986514684756237E-4</v>
      </c>
      <c r="C43" s="55"/>
      <c r="D43" s="55"/>
      <c r="E43" s="55"/>
      <c r="F43" s="55"/>
      <c r="G43" s="55"/>
    </row>
    <row r="44" spans="1:7" x14ac:dyDescent="0.2">
      <c r="A44" s="55" t="s">
        <v>377</v>
      </c>
      <c r="B44" s="105">
        <f>INDEX(LINEST('Raw Data'!$E$2:$E$1001,'Raw Data'!$AI$2:$AK$1001,TRUE(),TRUE()),3,2)</f>
        <v>2847.5584633671579</v>
      </c>
      <c r="C44" s="55"/>
      <c r="D44" s="55"/>
      <c r="E44" s="55"/>
      <c r="F44" s="55"/>
      <c r="G44" s="55"/>
    </row>
    <row r="45" spans="1:7" x14ac:dyDescent="0.2">
      <c r="A45" s="55" t="s">
        <v>378</v>
      </c>
      <c r="B45" s="106">
        <f>COUNT('Raw Data'!$E$2:$E$1001)</f>
        <v>1000</v>
      </c>
      <c r="C45" s="55"/>
      <c r="D45" s="55"/>
      <c r="E45" s="55"/>
      <c r="F45" s="55"/>
      <c r="G45" s="55"/>
    </row>
    <row r="46" spans="1:7" x14ac:dyDescent="0.2">
      <c r="A46" s="55"/>
      <c r="B46" s="55"/>
      <c r="C46" s="55"/>
      <c r="D46" s="55"/>
      <c r="E46" s="55"/>
      <c r="F46" s="55"/>
      <c r="G46" s="55"/>
    </row>
    <row r="47" spans="1:7" x14ac:dyDescent="0.2">
      <c r="A47" s="107" t="s">
        <v>379</v>
      </c>
      <c r="B47" s="107"/>
      <c r="C47" s="107"/>
      <c r="D47" s="107"/>
      <c r="E47" s="107"/>
      <c r="F47" s="107"/>
      <c r="G47" s="107"/>
    </row>
    <row r="48" spans="1:7" x14ac:dyDescent="0.2">
      <c r="A48" s="17"/>
      <c r="B48" s="17" t="s">
        <v>380</v>
      </c>
      <c r="C48" s="17" t="s">
        <v>381</v>
      </c>
      <c r="D48" s="17" t="s">
        <v>382</v>
      </c>
      <c r="E48" s="17" t="s">
        <v>383</v>
      </c>
      <c r="F48" s="17" t="s">
        <v>384</v>
      </c>
      <c r="G48" s="108"/>
    </row>
    <row r="49" spans="1:7" x14ac:dyDescent="0.2">
      <c r="A49" s="55" t="s">
        <v>385</v>
      </c>
      <c r="B49" s="55">
        <v>3</v>
      </c>
      <c r="C49" s="56">
        <f>INDEX(LINEST('Raw Data'!$E$2:$E$1001,'Raw Data'!$AI$2:$AK$1001,TRUE(),TRUE()),5,1)</f>
        <v>19954960.097797394</v>
      </c>
      <c r="D49" s="56">
        <f>C49/B49</f>
        <v>6651653.3659324646</v>
      </c>
      <c r="E49" s="104">
        <f>D49/D50</f>
        <v>0.82032190803928073</v>
      </c>
      <c r="F49" s="104">
        <f>FDIST(E49,B49,B50)</f>
        <v>0.48271637492611763</v>
      </c>
      <c r="G49" s="55"/>
    </row>
    <row r="50" spans="1:7" x14ac:dyDescent="0.2">
      <c r="A50" s="55" t="s">
        <v>386</v>
      </c>
      <c r="B50" s="55">
        <f>B45-3-1</f>
        <v>996</v>
      </c>
      <c r="C50" s="56">
        <f>INDEX(LINEST('Raw Data'!$E$2:$E$1001,'Raw Data'!$AI$2:$AK$1001,TRUE(),TRUE()),5,2)</f>
        <v>8076154845.4847527</v>
      </c>
      <c r="D50" s="56">
        <f>C50/B50</f>
        <v>8108589.2022939287</v>
      </c>
      <c r="E50" s="55"/>
      <c r="F50" s="55"/>
      <c r="G50" s="55"/>
    </row>
    <row r="51" spans="1:7" x14ac:dyDescent="0.2">
      <c r="A51" s="55" t="s">
        <v>209</v>
      </c>
      <c r="B51" s="55">
        <f>B45-1</f>
        <v>999</v>
      </c>
      <c r="C51" s="56">
        <f>C49+C50</f>
        <v>8096109805.58255</v>
      </c>
      <c r="D51" s="56"/>
      <c r="E51" s="55"/>
      <c r="F51" s="55"/>
      <c r="G51" s="55"/>
    </row>
    <row r="52" spans="1:7" x14ac:dyDescent="0.2">
      <c r="A52" s="55"/>
      <c r="B52" s="55"/>
      <c r="C52" s="55"/>
      <c r="D52" s="55"/>
      <c r="E52" s="55"/>
      <c r="F52" s="55"/>
      <c r="G52" s="55"/>
    </row>
    <row r="53" spans="1:7" x14ac:dyDescent="0.2">
      <c r="A53" s="107" t="s">
        <v>387</v>
      </c>
      <c r="B53" s="107"/>
      <c r="C53" s="107"/>
      <c r="D53" s="107"/>
      <c r="E53" s="107"/>
      <c r="F53" s="107"/>
      <c r="G53" s="107"/>
    </row>
    <row r="54" spans="1:7" x14ac:dyDescent="0.2">
      <c r="A54" s="17"/>
      <c r="B54" s="17" t="s">
        <v>387</v>
      </c>
      <c r="C54" s="17" t="s">
        <v>377</v>
      </c>
      <c r="D54" s="17" t="s">
        <v>388</v>
      </c>
      <c r="E54" s="17" t="s">
        <v>389</v>
      </c>
      <c r="F54" s="17" t="s">
        <v>390</v>
      </c>
      <c r="G54" s="17" t="s">
        <v>391</v>
      </c>
    </row>
    <row r="55" spans="1:7" x14ac:dyDescent="0.2">
      <c r="A55" s="55" t="s">
        <v>392</v>
      </c>
      <c r="B55" s="105">
        <f>INDEX(LINEST('Raw Data'!$E$2:$E$1001,'Raw Data'!$AI$2:$AK$1001,TRUE(),TRUE()),1,4)</f>
        <v>5039.8622064140545</v>
      </c>
      <c r="C55" s="105">
        <f>INDEX(LINEST('Raw Data'!$E$2:$E$1001,'Raw Data'!$AI$2:$AK$1001,TRUE(),TRUE()),2,4)</f>
        <v>295.24507155493768</v>
      </c>
      <c r="D55" s="104">
        <f>B55/C55</f>
        <v>17.070097664530408</v>
      </c>
      <c r="E55" s="104">
        <f>TDIST(ABS(D55),$B$50,2)</f>
        <v>1.6658924233287635E-57</v>
      </c>
      <c r="F55" s="105">
        <f>B55-TINV(0.05,$B$50)*C55</f>
        <v>4460.4884445074422</v>
      </c>
      <c r="G55" s="105">
        <f>B55+TINV(0.05,$B$50)*C55</f>
        <v>5619.2359683206669</v>
      </c>
    </row>
    <row r="56" spans="1:7" x14ac:dyDescent="0.2">
      <c r="A56" s="55" t="s">
        <v>108</v>
      </c>
      <c r="B56" s="105">
        <f>INDEX(LINEST('Raw Data'!$E$2:$E$1001,'Raw Data'!$AI$2:$AK$1001,TRUE(),TRUE()),1,3)</f>
        <v>-8.4960554195128744</v>
      </c>
      <c r="C56" s="105">
        <f>INDEX(LINEST('Raw Data'!$E$2:$E$1001,'Raw Data'!$AI$2:$AK$1001,TRUE(),TRUE()),2,3)</f>
        <v>6.3735490847848277</v>
      </c>
      <c r="D56" s="104">
        <f>B56/C56</f>
        <v>-1.3330179632247554</v>
      </c>
      <c r="E56" s="104">
        <f>TDIST(ABS(D56),$B$50,2)</f>
        <v>0.18283073601665645</v>
      </c>
      <c r="F56" s="105">
        <f>B56-TINV(0.05,$B$50)*C56</f>
        <v>-21.003180739168275</v>
      </c>
      <c r="G56" s="105">
        <f>B56+TINV(0.05,$B$50)*C56</f>
        <v>4.0110699001425267</v>
      </c>
    </row>
    <row r="57" spans="1:7" x14ac:dyDescent="0.2">
      <c r="A57" s="55" t="s">
        <v>112</v>
      </c>
      <c r="B57" s="105">
        <f>INDEX(LINEST('Raw Data'!$E$2:$E$1001,'Raw Data'!$AI$2:$AK$1001,TRUE(),TRUE()),1,2)</f>
        <v>753.222307928703</v>
      </c>
      <c r="C57" s="105">
        <f>INDEX(LINEST('Raw Data'!$E$2:$E$1001,'Raw Data'!$AI$2:$AK$1001,TRUE(),TRUE()),2,2)</f>
        <v>1033.3511595983343</v>
      </c>
      <c r="D57" s="104">
        <f>B57/C57</f>
        <v>0.72891223949608963</v>
      </c>
      <c r="E57" s="104">
        <f>TDIST(ABS(D57),$B$50,2)</f>
        <v>0.46622670425081936</v>
      </c>
      <c r="F57" s="105">
        <f>B57-TINV(0.05,$B$50)*C57</f>
        <v>-1274.572925210844</v>
      </c>
      <c r="G57" s="105">
        <f>B57+TINV(0.05,$B$50)*C57</f>
        <v>2781.01754106825</v>
      </c>
    </row>
    <row r="58" spans="1:7" x14ac:dyDescent="0.2">
      <c r="A58" s="55" t="s">
        <v>110</v>
      </c>
      <c r="B58" s="105">
        <f>INDEX(LINEST('Raw Data'!$E$2:$E$1001,'Raw Data'!$AI$2:$AK$1001,TRUE(),TRUE()),1,1)</f>
        <v>2.9334329405199554E-2</v>
      </c>
      <c r="C58" s="105">
        <f>INDEX(LINEST('Raw Data'!$E$2:$E$1001,'Raw Data'!$AI$2:$AK$1001,TRUE(),TRUE()),2,1)</f>
        <v>6.3585644977716835E-2</v>
      </c>
      <c r="D58" s="104">
        <f>B58/C58</f>
        <v>0.46133572153714214</v>
      </c>
      <c r="E58" s="104">
        <f>TDIST(ABS(D58),$B$50,2)</f>
        <v>0.64465848989259522</v>
      </c>
      <c r="F58" s="105">
        <f>B58-TINV(0.05,$B$50)*C58</f>
        <v>-9.5442873953275886E-2</v>
      </c>
      <c r="G58" s="105">
        <f>B58+TINV(0.05,$B$50)*C58</f>
        <v>0.15411153276367501</v>
      </c>
    </row>
    <row r="61" spans="1:7" x14ac:dyDescent="0.2">
      <c r="A61" s="45" t="s">
        <v>399</v>
      </c>
      <c r="B61" s="46"/>
      <c r="C61" s="46"/>
      <c r="D61" s="46"/>
      <c r="E61" s="46"/>
      <c r="F61" s="46"/>
      <c r="G61" s="46"/>
    </row>
    <row r="62" spans="1:7" x14ac:dyDescent="0.2">
      <c r="A62" s="45" t="s">
        <v>373</v>
      </c>
      <c r="B62" s="45"/>
      <c r="C62" s="103"/>
      <c r="D62" s="103"/>
      <c r="E62" s="103"/>
      <c r="F62" s="103"/>
      <c r="G62" s="103"/>
    </row>
    <row r="63" spans="1:7" x14ac:dyDescent="0.2">
      <c r="A63" s="55" t="s">
        <v>374</v>
      </c>
      <c r="B63" s="104">
        <f>SQRT(B64)</f>
        <v>0.47213997939492708</v>
      </c>
      <c r="C63" s="55"/>
      <c r="D63" s="55"/>
      <c r="E63" s="55"/>
      <c r="F63" s="55"/>
      <c r="G63" s="55"/>
    </row>
    <row r="64" spans="1:7" x14ac:dyDescent="0.2">
      <c r="A64" s="55" t="s">
        <v>375</v>
      </c>
      <c r="B64" s="104">
        <f>INDEX(LINEST('Raw Data'!$S$2:$S$1001,'Raw Data'!$K$2:$K$1001,TRUE(),TRUE()),3,1)</f>
        <v>0.22291616014304219</v>
      </c>
      <c r="C64" s="55"/>
      <c r="D64" s="55"/>
      <c r="E64" s="55"/>
      <c r="F64" s="55"/>
      <c r="G64" s="55"/>
    </row>
    <row r="65" spans="1:7" x14ac:dyDescent="0.2">
      <c r="A65" s="55" t="s">
        <v>376</v>
      </c>
      <c r="B65" s="104">
        <f>1-(1-B64)*(B67-1)/(B67-1-1)</f>
        <v>0.22213751902094103</v>
      </c>
      <c r="C65" s="55"/>
      <c r="D65" s="55"/>
      <c r="E65" s="55"/>
      <c r="F65" s="55"/>
      <c r="G65" s="55"/>
    </row>
    <row r="66" spans="1:7" x14ac:dyDescent="0.2">
      <c r="A66" s="55" t="s">
        <v>377</v>
      </c>
      <c r="B66" s="105">
        <f>INDEX(LINEST('Raw Data'!$S$2:$S$1001,'Raw Data'!$K$2:$K$1001,TRUE(),TRUE()),3,2)</f>
        <v>0.18616710637073236</v>
      </c>
      <c r="C66" s="55"/>
      <c r="D66" s="55"/>
      <c r="E66" s="55"/>
      <c r="F66" s="55"/>
      <c r="G66" s="55"/>
    </row>
    <row r="67" spans="1:7" x14ac:dyDescent="0.2">
      <c r="A67" s="55" t="s">
        <v>378</v>
      </c>
      <c r="B67" s="106">
        <f>COUNT('Raw Data'!$S$2:$S$1001)</f>
        <v>1000</v>
      </c>
      <c r="C67" s="55"/>
      <c r="D67" s="55"/>
      <c r="E67" s="55"/>
      <c r="F67" s="55"/>
      <c r="G67" s="55"/>
    </row>
    <row r="68" spans="1:7" x14ac:dyDescent="0.2">
      <c r="A68" s="55"/>
      <c r="B68" s="55"/>
      <c r="C68" s="55"/>
      <c r="D68" s="55"/>
      <c r="E68" s="55"/>
      <c r="F68" s="55"/>
      <c r="G68" s="55"/>
    </row>
    <row r="69" spans="1:7" x14ac:dyDescent="0.2">
      <c r="A69" s="107" t="s">
        <v>379</v>
      </c>
      <c r="B69" s="107"/>
      <c r="C69" s="107"/>
      <c r="D69" s="107"/>
      <c r="E69" s="107"/>
      <c r="F69" s="107"/>
      <c r="G69" s="107"/>
    </row>
    <row r="70" spans="1:7" x14ac:dyDescent="0.2">
      <c r="A70" s="17"/>
      <c r="B70" s="17" t="s">
        <v>380</v>
      </c>
      <c r="C70" s="17" t="s">
        <v>381</v>
      </c>
      <c r="D70" s="17" t="s">
        <v>382</v>
      </c>
      <c r="E70" s="17" t="s">
        <v>383</v>
      </c>
      <c r="F70" s="17" t="s">
        <v>384</v>
      </c>
      <c r="G70" s="108"/>
    </row>
    <row r="71" spans="1:7" x14ac:dyDescent="0.2">
      <c r="A71" s="55" t="s">
        <v>385</v>
      </c>
      <c r="B71" s="55">
        <v>1</v>
      </c>
      <c r="C71" s="56">
        <f>INDEX(LINEST('Raw Data'!$S$2:$S$1001,'Raw Data'!$K$2:$K$1001,TRUE(),TRUE()),5,1)</f>
        <v>9.9222488334512278</v>
      </c>
      <c r="D71" s="56">
        <f>C71/B71</f>
        <v>9.9222488334512278</v>
      </c>
      <c r="E71" s="104">
        <f>D71/D72</f>
        <v>286.28870710232172</v>
      </c>
      <c r="F71" s="104">
        <f>FDIST(E71,B71,B72)</f>
        <v>1.1753442847285368E-56</v>
      </c>
      <c r="G71" s="55"/>
    </row>
    <row r="72" spans="1:7" x14ac:dyDescent="0.2">
      <c r="A72" s="55" t="s">
        <v>386</v>
      </c>
      <c r="B72" s="55">
        <f>B67-1-1</f>
        <v>998</v>
      </c>
      <c r="C72" s="56">
        <f>INDEX(LINEST('Raw Data'!$S$2:$S$1001,'Raw Data'!$K$2:$K$1001,TRUE(),TRUE()),5,2)</f>
        <v>34.588875111462677</v>
      </c>
      <c r="D72" s="56">
        <f>C72/B72</f>
        <v>3.4658191494451582E-2</v>
      </c>
      <c r="E72" s="55"/>
      <c r="F72" s="55"/>
      <c r="G72" s="55"/>
    </row>
    <row r="73" spans="1:7" x14ac:dyDescent="0.2">
      <c r="A73" s="55" t="s">
        <v>209</v>
      </c>
      <c r="B73" s="55">
        <f>B67-1</f>
        <v>999</v>
      </c>
      <c r="C73" s="56">
        <f>C71+C72</f>
        <v>44.511123944913905</v>
      </c>
      <c r="D73" s="56"/>
      <c r="E73" s="55"/>
      <c r="F73" s="55"/>
      <c r="G73" s="55"/>
    </row>
    <row r="74" spans="1:7" x14ac:dyDescent="0.2">
      <c r="A74" s="55"/>
      <c r="B74" s="55"/>
      <c r="C74" s="55"/>
      <c r="D74" s="55"/>
      <c r="E74" s="55"/>
      <c r="F74" s="55"/>
      <c r="G74" s="55"/>
    </row>
    <row r="75" spans="1:7" x14ac:dyDescent="0.2">
      <c r="A75" s="107" t="s">
        <v>387</v>
      </c>
      <c r="B75" s="107"/>
      <c r="C75" s="107"/>
      <c r="D75" s="107"/>
      <c r="E75" s="107"/>
      <c r="F75" s="107"/>
      <c r="G75" s="107"/>
    </row>
    <row r="76" spans="1:7" x14ac:dyDescent="0.2">
      <c r="A76" s="17"/>
      <c r="B76" s="17" t="s">
        <v>387</v>
      </c>
      <c r="C76" s="17" t="s">
        <v>377</v>
      </c>
      <c r="D76" s="17" t="s">
        <v>388</v>
      </c>
      <c r="E76" s="17" t="s">
        <v>389</v>
      </c>
      <c r="F76" s="17" t="s">
        <v>390</v>
      </c>
      <c r="G76" s="17" t="s">
        <v>391</v>
      </c>
    </row>
    <row r="77" spans="1:7" x14ac:dyDescent="0.2">
      <c r="A77" s="55" t="s">
        <v>392</v>
      </c>
      <c r="B77" s="105">
        <f>INDEX(LINEST('Raw Data'!$S$2:$S$1001,'Raw Data'!$K$2:$K$1001,TRUE(),TRUE()),1,2)</f>
        <v>0.15255822265170058</v>
      </c>
      <c r="C77" s="105">
        <f>INDEX(LINEST('Raw Data'!$S$2:$S$1001,'Raw Data'!$K$2:$K$1001,TRUE(),TRUE()),2,2)</f>
        <v>1.1858060610483332E-2</v>
      </c>
      <c r="D77" s="104">
        <f>B77/C77</f>
        <v>12.865360336987038</v>
      </c>
      <c r="E77" s="104">
        <f>TDIST(ABS(D77),$B$72,2)</f>
        <v>3.7034283587380511E-35</v>
      </c>
      <c r="F77" s="105">
        <f>B77-TINV(0.05,$B$72)*C77</f>
        <v>0.12928863038465827</v>
      </c>
      <c r="G77" s="105">
        <f>B77+TINV(0.05,$B$72)*C77</f>
        <v>0.17582781491874289</v>
      </c>
    </row>
    <row r="78" spans="1:7" x14ac:dyDescent="0.2">
      <c r="A78" s="55" t="s">
        <v>112</v>
      </c>
      <c r="B78" s="105">
        <f>INDEX(LINEST('Raw Data'!$S$2:$S$1001,'Raw Data'!$K$2:$K$1001,TRUE(),TRUE()),1,1)</f>
        <v>-1.142897302379146</v>
      </c>
      <c r="C78" s="105">
        <f>INDEX(LINEST('Raw Data'!$S$2:$S$1001,'Raw Data'!$K$2:$K$1001,TRUE(),TRUE()),2,1)</f>
        <v>6.7546849719948926E-2</v>
      </c>
      <c r="D78" s="104">
        <f>B78/C78</f>
        <v>-16.920068176645238</v>
      </c>
      <c r="E78" s="104">
        <f>TDIST(ABS(D78),$B$72,2)</f>
        <v>1.175344284728017E-56</v>
      </c>
      <c r="F78" s="105">
        <f>B78-TINV(0.05,$B$72)*C78</f>
        <v>-1.2754474472583874</v>
      </c>
      <c r="G78" s="105">
        <f>B78+TINV(0.05,$B$72)*C78</f>
        <v>-1.0103471574999046</v>
      </c>
    </row>
    <row r="81" spans="1:7" x14ac:dyDescent="0.2">
      <c r="A81" s="45" t="s">
        <v>400</v>
      </c>
      <c r="B81" s="46"/>
      <c r="C81" s="46"/>
      <c r="D81" s="46"/>
      <c r="E81" s="46"/>
      <c r="F81" s="46"/>
    </row>
    <row r="82" spans="1:7" x14ac:dyDescent="0.2">
      <c r="A82" s="17"/>
      <c r="B82" s="17" t="s">
        <v>107</v>
      </c>
      <c r="C82" s="17" t="s">
        <v>401</v>
      </c>
      <c r="D82" s="17" t="s">
        <v>112</v>
      </c>
      <c r="E82" s="17" t="s">
        <v>110</v>
      </c>
      <c r="F82" s="17" t="s">
        <v>109</v>
      </c>
      <c r="G82" s="17" t="s">
        <v>38</v>
      </c>
    </row>
    <row r="83" spans="1:7" x14ac:dyDescent="0.2">
      <c r="A83" s="59" t="s">
        <v>107</v>
      </c>
      <c r="B83" s="109">
        <f>CORREL('Raw Data'!$E$2:$E$1001,'Raw Data'!$E$2:$E$1001)</f>
        <v>1.0000000000000002</v>
      </c>
      <c r="C83" s="109">
        <f>CORREL('Raw Data'!$E$2:$E$1001,'Raw Data'!$F$2:$F$1001)</f>
        <v>-4.1598704980826934E-2</v>
      </c>
      <c r="D83" s="109">
        <f>CORREL('Raw Data'!$E$2:$E$1001,'Raw Data'!$K$2:$K$1001)</f>
        <v>2.3152703341197605E-2</v>
      </c>
      <c r="E83" s="109">
        <f>CORREL('Raw Data'!$E$2:$E$1001,'Raw Data'!$I$2:$I$1001)</f>
        <v>1.1812023736311204E-2</v>
      </c>
      <c r="F83" s="109">
        <f>CORREL('Raw Data'!$E$2:$E$1001,'Raw Data'!$H$2:$H$1001)</f>
        <v>9.7695121934451967E-3</v>
      </c>
      <c r="G83" s="109">
        <f>CORREL('Raw Data'!$E$2:$E$1001,'Raw Data'!$S$2:$S$1001)</f>
        <v>-1.1217281859879559E-2</v>
      </c>
    </row>
    <row r="84" spans="1:7" x14ac:dyDescent="0.2">
      <c r="A84" s="59" t="s">
        <v>401</v>
      </c>
      <c r="B84" s="109">
        <f>CORREL('Raw Data'!$F$2:$F$1001,'Raw Data'!$E$2:$E$1001)</f>
        <v>-4.1598704980826934E-2</v>
      </c>
      <c r="C84" s="109">
        <f>CORREL('Raw Data'!$F$2:$F$1001,'Raw Data'!$F$2:$F$1001)</f>
        <v>1.0000000000000002</v>
      </c>
      <c r="D84" s="109">
        <f>CORREL('Raw Data'!$F$2:$F$1001,'Raw Data'!$K$2:$K$1001)</f>
        <v>-7.806260114458766E-3</v>
      </c>
      <c r="E84" s="109">
        <f>CORREL('Raw Data'!$F$2:$F$1001,'Raw Data'!$I$2:$I$1001)</f>
        <v>5.7295929367586519E-2</v>
      </c>
      <c r="F84" s="109">
        <f>CORREL('Raw Data'!$F$2:$F$1001,'Raw Data'!$H$2:$H$1001)</f>
        <v>5.3887557470009909E-2</v>
      </c>
      <c r="G84" s="109">
        <f>CORREL('Raw Data'!$F$2:$F$1001,'Raw Data'!$S$2:$S$1001)</f>
        <v>-9.5327777070408504E-3</v>
      </c>
    </row>
    <row r="85" spans="1:7" x14ac:dyDescent="0.2">
      <c r="A85" s="59" t="s">
        <v>112</v>
      </c>
      <c r="B85" s="109">
        <f>CORREL('Raw Data'!$K$2:$K$1001,'Raw Data'!$E$2:$E$1001)</f>
        <v>2.3152703341197605E-2</v>
      </c>
      <c r="C85" s="109">
        <f>CORREL('Raw Data'!$K$2:$K$1001,'Raw Data'!$F$2:$F$1001)</f>
        <v>-7.806260114458766E-3</v>
      </c>
      <c r="D85" s="109">
        <f>CORREL('Raw Data'!$K$2:$K$1001,'Raw Data'!$K$2:$K$1001)</f>
        <v>1.0000000000000002</v>
      </c>
      <c r="E85" s="109">
        <f>CORREL('Raw Data'!$K$2:$K$1001,'Raw Data'!$I$2:$I$1001)</f>
        <v>-1.702683808068458E-2</v>
      </c>
      <c r="F85" s="109">
        <f>CORREL('Raw Data'!$K$2:$K$1001,'Raw Data'!$H$2:$H$1001)</f>
        <v>-1.7741094930684834E-2</v>
      </c>
      <c r="G85" s="109">
        <f>CORREL('Raw Data'!$K$2:$K$1001,'Raw Data'!$S$2:$S$1001)</f>
        <v>-0.47213997939492758</v>
      </c>
    </row>
    <row r="86" spans="1:7" x14ac:dyDescent="0.2">
      <c r="A86" s="59" t="s">
        <v>110</v>
      </c>
      <c r="B86" s="109">
        <f>CORREL('Raw Data'!$I$2:$I$1001,'Raw Data'!$E$2:$E$1001)</f>
        <v>1.1812023736311204E-2</v>
      </c>
      <c r="C86" s="109">
        <f>CORREL('Raw Data'!$I$2:$I$1001,'Raw Data'!$F$2:$F$1001)</f>
        <v>5.7295929367586519E-2</v>
      </c>
      <c r="D86" s="109">
        <f>CORREL('Raw Data'!$I$2:$I$1001,'Raw Data'!$K$2:$K$1001)</f>
        <v>-1.702683808068458E-2</v>
      </c>
      <c r="E86" s="109">
        <f>CORREL('Raw Data'!$I$2:$I$1001,'Raw Data'!$I$2:$I$1001)</f>
        <v>1</v>
      </c>
      <c r="F86" s="109">
        <f>CORREL('Raw Data'!$I$2:$I$1001,'Raw Data'!$H$2:$H$1001)</f>
        <v>0.99505556027926101</v>
      </c>
      <c r="G86" s="109">
        <f>CORREL('Raw Data'!$I$2:$I$1001,'Raw Data'!$S$2:$S$1001)</f>
        <v>-0.53906842820399148</v>
      </c>
    </row>
    <row r="87" spans="1:7" x14ac:dyDescent="0.2">
      <c r="A87" s="59" t="s">
        <v>109</v>
      </c>
      <c r="B87" s="109">
        <f>CORREL('Raw Data'!$H$2:$H$1001,'Raw Data'!$E$2:$E$1001)</f>
        <v>9.7695121934451967E-3</v>
      </c>
      <c r="C87" s="109">
        <f>CORREL('Raw Data'!$H$2:$H$1001,'Raw Data'!$F$2:$F$1001)</f>
        <v>5.3887557470009909E-2</v>
      </c>
      <c r="D87" s="109">
        <f>CORREL('Raw Data'!$H$2:$H$1001,'Raw Data'!$K$2:$K$1001)</f>
        <v>-1.7741094930684834E-2</v>
      </c>
      <c r="E87" s="109">
        <f>CORREL('Raw Data'!$H$2:$H$1001,'Raw Data'!$I$2:$I$1001)</f>
        <v>0.99505556027926101</v>
      </c>
      <c r="F87" s="109">
        <f>CORREL('Raw Data'!$H$2:$H$1001,'Raw Data'!$H$2:$H$1001)</f>
        <v>0.99999999999999989</v>
      </c>
      <c r="G87" s="109">
        <f>CORREL('Raw Data'!$H$2:$H$1001,'Raw Data'!$S$2:$S$1001)</f>
        <v>-0.57807519330023183</v>
      </c>
    </row>
    <row r="88" spans="1:7" x14ac:dyDescent="0.2">
      <c r="A88" s="59" t="s">
        <v>38</v>
      </c>
      <c r="B88" s="109">
        <f>CORREL('Raw Data'!$S$2:$S$1001,'Raw Data'!$E$2:$E$1001)</f>
        <v>-1.1217281859879559E-2</v>
      </c>
      <c r="C88" s="109">
        <f>CORREL('Raw Data'!$S$2:$S$1001,'Raw Data'!$F$2:$F$1001)</f>
        <v>-9.5327777070408504E-3</v>
      </c>
      <c r="D88" s="109">
        <f>CORREL('Raw Data'!$S$2:$S$1001,'Raw Data'!$K$2:$K$1001)</f>
        <v>-0.47213997939492758</v>
      </c>
      <c r="E88" s="109">
        <f>CORREL('Raw Data'!$S$2:$S$1001,'Raw Data'!$I$2:$I$1001)</f>
        <v>-0.53906842820399148</v>
      </c>
      <c r="F88" s="109">
        <f>CORREL('Raw Data'!$S$2:$S$1001,'Raw Data'!$H$2:$H$1001)</f>
        <v>-0.57807519330023183</v>
      </c>
      <c r="G88" s="109">
        <f>CORREL('Raw Data'!$S$2:$S$1001,'Raw Data'!$S$2:$S$1001)</f>
        <v>1</v>
      </c>
    </row>
    <row r="90" spans="1:7" ht="36" customHeight="1" x14ac:dyDescent="0.2">
      <c r="A90" s="160" t="str">
        <f>"A) Trend: sales move "&amp;TEXT('Regression Output'!$B$21,"$#,##0")&amp;" per month (R² "&amp;TEXT('Regression Output'!$B$7,"0.000")&amp;", Significance F "&amp;TEXT('Regression Output'!$F$14,"0.000")&amp;"): "&amp;IF('Regression Output'!$F$14&lt;0.05,"statistically significant.","NOT significant, so monthly sales are flat apart from random swings.")</f>
        <v>A) Trend: sales move $474 per month (R² 0.002, Significance F 0.894): NOT significant, so monthly sales are flat apart from random swings.</v>
      </c>
      <c r="B90" s="160"/>
      <c r="C90" s="160"/>
      <c r="D90" s="160"/>
      <c r="E90" s="160"/>
      <c r="F90" s="160"/>
      <c r="G90" s="160"/>
    </row>
    <row r="91" spans="1:7" ht="36" customHeight="1" x14ac:dyDescent="0.2">
      <c r="A91" s="160" t="str">
        <f>"B) Drivers: Quantity, Discount and Unit_Price together explain only "&amp;TEXT('Regression Output'!$B$42,"0.0%")&amp;" of Sales_Amount (Significance F "&amp;TEXT('Regression Output'!$F$49,"0.000")&amp;"): "&amp;IF('Regression Output'!$F$49&lt;0.05,"at least one driver is significant.","none of these fields predicts the size of a sale.")</f>
        <v>B) Drivers: Quantity, Discount and Unit_Price together explain only 0.2% of Sales_Amount (Significance F 0.483): none of these fields predicts the size of a sale.</v>
      </c>
      <c r="B91" s="160"/>
      <c r="C91" s="160"/>
      <c r="D91" s="160"/>
      <c r="E91" s="160"/>
      <c r="F91" s="160"/>
      <c r="G91" s="160"/>
    </row>
    <row r="92" spans="1:7" ht="36" customHeight="1" x14ac:dyDescent="0.2">
      <c r="A92" s="160" t="str">
        <f>"C) Discount vs margin: every +1 percentage point of discount changes net margin by "&amp;TEXT('Regression Output'!$B$78/100,"0.00%")&amp;" (R² "&amp;TEXT('Regression Output'!$B$64,"0.000")&amp;", p-value "&amp;TEXT('Regression Output'!$E$78,"0.0000")&amp;"): "&amp;IF('Regression Output'!$E$78&lt;0.05,"statistically significant.","not significant.")</f>
        <v>C) Discount vs margin: every +1 percentage point of discount changes net margin by -1.14% (R² 0.223, p-value 0.0000): statistically significant.</v>
      </c>
      <c r="B92" s="160"/>
      <c r="C92" s="160"/>
      <c r="D92" s="160"/>
      <c r="E92" s="160"/>
      <c r="F92" s="160"/>
      <c r="G92" s="160"/>
    </row>
  </sheetData>
  <mergeCells count="3">
    <mergeCell ref="A90:G90"/>
    <mergeCell ref="A91:G91"/>
    <mergeCell ref="A92:G92"/>
  </mergeCells>
  <conditionalFormatting sqref="B83:G88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F21"/>
  <sheetViews>
    <sheetView showGridLines="0" zoomScaleNormal="100" workbookViewId="0"/>
  </sheetViews>
  <sheetFormatPr baseColWidth="10" defaultColWidth="8.6640625" defaultRowHeight="15" x14ac:dyDescent="0.2"/>
  <cols>
    <col min="1" max="1" width="52" customWidth="1"/>
    <col min="2" max="6" width="18" customWidth="1"/>
  </cols>
  <sheetData>
    <row r="1" spans="1:6" ht="20" x14ac:dyDescent="0.2">
      <c r="A1" s="15" t="s">
        <v>402</v>
      </c>
    </row>
    <row r="2" spans="1:6" x14ac:dyDescent="0.2">
      <c r="A2" s="16" t="s">
        <v>403</v>
      </c>
    </row>
    <row r="4" spans="1:6" x14ac:dyDescent="0.2">
      <c r="A4" s="17"/>
      <c r="B4" s="17" t="s">
        <v>404</v>
      </c>
      <c r="C4" s="17" t="s">
        <v>299</v>
      </c>
      <c r="D4" s="17" t="s">
        <v>300</v>
      </c>
      <c r="E4" s="17" t="s">
        <v>301</v>
      </c>
      <c r="F4" s="17" t="s">
        <v>302</v>
      </c>
    </row>
    <row r="5" spans="1:6" x14ac:dyDescent="0.2">
      <c r="A5" s="59" t="s">
        <v>405</v>
      </c>
      <c r="B5" s="110"/>
      <c r="C5" s="110"/>
      <c r="D5" s="110"/>
      <c r="E5" s="110"/>
      <c r="F5" s="110"/>
    </row>
    <row r="6" spans="1:6" x14ac:dyDescent="0.2">
      <c r="A6" s="55" t="s">
        <v>406</v>
      </c>
      <c r="B6" s="111">
        <f>Analysis!B211</f>
        <v>0</v>
      </c>
      <c r="C6" s="111">
        <f>Analysis!C211</f>
        <v>0</v>
      </c>
      <c r="D6" s="111">
        <f>Analysis!D211</f>
        <v>0</v>
      </c>
      <c r="E6" s="111">
        <f>Analysis!E211</f>
        <v>0</v>
      </c>
      <c r="F6" s="111">
        <f>Analysis!F211</f>
        <v>0.05</v>
      </c>
    </row>
    <row r="7" spans="1:6" x14ac:dyDescent="0.2">
      <c r="A7" s="55" t="s">
        <v>407</v>
      </c>
      <c r="B7" s="111">
        <f>Analysis!B212</f>
        <v>0</v>
      </c>
      <c r="C7" s="111">
        <f>Analysis!C212</f>
        <v>0</v>
      </c>
      <c r="D7" s="111">
        <f>Analysis!D212</f>
        <v>-0.03</v>
      </c>
      <c r="E7" s="111">
        <f>Analysis!E212</f>
        <v>0.1</v>
      </c>
      <c r="F7" s="111">
        <f>Analysis!F212</f>
        <v>-0.04</v>
      </c>
    </row>
    <row r="8" spans="1:6" x14ac:dyDescent="0.2">
      <c r="A8" s="55" t="s">
        <v>408</v>
      </c>
      <c r="B8" s="111">
        <f>Analysis!B213</f>
        <v>0</v>
      </c>
      <c r="C8" s="111">
        <f>Analysis!C213</f>
        <v>0</v>
      </c>
      <c r="D8" s="111">
        <f>Analysis!D213</f>
        <v>-0.05</v>
      </c>
      <c r="E8" s="111">
        <f>Analysis!E213</f>
        <v>0.03</v>
      </c>
      <c r="F8" s="111">
        <f>Analysis!F213</f>
        <v>0</v>
      </c>
    </row>
    <row r="9" spans="1:6" x14ac:dyDescent="0.2">
      <c r="A9" s="59" t="s">
        <v>409</v>
      </c>
      <c r="B9" s="110"/>
      <c r="C9" s="110"/>
      <c r="D9" s="110"/>
      <c r="E9" s="110"/>
      <c r="F9" s="110"/>
    </row>
    <row r="10" spans="1:6" x14ac:dyDescent="0.2">
      <c r="A10" s="55" t="s">
        <v>410</v>
      </c>
      <c r="B10" s="61">
        <f>Analysis!B219</f>
        <v>5019265.2300000023</v>
      </c>
      <c r="C10" s="61">
        <f>Analysis!C219</f>
        <v>5019265.2300000023</v>
      </c>
      <c r="D10" s="61">
        <f>Analysis!D219</f>
        <v>5155533.0088888332</v>
      </c>
      <c r="E10" s="61">
        <f>Analysis!E219</f>
        <v>5326018.3657622412</v>
      </c>
      <c r="F10" s="61">
        <f>Analysis!F219</f>
        <v>5059419.3518400015</v>
      </c>
    </row>
    <row r="11" spans="1:6" x14ac:dyDescent="0.2">
      <c r="A11" s="55" t="s">
        <v>411</v>
      </c>
      <c r="B11" s="112">
        <f>B10/Analysis!B214-1</f>
        <v>0</v>
      </c>
      <c r="C11" s="112">
        <f>C10/Analysis!C214-1</f>
        <v>0</v>
      </c>
      <c r="D11" s="112">
        <f>D10/Analysis!D214-1</f>
        <v>2.7148949626005558E-2</v>
      </c>
      <c r="E11" s="112">
        <f>E10/Analysis!E214-1</f>
        <v>6.1115147677150983E-2</v>
      </c>
      <c r="F11" s="112">
        <f>F10/Analysis!F214-1</f>
        <v>7.9999999999997851E-3</v>
      </c>
    </row>
    <row r="12" spans="1:6" x14ac:dyDescent="0.2">
      <c r="A12" s="55" t="s">
        <v>412</v>
      </c>
      <c r="B12" s="57">
        <f>Analysis!B221</f>
        <v>-4155920.1100000814</v>
      </c>
      <c r="C12" s="57">
        <f>Analysis!C221</f>
        <v>-4155920.1100000814</v>
      </c>
      <c r="D12" s="57">
        <f>Analysis!D221</f>
        <v>-620240.38226508349</v>
      </c>
      <c r="E12" s="57">
        <f>Analysis!E221</f>
        <v>-6892400.1644300967</v>
      </c>
      <c r="F12" s="57">
        <f>Analysis!F221</f>
        <v>-1124746.9761600643</v>
      </c>
    </row>
    <row r="13" spans="1:6" x14ac:dyDescent="0.2">
      <c r="A13" s="55" t="s">
        <v>413</v>
      </c>
      <c r="B13" s="62">
        <f>Analysis!B222</f>
        <v>-6.9629528317998082E-2</v>
      </c>
      <c r="C13" s="62">
        <f>Analysis!C222</f>
        <v>-6.9629528317998082E-2</v>
      </c>
      <c r="D13" s="62">
        <f>Analysis!D222</f>
        <v>-1.0117026207578065E-2</v>
      </c>
      <c r="E13" s="62">
        <f>Analysis!E222</f>
        <v>-0.10882639242822469</v>
      </c>
      <c r="F13" s="62">
        <f>Analysis!F222</f>
        <v>-1.8694788874283642E-2</v>
      </c>
    </row>
    <row r="15" spans="1:6" x14ac:dyDescent="0.2">
      <c r="A15" s="45" t="s">
        <v>414</v>
      </c>
      <c r="B15" s="46"/>
      <c r="C15" s="46"/>
      <c r="D15" s="46"/>
      <c r="E15" s="46"/>
      <c r="F15" s="46"/>
    </row>
    <row r="16" spans="1:6" x14ac:dyDescent="0.2">
      <c r="A16" s="113" t="s">
        <v>415</v>
      </c>
      <c r="B16" s="62">
        <f>Analysis!B224</f>
        <v>0.05</v>
      </c>
    </row>
    <row r="17" spans="1:2" x14ac:dyDescent="0.2">
      <c r="A17" s="113" t="s">
        <v>416</v>
      </c>
      <c r="B17" s="62">
        <f>Analysis!B217</f>
        <v>0.15134048276663148</v>
      </c>
    </row>
    <row r="18" spans="1:2" x14ac:dyDescent="0.2">
      <c r="A18" s="113" t="s">
        <v>417</v>
      </c>
      <c r="B18" s="62">
        <f>Analysis!B225</f>
        <v>4.4472337767465397E-2</v>
      </c>
    </row>
    <row r="19" spans="1:2" x14ac:dyDescent="0.2">
      <c r="A19" s="113" t="s">
        <v>317</v>
      </c>
      <c r="B19" s="114">
        <f>Analysis!B226</f>
        <v>-0.10686814499916608</v>
      </c>
    </row>
    <row r="20" spans="1:2" x14ac:dyDescent="0.2">
      <c r="A20" s="113" t="s">
        <v>418</v>
      </c>
      <c r="B20" s="62">
        <f>1-Analysis!B216/(Analysis!B215*(1+Analysis!B211)*(1-B18))</f>
        <v>4.9999999999999933E-2</v>
      </c>
    </row>
    <row r="21" spans="1:2" x14ac:dyDescent="0.2">
      <c r="A21" s="113" t="s">
        <v>419</v>
      </c>
      <c r="B21" s="115">
        <f>ROUND(B20-B16,6)</f>
        <v>0</v>
      </c>
    </row>
  </sheetData>
  <conditionalFormatting sqref="B13:F13">
    <cfRule type="cellIs" dxfId="1" priority="2" operator="lessThan">
      <formula>0</formula>
    </cfRule>
    <cfRule type="cellIs" dxfId="0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E6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3" width="40" customWidth="1"/>
    <col min="4" max="4" width="100" customWidth="1"/>
    <col min="5" max="5" width="26" customWidth="1"/>
  </cols>
  <sheetData>
    <row r="1" spans="1:5" ht="20" x14ac:dyDescent="0.2">
      <c r="A1" s="15" t="s">
        <v>420</v>
      </c>
    </row>
    <row r="2" spans="1:5" x14ac:dyDescent="0.2">
      <c r="A2" s="16" t="s">
        <v>421</v>
      </c>
    </row>
    <row r="3" spans="1:5" x14ac:dyDescent="0.2">
      <c r="A3" s="17" t="s">
        <v>422</v>
      </c>
      <c r="B3" s="17" t="s">
        <v>423</v>
      </c>
      <c r="C3" s="17" t="s">
        <v>424</v>
      </c>
      <c r="D3" s="17" t="s">
        <v>425</v>
      </c>
      <c r="E3" s="17" t="s">
        <v>426</v>
      </c>
    </row>
    <row r="4" spans="1:5" x14ac:dyDescent="0.2">
      <c r="A4" s="116" t="s">
        <v>427</v>
      </c>
      <c r="B4" s="55" t="s">
        <v>428</v>
      </c>
      <c r="C4" s="55" t="s">
        <v>429</v>
      </c>
      <c r="D4" s="117" t="s">
        <v>430</v>
      </c>
      <c r="E4" s="57">
        <f>SUM('Raw Data'!$E$2:$E$1001)</f>
        <v>5019265.2300000023</v>
      </c>
    </row>
    <row r="5" spans="1:5" x14ac:dyDescent="0.2">
      <c r="A5" s="116" t="s">
        <v>427</v>
      </c>
      <c r="B5" s="55" t="s">
        <v>431</v>
      </c>
      <c r="C5" s="55" t="s">
        <v>432</v>
      </c>
      <c r="D5" s="117" t="s">
        <v>433</v>
      </c>
      <c r="E5" s="74">
        <f>AVERAGE('Raw Data'!$E$2:$E$1001)</f>
        <v>5019.2652300000027</v>
      </c>
    </row>
    <row r="6" spans="1:5" x14ac:dyDescent="0.2">
      <c r="A6" s="116" t="s">
        <v>427</v>
      </c>
      <c r="B6" s="55" t="s">
        <v>434</v>
      </c>
      <c r="C6" s="55" t="s">
        <v>435</v>
      </c>
      <c r="D6" s="117" t="s">
        <v>436</v>
      </c>
      <c r="E6" s="74">
        <f>MEDIAN('Raw Data'!$E$2:$E$1001)</f>
        <v>5019.3</v>
      </c>
    </row>
    <row r="7" spans="1:5" x14ac:dyDescent="0.2">
      <c r="A7" s="116" t="s">
        <v>427</v>
      </c>
      <c r="B7" s="55" t="s">
        <v>437</v>
      </c>
      <c r="C7" s="55" t="s">
        <v>438</v>
      </c>
      <c r="D7" s="117" t="s">
        <v>439</v>
      </c>
      <c r="E7" s="63" t="str">
        <f>TEXT(MIN('Raw Data'!$E$2:$E$1001),"$#,##0")&amp;" to "&amp;TEXT(MAX('Raw Data'!$E$2:$E$1001),"$#,##0")</f>
        <v>$100 to $9,989</v>
      </c>
    </row>
    <row r="8" spans="1:5" x14ac:dyDescent="0.2">
      <c r="A8" s="116" t="s">
        <v>427</v>
      </c>
      <c r="B8" s="55" t="s">
        <v>440</v>
      </c>
      <c r="C8" s="55" t="s">
        <v>441</v>
      </c>
      <c r="D8" s="117" t="s">
        <v>442</v>
      </c>
      <c r="E8" s="106">
        <f>COUNT('Raw Data'!$E$2:$E$1001)</f>
        <v>1000</v>
      </c>
    </row>
    <row r="9" spans="1:5" x14ac:dyDescent="0.2">
      <c r="A9" s="116" t="s">
        <v>427</v>
      </c>
      <c r="B9" s="55" t="s">
        <v>443</v>
      </c>
      <c r="C9" s="55" t="s">
        <v>444</v>
      </c>
      <c r="D9" s="117" t="s">
        <v>445</v>
      </c>
      <c r="E9" s="106">
        <f>COUNTA('Raw Data'!$C$2:$C$1001)</f>
        <v>1000</v>
      </c>
    </row>
    <row r="10" spans="1:5" x14ac:dyDescent="0.2">
      <c r="A10" s="116" t="s">
        <v>427</v>
      </c>
      <c r="B10" s="55" t="s">
        <v>446</v>
      </c>
      <c r="C10" s="55" t="s">
        <v>447</v>
      </c>
      <c r="D10" s="117" t="s">
        <v>448</v>
      </c>
      <c r="E10" s="106">
        <f>COUNTBLANK('Raw Data'!$E$2:$E$1001)</f>
        <v>0</v>
      </c>
    </row>
    <row r="11" spans="1:5" x14ac:dyDescent="0.2">
      <c r="A11" s="116" t="s">
        <v>427</v>
      </c>
      <c r="B11" s="55" t="s">
        <v>449</v>
      </c>
      <c r="C11" s="55" t="s">
        <v>450</v>
      </c>
      <c r="D11" s="117" t="s">
        <v>451</v>
      </c>
      <c r="E11" s="57">
        <f>ROUND(AVERAGE('Raw Data'!$E$2:$E$1001),-2)</f>
        <v>5000</v>
      </c>
    </row>
    <row r="12" spans="1:5" x14ac:dyDescent="0.2">
      <c r="A12" s="116" t="s">
        <v>427</v>
      </c>
      <c r="B12" s="55" t="s">
        <v>452</v>
      </c>
      <c r="C12" s="55" t="s">
        <v>453</v>
      </c>
      <c r="D12" s="117" t="s">
        <v>454</v>
      </c>
      <c r="E12" s="106">
        <f>_xlfn.MODE.SNGL('Raw Data'!$A$2:$A$1001)</f>
        <v>1090</v>
      </c>
    </row>
    <row r="13" spans="1:5" x14ac:dyDescent="0.2">
      <c r="A13" s="116" t="s">
        <v>427</v>
      </c>
      <c r="B13" s="55" t="s">
        <v>455</v>
      </c>
      <c r="C13" s="55" t="s">
        <v>456</v>
      </c>
      <c r="D13" s="117" t="s">
        <v>457</v>
      </c>
      <c r="E13" s="109">
        <f>SUM('Raw Data'!$F$2:$F$1001)/COUNT('Raw Data'!$F$2:$F$1001)</f>
        <v>25.355</v>
      </c>
    </row>
    <row r="14" spans="1:5" x14ac:dyDescent="0.2">
      <c r="A14" s="118" t="s">
        <v>458</v>
      </c>
      <c r="B14" s="55" t="s">
        <v>459</v>
      </c>
      <c r="C14" s="55" t="s">
        <v>460</v>
      </c>
      <c r="D14" s="117" t="s">
        <v>461</v>
      </c>
      <c r="E14" s="57">
        <f>SUMIF('Raw Data'!$D$2:$D$1001,"North",'Raw Data'!$E$2:$E$1001)</f>
        <v>1369612.5100000009</v>
      </c>
    </row>
    <row r="15" spans="1:5" x14ac:dyDescent="0.2">
      <c r="A15" s="118" t="s">
        <v>458</v>
      </c>
      <c r="B15" s="55" t="s">
        <v>462</v>
      </c>
      <c r="C15" s="55" t="s">
        <v>463</v>
      </c>
      <c r="D15" s="117" t="s">
        <v>464</v>
      </c>
      <c r="E15" s="106">
        <f>COUNTIF('Raw Data'!$M$2:$M$1001,"Online")</f>
        <v>488</v>
      </c>
    </row>
    <row r="16" spans="1:5" x14ac:dyDescent="0.2">
      <c r="A16" s="118" t="s">
        <v>458</v>
      </c>
      <c r="B16" s="55" t="s">
        <v>465</v>
      </c>
      <c r="C16" s="55" t="s">
        <v>466</v>
      </c>
      <c r="D16" s="117" t="s">
        <v>467</v>
      </c>
      <c r="E16" s="74">
        <f>AVERAGEIF('Raw Data'!$J$2:$J$1001,"Returning",'Raw Data'!$E$2:$E$1001)</f>
        <v>5066.5462298387138</v>
      </c>
    </row>
    <row r="17" spans="1:5" x14ac:dyDescent="0.2">
      <c r="A17" s="118" t="s">
        <v>458</v>
      </c>
      <c r="B17" s="55" t="s">
        <v>468</v>
      </c>
      <c r="C17" s="55" t="s">
        <v>469</v>
      </c>
      <c r="D17" s="117" t="s">
        <v>470</v>
      </c>
      <c r="E17" s="57">
        <f>SUMIFS('Raw Data'!$E$2:$E$1001,'Raw Data'!$D$2:$D$1001,"West",'Raw Data'!$G$2:$G$1001,"Electronics")</f>
        <v>304067.97000000003</v>
      </c>
    </row>
    <row r="18" spans="1:5" x14ac:dyDescent="0.2">
      <c r="A18" s="118" t="s">
        <v>458</v>
      </c>
      <c r="B18" s="55" t="s">
        <v>471</v>
      </c>
      <c r="C18" s="55" t="s">
        <v>472</v>
      </c>
      <c r="D18" s="117" t="s">
        <v>473</v>
      </c>
      <c r="E18" s="106">
        <f>COUNTIFS('Raw Data'!$B$2:$B$1001,"&gt;="&amp;DATE(2023,6,1),'Raw Data'!$B$2:$B$1001,"&lt;"&amp;DATE(2023,7,1))</f>
        <v>92</v>
      </c>
    </row>
    <row r="19" spans="1:5" x14ac:dyDescent="0.2">
      <c r="A19" s="118" t="s">
        <v>458</v>
      </c>
      <c r="B19" s="55" t="s">
        <v>474</v>
      </c>
      <c r="C19" s="55" t="s">
        <v>475</v>
      </c>
      <c r="D19" s="117" t="s">
        <v>476</v>
      </c>
      <c r="E19" s="58">
        <f>AVERAGEIFS('Raw Data'!$K$2:$K$1001,'Raw Data'!$M$2:$M$1001,"Retail",'Raw Data'!$C$2:$C$1001,"Alice")</f>
        <v>0.14468750000000002</v>
      </c>
    </row>
    <row r="20" spans="1:5" x14ac:dyDescent="0.2">
      <c r="A20" s="118" t="s">
        <v>458</v>
      </c>
      <c r="B20" s="55" t="s">
        <v>477</v>
      </c>
      <c r="C20" s="55" t="s">
        <v>478</v>
      </c>
      <c r="D20" s="117" t="s">
        <v>479</v>
      </c>
      <c r="E20" s="74">
        <f>_xlfn.MAXIFS('Raw Data'!$E$2:$E$1001,'Raw Data'!$G$2:$G$1001,"Food")</f>
        <v>9989.0400000000009</v>
      </c>
    </row>
    <row r="21" spans="1:5" x14ac:dyDescent="0.2">
      <c r="A21" s="118" t="s">
        <v>458</v>
      </c>
      <c r="B21" s="55" t="s">
        <v>480</v>
      </c>
      <c r="C21" s="55" t="s">
        <v>481</v>
      </c>
      <c r="D21" s="117" t="s">
        <v>482</v>
      </c>
      <c r="E21" s="74">
        <f>_xlfn.MINIFS('Raw Data'!$E$2:$E$1001,'Raw Data'!$G$2:$G$1001,"Furniture")</f>
        <v>113.4</v>
      </c>
    </row>
    <row r="22" spans="1:5" x14ac:dyDescent="0.2">
      <c r="A22" s="118" t="s">
        <v>458</v>
      </c>
      <c r="B22" s="55" t="s">
        <v>483</v>
      </c>
      <c r="C22" s="55" t="s">
        <v>484</v>
      </c>
      <c r="D22" s="117" t="s">
        <v>485</v>
      </c>
      <c r="E22" s="63" t="str">
        <f>IF(SUM('Raw Data'!$E$2:$E$1001)&gt;5000000,"Above $5M","Below $5M")</f>
        <v>Above $5M</v>
      </c>
    </row>
    <row r="23" spans="1:5" x14ac:dyDescent="0.2">
      <c r="A23" s="118" t="s">
        <v>458</v>
      </c>
      <c r="B23" s="55" t="s">
        <v>486</v>
      </c>
      <c r="C23" s="55" t="s">
        <v>487</v>
      </c>
      <c r="D23" s="117" t="s">
        <v>488</v>
      </c>
      <c r="E23" s="63" t="str">
        <f>_xlfn.IFS(AVERAGE('Raw Data'!$K$2:$K$1001)&lt;0.1,"Low",AVERAGE('Raw Data'!$K$2:$K$1001)&lt;0.2,"Medium",TRUE(),"High")</f>
        <v>Medium</v>
      </c>
    </row>
    <row r="24" spans="1:5" x14ac:dyDescent="0.2">
      <c r="A24" s="118" t="s">
        <v>458</v>
      </c>
      <c r="B24" s="55" t="s">
        <v>489</v>
      </c>
      <c r="C24" s="55" t="s">
        <v>490</v>
      </c>
      <c r="D24" s="117" t="s">
        <v>491</v>
      </c>
      <c r="E24" s="63" t="str">
        <f>IF(AND(MIN('Raw Data'!$K$2:$K$1001)=0,MAX('Raw Data'!$K$2:$K$1001)&gt;=0.3),"Full range 0-30%","Narrower")</f>
        <v>Full range 0-30%</v>
      </c>
    </row>
    <row r="25" spans="1:5" x14ac:dyDescent="0.2">
      <c r="A25" s="118" t="s">
        <v>458</v>
      </c>
      <c r="B25" s="55" t="s">
        <v>492</v>
      </c>
      <c r="C25" s="55" t="s">
        <v>493</v>
      </c>
      <c r="D25" s="117" t="s">
        <v>494</v>
      </c>
      <c r="E25" s="106">
        <f>RANK('Raw Data'!$E$2,'Raw Data'!$E$2:$E$1001,0)</f>
        <v>496</v>
      </c>
    </row>
    <row r="26" spans="1:5" x14ac:dyDescent="0.2">
      <c r="A26" s="118" t="s">
        <v>458</v>
      </c>
      <c r="B26" s="55" t="s">
        <v>495</v>
      </c>
      <c r="C26" s="55" t="s">
        <v>496</v>
      </c>
      <c r="D26" s="117" t="s">
        <v>497</v>
      </c>
      <c r="E26" s="74">
        <f>LARGE('Raw Data'!$E$2:$E$1001,3)</f>
        <v>9972.66</v>
      </c>
    </row>
    <row r="27" spans="1:5" x14ac:dyDescent="0.2">
      <c r="A27" s="118" t="s">
        <v>458</v>
      </c>
      <c r="B27" s="55" t="s">
        <v>498</v>
      </c>
      <c r="C27" s="55" t="s">
        <v>499</v>
      </c>
      <c r="D27" s="117" t="s">
        <v>500</v>
      </c>
      <c r="E27" s="74">
        <f>SMALL('Raw Data'!$E$2:$E$1001,2)</f>
        <v>106.47</v>
      </c>
    </row>
    <row r="28" spans="1:5" x14ac:dyDescent="0.2">
      <c r="A28" s="118" t="s">
        <v>458</v>
      </c>
      <c r="B28" s="55" t="s">
        <v>501</v>
      </c>
      <c r="C28" s="55" t="s">
        <v>502</v>
      </c>
      <c r="D28" s="117" t="s">
        <v>503</v>
      </c>
      <c r="E28" s="57">
        <f>PERCENTILE('Raw Data'!$E$2:$E$1001,0.9)</f>
        <v>8912.473</v>
      </c>
    </row>
    <row r="29" spans="1:5" x14ac:dyDescent="0.2">
      <c r="A29" s="118" t="s">
        <v>458</v>
      </c>
      <c r="B29" s="55" t="s">
        <v>504</v>
      </c>
      <c r="C29" s="55" t="s">
        <v>505</v>
      </c>
      <c r="D29" s="117" t="s">
        <v>506</v>
      </c>
      <c r="E29" s="57">
        <f>QUARTILE('Raw Data'!$E$2:$E$1001,3)</f>
        <v>7507.4450000000006</v>
      </c>
    </row>
    <row r="30" spans="1:5" x14ac:dyDescent="0.2">
      <c r="A30" s="118" t="s">
        <v>458</v>
      </c>
      <c r="B30" s="55" t="s">
        <v>507</v>
      </c>
      <c r="C30" s="55" t="s">
        <v>508</v>
      </c>
      <c r="D30" s="117" t="s">
        <v>509</v>
      </c>
      <c r="E30" s="57">
        <f>_xlfn.STDEV.S('Raw Data'!$E$2:$E$1001)</f>
        <v>2846.7901256682267</v>
      </c>
    </row>
    <row r="31" spans="1:5" x14ac:dyDescent="0.2">
      <c r="A31" s="118" t="s">
        <v>458</v>
      </c>
      <c r="B31" s="55" t="s">
        <v>510</v>
      </c>
      <c r="C31" s="55" t="s">
        <v>511</v>
      </c>
      <c r="D31" s="117" t="s">
        <v>512</v>
      </c>
      <c r="E31" s="119">
        <f>CORREL('Raw Data'!$K$2:$K$1001,'Raw Data'!$E$2:$E$1001)</f>
        <v>2.3152703341197605E-2</v>
      </c>
    </row>
    <row r="32" spans="1:5" x14ac:dyDescent="0.2">
      <c r="A32" s="118" t="s">
        <v>458</v>
      </c>
      <c r="B32" s="55" t="s">
        <v>513</v>
      </c>
      <c r="C32" s="55" t="s">
        <v>514</v>
      </c>
      <c r="D32" s="117" t="s">
        <v>515</v>
      </c>
      <c r="E32" s="57">
        <f>SUBTOTAL(109,'Raw Data'!$E$2:$E$1001)</f>
        <v>5019265.2300000023</v>
      </c>
    </row>
    <row r="33" spans="1:5" x14ac:dyDescent="0.2">
      <c r="A33" s="118" t="s">
        <v>458</v>
      </c>
      <c r="B33" s="55" t="s">
        <v>516</v>
      </c>
      <c r="C33" s="55" t="s">
        <v>517</v>
      </c>
      <c r="D33" s="117" t="s">
        <v>518</v>
      </c>
      <c r="E33" s="106">
        <f>COUNTIF('Raw Data'!$N$2:$N$1001,"*-Alice")</f>
        <v>192</v>
      </c>
    </row>
    <row r="34" spans="1:5" x14ac:dyDescent="0.2">
      <c r="A34" s="120" t="s">
        <v>519</v>
      </c>
      <c r="B34" s="55" t="s">
        <v>520</v>
      </c>
      <c r="C34" s="55" t="s">
        <v>521</v>
      </c>
      <c r="D34" s="117" t="s">
        <v>522</v>
      </c>
      <c r="E34" s="63" t="str">
        <f>TEXT(MAX('Raw Data'!$B$2:$B$1001),"dddd, dd mmmm yyyy")</f>
        <v>Monday, 01 January 2024</v>
      </c>
    </row>
    <row r="35" spans="1:5" x14ac:dyDescent="0.2">
      <c r="A35" s="120" t="s">
        <v>519</v>
      </c>
      <c r="B35" s="55" t="s">
        <v>523</v>
      </c>
      <c r="C35" s="55" t="s">
        <v>524</v>
      </c>
      <c r="D35" s="117" t="s">
        <v>525</v>
      </c>
      <c r="E35" s="63" t="str">
        <f>LEFT('Raw Data'!$N$2,FIND("-",'Raw Data'!$N$2)-1)</f>
        <v>North</v>
      </c>
    </row>
    <row r="36" spans="1:5" x14ac:dyDescent="0.2">
      <c r="A36" s="120" t="s">
        <v>519</v>
      </c>
      <c r="B36" s="55" t="s">
        <v>526</v>
      </c>
      <c r="C36" s="55" t="s">
        <v>527</v>
      </c>
      <c r="D36" s="117" t="s">
        <v>528</v>
      </c>
      <c r="E36" s="63" t="str">
        <f>MID('Raw Data'!$N$2,FIND("-",'Raw Data'!$N$2)+1,20)</f>
        <v>Bob</v>
      </c>
    </row>
    <row r="37" spans="1:5" x14ac:dyDescent="0.2">
      <c r="A37" s="120" t="s">
        <v>519</v>
      </c>
      <c r="B37" s="55" t="s">
        <v>529</v>
      </c>
      <c r="C37" s="55" t="s">
        <v>530</v>
      </c>
      <c r="D37" s="117" t="s">
        <v>531</v>
      </c>
      <c r="E37" s="63" t="str">
        <f>UPPER(LEFT('Raw Data'!$C$2,3))</f>
        <v>BOB</v>
      </c>
    </row>
    <row r="38" spans="1:5" x14ac:dyDescent="0.2">
      <c r="A38" s="120" t="s">
        <v>519</v>
      </c>
      <c r="B38" s="55" t="s">
        <v>532</v>
      </c>
      <c r="C38" s="55" t="s">
        <v>533</v>
      </c>
      <c r="D38" s="117" t="s">
        <v>534</v>
      </c>
      <c r="E38" s="106">
        <f>LEN('Raw Data'!$N$2)</f>
        <v>9</v>
      </c>
    </row>
    <row r="39" spans="1:5" x14ac:dyDescent="0.2">
      <c r="A39" s="120" t="s">
        <v>519</v>
      </c>
      <c r="B39" s="55" t="s">
        <v>535</v>
      </c>
      <c r="C39" s="55" t="s">
        <v>536</v>
      </c>
      <c r="D39" s="117" t="s">
        <v>537</v>
      </c>
      <c r="E39" s="63" t="str">
        <f>SUBSTITUTE('Raw Data'!$N$2,"-"," / ")</f>
        <v>North / Bob</v>
      </c>
    </row>
    <row r="40" spans="1:5" x14ac:dyDescent="0.2">
      <c r="A40" s="120" t="s">
        <v>519</v>
      </c>
      <c r="B40" s="55" t="s">
        <v>538</v>
      </c>
      <c r="C40" s="55" t="s">
        <v>539</v>
      </c>
      <c r="D40" s="117" t="s">
        <v>540</v>
      </c>
      <c r="E40" s="63" t="str">
        <f>'Raw Data'!$C$2&amp;" sold "&amp;'Raw Data'!$G$2&amp;" in the "&amp;'Raw Data'!$D$2</f>
        <v>Bob sold Furniture in the North</v>
      </c>
    </row>
    <row r="41" spans="1:5" x14ac:dyDescent="0.2">
      <c r="A41" s="120" t="s">
        <v>519</v>
      </c>
      <c r="B41" s="55" t="s">
        <v>541</v>
      </c>
      <c r="C41" s="55" t="s">
        <v>542</v>
      </c>
      <c r="D41" s="117" t="s">
        <v>543</v>
      </c>
      <c r="E41" s="63" t="str">
        <f>_xlfn.TEXTJOIN(", ",TRUE(),Analysis!$A$76:$A$80)</f>
        <v>Alice, Bob, Charlie, David, Eve</v>
      </c>
    </row>
    <row r="42" spans="1:5" x14ac:dyDescent="0.2">
      <c r="A42" s="120" t="s">
        <v>519</v>
      </c>
      <c r="B42" s="55" t="s">
        <v>544</v>
      </c>
      <c r="C42" s="55" t="s">
        <v>545</v>
      </c>
      <c r="D42" s="117" t="s">
        <v>546</v>
      </c>
      <c r="E42" s="65">
        <f>EOMONTH(MAX('Raw Data'!$B$2:$B$1001),0)</f>
        <v>45322</v>
      </c>
    </row>
    <row r="43" spans="1:5" x14ac:dyDescent="0.2">
      <c r="A43" s="120" t="s">
        <v>519</v>
      </c>
      <c r="B43" s="55" t="s">
        <v>547</v>
      </c>
      <c r="C43" s="55" t="s">
        <v>548</v>
      </c>
      <c r="D43" s="117" t="s">
        <v>549</v>
      </c>
      <c r="E43" s="65">
        <f>EDATE(MIN('Raw Data'!$B$2:$B$1001),6)</f>
        <v>45108</v>
      </c>
    </row>
    <row r="44" spans="1:5" x14ac:dyDescent="0.2">
      <c r="A44" s="120" t="s">
        <v>519</v>
      </c>
      <c r="B44" s="55" t="s">
        <v>550</v>
      </c>
      <c r="C44" s="55" t="s">
        <v>551</v>
      </c>
      <c r="D44" s="117" t="s">
        <v>552</v>
      </c>
      <c r="E44" s="106">
        <f>DATEDIF(MIN('Raw Data'!$B$2:$B$1001),MAX('Raw Data'!$B$2:$B$1001),"M")</f>
        <v>12</v>
      </c>
    </row>
    <row r="45" spans="1:5" x14ac:dyDescent="0.2">
      <c r="A45" s="120" t="s">
        <v>519</v>
      </c>
      <c r="B45" s="55" t="s">
        <v>553</v>
      </c>
      <c r="C45" s="55" t="s">
        <v>554</v>
      </c>
      <c r="D45" s="117" t="s">
        <v>555</v>
      </c>
      <c r="E45" s="106">
        <f>NETWORKDAYS(MIN('Raw Data'!$B$2:$B$1001),MAX('Raw Data'!$B$2:$B$1001))</f>
        <v>261</v>
      </c>
    </row>
    <row r="46" spans="1:5" x14ac:dyDescent="0.2">
      <c r="A46" s="120" t="s">
        <v>519</v>
      </c>
      <c r="B46" s="55" t="s">
        <v>556</v>
      </c>
      <c r="C46" s="55" t="s">
        <v>557</v>
      </c>
      <c r="D46" s="117" t="s">
        <v>558</v>
      </c>
      <c r="E46" s="106">
        <f>WEEKNUM(MAX('Raw Data'!$B$2:$B$1001),2)</f>
        <v>1</v>
      </c>
    </row>
    <row r="47" spans="1:5" x14ac:dyDescent="0.2">
      <c r="A47" s="120" t="s">
        <v>519</v>
      </c>
      <c r="B47" s="55" t="s">
        <v>559</v>
      </c>
      <c r="C47" s="55" t="s">
        <v>560</v>
      </c>
      <c r="D47" s="117" t="s">
        <v>561</v>
      </c>
      <c r="E47" s="56">
        <f ca="1">TODAY()-MAX('Raw Data'!$B$2:$B$1001)</f>
        <v>1027</v>
      </c>
    </row>
    <row r="48" spans="1:5" x14ac:dyDescent="0.2">
      <c r="A48" s="121" t="s">
        <v>562</v>
      </c>
      <c r="B48" s="55" t="s">
        <v>563</v>
      </c>
      <c r="C48" s="55" t="s">
        <v>564</v>
      </c>
      <c r="D48" s="117" t="s">
        <v>565</v>
      </c>
      <c r="E48" s="58">
        <f>SUMPRODUCT('Raw Data'!$F$2:$F$1001,'Raw Data'!$I$2:$I$1001,'Raw Data'!$K$2:$K$1001)/SUMPRODUCT('Raw Data'!$F$2:$F$1001,'Raw Data'!$I$2:$I$1001)</f>
        <v>0.1513404862686967</v>
      </c>
    </row>
    <row r="49" spans="1:5" x14ac:dyDescent="0.2">
      <c r="A49" s="121" t="s">
        <v>562</v>
      </c>
      <c r="B49" s="55" t="s">
        <v>566</v>
      </c>
      <c r="C49" s="55" t="s">
        <v>567</v>
      </c>
      <c r="D49" s="117" t="s">
        <v>568</v>
      </c>
      <c r="E49" s="57">
        <f>SUMPRODUCT(('Raw Data'!$D$2:$D$1001="North")*('Raw Data'!$G$2:$G$1001="Food")*'Raw Data'!$E$2:$E$1001)</f>
        <v>258985.65</v>
      </c>
    </row>
    <row r="50" spans="1:5" x14ac:dyDescent="0.2">
      <c r="A50" s="121" t="s">
        <v>562</v>
      </c>
      <c r="B50" s="55" t="s">
        <v>569</v>
      </c>
      <c r="C50" s="55" t="s">
        <v>175</v>
      </c>
      <c r="D50" s="117" t="s">
        <v>570</v>
      </c>
      <c r="E50" s="106">
        <f>SUMPRODUCT(1/COUNTIF('Raw Data'!$B$2:$B$1001,'Raw Data'!$B$2:$B$1001))</f>
        <v>339.99999999999892</v>
      </c>
    </row>
    <row r="51" spans="1:5" x14ac:dyDescent="0.2">
      <c r="A51" s="121" t="s">
        <v>562</v>
      </c>
      <c r="B51" s="55" t="s">
        <v>571</v>
      </c>
      <c r="C51" s="55" t="s">
        <v>572</v>
      </c>
      <c r="D51" s="117" t="s">
        <v>573</v>
      </c>
      <c r="E51" s="63" t="str">
        <f>INDEX(Analysis!$A$76:$A$80,MATCH(MAX(Analysis!$C$76:$C$80),Analysis!$C$76:$C$80,0))</f>
        <v>David</v>
      </c>
    </row>
    <row r="52" spans="1:5" x14ac:dyDescent="0.2">
      <c r="A52" s="121" t="s">
        <v>562</v>
      </c>
      <c r="B52" s="55" t="s">
        <v>574</v>
      </c>
      <c r="C52" s="55" t="s">
        <v>575</v>
      </c>
      <c r="D52" s="117" t="s">
        <v>576</v>
      </c>
      <c r="E52" s="57">
        <f>INDEX(Analysis!$B$154:$F$157,MATCH("North",Analysis!$A$154:$A$157,0),MATCH("Bob",Analysis!$B$153:$F$153,0))</f>
        <v>233464.80999999994</v>
      </c>
    </row>
    <row r="53" spans="1:5" x14ac:dyDescent="0.2">
      <c r="A53" s="121" t="s">
        <v>562</v>
      </c>
      <c r="B53" s="55" t="s">
        <v>577</v>
      </c>
      <c r="C53" s="55" t="s">
        <v>578</v>
      </c>
      <c r="D53" s="117" t="s">
        <v>579</v>
      </c>
      <c r="E53" s="63" t="str">
        <f>IFERROR(MATCH("Zoe",Analysis!$A$76:$A$80,0),"Rep not found")</f>
        <v>Rep not found</v>
      </c>
    </row>
    <row r="54" spans="1:5" x14ac:dyDescent="0.2">
      <c r="A54" s="121" t="s">
        <v>562</v>
      </c>
      <c r="B54" s="55" t="s">
        <v>580</v>
      </c>
      <c r="C54" s="55" t="s">
        <v>581</v>
      </c>
      <c r="D54" s="117" t="s">
        <v>582</v>
      </c>
      <c r="E54" s="63" t="str">
        <f>CHOOSE(WEEKDAY(MAX('Raw Data'!$B$2:$B$1001),2),"Mon","Tue","Wed","Thu","Fri","Sat","Sun")</f>
        <v>Mon</v>
      </c>
    </row>
    <row r="55" spans="1:5" x14ac:dyDescent="0.2">
      <c r="A55" s="121" t="s">
        <v>562</v>
      </c>
      <c r="B55" s="55" t="s">
        <v>583</v>
      </c>
      <c r="C55" s="55" t="s">
        <v>584</v>
      </c>
      <c r="D55" s="117" t="s">
        <v>585</v>
      </c>
      <c r="E55" s="63" t="str">
        <f>LOOKUP(AVERAGE('Raw Data'!$E$2:$E$1001),{0,2500,5000,7500},{"Low","Mid","High","Top"})</f>
        <v>High</v>
      </c>
    </row>
    <row r="56" spans="1:5" x14ac:dyDescent="0.2">
      <c r="A56" s="121" t="s">
        <v>562</v>
      </c>
      <c r="B56" s="55" t="s">
        <v>586</v>
      </c>
      <c r="C56" s="55" t="s">
        <v>587</v>
      </c>
      <c r="D56" s="117" t="s">
        <v>588</v>
      </c>
      <c r="E56" s="119">
        <f>INDEX(LINEST('Raw Data'!$S$2:$S$1001,'Raw Data'!$K$2:$K$1001),1,1)</f>
        <v>-1.142897302379146</v>
      </c>
    </row>
    <row r="57" spans="1:5" x14ac:dyDescent="0.2">
      <c r="A57" s="121" t="s">
        <v>562</v>
      </c>
      <c r="B57" s="55" t="s">
        <v>589</v>
      </c>
      <c r="C57" s="55" t="s">
        <v>590</v>
      </c>
      <c r="D57" s="117" t="s">
        <v>591</v>
      </c>
      <c r="E57" s="57">
        <f>FORECAST(13,Analysis!$E$167:$E$178,Analysis!$C$167:$C$178)</f>
        <v>419743.30772727268</v>
      </c>
    </row>
    <row r="58" spans="1:5" x14ac:dyDescent="0.2">
      <c r="A58" s="121" t="s">
        <v>562</v>
      </c>
      <c r="B58" s="55" t="s">
        <v>592</v>
      </c>
      <c r="C58" s="55" t="s">
        <v>593</v>
      </c>
      <c r="D58" s="117" t="s">
        <v>594</v>
      </c>
      <c r="E58" s="106">
        <f>SUMPRODUCT(--(ABS('Raw Data'!$E$2:$E$1001-AVERAGE('Raw Data'!$E$2:$E$1001))/_xlfn.STDEV.S('Raw Data'!$E$2:$E$1001)&gt;2))</f>
        <v>0</v>
      </c>
    </row>
    <row r="59" spans="1:5" x14ac:dyDescent="0.2">
      <c r="A59" s="122" t="s">
        <v>595</v>
      </c>
      <c r="B59" s="55" t="s">
        <v>596</v>
      </c>
      <c r="C59" s="55" t="s">
        <v>597</v>
      </c>
      <c r="D59" s="117" t="s">
        <v>598</v>
      </c>
      <c r="E59" s="55" t="s">
        <v>599</v>
      </c>
    </row>
    <row r="60" spans="1:5" x14ac:dyDescent="0.2">
      <c r="A60" s="122" t="s">
        <v>595</v>
      </c>
      <c r="B60" s="55" t="s">
        <v>600</v>
      </c>
      <c r="C60" s="55" t="s">
        <v>601</v>
      </c>
      <c r="D60" s="117" t="s">
        <v>602</v>
      </c>
      <c r="E60" s="55" t="s">
        <v>599</v>
      </c>
    </row>
    <row r="61" spans="1:5" x14ac:dyDescent="0.2">
      <c r="A61" s="122" t="s">
        <v>595</v>
      </c>
      <c r="B61" s="55" t="s">
        <v>603</v>
      </c>
      <c r="C61" s="55" t="s">
        <v>604</v>
      </c>
      <c r="D61" s="117" t="s">
        <v>605</v>
      </c>
      <c r="E61" s="55" t="s">
        <v>599</v>
      </c>
    </row>
    <row r="62" spans="1:5" x14ac:dyDescent="0.2">
      <c r="A62" s="122" t="s">
        <v>595</v>
      </c>
      <c r="B62" s="55" t="s">
        <v>606</v>
      </c>
      <c r="C62" s="55" t="s">
        <v>607</v>
      </c>
      <c r="D62" s="117" t="s">
        <v>608</v>
      </c>
      <c r="E62" s="55" t="s">
        <v>599</v>
      </c>
    </row>
    <row r="63" spans="1:5" x14ac:dyDescent="0.2">
      <c r="A63" s="122" t="s">
        <v>595</v>
      </c>
      <c r="B63" s="55" t="s">
        <v>609</v>
      </c>
      <c r="C63" s="55" t="s">
        <v>610</v>
      </c>
      <c r="D63" s="117" t="s">
        <v>611</v>
      </c>
      <c r="E63" s="55" t="s">
        <v>599</v>
      </c>
    </row>
    <row r="64" spans="1:5" x14ac:dyDescent="0.2">
      <c r="A64" s="122" t="s">
        <v>595</v>
      </c>
      <c r="B64" s="55" t="s">
        <v>612</v>
      </c>
      <c r="C64" s="55" t="s">
        <v>613</v>
      </c>
      <c r="D64" s="117" t="s">
        <v>614</v>
      </c>
      <c r="E64" s="55" t="s">
        <v>599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DC3E6"/>
  </sheetPr>
  <dimension ref="A1:Q38"/>
  <sheetViews>
    <sheetView showGridLines="0" topLeftCell="A49" zoomScaleNormal="100" workbookViewId="0"/>
  </sheetViews>
  <sheetFormatPr baseColWidth="10" defaultColWidth="8.6640625" defaultRowHeight="15" x14ac:dyDescent="0.2"/>
  <sheetData>
    <row r="1" spans="1:17" ht="20" x14ac:dyDescent="0.2">
      <c r="A1" s="15" t="s">
        <v>615</v>
      </c>
    </row>
    <row r="2" spans="1:17" x14ac:dyDescent="0.2">
      <c r="A2" s="16" t="s">
        <v>616</v>
      </c>
    </row>
    <row r="4" spans="1:17" x14ac:dyDescent="0.2">
      <c r="A4" s="135" t="s">
        <v>21</v>
      </c>
      <c r="B4" s="135"/>
      <c r="C4" s="135"/>
      <c r="D4" s="135"/>
      <c r="E4" s="135"/>
      <c r="F4" s="135"/>
      <c r="G4" s="135"/>
      <c r="H4" s="135"/>
      <c r="J4" s="135" t="s">
        <v>617</v>
      </c>
      <c r="K4" s="135"/>
      <c r="L4" s="135"/>
      <c r="M4" s="135"/>
      <c r="N4" s="135"/>
      <c r="O4" s="135"/>
      <c r="P4" s="135"/>
      <c r="Q4" s="135"/>
    </row>
    <row r="21" spans="1:17" x14ac:dyDescent="0.2">
      <c r="A21" s="135" t="s">
        <v>618</v>
      </c>
      <c r="B21" s="135"/>
      <c r="C21" s="135"/>
      <c r="D21" s="135"/>
      <c r="E21" s="135"/>
      <c r="F21" s="135"/>
      <c r="G21" s="135"/>
      <c r="H21" s="135"/>
      <c r="J21" s="135" t="s">
        <v>23</v>
      </c>
      <c r="K21" s="135"/>
      <c r="L21" s="135"/>
      <c r="M21" s="135"/>
      <c r="N21" s="135"/>
      <c r="O21" s="135"/>
      <c r="P21" s="135"/>
      <c r="Q21" s="135"/>
    </row>
    <row r="38" spans="1:17" x14ac:dyDescent="0.2">
      <c r="A38" s="135" t="s">
        <v>619</v>
      </c>
      <c r="B38" s="135"/>
      <c r="C38" s="135"/>
      <c r="D38" s="135"/>
      <c r="E38" s="135"/>
      <c r="F38" s="135"/>
      <c r="G38" s="135"/>
      <c r="H38" s="135"/>
      <c r="J38" s="135" t="s">
        <v>24</v>
      </c>
      <c r="K38" s="135"/>
      <c r="L38" s="135"/>
      <c r="M38" s="135"/>
      <c r="N38" s="135"/>
      <c r="O38" s="135"/>
      <c r="P38" s="135"/>
      <c r="Q38" s="135"/>
    </row>
  </sheetData>
  <mergeCells count="6">
    <mergeCell ref="A4:H4"/>
    <mergeCell ref="J4:Q4"/>
    <mergeCell ref="A21:H21"/>
    <mergeCell ref="J21:Q21"/>
    <mergeCell ref="A38:H38"/>
    <mergeCell ref="J38:Q3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F7F7F"/>
  </sheetPr>
  <dimension ref="A1:D72"/>
  <sheetViews>
    <sheetView tabSelected="1" zoomScaleNormal="100" workbookViewId="0">
      <selection activeCell="E1" sqref="E1:H1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3" width="14" customWidth="1"/>
    <col min="4" max="4" width="12" customWidth="1"/>
  </cols>
  <sheetData>
    <row r="1" spans="1:4" x14ac:dyDescent="0.2">
      <c r="A1" s="17" t="s">
        <v>620</v>
      </c>
      <c r="B1" s="17" t="s">
        <v>621</v>
      </c>
      <c r="C1" s="17" t="s">
        <v>622</v>
      </c>
      <c r="D1" s="17" t="s">
        <v>623</v>
      </c>
    </row>
    <row r="2" spans="1:4" x14ac:dyDescent="0.2">
      <c r="A2" s="123" t="s">
        <v>15</v>
      </c>
      <c r="B2" s="123" t="s">
        <v>15</v>
      </c>
      <c r="C2" s="123" t="s">
        <v>15</v>
      </c>
      <c r="D2" s="123" t="s">
        <v>15</v>
      </c>
    </row>
    <row r="3" spans="1:4" x14ac:dyDescent="0.2">
      <c r="A3" s="123" t="s">
        <v>59</v>
      </c>
      <c r="B3" s="123" t="s">
        <v>60</v>
      </c>
      <c r="C3" s="123" t="s">
        <v>61</v>
      </c>
      <c r="D3" s="123" t="s">
        <v>138</v>
      </c>
    </row>
    <row r="4" spans="1:4" x14ac:dyDescent="0.2">
      <c r="A4" s="123" t="s">
        <v>64</v>
      </c>
      <c r="B4" s="123" t="s">
        <v>65</v>
      </c>
      <c r="C4" s="123" t="s">
        <v>66</v>
      </c>
      <c r="D4" s="123" t="s">
        <v>140</v>
      </c>
    </row>
    <row r="5" spans="1:4" x14ac:dyDescent="0.2">
      <c r="A5" s="123" t="s">
        <v>69</v>
      </c>
      <c r="B5" s="123" t="s">
        <v>70</v>
      </c>
      <c r="C5" s="123" t="s">
        <v>71</v>
      </c>
    </row>
    <row r="6" spans="1:4" x14ac:dyDescent="0.2">
      <c r="A6" s="123" t="s">
        <v>74</v>
      </c>
      <c r="B6" s="123" t="s">
        <v>75</v>
      </c>
      <c r="C6" s="123" t="s">
        <v>76</v>
      </c>
    </row>
    <row r="7" spans="1:4" x14ac:dyDescent="0.2">
      <c r="C7" s="123" t="s">
        <v>79</v>
      </c>
    </row>
    <row r="8" spans="1:4" x14ac:dyDescent="0.2">
      <c r="A8" s="19" t="s">
        <v>624</v>
      </c>
    </row>
    <row r="9" spans="1:4" x14ac:dyDescent="0.2">
      <c r="A9" s="123" t="s">
        <v>53</v>
      </c>
      <c r="B9" s="123" t="str">
        <f>IF(Dashboard!$B$11="All","*",Dashboard!$B$11)</f>
        <v>*</v>
      </c>
    </row>
    <row r="10" spans="1:4" x14ac:dyDescent="0.2">
      <c r="A10" s="123" t="s">
        <v>213</v>
      </c>
      <c r="B10" s="123" t="str">
        <f>IF(Dashboard!$E$11="All","*",Dashboard!$E$11)</f>
        <v>*</v>
      </c>
    </row>
    <row r="11" spans="1:4" x14ac:dyDescent="0.2">
      <c r="A11" s="123" t="s">
        <v>625</v>
      </c>
      <c r="B11" s="123" t="str">
        <f>IF(Dashboard!$H$11="All","*",Dashboard!$H$11)</f>
        <v>*</v>
      </c>
    </row>
    <row r="12" spans="1:4" x14ac:dyDescent="0.2">
      <c r="A12" s="123" t="s">
        <v>221</v>
      </c>
      <c r="B12" s="123" t="str">
        <f>IF(Dashboard!$K$11="All","*",Dashboard!$K$11)</f>
        <v>*</v>
      </c>
    </row>
    <row r="13" spans="1:4" x14ac:dyDescent="0.2">
      <c r="A13" s="123" t="s">
        <v>626</v>
      </c>
      <c r="B13" s="124">
        <f>Dashboard!$N$11</f>
        <v>44927</v>
      </c>
    </row>
    <row r="14" spans="1:4" x14ac:dyDescent="0.2">
      <c r="A14" s="123" t="s">
        <v>627</v>
      </c>
      <c r="B14" s="124">
        <f>Dashboard!$Q$11</f>
        <v>45322</v>
      </c>
    </row>
    <row r="18" spans="1:4" x14ac:dyDescent="0.2">
      <c r="A18" s="17" t="s">
        <v>267</v>
      </c>
      <c r="B18" s="17" t="s">
        <v>122</v>
      </c>
      <c r="C18" s="17" t="s">
        <v>33</v>
      </c>
      <c r="D18" s="17" t="s">
        <v>36</v>
      </c>
    </row>
    <row r="19" spans="1:4" x14ac:dyDescent="0.2">
      <c r="A19" s="123" t="str">
        <f>Analysis!B167</f>
        <v>Jan-23</v>
      </c>
      <c r="B19" s="124">
        <f>Analysis!A167</f>
        <v>44957</v>
      </c>
      <c r="C19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Data'!$X$2:$X$1001,B19)</f>
        <v>476092.3600000001</v>
      </c>
      <c r="D19" s="123">
        <f>COUNTIFS('Raw Data'!$D$2:$D$1001,$B$9,'Raw Data'!$G$2:$G$1001,$B$10,'Raw Data'!$C$2:$C$1001,$B$11,'Raw Data'!$M$2:$M$1001,$B$12,'Raw Data'!$B$2:$B$1001,"&gt;="&amp;$B$13,'Raw Data'!$B$2:$B$1001,"&lt;="&amp;$B$14,'Raw Data'!$X$2:$X$1001,B19)</f>
        <v>100</v>
      </c>
    </row>
    <row r="20" spans="1:4" x14ac:dyDescent="0.2">
      <c r="A20" s="123" t="str">
        <f>Analysis!B168</f>
        <v>Feb-23</v>
      </c>
      <c r="B20" s="124">
        <f>Analysis!A168</f>
        <v>44985</v>
      </c>
      <c r="C20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Data'!$X$2:$X$1001,B20)</f>
        <v>368919.35999999993</v>
      </c>
      <c r="D20" s="123">
        <f>COUNTIFS('Raw Data'!$D$2:$D$1001,$B$9,'Raw Data'!$G$2:$G$1001,$B$10,'Raw Data'!$C$2:$C$1001,$B$11,'Raw Data'!$M$2:$M$1001,$B$12,'Raw Data'!$B$2:$B$1001,"&gt;="&amp;$B$13,'Raw Data'!$B$2:$B$1001,"&lt;="&amp;$B$14,'Raw Data'!$X$2:$X$1001,B20)</f>
        <v>75</v>
      </c>
    </row>
    <row r="21" spans="1:4" x14ac:dyDescent="0.2">
      <c r="A21" s="123" t="str">
        <f>Analysis!B169</f>
        <v>Mar-23</v>
      </c>
      <c r="B21" s="124">
        <f>Analysis!A169</f>
        <v>45016</v>
      </c>
      <c r="C21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Data'!$X$2:$X$1001,B21)</f>
        <v>402638.77000000008</v>
      </c>
      <c r="D21" s="123">
        <f>COUNTIFS('Raw Data'!$D$2:$D$1001,$B$9,'Raw Data'!$G$2:$G$1001,$B$10,'Raw Data'!$C$2:$C$1001,$B$11,'Raw Data'!$M$2:$M$1001,$B$12,'Raw Data'!$B$2:$B$1001,"&gt;="&amp;$B$13,'Raw Data'!$B$2:$B$1001,"&lt;="&amp;$B$14,'Raw Data'!$X$2:$X$1001,B21)</f>
        <v>80</v>
      </c>
    </row>
    <row r="22" spans="1:4" x14ac:dyDescent="0.2">
      <c r="A22" s="123" t="str">
        <f>Analysis!B170</f>
        <v>Apr-23</v>
      </c>
      <c r="B22" s="124">
        <f>Analysis!A170</f>
        <v>45046</v>
      </c>
      <c r="C22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Data'!$X$2:$X$1001,B22)</f>
        <v>438992.61000000004</v>
      </c>
      <c r="D22" s="123">
        <f>COUNTIFS('Raw Data'!$D$2:$D$1001,$B$9,'Raw Data'!$G$2:$G$1001,$B$10,'Raw Data'!$C$2:$C$1001,$B$11,'Raw Data'!$M$2:$M$1001,$B$12,'Raw Data'!$B$2:$B$1001,"&gt;="&amp;$B$13,'Raw Data'!$B$2:$B$1001,"&lt;="&amp;$B$14,'Raw Data'!$X$2:$X$1001,B22)</f>
        <v>81</v>
      </c>
    </row>
    <row r="23" spans="1:4" x14ac:dyDescent="0.2">
      <c r="A23" s="123" t="str">
        <f>Analysis!B171</f>
        <v>May-23</v>
      </c>
      <c r="B23" s="124">
        <f>Analysis!A171</f>
        <v>45077</v>
      </c>
      <c r="C23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Data'!$X$2:$X$1001,B23)</f>
        <v>389078.75999999989</v>
      </c>
      <c r="D23" s="123">
        <f>COUNTIFS('Raw Data'!$D$2:$D$1001,$B$9,'Raw Data'!$G$2:$G$1001,$B$10,'Raw Data'!$C$2:$C$1001,$B$11,'Raw Data'!$M$2:$M$1001,$B$12,'Raw Data'!$B$2:$B$1001,"&gt;="&amp;$B$13,'Raw Data'!$B$2:$B$1001,"&lt;="&amp;$B$14,'Raw Data'!$X$2:$X$1001,B23)</f>
        <v>72</v>
      </c>
    </row>
    <row r="24" spans="1:4" x14ac:dyDescent="0.2">
      <c r="A24" s="123" t="str">
        <f>Analysis!B172</f>
        <v>Jun-23</v>
      </c>
      <c r="B24" s="124">
        <f>Analysis!A172</f>
        <v>45107</v>
      </c>
      <c r="C24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Data'!$X$2:$X$1001,B24)</f>
        <v>418458.34000000008</v>
      </c>
      <c r="D24" s="123">
        <f>COUNTIFS('Raw Data'!$D$2:$D$1001,$B$9,'Raw Data'!$G$2:$G$1001,$B$10,'Raw Data'!$C$2:$C$1001,$B$11,'Raw Data'!$M$2:$M$1001,$B$12,'Raw Data'!$B$2:$B$1001,"&gt;="&amp;$B$13,'Raw Data'!$B$2:$B$1001,"&lt;="&amp;$B$14,'Raw Data'!$X$2:$X$1001,B24)</f>
        <v>92</v>
      </c>
    </row>
    <row r="25" spans="1:4" x14ac:dyDescent="0.2">
      <c r="A25" s="123" t="str">
        <f>Analysis!B173</f>
        <v>Jul-23</v>
      </c>
      <c r="B25" s="124">
        <f>Analysis!A173</f>
        <v>45138</v>
      </c>
      <c r="C25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Data'!$X$2:$X$1001,B25)</f>
        <v>374242.88</v>
      </c>
      <c r="D25" s="123">
        <f>COUNTIFS('Raw Data'!$D$2:$D$1001,$B$9,'Raw Data'!$G$2:$G$1001,$B$10,'Raw Data'!$C$2:$C$1001,$B$11,'Raw Data'!$M$2:$M$1001,$B$12,'Raw Data'!$B$2:$B$1001,"&gt;="&amp;$B$13,'Raw Data'!$B$2:$B$1001,"&lt;="&amp;$B$14,'Raw Data'!$X$2:$X$1001,B25)</f>
        <v>68</v>
      </c>
    </row>
    <row r="26" spans="1:4" x14ac:dyDescent="0.2">
      <c r="A26" s="123" t="str">
        <f>Analysis!B174</f>
        <v>Aug-23</v>
      </c>
      <c r="B26" s="124">
        <f>Analysis!A174</f>
        <v>45169</v>
      </c>
      <c r="C26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Data'!$X$2:$X$1001,B26)</f>
        <v>443171.28</v>
      </c>
      <c r="D26" s="123">
        <f>COUNTIFS('Raw Data'!$D$2:$D$1001,$B$9,'Raw Data'!$G$2:$G$1001,$B$10,'Raw Data'!$C$2:$C$1001,$B$11,'Raw Data'!$M$2:$M$1001,$B$12,'Raw Data'!$B$2:$B$1001,"&gt;="&amp;$B$13,'Raw Data'!$B$2:$B$1001,"&lt;="&amp;$B$14,'Raw Data'!$X$2:$X$1001,B26)</f>
        <v>93</v>
      </c>
    </row>
    <row r="27" spans="1:4" x14ac:dyDescent="0.2">
      <c r="A27" s="123" t="str">
        <f>Analysis!B175</f>
        <v>Sep-23</v>
      </c>
      <c r="B27" s="124">
        <f>Analysis!A175</f>
        <v>45199</v>
      </c>
      <c r="C27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Data'!$X$2:$X$1001,B27)</f>
        <v>367837.60000000003</v>
      </c>
      <c r="D27" s="123">
        <f>COUNTIFS('Raw Data'!$D$2:$D$1001,$B$9,'Raw Data'!$G$2:$G$1001,$B$10,'Raw Data'!$C$2:$C$1001,$B$11,'Raw Data'!$M$2:$M$1001,$B$12,'Raw Data'!$B$2:$B$1001,"&gt;="&amp;$B$13,'Raw Data'!$B$2:$B$1001,"&lt;="&amp;$B$14,'Raw Data'!$X$2:$X$1001,B27)</f>
        <v>68</v>
      </c>
    </row>
    <row r="28" spans="1:4" x14ac:dyDescent="0.2">
      <c r="A28" s="123" t="str">
        <f>Analysis!B176</f>
        <v>Oct-23</v>
      </c>
      <c r="B28" s="124">
        <f>Analysis!A176</f>
        <v>45230</v>
      </c>
      <c r="C28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Data'!$X$2:$X$1001,B28)</f>
        <v>460378.78000000014</v>
      </c>
      <c r="D28" s="123">
        <f>COUNTIFS('Raw Data'!$D$2:$D$1001,$B$9,'Raw Data'!$G$2:$G$1001,$B$10,'Raw Data'!$C$2:$C$1001,$B$11,'Raw Data'!$M$2:$M$1001,$B$12,'Raw Data'!$B$2:$B$1001,"&gt;="&amp;$B$13,'Raw Data'!$B$2:$B$1001,"&lt;="&amp;$B$14,'Raw Data'!$X$2:$X$1001,B28)</f>
        <v>88</v>
      </c>
    </row>
    <row r="29" spans="1:4" x14ac:dyDescent="0.2">
      <c r="A29" s="123" t="str">
        <f>Analysis!B177</f>
        <v>Nov-23</v>
      </c>
      <c r="B29" s="124">
        <f>Analysis!A177</f>
        <v>45260</v>
      </c>
      <c r="C29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Data'!$X$2:$X$1001,B29)</f>
        <v>467482.89999999985</v>
      </c>
      <c r="D29" s="123">
        <f>COUNTIFS('Raw Data'!$D$2:$D$1001,$B$9,'Raw Data'!$G$2:$G$1001,$B$10,'Raw Data'!$C$2:$C$1001,$B$11,'Raw Data'!$M$2:$M$1001,$B$12,'Raw Data'!$B$2:$B$1001,"&gt;="&amp;$B$13,'Raw Data'!$B$2:$B$1001,"&lt;="&amp;$B$14,'Raw Data'!$X$2:$X$1001,B29)</f>
        <v>95</v>
      </c>
    </row>
    <row r="30" spans="1:4" x14ac:dyDescent="0.2">
      <c r="A30" s="123" t="str">
        <f>Analysis!B178</f>
        <v>Dec-23</v>
      </c>
      <c r="B30" s="124">
        <f>Analysis!A178</f>
        <v>45291</v>
      </c>
      <c r="C30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Data'!$X$2:$X$1001,B30)</f>
        <v>392643.57999999984</v>
      </c>
      <c r="D30" s="123">
        <f>COUNTIFS('Raw Data'!$D$2:$D$1001,$B$9,'Raw Data'!$G$2:$G$1001,$B$10,'Raw Data'!$C$2:$C$1001,$B$11,'Raw Data'!$M$2:$M$1001,$B$12,'Raw Data'!$B$2:$B$1001,"&gt;="&amp;$B$13,'Raw Data'!$B$2:$B$1001,"&lt;="&amp;$B$14,'Raw Data'!$X$2:$X$1001,B30)</f>
        <v>85</v>
      </c>
    </row>
    <row r="31" spans="1:4" x14ac:dyDescent="0.2">
      <c r="A31" s="123" t="str">
        <f>Analysis!B179</f>
        <v>Jan-24</v>
      </c>
      <c r="B31" s="124">
        <f>Analysis!A179</f>
        <v>45322</v>
      </c>
      <c r="C31" s="125">
        <f>SUMIFS('Raw Data'!$E$2:$E$1001,'Raw Data'!$D$2:$D$1001,$B$9,'Raw Data'!$G$2:$G$1001,$B$10,'Raw Data'!$C$2:$C$1001,$B$11,'Raw Data'!$M$2:$M$1001,$B$12,'Raw Data'!$B$2:$B$1001,"&gt;="&amp;$B$13,'Raw Data'!$B$2:$B$1001,"&lt;="&amp;$B$14,'Raw Data'!$X$2:$X$1001,B31)</f>
        <v>19328.010000000002</v>
      </c>
      <c r="D31" s="123">
        <f>COUNTIFS('Raw Data'!$D$2:$D$1001,$B$9,'Raw Data'!$G$2:$G$1001,$B$10,'Raw Data'!$C$2:$C$1001,$B$11,'Raw Data'!$M$2:$M$1001,$B$12,'Raw Data'!$B$2:$B$1001,"&gt;="&amp;$B$13,'Raw Data'!$B$2:$B$1001,"&lt;="&amp;$B$14,'Raw Data'!$X$2:$X$1001,B31)</f>
        <v>3</v>
      </c>
    </row>
    <row r="34" spans="1:3" x14ac:dyDescent="0.2">
      <c r="A34" s="17" t="s">
        <v>53</v>
      </c>
      <c r="B34" s="17" t="s">
        <v>33</v>
      </c>
      <c r="C34" s="17" t="s">
        <v>36</v>
      </c>
    </row>
    <row r="35" spans="1:3" x14ac:dyDescent="0.2">
      <c r="A35" s="123" t="s">
        <v>59</v>
      </c>
      <c r="B35" s="125">
        <f>SUMIFS('Raw Data'!$E$2:$E$1001,'Raw Data'!$D$2:$D$1001,$B$9,'Raw Data'!$G$2:$G$1001,$B$10,'Raw Data'!$C$2:$C$1001,$B$11,'Raw Data'!$M$2:$M$1001,$B$12,'Raw Data'!$B$2:$B$1001,"&gt;="&amp;$B$13,'Raw Data'!$B$2:$B$1001,"&lt;="&amp;$B$14,'Raw Data'!$D$2:$D$1001,A35)</f>
        <v>1259792.93</v>
      </c>
      <c r="C35" s="123">
        <f>COUNTIFS('Raw Data'!$D$2:$D$1001,$B$9,'Raw Data'!$G$2:$G$1001,$B$10,'Raw Data'!$C$2:$C$1001,$B$11,'Raw Data'!$M$2:$M$1001,$B$12,'Raw Data'!$B$2:$B$1001,"&gt;="&amp;$B$13,'Raw Data'!$B$2:$B$1001,"&lt;="&amp;$B$14,'Raw Data'!$D$2:$D$1001,A35)</f>
        <v>263</v>
      </c>
    </row>
    <row r="36" spans="1:3" x14ac:dyDescent="0.2">
      <c r="A36" s="123" t="s">
        <v>64</v>
      </c>
      <c r="B36" s="125">
        <f>SUMIFS('Raw Data'!$E$2:$E$1001,'Raw Data'!$D$2:$D$1001,$B$9,'Raw Data'!$G$2:$G$1001,$B$10,'Raw Data'!$C$2:$C$1001,$B$11,'Raw Data'!$M$2:$M$1001,$B$12,'Raw Data'!$B$2:$B$1001,"&gt;="&amp;$B$13,'Raw Data'!$B$2:$B$1001,"&lt;="&amp;$B$14,'Raw Data'!$D$2:$D$1001,A36)</f>
        <v>1369612.5100000009</v>
      </c>
      <c r="C36" s="123">
        <f>COUNTIFS('Raw Data'!$D$2:$D$1001,$B$9,'Raw Data'!$G$2:$G$1001,$B$10,'Raw Data'!$C$2:$C$1001,$B$11,'Raw Data'!$M$2:$M$1001,$B$12,'Raw Data'!$B$2:$B$1001,"&gt;="&amp;$B$13,'Raw Data'!$B$2:$B$1001,"&lt;="&amp;$B$14,'Raw Data'!$D$2:$D$1001,A36)</f>
        <v>267</v>
      </c>
    </row>
    <row r="37" spans="1:3" x14ac:dyDescent="0.2">
      <c r="A37" s="123" t="s">
        <v>69</v>
      </c>
      <c r="B37" s="125">
        <f>SUMIFS('Raw Data'!$E$2:$E$1001,'Raw Data'!$D$2:$D$1001,$B$9,'Raw Data'!$G$2:$G$1001,$B$10,'Raw Data'!$C$2:$C$1001,$B$11,'Raw Data'!$M$2:$M$1001,$B$12,'Raw Data'!$B$2:$B$1001,"&gt;="&amp;$B$13,'Raw Data'!$B$2:$B$1001,"&lt;="&amp;$B$14,'Raw Data'!$D$2:$D$1001,A37)</f>
        <v>1154250.8600000006</v>
      </c>
      <c r="C37" s="123">
        <f>COUNTIFS('Raw Data'!$D$2:$D$1001,$B$9,'Raw Data'!$G$2:$G$1001,$B$10,'Raw Data'!$C$2:$C$1001,$B$11,'Raw Data'!$M$2:$M$1001,$B$12,'Raw Data'!$B$2:$B$1001,"&gt;="&amp;$B$13,'Raw Data'!$B$2:$B$1001,"&lt;="&amp;$B$14,'Raw Data'!$D$2:$D$1001,A37)</f>
        <v>226</v>
      </c>
    </row>
    <row r="38" spans="1:3" x14ac:dyDescent="0.2">
      <c r="A38" s="123" t="s">
        <v>74</v>
      </c>
      <c r="B38" s="125">
        <f>SUMIFS('Raw Data'!$E$2:$E$1001,'Raw Data'!$D$2:$D$1001,$B$9,'Raw Data'!$G$2:$G$1001,$B$10,'Raw Data'!$C$2:$C$1001,$B$11,'Raw Data'!$M$2:$M$1001,$B$12,'Raw Data'!$B$2:$B$1001,"&gt;="&amp;$B$13,'Raw Data'!$B$2:$B$1001,"&lt;="&amp;$B$14,'Raw Data'!$D$2:$D$1001,A38)</f>
        <v>1235608.9299999997</v>
      </c>
      <c r="C38" s="123">
        <f>COUNTIFS('Raw Data'!$D$2:$D$1001,$B$9,'Raw Data'!$G$2:$G$1001,$B$10,'Raw Data'!$C$2:$C$1001,$B$11,'Raw Data'!$M$2:$M$1001,$B$12,'Raw Data'!$B$2:$B$1001,"&gt;="&amp;$B$13,'Raw Data'!$B$2:$B$1001,"&lt;="&amp;$B$14,'Raw Data'!$D$2:$D$1001,A38)</f>
        <v>244</v>
      </c>
    </row>
    <row r="40" spans="1:3" x14ac:dyDescent="0.2">
      <c r="A40" s="17" t="s">
        <v>213</v>
      </c>
      <c r="B40" s="17" t="s">
        <v>33</v>
      </c>
      <c r="C40" s="17" t="s">
        <v>36</v>
      </c>
    </row>
    <row r="41" spans="1:3" x14ac:dyDescent="0.2">
      <c r="A41" s="123" t="s">
        <v>60</v>
      </c>
      <c r="B41" s="125">
        <f>SUMIFS('Raw Data'!$E$2:$E$1001,'Raw Data'!$D$2:$D$1001,$B$9,'Raw Data'!$G$2:$G$1001,$B$10,'Raw Data'!$C$2:$C$1001,$B$11,'Raw Data'!$M$2:$M$1001,$B$12,'Raw Data'!$B$2:$B$1001,"&gt;="&amp;$B$13,'Raw Data'!$B$2:$B$1001,"&lt;="&amp;$B$14,'Raw Data'!$G$2:$G$1001,A41)</f>
        <v>1313474.3599999999</v>
      </c>
      <c r="C41" s="123">
        <f>COUNTIFS('Raw Data'!$D$2:$D$1001,$B$9,'Raw Data'!$G$2:$G$1001,$B$10,'Raw Data'!$C$2:$C$1001,$B$11,'Raw Data'!$M$2:$M$1001,$B$12,'Raw Data'!$B$2:$B$1001,"&gt;="&amp;$B$13,'Raw Data'!$B$2:$B$1001,"&lt;="&amp;$B$14,'Raw Data'!$G$2:$G$1001,A41)</f>
        <v>268</v>
      </c>
    </row>
    <row r="42" spans="1:3" x14ac:dyDescent="0.2">
      <c r="A42" s="123" t="s">
        <v>65</v>
      </c>
      <c r="B42" s="125">
        <f>SUMIFS('Raw Data'!$E$2:$E$1001,'Raw Data'!$D$2:$D$1001,$B$9,'Raw Data'!$G$2:$G$1001,$B$10,'Raw Data'!$C$2:$C$1001,$B$11,'Raw Data'!$M$2:$M$1001,$B$12,'Raw Data'!$B$2:$B$1001,"&gt;="&amp;$B$13,'Raw Data'!$B$2:$B$1001,"&lt;="&amp;$B$14,'Raw Data'!$G$2:$G$1001,A42)</f>
        <v>1243499.6400000006</v>
      </c>
      <c r="C42" s="123">
        <f>COUNTIFS('Raw Data'!$D$2:$D$1001,$B$9,'Raw Data'!$G$2:$G$1001,$B$10,'Raw Data'!$C$2:$C$1001,$B$11,'Raw Data'!$M$2:$M$1001,$B$12,'Raw Data'!$B$2:$B$1001,"&gt;="&amp;$B$13,'Raw Data'!$B$2:$B$1001,"&lt;="&amp;$B$14,'Raw Data'!$G$2:$G$1001,A42)</f>
        <v>246</v>
      </c>
    </row>
    <row r="43" spans="1:3" x14ac:dyDescent="0.2">
      <c r="A43" s="123" t="s">
        <v>70</v>
      </c>
      <c r="B43" s="125">
        <f>SUMIFS('Raw Data'!$E$2:$E$1001,'Raw Data'!$D$2:$D$1001,$B$9,'Raw Data'!$G$2:$G$1001,$B$10,'Raw Data'!$C$2:$C$1001,$B$11,'Raw Data'!$M$2:$M$1001,$B$12,'Raw Data'!$B$2:$B$1001,"&gt;="&amp;$B$13,'Raw Data'!$B$2:$B$1001,"&lt;="&amp;$B$14,'Raw Data'!$G$2:$G$1001,A43)</f>
        <v>1201773.5399999998</v>
      </c>
      <c r="C43" s="123">
        <f>COUNTIFS('Raw Data'!$D$2:$D$1001,$B$9,'Raw Data'!$G$2:$G$1001,$B$10,'Raw Data'!$C$2:$C$1001,$B$11,'Raw Data'!$M$2:$M$1001,$B$12,'Raw Data'!$B$2:$B$1001,"&gt;="&amp;$B$13,'Raw Data'!$B$2:$B$1001,"&lt;="&amp;$B$14,'Raw Data'!$G$2:$G$1001,A43)</f>
        <v>226</v>
      </c>
    </row>
    <row r="44" spans="1:3" x14ac:dyDescent="0.2">
      <c r="A44" s="123" t="s">
        <v>75</v>
      </c>
      <c r="B44" s="125">
        <f>SUMIFS('Raw Data'!$E$2:$E$1001,'Raw Data'!$D$2:$D$1001,$B$9,'Raw Data'!$G$2:$G$1001,$B$10,'Raw Data'!$C$2:$C$1001,$B$11,'Raw Data'!$M$2:$M$1001,$B$12,'Raw Data'!$B$2:$B$1001,"&gt;="&amp;$B$13,'Raw Data'!$B$2:$B$1001,"&lt;="&amp;$B$14,'Raw Data'!$G$2:$G$1001,A44)</f>
        <v>1260517.6900000002</v>
      </c>
      <c r="C44" s="123">
        <f>COUNTIFS('Raw Data'!$D$2:$D$1001,$B$9,'Raw Data'!$G$2:$G$1001,$B$10,'Raw Data'!$C$2:$C$1001,$B$11,'Raw Data'!$M$2:$M$1001,$B$12,'Raw Data'!$B$2:$B$1001,"&gt;="&amp;$B$13,'Raw Data'!$B$2:$B$1001,"&lt;="&amp;$B$14,'Raw Data'!$G$2:$G$1001,A44)</f>
        <v>260</v>
      </c>
    </row>
    <row r="46" spans="1:3" x14ac:dyDescent="0.2">
      <c r="A46" s="17" t="s">
        <v>625</v>
      </c>
      <c r="B46" s="17" t="s">
        <v>33</v>
      </c>
      <c r="C46" s="17" t="s">
        <v>36</v>
      </c>
    </row>
    <row r="47" spans="1:3" x14ac:dyDescent="0.2">
      <c r="A47" s="123" t="s">
        <v>61</v>
      </c>
      <c r="B47" s="125">
        <f>SUMIFS('Raw Data'!$E$2:$E$1001,'Raw Data'!$D$2:$D$1001,$B$9,'Raw Data'!$G$2:$G$1001,$B$10,'Raw Data'!$C$2:$C$1001,$B$11,'Raw Data'!$M$2:$M$1001,$B$12,'Raw Data'!$B$2:$B$1001,"&gt;="&amp;$B$13,'Raw Data'!$B$2:$B$1001,"&lt;="&amp;$B$14,'Raw Data'!$C$2:$C$1001,A47)</f>
        <v>965541.77000000048</v>
      </c>
      <c r="C47" s="123">
        <f>COUNTIFS('Raw Data'!$D$2:$D$1001,$B$9,'Raw Data'!$G$2:$G$1001,$B$10,'Raw Data'!$C$2:$C$1001,$B$11,'Raw Data'!$M$2:$M$1001,$B$12,'Raw Data'!$B$2:$B$1001,"&gt;="&amp;$B$13,'Raw Data'!$B$2:$B$1001,"&lt;="&amp;$B$14,'Raw Data'!$C$2:$C$1001,A47)</f>
        <v>192</v>
      </c>
    </row>
    <row r="48" spans="1:3" x14ac:dyDescent="0.2">
      <c r="A48" s="123" t="s">
        <v>66</v>
      </c>
      <c r="B48" s="125">
        <f>SUMIFS('Raw Data'!$E$2:$E$1001,'Raw Data'!$D$2:$D$1001,$B$9,'Raw Data'!$G$2:$G$1001,$B$10,'Raw Data'!$C$2:$C$1001,$B$11,'Raw Data'!$M$2:$M$1001,$B$12,'Raw Data'!$B$2:$B$1001,"&gt;="&amp;$B$13,'Raw Data'!$B$2:$B$1001,"&lt;="&amp;$B$14,'Raw Data'!$C$2:$C$1001,A48)</f>
        <v>1080990.6300000006</v>
      </c>
      <c r="C48" s="123">
        <f>COUNTIFS('Raw Data'!$D$2:$D$1001,$B$9,'Raw Data'!$G$2:$G$1001,$B$10,'Raw Data'!$C$2:$C$1001,$B$11,'Raw Data'!$M$2:$M$1001,$B$12,'Raw Data'!$B$2:$B$1001,"&gt;="&amp;$B$13,'Raw Data'!$B$2:$B$1001,"&lt;="&amp;$B$14,'Raw Data'!$C$2:$C$1001,A48)</f>
        <v>208</v>
      </c>
    </row>
    <row r="49" spans="1:3" x14ac:dyDescent="0.2">
      <c r="A49" s="123" t="s">
        <v>71</v>
      </c>
      <c r="B49" s="125">
        <f>SUMIFS('Raw Data'!$E$2:$E$1001,'Raw Data'!$D$2:$D$1001,$B$9,'Raw Data'!$G$2:$G$1001,$B$10,'Raw Data'!$C$2:$C$1001,$B$11,'Raw Data'!$M$2:$M$1001,$B$12,'Raw Data'!$B$2:$B$1001,"&gt;="&amp;$B$13,'Raw Data'!$B$2:$B$1001,"&lt;="&amp;$B$14,'Raw Data'!$C$2:$C$1001,A49)</f>
        <v>860811.48</v>
      </c>
      <c r="C49" s="123">
        <f>COUNTIFS('Raw Data'!$D$2:$D$1001,$B$9,'Raw Data'!$G$2:$G$1001,$B$10,'Raw Data'!$C$2:$C$1001,$B$11,'Raw Data'!$M$2:$M$1001,$B$12,'Raw Data'!$B$2:$B$1001,"&gt;="&amp;$B$13,'Raw Data'!$B$2:$B$1001,"&lt;="&amp;$B$14,'Raw Data'!$C$2:$C$1001,A49)</f>
        <v>169</v>
      </c>
    </row>
    <row r="50" spans="1:3" x14ac:dyDescent="0.2">
      <c r="A50" s="123" t="s">
        <v>76</v>
      </c>
      <c r="B50" s="125">
        <f>SUMIFS('Raw Data'!$E$2:$E$1001,'Raw Data'!$D$2:$D$1001,$B$9,'Raw Data'!$G$2:$G$1001,$B$10,'Raw Data'!$C$2:$C$1001,$B$11,'Raw Data'!$M$2:$M$1001,$B$12,'Raw Data'!$B$2:$B$1001,"&gt;="&amp;$B$13,'Raw Data'!$B$2:$B$1001,"&lt;="&amp;$B$14,'Raw Data'!$C$2:$C$1001,A50)</f>
        <v>1141737.3599999996</v>
      </c>
      <c r="C50" s="123">
        <f>COUNTIFS('Raw Data'!$D$2:$D$1001,$B$9,'Raw Data'!$G$2:$G$1001,$B$10,'Raw Data'!$C$2:$C$1001,$B$11,'Raw Data'!$M$2:$M$1001,$B$12,'Raw Data'!$B$2:$B$1001,"&gt;="&amp;$B$13,'Raw Data'!$B$2:$B$1001,"&lt;="&amp;$B$14,'Raw Data'!$C$2:$C$1001,A50)</f>
        <v>222</v>
      </c>
    </row>
    <row r="51" spans="1:3" x14ac:dyDescent="0.2">
      <c r="A51" s="123" t="s">
        <v>79</v>
      </c>
      <c r="B51" s="125">
        <f>SUMIFS('Raw Data'!$E$2:$E$1001,'Raw Data'!$D$2:$D$1001,$B$9,'Raw Data'!$G$2:$G$1001,$B$10,'Raw Data'!$C$2:$C$1001,$B$11,'Raw Data'!$M$2:$M$1001,$B$12,'Raw Data'!$B$2:$B$1001,"&gt;="&amp;$B$13,'Raw Data'!$B$2:$B$1001,"&lt;="&amp;$B$14,'Raw Data'!$C$2:$C$1001,A51)</f>
        <v>970183.99000000022</v>
      </c>
      <c r="C51" s="123">
        <f>COUNTIFS('Raw Data'!$D$2:$D$1001,$B$9,'Raw Data'!$G$2:$G$1001,$B$10,'Raw Data'!$C$2:$C$1001,$B$11,'Raw Data'!$M$2:$M$1001,$B$12,'Raw Data'!$B$2:$B$1001,"&gt;="&amp;$B$13,'Raw Data'!$B$2:$B$1001,"&lt;="&amp;$B$14,'Raw Data'!$C$2:$C$1001,A51)</f>
        <v>209</v>
      </c>
    </row>
    <row r="53" spans="1:3" x14ac:dyDescent="0.2">
      <c r="A53" s="17" t="s">
        <v>221</v>
      </c>
      <c r="B53" s="17" t="s">
        <v>33</v>
      </c>
      <c r="C53" s="17" t="s">
        <v>36</v>
      </c>
    </row>
    <row r="54" spans="1:3" x14ac:dyDescent="0.2">
      <c r="A54" s="123" t="s">
        <v>138</v>
      </c>
      <c r="B54" s="125">
        <f>SUMIFS('Raw Data'!$E$2:$E$1001,'Raw Data'!$D$2:$D$1001,$B$9,'Raw Data'!$G$2:$G$1001,$B$10,'Raw Data'!$C$2:$C$1001,$B$11,'Raw Data'!$M$2:$M$1001,$B$12,'Raw Data'!$B$2:$B$1001,"&gt;="&amp;$B$13,'Raw Data'!$B$2:$B$1001,"&lt;="&amp;$B$14,'Raw Data'!$M$2:$M$1001,A54)</f>
        <v>2458833.9300000034</v>
      </c>
      <c r="C54" s="123">
        <f>COUNTIFS('Raw Data'!$D$2:$D$1001,$B$9,'Raw Data'!$G$2:$G$1001,$B$10,'Raw Data'!$C$2:$C$1001,$B$11,'Raw Data'!$M$2:$M$1001,$B$12,'Raw Data'!$B$2:$B$1001,"&gt;="&amp;$B$13,'Raw Data'!$B$2:$B$1001,"&lt;="&amp;$B$14,'Raw Data'!$M$2:$M$1001,A54)</f>
        <v>488</v>
      </c>
    </row>
    <row r="55" spans="1:3" x14ac:dyDescent="0.2">
      <c r="A55" s="123" t="s">
        <v>140</v>
      </c>
      <c r="B55" s="125">
        <f>SUMIFS('Raw Data'!$E$2:$E$1001,'Raw Data'!$D$2:$D$1001,$B$9,'Raw Data'!$G$2:$G$1001,$B$10,'Raw Data'!$C$2:$C$1001,$B$11,'Raw Data'!$M$2:$M$1001,$B$12,'Raw Data'!$B$2:$B$1001,"&gt;="&amp;$B$13,'Raw Data'!$B$2:$B$1001,"&lt;="&amp;$B$14,'Raw Data'!$M$2:$M$1001,A55)</f>
        <v>2560431.2999999984</v>
      </c>
      <c r="C55" s="123">
        <f>COUNTIFS('Raw Data'!$D$2:$D$1001,$B$9,'Raw Data'!$G$2:$G$1001,$B$10,'Raw Data'!$C$2:$C$1001,$B$11,'Raw Data'!$M$2:$M$1001,$B$12,'Raw Data'!$B$2:$B$1001,"&gt;="&amp;$B$13,'Raw Data'!$B$2:$B$1001,"&lt;="&amp;$B$14,'Raw Data'!$M$2:$M$1001,A55)</f>
        <v>512</v>
      </c>
    </row>
    <row r="58" spans="1:3" x14ac:dyDescent="0.2">
      <c r="A58" s="17" t="s">
        <v>628</v>
      </c>
      <c r="B58" s="17" t="s">
        <v>36</v>
      </c>
      <c r="C58" s="17" t="s">
        <v>629</v>
      </c>
    </row>
    <row r="59" spans="1:3" x14ac:dyDescent="0.2">
      <c r="A59" s="123" t="s">
        <v>234</v>
      </c>
      <c r="B59" s="123">
        <f>COUNTIFS('Raw Data'!$D$2:$D$1001,$B$9,'Raw Data'!$G$2:$G$1001,$B$10,'Raw Data'!$C$2:$C$1001,$B$11,'Raw Data'!$M$2:$M$1001,$B$12,'Raw Data'!$B$2:$B$1001,"&gt;="&amp;$B$13,'Raw Data'!$B$2:$B$1001,"&lt;="&amp;$B$14,'Raw Data'!$U$2:$U$1001,A59)</f>
        <v>313</v>
      </c>
      <c r="C59" s="69">
        <f>IFERROR(SUMIFS('Raw Data'!$R$2:$R$1001,'Raw Data'!$D$2:$D$1001,$B$9,'Raw Data'!$G$2:$G$1001,$B$10,'Raw Data'!$C$2:$C$1001,$B$11,'Raw Data'!$M$2:$M$1001,$B$12,'Raw Data'!$B$2:$B$1001,"&gt;="&amp;$B$13,'Raw Data'!$B$2:$B$1001,"&lt;="&amp;$B$14,'Raw Data'!$U$2:$U$1001,A59)/SUMIFS('Raw Data'!$P$2:$P$1001,'Raw Data'!$D$2:$D$1001,$B$9,'Raw Data'!$G$2:$G$1001,$B$10,'Raw Data'!$C$2:$C$1001,$B$11,'Raw Data'!$M$2:$M$1001,$B$12,'Raw Data'!$B$2:$B$1001,"&gt;="&amp;$B$13,'Raw Data'!$B$2:$B$1001,"&lt;="&amp;$B$14,'Raw Data'!$U$2:$U$1001,A59),0)</f>
        <v>4.5253604795471782E-2</v>
      </c>
    </row>
    <row r="60" spans="1:3" x14ac:dyDescent="0.2">
      <c r="A60" s="123" t="s">
        <v>235</v>
      </c>
      <c r="B60" s="123">
        <f>COUNTIFS('Raw Data'!$D$2:$D$1001,$B$9,'Raw Data'!$G$2:$G$1001,$B$10,'Raw Data'!$C$2:$C$1001,$B$11,'Raw Data'!$M$2:$M$1001,$B$12,'Raw Data'!$B$2:$B$1001,"&gt;="&amp;$B$13,'Raw Data'!$B$2:$B$1001,"&lt;="&amp;$B$14,'Raw Data'!$U$2:$U$1001,A60)</f>
        <v>307</v>
      </c>
      <c r="C60" s="69">
        <f>IFERROR(SUMIFS('Raw Data'!$R$2:$R$1001,'Raw Data'!$D$2:$D$1001,$B$9,'Raw Data'!$G$2:$G$1001,$B$10,'Raw Data'!$C$2:$C$1001,$B$11,'Raw Data'!$M$2:$M$1001,$B$12,'Raw Data'!$B$2:$B$1001,"&gt;="&amp;$B$13,'Raw Data'!$B$2:$B$1001,"&lt;="&amp;$B$14,'Raw Data'!$U$2:$U$1001,A60)/SUMIFS('Raw Data'!$P$2:$P$1001,'Raw Data'!$D$2:$D$1001,$B$9,'Raw Data'!$G$2:$G$1001,$B$10,'Raw Data'!$C$2:$C$1001,$B$11,'Raw Data'!$M$2:$M$1001,$B$12,'Raw Data'!$B$2:$B$1001,"&gt;="&amp;$B$13,'Raw Data'!$B$2:$B$1001,"&lt;="&amp;$B$14,'Raw Data'!$U$2:$U$1001,A60),0)</f>
        <v>-5.7639641647233612E-2</v>
      </c>
    </row>
    <row r="61" spans="1:3" x14ac:dyDescent="0.2">
      <c r="A61" s="123" t="s">
        <v>236</v>
      </c>
      <c r="B61" s="123">
        <f>COUNTIFS('Raw Data'!$D$2:$D$1001,$B$9,'Raw Data'!$G$2:$G$1001,$B$10,'Raw Data'!$C$2:$C$1001,$B$11,'Raw Data'!$M$2:$M$1001,$B$12,'Raw Data'!$B$2:$B$1001,"&gt;="&amp;$B$13,'Raw Data'!$B$2:$B$1001,"&lt;="&amp;$B$14,'Raw Data'!$U$2:$U$1001,A61)</f>
        <v>380</v>
      </c>
      <c r="C61" s="69">
        <f>IFERROR(SUMIFS('Raw Data'!$R$2:$R$1001,'Raw Data'!$D$2:$D$1001,$B$9,'Raw Data'!$G$2:$G$1001,$B$10,'Raw Data'!$C$2:$C$1001,$B$11,'Raw Data'!$M$2:$M$1001,$B$12,'Raw Data'!$B$2:$B$1001,"&gt;="&amp;$B$13,'Raw Data'!$B$2:$B$1001,"&lt;="&amp;$B$14,'Raw Data'!$U$2:$U$1001,A61)/SUMIFS('Raw Data'!$P$2:$P$1001,'Raw Data'!$D$2:$D$1001,$B$9,'Raw Data'!$G$2:$G$1001,$B$10,'Raw Data'!$C$2:$C$1001,$B$11,'Raw Data'!$M$2:$M$1001,$B$12,'Raw Data'!$B$2:$B$1001,"&gt;="&amp;$B$13,'Raw Data'!$B$2:$B$1001,"&lt;="&amp;$B$14,'Raw Data'!$U$2:$U$1001,A61),0)</f>
        <v>-0.20766011539269338</v>
      </c>
    </row>
    <row r="65" spans="1:2" x14ac:dyDescent="0.2">
      <c r="A65" s="19" t="s">
        <v>630</v>
      </c>
    </row>
    <row r="66" spans="1:2" x14ac:dyDescent="0.2">
      <c r="A66" s="123" t="s">
        <v>33</v>
      </c>
      <c r="B66" s="125">
        <f>SUMIFS('Raw Data'!$E$2:$E$1001,'Raw Data'!$D$2:$D$1001,$B$9,'Raw Data'!$G$2:$G$1001,$B$10,'Raw Data'!$C$2:$C$1001,$B$11,'Raw Data'!$M$2:$M$1001,$B$12,'Raw Data'!$B$2:$B$1001,"&gt;="&amp;$B$13,'Raw Data'!$B$2:$B$1001,"&lt;="&amp;$B$14)</f>
        <v>5019265.2300000023</v>
      </c>
    </row>
    <row r="67" spans="1:2" x14ac:dyDescent="0.2">
      <c r="A67" s="123" t="s">
        <v>36</v>
      </c>
      <c r="B67" s="123">
        <f>COUNTIFS('Raw Data'!$D$2:$D$1001,$B$9,'Raw Data'!$G$2:$G$1001,$B$10,'Raw Data'!$C$2:$C$1001,$B$11,'Raw Data'!$M$2:$M$1001,$B$12,'Raw Data'!$B$2:$B$1001,"&gt;="&amp;$B$13,'Raw Data'!$B$2:$B$1001,"&lt;="&amp;$B$14)</f>
        <v>1000</v>
      </c>
    </row>
    <row r="68" spans="1:2" x14ac:dyDescent="0.2">
      <c r="A68" s="123" t="s">
        <v>207</v>
      </c>
      <c r="B68" s="123">
        <f>SUMIFS('Raw Data'!$F$2:$F$1001,'Raw Data'!$D$2:$D$1001,$B$9,'Raw Data'!$G$2:$G$1001,$B$10,'Raw Data'!$C$2:$C$1001,$B$11,'Raw Data'!$M$2:$M$1001,$B$12,'Raw Data'!$B$2:$B$1001,"&gt;="&amp;$B$13,'Raw Data'!$B$2:$B$1001,"&lt;="&amp;$B$14)</f>
        <v>25355</v>
      </c>
    </row>
    <row r="69" spans="1:2" x14ac:dyDescent="0.2">
      <c r="A69" s="123" t="s">
        <v>631</v>
      </c>
      <c r="B69" s="69">
        <f>IFERROR(AVERAGEIFS('Raw Data'!$K$2:$K$1001,'Raw Data'!$D$2:$D$1001,$B$9,'Raw Data'!$G$2:$G$1001,$B$10,'Raw Data'!$C$2:$C$1001,$B$11,'Raw Data'!$M$2:$M$1001,$B$12,'Raw Data'!$B$2:$B$1001,"&gt;="&amp;$B$13,'Raw Data'!$B$2:$B$1001,"&lt;="&amp;$B$14),0)</f>
        <v>0.15239000000000005</v>
      </c>
    </row>
    <row r="70" spans="1:2" x14ac:dyDescent="0.2">
      <c r="A70" s="123" t="s">
        <v>629</v>
      </c>
      <c r="B70" s="69">
        <f>IFERROR(SUMIFS('Raw Data'!$R$2:$R$1001,'Raw Data'!$D$2:$D$1001,$B$9,'Raw Data'!$G$2:$G$1001,$B$10,'Raw Data'!$C$2:$C$1001,$B$11,'Raw Data'!$M$2:$M$1001,$B$12,'Raw Data'!$B$2:$B$1001,"&gt;="&amp;$B$13,'Raw Data'!$B$2:$B$1001,"&lt;="&amp;$B$14)/SUMIFS('Raw Data'!$P$2:$P$1001,'Raw Data'!$D$2:$D$1001,$B$9,'Raw Data'!$G$2:$G$1001,$B$10,'Raw Data'!$C$2:$C$1001,$B$11,'Raw Data'!$M$2:$M$1001,$B$12,'Raw Data'!$B$2:$B$1001,"&gt;="&amp;$B$13,'Raw Data'!$B$2:$B$1001,"&lt;="&amp;$B$14),0)</f>
        <v>-6.9629528317996681E-2</v>
      </c>
    </row>
    <row r="71" spans="1:2" x14ac:dyDescent="0.2">
      <c r="A71" s="123" t="s">
        <v>632</v>
      </c>
      <c r="B71" s="69">
        <f>IF(Analysis!$B$35=0,0,B66/Analysis!$B$35)</f>
        <v>1</v>
      </c>
    </row>
    <row r="72" spans="1:2" x14ac:dyDescent="0.2">
      <c r="A72" s="123" t="s">
        <v>633</v>
      </c>
      <c r="B72" s="123" t="str">
        <f>IF(AND(Dashboard!B11="All",Dashboard!E11="All",Dashboard!H11="All",Dashboard!K11="All",Dashboard!N11&lt;=Analysis!B12,Dashboard!Q11&gt;=Analysis!B13),"Full dataset (no filters)","Filtered view")</f>
        <v>Full dataset (no filters)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Report</vt:lpstr>
      <vt:lpstr>Raw Data</vt:lpstr>
      <vt:lpstr>Analysis</vt:lpstr>
      <vt:lpstr>Performance</vt:lpstr>
      <vt:lpstr>Product IDs</vt:lpstr>
      <vt:lpstr>Filter</vt:lpstr>
      <vt:lpstr>Pivots</vt:lpstr>
      <vt:lpstr>Regression Output</vt:lpstr>
      <vt:lpstr>Scenario Summary</vt:lpstr>
      <vt:lpstr>Formula Lab</vt:lpstr>
      <vt:lpstr>Visualizations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Krisha tandel</cp:lastModifiedBy>
  <cp:revision>1</cp:revision>
  <dcterms:created xsi:type="dcterms:W3CDTF">2026-10-24T10:13:41Z</dcterms:created>
  <dcterms:modified xsi:type="dcterms:W3CDTF">2026-10-24T10:23:40Z</dcterms:modified>
  <dc:language>en-US</dc:language>
</cp:coreProperties>
</file>